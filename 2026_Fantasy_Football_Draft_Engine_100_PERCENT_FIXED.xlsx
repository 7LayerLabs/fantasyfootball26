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erek\Downloads\Documents\"/>
    </mc:Choice>
  </mc:AlternateContent>
  <xr:revisionPtr revIDLastSave="0" documentId="13_ncr:1_{EE1776B0-D774-4733-8606-E15B6910C617}" xr6:coauthVersionLast="47" xr6:coauthVersionMax="47" xr10:uidLastSave="{00000000-0000-0000-0000-000000000000}"/>
  <bookViews>
    <workbookView xWindow="-30492" yWindow="816" windowWidth="16428" windowHeight="14064" xr2:uid="{00000000-000D-0000-FFFF-FFFF00000000}"/>
  </bookViews>
  <sheets>
    <sheet name="Draft Board" sheetId="1" r:id="rId1"/>
    <sheet name="League Config" sheetId="2" r:id="rId2"/>
    <sheet name="Manual Adjustments" sheetId="3" r:id="rId3"/>
    <sheet name="LIVE SOURCE" sheetId="4" r:id="rId4"/>
    <sheet name="FINAL Master" sheetId="5" r:id="rId5"/>
    <sheet name="Top 200" sheetId="6" r:id="rId6"/>
    <sheet name="FINAL QB" sheetId="7" r:id="rId7"/>
    <sheet name="FINAL RB" sheetId="8" r:id="rId8"/>
    <sheet name="FINAL WR" sheetId="9" r:id="rId9"/>
    <sheet name="FINAL TE" sheetId="10" r:id="rId10"/>
    <sheet name="K" sheetId="11" r:id="rId11"/>
    <sheet name="DST" sheetId="12" r:id="rId12"/>
    <sheet name="Draft Engine" sheetId="13" r:id="rId13"/>
    <sheet name="Draft Room" sheetId="14" r:id="rId14"/>
    <sheet name="Player Summaries" sheetId="15" r:id="rId15"/>
    <sheet name="QA Checks" sheetId="16" r:id="rId16"/>
  </sheets>
  <definedNames>
    <definedName name="DstStart">'League Config'!$B$17</definedName>
    <definedName name="GateSize">'League Config'!$B$19</definedName>
    <definedName name="KStart">'League Config'!$B$18</definedName>
    <definedName name="NDst">'League Config'!$B$22</definedName>
    <definedName name="NSkill">'League Config'!$B$21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6" l="1"/>
  <c r="D4" i="16" s="1"/>
  <c r="A225" i="15"/>
  <c r="A224" i="15"/>
  <c r="A223" i="15"/>
  <c r="A222" i="15"/>
  <c r="A221" i="15"/>
  <c r="A220" i="15"/>
  <c r="A219" i="15"/>
  <c r="A218" i="15"/>
  <c r="A217" i="15"/>
  <c r="A216" i="15"/>
  <c r="A215" i="15"/>
  <c r="A214" i="15"/>
  <c r="A213" i="15"/>
  <c r="A212" i="15"/>
  <c r="A211" i="15"/>
  <c r="A210" i="15"/>
  <c r="A209" i="15"/>
  <c r="A208" i="15"/>
  <c r="A207" i="15"/>
  <c r="A206" i="15"/>
  <c r="A205" i="15"/>
  <c r="A204" i="15"/>
  <c r="A203" i="15"/>
  <c r="A202" i="15"/>
  <c r="A201" i="15"/>
  <c r="A200" i="15"/>
  <c r="A199" i="15"/>
  <c r="A198" i="15"/>
  <c r="A197" i="15"/>
  <c r="A196" i="15"/>
  <c r="A195" i="15"/>
  <c r="A194" i="15"/>
  <c r="A193" i="15"/>
  <c r="A192" i="15"/>
  <c r="A191" i="15"/>
  <c r="A190" i="15"/>
  <c r="A189" i="15"/>
  <c r="A188" i="15"/>
  <c r="A187" i="15"/>
  <c r="A186" i="15"/>
  <c r="A185" i="15"/>
  <c r="A184" i="15"/>
  <c r="A183" i="15"/>
  <c r="A182" i="15"/>
  <c r="A181" i="15"/>
  <c r="A180" i="15"/>
  <c r="A179" i="15"/>
  <c r="A178" i="15"/>
  <c r="A177" i="15"/>
  <c r="A176" i="15"/>
  <c r="A175" i="15"/>
  <c r="A174" i="15"/>
  <c r="A173" i="15"/>
  <c r="A172" i="15"/>
  <c r="A171" i="15"/>
  <c r="A170" i="15"/>
  <c r="A169" i="15"/>
  <c r="A168" i="15"/>
  <c r="A167" i="15"/>
  <c r="A166" i="15"/>
  <c r="A165" i="15"/>
  <c r="A164" i="15"/>
  <c r="A163" i="15"/>
  <c r="A162" i="15"/>
  <c r="A161" i="15"/>
  <c r="A160" i="15"/>
  <c r="A159" i="15"/>
  <c r="A158" i="15"/>
  <c r="A157" i="15"/>
  <c r="A156" i="15"/>
  <c r="A155" i="15"/>
  <c r="A154" i="15"/>
  <c r="A153" i="15"/>
  <c r="A152" i="15"/>
  <c r="A151" i="15"/>
  <c r="A150" i="15"/>
  <c r="A149" i="15"/>
  <c r="A148" i="15"/>
  <c r="A147" i="15"/>
  <c r="A146" i="15"/>
  <c r="A145" i="15"/>
  <c r="A144" i="15"/>
  <c r="A143" i="15"/>
  <c r="A142" i="15"/>
  <c r="A141" i="15"/>
  <c r="A140" i="15"/>
  <c r="A139" i="15"/>
  <c r="A138" i="15"/>
  <c r="A137" i="15"/>
  <c r="A136" i="15"/>
  <c r="A135" i="15"/>
  <c r="A134" i="15"/>
  <c r="A133" i="15"/>
  <c r="A132" i="15"/>
  <c r="A131" i="15"/>
  <c r="A130" i="15"/>
  <c r="A129" i="15"/>
  <c r="A128" i="15"/>
  <c r="A127" i="15"/>
  <c r="A126" i="15"/>
  <c r="A125" i="15"/>
  <c r="A124" i="15"/>
  <c r="A123" i="15"/>
  <c r="A122" i="15"/>
  <c r="A121" i="15"/>
  <c r="A120" i="15"/>
  <c r="A119" i="15"/>
  <c r="A118" i="15"/>
  <c r="A117" i="15"/>
  <c r="A116" i="15"/>
  <c r="A115" i="15"/>
  <c r="A114" i="15"/>
  <c r="A113" i="15"/>
  <c r="A112" i="15"/>
  <c r="A111" i="15"/>
  <c r="A110" i="15"/>
  <c r="A109" i="15"/>
  <c r="A108" i="15"/>
  <c r="A107" i="15"/>
  <c r="A106" i="15"/>
  <c r="A105" i="15"/>
  <c r="A104" i="15"/>
  <c r="A103" i="15"/>
  <c r="A102" i="15"/>
  <c r="A101" i="15"/>
  <c r="A100" i="15"/>
  <c r="A99" i="15"/>
  <c r="A98" i="15"/>
  <c r="A97" i="15"/>
  <c r="A96" i="15"/>
  <c r="A95" i="15"/>
  <c r="A94" i="15"/>
  <c r="A93" i="15"/>
  <c r="A92" i="15"/>
  <c r="A91" i="15"/>
  <c r="A90" i="15"/>
  <c r="A89" i="15"/>
  <c r="A88" i="15"/>
  <c r="A87" i="15"/>
  <c r="A86" i="15"/>
  <c r="A85" i="15"/>
  <c r="A84" i="15"/>
  <c r="A83" i="15"/>
  <c r="A82" i="15"/>
  <c r="A81" i="15"/>
  <c r="A80" i="15"/>
  <c r="A79" i="15"/>
  <c r="A78" i="15"/>
  <c r="A77" i="15"/>
  <c r="A76" i="15"/>
  <c r="A75" i="15"/>
  <c r="A74" i="15"/>
  <c r="A73" i="15"/>
  <c r="A72" i="15"/>
  <c r="A71" i="15"/>
  <c r="A70" i="15"/>
  <c r="A69" i="15"/>
  <c r="A68" i="15"/>
  <c r="A67" i="15"/>
  <c r="A66" i="15"/>
  <c r="A65" i="15"/>
  <c r="A64" i="15"/>
  <c r="A63" i="15"/>
  <c r="A62" i="15"/>
  <c r="A61" i="15"/>
  <c r="A60" i="15"/>
  <c r="A59" i="15"/>
  <c r="A58" i="15"/>
  <c r="A57" i="15"/>
  <c r="A56" i="15"/>
  <c r="A55" i="15"/>
  <c r="A54" i="15"/>
  <c r="A53" i="15"/>
  <c r="A52" i="15"/>
  <c r="A51" i="15"/>
  <c r="A50" i="15"/>
  <c r="A49" i="15"/>
  <c r="A48" i="15"/>
  <c r="A47" i="15"/>
  <c r="A46" i="15"/>
  <c r="A45" i="15"/>
  <c r="A44" i="15"/>
  <c r="A43" i="15"/>
  <c r="A42" i="15"/>
  <c r="A41" i="15"/>
  <c r="A40" i="15"/>
  <c r="A39" i="15"/>
  <c r="A38" i="15"/>
  <c r="A37" i="15"/>
  <c r="A36" i="15"/>
  <c r="A35" i="15"/>
  <c r="A34" i="15"/>
  <c r="A33" i="15"/>
  <c r="A32" i="15"/>
  <c r="A31" i="15"/>
  <c r="A30" i="15"/>
  <c r="A29" i="15"/>
  <c r="A28" i="15"/>
  <c r="A27" i="15"/>
  <c r="A26" i="15"/>
  <c r="A25" i="15"/>
  <c r="A24" i="15"/>
  <c r="A23" i="15"/>
  <c r="A22" i="15"/>
  <c r="A21" i="15"/>
  <c r="A20" i="15"/>
  <c r="A19" i="15"/>
  <c r="A18" i="15"/>
  <c r="A17" i="15"/>
  <c r="A16" i="15"/>
  <c r="A15" i="15"/>
  <c r="A14" i="15"/>
  <c r="A13" i="15"/>
  <c r="A12" i="15"/>
  <c r="A11" i="15"/>
  <c r="A10" i="15"/>
  <c r="A9" i="15"/>
  <c r="A8" i="15"/>
  <c r="A7" i="15"/>
  <c r="A6" i="15"/>
  <c r="A5" i="15"/>
  <c r="A4" i="15"/>
  <c r="A3" i="15"/>
  <c r="B7" i="14"/>
  <c r="B6" i="14"/>
  <c r="X225" i="13"/>
  <c r="T225" i="13"/>
  <c r="R225" i="13"/>
  <c r="C225" i="13"/>
  <c r="B225" i="13"/>
  <c r="A225" i="13"/>
  <c r="M225" i="13" s="1"/>
  <c r="X224" i="13"/>
  <c r="T224" i="13"/>
  <c r="R224" i="13"/>
  <c r="C224" i="13"/>
  <c r="B224" i="13"/>
  <c r="A224" i="13"/>
  <c r="M224" i="13" s="1"/>
  <c r="X223" i="13"/>
  <c r="T223" i="13"/>
  <c r="R223" i="13"/>
  <c r="M223" i="13"/>
  <c r="C223" i="13"/>
  <c r="B223" i="13"/>
  <c r="A223" i="13"/>
  <c r="X222" i="13"/>
  <c r="T222" i="13"/>
  <c r="R222" i="13"/>
  <c r="C222" i="13"/>
  <c r="B222" i="13"/>
  <c r="A222" i="13"/>
  <c r="M222" i="13" s="1"/>
  <c r="X221" i="13"/>
  <c r="T221" i="13"/>
  <c r="R221" i="13"/>
  <c r="C221" i="13"/>
  <c r="B221" i="13"/>
  <c r="A221" i="13"/>
  <c r="M221" i="13" s="1"/>
  <c r="X220" i="13"/>
  <c r="T220" i="13"/>
  <c r="R220" i="13"/>
  <c r="C220" i="13"/>
  <c r="B220" i="13"/>
  <c r="A220" i="13"/>
  <c r="X219" i="13"/>
  <c r="T219" i="13"/>
  <c r="R219" i="13"/>
  <c r="C219" i="13"/>
  <c r="B219" i="13"/>
  <c r="A219" i="13"/>
  <c r="O219" i="13" s="1"/>
  <c r="P219" i="13" s="1"/>
  <c r="X218" i="13"/>
  <c r="T218" i="13"/>
  <c r="R218" i="13"/>
  <c r="C218" i="13"/>
  <c r="B218" i="13"/>
  <c r="A218" i="13"/>
  <c r="M218" i="13" s="1"/>
  <c r="X217" i="13"/>
  <c r="T217" i="13"/>
  <c r="R217" i="13"/>
  <c r="C217" i="13"/>
  <c r="B217" i="13"/>
  <c r="A217" i="13"/>
  <c r="M217" i="13" s="1"/>
  <c r="X216" i="13"/>
  <c r="T216" i="13"/>
  <c r="R216" i="13"/>
  <c r="C216" i="13"/>
  <c r="B216" i="13"/>
  <c r="A216" i="13"/>
  <c r="O216" i="13" s="1"/>
  <c r="P216" i="13" s="1"/>
  <c r="X215" i="13"/>
  <c r="T215" i="13"/>
  <c r="R215" i="13"/>
  <c r="C215" i="13"/>
  <c r="B215" i="13"/>
  <c r="A215" i="13"/>
  <c r="M215" i="13" s="1"/>
  <c r="X214" i="13"/>
  <c r="T214" i="13"/>
  <c r="R214" i="13"/>
  <c r="C214" i="13"/>
  <c r="B214" i="13"/>
  <c r="A214" i="13"/>
  <c r="X213" i="13"/>
  <c r="T213" i="13"/>
  <c r="R213" i="13"/>
  <c r="C213" i="13"/>
  <c r="B213" i="13"/>
  <c r="A213" i="13"/>
  <c r="O213" i="13" s="1"/>
  <c r="P213" i="13" s="1"/>
  <c r="X212" i="13"/>
  <c r="T212" i="13"/>
  <c r="R212" i="13"/>
  <c r="C212" i="13"/>
  <c r="B212" i="13"/>
  <c r="A212" i="13"/>
  <c r="M212" i="13" s="1"/>
  <c r="X211" i="13"/>
  <c r="T211" i="13"/>
  <c r="R211" i="13"/>
  <c r="C211" i="13"/>
  <c r="B211" i="13"/>
  <c r="A211" i="13"/>
  <c r="X210" i="13"/>
  <c r="T210" i="13"/>
  <c r="R210" i="13"/>
  <c r="C210" i="13"/>
  <c r="B210" i="13"/>
  <c r="A210" i="13"/>
  <c r="O210" i="13" s="1"/>
  <c r="P210" i="13" s="1"/>
  <c r="X209" i="13"/>
  <c r="T209" i="13"/>
  <c r="R209" i="13"/>
  <c r="O209" i="13"/>
  <c r="P209" i="13" s="1"/>
  <c r="C209" i="13"/>
  <c r="B209" i="13"/>
  <c r="A209" i="13"/>
  <c r="X208" i="13"/>
  <c r="T208" i="13"/>
  <c r="R208" i="13"/>
  <c r="M208" i="13"/>
  <c r="C208" i="13"/>
  <c r="B208" i="13"/>
  <c r="A208" i="13"/>
  <c r="X207" i="13"/>
  <c r="T207" i="13"/>
  <c r="R207" i="13"/>
  <c r="C207" i="13"/>
  <c r="B207" i="13"/>
  <c r="A207" i="13"/>
  <c r="X206" i="13"/>
  <c r="T206" i="13"/>
  <c r="R206" i="13"/>
  <c r="C206" i="13"/>
  <c r="B206" i="13"/>
  <c r="A206" i="13"/>
  <c r="M206" i="13" s="1"/>
  <c r="X205" i="13"/>
  <c r="T205" i="13"/>
  <c r="R205" i="13"/>
  <c r="C205" i="13"/>
  <c r="B205" i="13"/>
  <c r="A205" i="13"/>
  <c r="X204" i="13"/>
  <c r="T204" i="13"/>
  <c r="R204" i="13"/>
  <c r="C204" i="13"/>
  <c r="B204" i="13"/>
  <c r="A204" i="13"/>
  <c r="O204" i="13" s="1"/>
  <c r="P204" i="13" s="1"/>
  <c r="X203" i="13"/>
  <c r="T203" i="13"/>
  <c r="R203" i="13"/>
  <c r="O203" i="13"/>
  <c r="P203" i="13" s="1"/>
  <c r="C203" i="13"/>
  <c r="B203" i="13"/>
  <c r="A203" i="13"/>
  <c r="X202" i="13"/>
  <c r="T202" i="13"/>
  <c r="R202" i="13"/>
  <c r="C202" i="13"/>
  <c r="B202" i="13"/>
  <c r="A202" i="13"/>
  <c r="M202" i="13" s="1"/>
  <c r="X201" i="13"/>
  <c r="T201" i="13"/>
  <c r="R201" i="13"/>
  <c r="C201" i="13"/>
  <c r="B201" i="13"/>
  <c r="A201" i="13"/>
  <c r="M201" i="13" s="1"/>
  <c r="X200" i="13"/>
  <c r="T200" i="13"/>
  <c r="R200" i="13"/>
  <c r="C200" i="13"/>
  <c r="B200" i="13"/>
  <c r="A200" i="13"/>
  <c r="M200" i="13" s="1"/>
  <c r="X199" i="13"/>
  <c r="T199" i="13"/>
  <c r="R199" i="13"/>
  <c r="C199" i="13"/>
  <c r="B199" i="13"/>
  <c r="A199" i="13"/>
  <c r="M199" i="13" s="1"/>
  <c r="X198" i="13"/>
  <c r="T198" i="13"/>
  <c r="R198" i="13"/>
  <c r="C198" i="13"/>
  <c r="B198" i="13"/>
  <c r="A198" i="13"/>
  <c r="O198" i="13" s="1"/>
  <c r="P198" i="13" s="1"/>
  <c r="X197" i="13"/>
  <c r="T197" i="13"/>
  <c r="R197" i="13"/>
  <c r="C197" i="13"/>
  <c r="B197" i="13"/>
  <c r="A197" i="13"/>
  <c r="M197" i="13" s="1"/>
  <c r="X196" i="13"/>
  <c r="T196" i="13"/>
  <c r="R196" i="13"/>
  <c r="C196" i="13"/>
  <c r="B196" i="13"/>
  <c r="A196" i="13"/>
  <c r="M196" i="13" s="1"/>
  <c r="X195" i="13"/>
  <c r="T195" i="13"/>
  <c r="R195" i="13"/>
  <c r="C195" i="13"/>
  <c r="B195" i="13"/>
  <c r="A195" i="13"/>
  <c r="X194" i="13"/>
  <c r="T194" i="13"/>
  <c r="R194" i="13"/>
  <c r="C194" i="13"/>
  <c r="B194" i="13"/>
  <c r="A194" i="13"/>
  <c r="M194" i="13" s="1"/>
  <c r="X193" i="13"/>
  <c r="T193" i="13"/>
  <c r="R193" i="13"/>
  <c r="C193" i="13"/>
  <c r="B193" i="13"/>
  <c r="A193" i="13"/>
  <c r="X192" i="13"/>
  <c r="T192" i="13"/>
  <c r="R192" i="13"/>
  <c r="O192" i="13"/>
  <c r="P192" i="13" s="1"/>
  <c r="C192" i="13"/>
  <c r="B192" i="13"/>
  <c r="A192" i="13"/>
  <c r="X191" i="13"/>
  <c r="T191" i="13"/>
  <c r="R191" i="13"/>
  <c r="P191" i="13"/>
  <c r="O191" i="13"/>
  <c r="C191" i="13"/>
  <c r="B191" i="13"/>
  <c r="A191" i="13"/>
  <c r="X190" i="13"/>
  <c r="T190" i="13"/>
  <c r="R190" i="13"/>
  <c r="C190" i="13"/>
  <c r="B190" i="13"/>
  <c r="A190" i="13"/>
  <c r="M190" i="13" s="1"/>
  <c r="X189" i="13"/>
  <c r="T189" i="13"/>
  <c r="R189" i="13"/>
  <c r="C189" i="13"/>
  <c r="B189" i="13"/>
  <c r="A189" i="13"/>
  <c r="M189" i="13" s="1"/>
  <c r="X188" i="13"/>
  <c r="T188" i="13"/>
  <c r="R188" i="13"/>
  <c r="C188" i="13"/>
  <c r="B188" i="13"/>
  <c r="A188" i="13"/>
  <c r="M188" i="13" s="1"/>
  <c r="X187" i="13"/>
  <c r="T187" i="13"/>
  <c r="R187" i="13"/>
  <c r="C187" i="13"/>
  <c r="B187" i="13"/>
  <c r="A187" i="13"/>
  <c r="X186" i="13"/>
  <c r="T186" i="13"/>
  <c r="R186" i="13"/>
  <c r="C186" i="13"/>
  <c r="B186" i="13"/>
  <c r="A186" i="13"/>
  <c r="O186" i="13" s="1"/>
  <c r="P186" i="13" s="1"/>
  <c r="X185" i="13"/>
  <c r="T185" i="13"/>
  <c r="R185" i="13"/>
  <c r="C185" i="13"/>
  <c r="B185" i="13"/>
  <c r="A185" i="13"/>
  <c r="O185" i="13" s="1"/>
  <c r="P185" i="13" s="1"/>
  <c r="X184" i="13"/>
  <c r="T184" i="13"/>
  <c r="R184" i="13"/>
  <c r="C184" i="13"/>
  <c r="B184" i="13"/>
  <c r="A184" i="13"/>
  <c r="M184" i="13" s="1"/>
  <c r="X183" i="13"/>
  <c r="T183" i="13"/>
  <c r="R183" i="13"/>
  <c r="O183" i="13"/>
  <c r="P183" i="13" s="1"/>
  <c r="M183" i="13"/>
  <c r="C183" i="13"/>
  <c r="B183" i="13"/>
  <c r="A183" i="13"/>
  <c r="X182" i="13"/>
  <c r="T182" i="13"/>
  <c r="R182" i="13"/>
  <c r="O182" i="13"/>
  <c r="P182" i="13" s="1"/>
  <c r="C182" i="13"/>
  <c r="B182" i="13"/>
  <c r="A182" i="13"/>
  <c r="M182" i="13" s="1"/>
  <c r="X181" i="13"/>
  <c r="T181" i="13"/>
  <c r="R181" i="13"/>
  <c r="C181" i="13"/>
  <c r="B181" i="13"/>
  <c r="A181" i="13"/>
  <c r="M181" i="13" s="1"/>
  <c r="X180" i="13"/>
  <c r="T180" i="13"/>
  <c r="R180" i="13"/>
  <c r="C180" i="13"/>
  <c r="B180" i="13"/>
  <c r="A180" i="13"/>
  <c r="M180" i="13" s="1"/>
  <c r="X179" i="13"/>
  <c r="T179" i="13"/>
  <c r="R179" i="13"/>
  <c r="C179" i="13"/>
  <c r="B179" i="13"/>
  <c r="A179" i="13"/>
  <c r="X178" i="13"/>
  <c r="T178" i="13"/>
  <c r="R178" i="13"/>
  <c r="C178" i="13"/>
  <c r="B178" i="13"/>
  <c r="A178" i="13"/>
  <c r="X177" i="13"/>
  <c r="T177" i="13"/>
  <c r="R177" i="13"/>
  <c r="C177" i="13"/>
  <c r="B177" i="13"/>
  <c r="A177" i="13"/>
  <c r="M177" i="13" s="1"/>
  <c r="X176" i="13"/>
  <c r="T176" i="13"/>
  <c r="R176" i="13"/>
  <c r="C176" i="13"/>
  <c r="B176" i="13"/>
  <c r="A176" i="13"/>
  <c r="M176" i="13" s="1"/>
  <c r="X175" i="13"/>
  <c r="T175" i="13"/>
  <c r="R175" i="13"/>
  <c r="C175" i="13"/>
  <c r="B175" i="13"/>
  <c r="A175" i="13"/>
  <c r="M175" i="13" s="1"/>
  <c r="X174" i="13"/>
  <c r="T174" i="13"/>
  <c r="R174" i="13"/>
  <c r="C174" i="13"/>
  <c r="B174" i="13"/>
  <c r="A174" i="13"/>
  <c r="X173" i="13"/>
  <c r="T173" i="13"/>
  <c r="R173" i="13"/>
  <c r="C173" i="13"/>
  <c r="B173" i="13"/>
  <c r="A173" i="13"/>
  <c r="X172" i="13"/>
  <c r="T172" i="13"/>
  <c r="R172" i="13"/>
  <c r="C172" i="13"/>
  <c r="B172" i="13"/>
  <c r="A172" i="13"/>
  <c r="M172" i="13" s="1"/>
  <c r="X171" i="13"/>
  <c r="T171" i="13"/>
  <c r="R171" i="13"/>
  <c r="M171" i="13"/>
  <c r="C171" i="13"/>
  <c r="B171" i="13"/>
  <c r="A171" i="13"/>
  <c r="X170" i="13"/>
  <c r="T170" i="13"/>
  <c r="R170" i="13"/>
  <c r="C170" i="13"/>
  <c r="B170" i="13"/>
  <c r="A170" i="13"/>
  <c r="M170" i="13" s="1"/>
  <c r="X169" i="13"/>
  <c r="T169" i="13"/>
  <c r="R169" i="13"/>
  <c r="C169" i="13"/>
  <c r="B169" i="13"/>
  <c r="A169" i="13"/>
  <c r="X168" i="13"/>
  <c r="T168" i="13"/>
  <c r="R168" i="13"/>
  <c r="C168" i="13"/>
  <c r="B168" i="13"/>
  <c r="A168" i="13"/>
  <c r="X167" i="13"/>
  <c r="T167" i="13"/>
  <c r="R167" i="13"/>
  <c r="C167" i="13"/>
  <c r="B167" i="13"/>
  <c r="A167" i="13"/>
  <c r="X166" i="13"/>
  <c r="T166" i="13"/>
  <c r="R166" i="13"/>
  <c r="C166" i="13"/>
  <c r="B166" i="13"/>
  <c r="A166" i="13"/>
  <c r="X165" i="13"/>
  <c r="T165" i="13"/>
  <c r="R165" i="13"/>
  <c r="C165" i="13"/>
  <c r="B165" i="13"/>
  <c r="A165" i="13"/>
  <c r="M165" i="13" s="1"/>
  <c r="X164" i="13"/>
  <c r="T164" i="13"/>
  <c r="R164" i="13"/>
  <c r="C164" i="13"/>
  <c r="B164" i="13"/>
  <c r="A164" i="13"/>
  <c r="M164" i="13" s="1"/>
  <c r="X163" i="13"/>
  <c r="T163" i="13"/>
  <c r="R163" i="13"/>
  <c r="C163" i="13"/>
  <c r="B163" i="13"/>
  <c r="A163" i="13"/>
  <c r="X162" i="13"/>
  <c r="T162" i="13"/>
  <c r="R162" i="13"/>
  <c r="C162" i="13"/>
  <c r="B162" i="13"/>
  <c r="A162" i="13"/>
  <c r="M162" i="13" s="1"/>
  <c r="X161" i="13"/>
  <c r="T161" i="13"/>
  <c r="R161" i="13"/>
  <c r="C161" i="13"/>
  <c r="B161" i="13"/>
  <c r="A161" i="13"/>
  <c r="M161" i="13" s="1"/>
  <c r="X160" i="13"/>
  <c r="T160" i="13"/>
  <c r="R160" i="13"/>
  <c r="C160" i="13"/>
  <c r="B160" i="13"/>
  <c r="A160" i="13"/>
  <c r="X159" i="13"/>
  <c r="T159" i="13"/>
  <c r="R159" i="13"/>
  <c r="C159" i="13"/>
  <c r="B159" i="13"/>
  <c r="A159" i="13"/>
  <c r="X158" i="13"/>
  <c r="T158" i="13"/>
  <c r="R158" i="13"/>
  <c r="M158" i="13"/>
  <c r="C158" i="13"/>
  <c r="B158" i="13"/>
  <c r="A158" i="13"/>
  <c r="X157" i="13"/>
  <c r="T157" i="13"/>
  <c r="R157" i="13"/>
  <c r="C157" i="13"/>
  <c r="B157" i="13"/>
  <c r="A157" i="13"/>
  <c r="X156" i="13"/>
  <c r="T156" i="13"/>
  <c r="R156" i="13"/>
  <c r="C156" i="13"/>
  <c r="B156" i="13"/>
  <c r="A156" i="13"/>
  <c r="M156" i="13" s="1"/>
  <c r="X155" i="13"/>
  <c r="T155" i="13"/>
  <c r="R155" i="13"/>
  <c r="C155" i="13"/>
  <c r="B155" i="13"/>
  <c r="A155" i="13"/>
  <c r="M155" i="13" s="1"/>
  <c r="X154" i="13"/>
  <c r="T154" i="13"/>
  <c r="R154" i="13"/>
  <c r="C154" i="13"/>
  <c r="B154" i="13"/>
  <c r="A154" i="13"/>
  <c r="M154" i="13" s="1"/>
  <c r="X153" i="13"/>
  <c r="T153" i="13"/>
  <c r="R153" i="13"/>
  <c r="M153" i="13"/>
  <c r="C153" i="13"/>
  <c r="B153" i="13"/>
  <c r="A153" i="13"/>
  <c r="X152" i="13"/>
  <c r="T152" i="13"/>
  <c r="R152" i="13"/>
  <c r="C152" i="13"/>
  <c r="B152" i="13"/>
  <c r="A152" i="13"/>
  <c r="X151" i="13"/>
  <c r="T151" i="13"/>
  <c r="R151" i="13"/>
  <c r="C151" i="13"/>
  <c r="B151" i="13"/>
  <c r="A151" i="13"/>
  <c r="X150" i="13"/>
  <c r="T150" i="13"/>
  <c r="R150" i="13"/>
  <c r="C150" i="13"/>
  <c r="B150" i="13"/>
  <c r="A150" i="13"/>
  <c r="X149" i="13"/>
  <c r="T149" i="13"/>
  <c r="R149" i="13"/>
  <c r="C149" i="13"/>
  <c r="B149" i="13"/>
  <c r="A149" i="13"/>
  <c r="X148" i="13"/>
  <c r="T148" i="13"/>
  <c r="R148" i="13"/>
  <c r="C148" i="13"/>
  <c r="B148" i="13"/>
  <c r="A148" i="13"/>
  <c r="M148" i="13" s="1"/>
  <c r="X147" i="13"/>
  <c r="T147" i="13"/>
  <c r="R147" i="13"/>
  <c r="C147" i="13"/>
  <c r="B147" i="13"/>
  <c r="A147" i="13"/>
  <c r="M147" i="13" s="1"/>
  <c r="X146" i="13"/>
  <c r="T146" i="13"/>
  <c r="R146" i="13"/>
  <c r="C146" i="13"/>
  <c r="B146" i="13"/>
  <c r="A146" i="13"/>
  <c r="M146" i="13" s="1"/>
  <c r="X145" i="13"/>
  <c r="T145" i="13"/>
  <c r="R145" i="13"/>
  <c r="C145" i="13"/>
  <c r="B145" i="13"/>
  <c r="A145" i="13"/>
  <c r="X144" i="13"/>
  <c r="T144" i="13"/>
  <c r="R144" i="13"/>
  <c r="C144" i="13"/>
  <c r="B144" i="13"/>
  <c r="A144" i="13"/>
  <c r="X143" i="13"/>
  <c r="T143" i="13"/>
  <c r="R143" i="13"/>
  <c r="C143" i="13"/>
  <c r="B143" i="13"/>
  <c r="A143" i="13"/>
  <c r="X142" i="13"/>
  <c r="T142" i="13"/>
  <c r="R142" i="13"/>
  <c r="C142" i="13"/>
  <c r="B142" i="13"/>
  <c r="A142" i="13"/>
  <c r="M142" i="13" s="1"/>
  <c r="X141" i="13"/>
  <c r="T141" i="13"/>
  <c r="R141" i="13"/>
  <c r="C141" i="13"/>
  <c r="B141" i="13"/>
  <c r="A141" i="13"/>
  <c r="M141" i="13" s="1"/>
  <c r="X140" i="13"/>
  <c r="T140" i="13"/>
  <c r="R140" i="13"/>
  <c r="C140" i="13"/>
  <c r="B140" i="13"/>
  <c r="A140" i="13"/>
  <c r="M140" i="13" s="1"/>
  <c r="X139" i="13"/>
  <c r="T139" i="13"/>
  <c r="R139" i="13"/>
  <c r="C139" i="13"/>
  <c r="B139" i="13"/>
  <c r="A139" i="13"/>
  <c r="X138" i="13"/>
  <c r="T138" i="13"/>
  <c r="R138" i="13"/>
  <c r="C138" i="13"/>
  <c r="B138" i="13"/>
  <c r="A138" i="13"/>
  <c r="X137" i="13"/>
  <c r="T137" i="13"/>
  <c r="R137" i="13"/>
  <c r="C137" i="13"/>
  <c r="B137" i="13"/>
  <c r="A137" i="13"/>
  <c r="X136" i="13"/>
  <c r="T136" i="13"/>
  <c r="R136" i="13"/>
  <c r="C136" i="13"/>
  <c r="B136" i="13"/>
  <c r="A136" i="13"/>
  <c r="M136" i="13" s="1"/>
  <c r="X135" i="13"/>
  <c r="T135" i="13"/>
  <c r="R135" i="13"/>
  <c r="C135" i="13"/>
  <c r="B135" i="13"/>
  <c r="A135" i="13"/>
  <c r="M135" i="13" s="1"/>
  <c r="X134" i="13"/>
  <c r="T134" i="13"/>
  <c r="R134" i="13"/>
  <c r="C134" i="13"/>
  <c r="B134" i="13"/>
  <c r="A134" i="13"/>
  <c r="X133" i="13"/>
  <c r="T133" i="13"/>
  <c r="R133" i="13"/>
  <c r="C133" i="13"/>
  <c r="B133" i="13"/>
  <c r="A133" i="13"/>
  <c r="X132" i="13"/>
  <c r="T132" i="13"/>
  <c r="R132" i="13"/>
  <c r="C132" i="13"/>
  <c r="B132" i="13"/>
  <c r="A132" i="13"/>
  <c r="X131" i="13"/>
  <c r="T131" i="13"/>
  <c r="R131" i="13"/>
  <c r="C131" i="13"/>
  <c r="B131" i="13"/>
  <c r="A131" i="13"/>
  <c r="M131" i="13" s="1"/>
  <c r="X130" i="13"/>
  <c r="T130" i="13"/>
  <c r="R130" i="13"/>
  <c r="C130" i="13"/>
  <c r="B130" i="13"/>
  <c r="A130" i="13"/>
  <c r="M130" i="13" s="1"/>
  <c r="X129" i="13"/>
  <c r="T129" i="13"/>
  <c r="R129" i="13"/>
  <c r="C129" i="13"/>
  <c r="B129" i="13"/>
  <c r="A129" i="13"/>
  <c r="M129" i="13" s="1"/>
  <c r="X128" i="13"/>
  <c r="T128" i="13"/>
  <c r="R128" i="13"/>
  <c r="C128" i="13"/>
  <c r="B128" i="13"/>
  <c r="A128" i="13"/>
  <c r="X127" i="13"/>
  <c r="T127" i="13"/>
  <c r="R127" i="13"/>
  <c r="C127" i="13"/>
  <c r="B127" i="13"/>
  <c r="A127" i="13"/>
  <c r="X126" i="13"/>
  <c r="T126" i="13"/>
  <c r="R126" i="13"/>
  <c r="C126" i="13"/>
  <c r="B126" i="13"/>
  <c r="A126" i="13"/>
  <c r="X125" i="13"/>
  <c r="T125" i="13"/>
  <c r="R125" i="13"/>
  <c r="C125" i="13"/>
  <c r="B125" i="13"/>
  <c r="A125" i="13"/>
  <c r="M125" i="13" s="1"/>
  <c r="X124" i="13"/>
  <c r="T124" i="13"/>
  <c r="R124" i="13"/>
  <c r="C124" i="13"/>
  <c r="B124" i="13"/>
  <c r="A124" i="13"/>
  <c r="M124" i="13" s="1"/>
  <c r="X123" i="13"/>
  <c r="T123" i="13"/>
  <c r="R123" i="13"/>
  <c r="C123" i="13"/>
  <c r="B123" i="13"/>
  <c r="A123" i="13"/>
  <c r="M123" i="13" s="1"/>
  <c r="X122" i="13"/>
  <c r="T122" i="13"/>
  <c r="R122" i="13"/>
  <c r="M122" i="13"/>
  <c r="C122" i="13"/>
  <c r="B122" i="13"/>
  <c r="A122" i="13"/>
  <c r="X121" i="13"/>
  <c r="T121" i="13"/>
  <c r="R121" i="13"/>
  <c r="C121" i="13"/>
  <c r="B121" i="13"/>
  <c r="A121" i="13"/>
  <c r="X120" i="13"/>
  <c r="T120" i="13"/>
  <c r="R120" i="13"/>
  <c r="C120" i="13"/>
  <c r="B120" i="13"/>
  <c r="A120" i="13"/>
  <c r="X119" i="13"/>
  <c r="T119" i="13"/>
  <c r="R119" i="13"/>
  <c r="M119" i="13"/>
  <c r="C119" i="13"/>
  <c r="B119" i="13"/>
  <c r="A119" i="13"/>
  <c r="X118" i="13"/>
  <c r="T118" i="13"/>
  <c r="R118" i="13"/>
  <c r="C118" i="13"/>
  <c r="B118" i="13"/>
  <c r="A118" i="13"/>
  <c r="M118" i="13" s="1"/>
  <c r="X117" i="13"/>
  <c r="T117" i="13"/>
  <c r="R117" i="13"/>
  <c r="C117" i="13"/>
  <c r="B117" i="13"/>
  <c r="A117" i="13"/>
  <c r="M117" i="13" s="1"/>
  <c r="X116" i="13"/>
  <c r="T116" i="13"/>
  <c r="R116" i="13"/>
  <c r="M116" i="13"/>
  <c r="C116" i="13"/>
  <c r="B116" i="13"/>
  <c r="A116" i="13"/>
  <c r="X115" i="13"/>
  <c r="T115" i="13"/>
  <c r="R115" i="13"/>
  <c r="C115" i="13"/>
  <c r="B115" i="13"/>
  <c r="A115" i="13"/>
  <c r="M115" i="13" s="1"/>
  <c r="X114" i="13"/>
  <c r="T114" i="13"/>
  <c r="R114" i="13"/>
  <c r="C114" i="13"/>
  <c r="B114" i="13"/>
  <c r="A114" i="13"/>
  <c r="X113" i="13"/>
  <c r="T113" i="13"/>
  <c r="R113" i="13"/>
  <c r="C113" i="13"/>
  <c r="B113" i="13"/>
  <c r="A113" i="13"/>
  <c r="M113" i="13" s="1"/>
  <c r="X112" i="13"/>
  <c r="T112" i="13"/>
  <c r="R112" i="13"/>
  <c r="M112" i="13"/>
  <c r="C112" i="13"/>
  <c r="B112" i="13"/>
  <c r="A112" i="13"/>
  <c r="X111" i="13"/>
  <c r="T111" i="13"/>
  <c r="R111" i="13"/>
  <c r="C111" i="13"/>
  <c r="B111" i="13"/>
  <c r="A111" i="13"/>
  <c r="M111" i="13" s="1"/>
  <c r="X110" i="13"/>
  <c r="T110" i="13"/>
  <c r="R110" i="13"/>
  <c r="C110" i="13"/>
  <c r="B110" i="13"/>
  <c r="A110" i="13"/>
  <c r="M110" i="13" s="1"/>
  <c r="X109" i="13"/>
  <c r="T109" i="13"/>
  <c r="R109" i="13"/>
  <c r="C109" i="13"/>
  <c r="B109" i="13"/>
  <c r="A109" i="13"/>
  <c r="X108" i="13"/>
  <c r="T108" i="13"/>
  <c r="R108" i="13"/>
  <c r="C108" i="13"/>
  <c r="B108" i="13"/>
  <c r="A108" i="13"/>
  <c r="X107" i="13"/>
  <c r="T107" i="13"/>
  <c r="R107" i="13"/>
  <c r="C107" i="13"/>
  <c r="B107" i="13"/>
  <c r="A107" i="13"/>
  <c r="M107" i="13" s="1"/>
  <c r="X106" i="13"/>
  <c r="T106" i="13"/>
  <c r="R106" i="13"/>
  <c r="C106" i="13"/>
  <c r="B106" i="13"/>
  <c r="A106" i="13"/>
  <c r="M106" i="13" s="1"/>
  <c r="X105" i="13"/>
  <c r="T105" i="13"/>
  <c r="R105" i="13"/>
  <c r="C105" i="13"/>
  <c r="B105" i="13"/>
  <c r="A105" i="13"/>
  <c r="M105" i="13" s="1"/>
  <c r="X104" i="13"/>
  <c r="T104" i="13"/>
  <c r="R104" i="13"/>
  <c r="C104" i="13"/>
  <c r="B104" i="13"/>
  <c r="A104" i="13"/>
  <c r="M104" i="13" s="1"/>
  <c r="X103" i="13"/>
  <c r="T103" i="13"/>
  <c r="R103" i="13"/>
  <c r="C103" i="13"/>
  <c r="B103" i="13"/>
  <c r="A103" i="13"/>
  <c r="M103" i="13" s="1"/>
  <c r="X102" i="13"/>
  <c r="T102" i="13"/>
  <c r="R102" i="13"/>
  <c r="C102" i="13"/>
  <c r="B102" i="13"/>
  <c r="A102" i="13"/>
  <c r="X101" i="13"/>
  <c r="T101" i="13"/>
  <c r="R101" i="13"/>
  <c r="C101" i="13"/>
  <c r="B101" i="13"/>
  <c r="A101" i="13"/>
  <c r="X100" i="13"/>
  <c r="T100" i="13"/>
  <c r="R100" i="13"/>
  <c r="C100" i="13"/>
  <c r="B100" i="13"/>
  <c r="A100" i="13"/>
  <c r="X99" i="13"/>
  <c r="T99" i="13"/>
  <c r="R99" i="13"/>
  <c r="C99" i="13"/>
  <c r="B99" i="13"/>
  <c r="A99" i="13"/>
  <c r="M99" i="13" s="1"/>
  <c r="X98" i="13"/>
  <c r="T98" i="13"/>
  <c r="R98" i="13"/>
  <c r="C98" i="13"/>
  <c r="B98" i="13"/>
  <c r="A98" i="13"/>
  <c r="M98" i="13" s="1"/>
  <c r="X97" i="13"/>
  <c r="T97" i="13"/>
  <c r="R97" i="13"/>
  <c r="M97" i="13"/>
  <c r="C97" i="13"/>
  <c r="B97" i="13"/>
  <c r="A97" i="13"/>
  <c r="X96" i="13"/>
  <c r="T96" i="13"/>
  <c r="R96" i="13"/>
  <c r="C96" i="13"/>
  <c r="B96" i="13"/>
  <c r="A96" i="13"/>
  <c r="X95" i="13"/>
  <c r="T95" i="13"/>
  <c r="R95" i="13"/>
  <c r="C95" i="13"/>
  <c r="B95" i="13"/>
  <c r="A95" i="13"/>
  <c r="M95" i="13" s="1"/>
  <c r="X94" i="13"/>
  <c r="T94" i="13"/>
  <c r="R94" i="13"/>
  <c r="C94" i="13"/>
  <c r="B94" i="13"/>
  <c r="A94" i="13"/>
  <c r="X93" i="13"/>
  <c r="T93" i="13"/>
  <c r="R93" i="13"/>
  <c r="C93" i="13"/>
  <c r="B93" i="13"/>
  <c r="A93" i="13"/>
  <c r="M93" i="13" s="1"/>
  <c r="X92" i="13"/>
  <c r="T92" i="13"/>
  <c r="R92" i="13"/>
  <c r="C92" i="13"/>
  <c r="B92" i="13"/>
  <c r="A92" i="13"/>
  <c r="X91" i="13"/>
  <c r="T91" i="13"/>
  <c r="R91" i="13"/>
  <c r="C91" i="13"/>
  <c r="B91" i="13"/>
  <c r="A91" i="13"/>
  <c r="M91" i="13" s="1"/>
  <c r="X90" i="13"/>
  <c r="T90" i="13"/>
  <c r="R90" i="13"/>
  <c r="C90" i="13"/>
  <c r="B90" i="13"/>
  <c r="A90" i="13"/>
  <c r="X89" i="13"/>
  <c r="T89" i="13"/>
  <c r="R89" i="13"/>
  <c r="C89" i="13"/>
  <c r="B89" i="13"/>
  <c r="A89" i="13"/>
  <c r="X88" i="13"/>
  <c r="T88" i="13"/>
  <c r="R88" i="13"/>
  <c r="C88" i="13"/>
  <c r="B88" i="13"/>
  <c r="A88" i="13"/>
  <c r="M88" i="13" s="1"/>
  <c r="X87" i="13"/>
  <c r="T87" i="13"/>
  <c r="R87" i="13"/>
  <c r="C87" i="13"/>
  <c r="B87" i="13"/>
  <c r="A87" i="13"/>
  <c r="X86" i="13"/>
  <c r="T86" i="13"/>
  <c r="R86" i="13"/>
  <c r="C86" i="13"/>
  <c r="B86" i="13"/>
  <c r="A86" i="13"/>
  <c r="M86" i="13" s="1"/>
  <c r="X85" i="13"/>
  <c r="T85" i="13"/>
  <c r="R85" i="13"/>
  <c r="C85" i="13"/>
  <c r="B85" i="13"/>
  <c r="A85" i="13"/>
  <c r="M85" i="13" s="1"/>
  <c r="X84" i="13"/>
  <c r="T84" i="13"/>
  <c r="R84" i="13"/>
  <c r="C84" i="13"/>
  <c r="B84" i="13"/>
  <c r="A84" i="13"/>
  <c r="X83" i="13"/>
  <c r="T83" i="13"/>
  <c r="R83" i="13"/>
  <c r="C83" i="13"/>
  <c r="B83" i="13"/>
  <c r="A83" i="13"/>
  <c r="M83" i="13" s="1"/>
  <c r="X82" i="13"/>
  <c r="T82" i="13"/>
  <c r="R82" i="13"/>
  <c r="C82" i="13"/>
  <c r="B82" i="13"/>
  <c r="A82" i="13"/>
  <c r="M82" i="13" s="1"/>
  <c r="X81" i="13"/>
  <c r="T81" i="13"/>
  <c r="R81" i="13"/>
  <c r="C81" i="13"/>
  <c r="B81" i="13"/>
  <c r="A81" i="13"/>
  <c r="X80" i="13"/>
  <c r="T80" i="13"/>
  <c r="R80" i="13"/>
  <c r="C80" i="13"/>
  <c r="B80" i="13"/>
  <c r="A80" i="13"/>
  <c r="M80" i="13" s="1"/>
  <c r="X79" i="13"/>
  <c r="T79" i="13"/>
  <c r="R79" i="13"/>
  <c r="C79" i="13"/>
  <c r="B79" i="13"/>
  <c r="A79" i="13"/>
  <c r="M79" i="13" s="1"/>
  <c r="X78" i="13"/>
  <c r="T78" i="13"/>
  <c r="R78" i="13"/>
  <c r="C78" i="13"/>
  <c r="B78" i="13"/>
  <c r="A78" i="13"/>
  <c r="X77" i="13"/>
  <c r="T77" i="13"/>
  <c r="R77" i="13"/>
  <c r="C77" i="13"/>
  <c r="B77" i="13"/>
  <c r="A77" i="13"/>
  <c r="M77" i="13" s="1"/>
  <c r="X76" i="13"/>
  <c r="T76" i="13"/>
  <c r="R76" i="13"/>
  <c r="C76" i="13"/>
  <c r="B76" i="13"/>
  <c r="A76" i="13"/>
  <c r="X75" i="13"/>
  <c r="T75" i="13"/>
  <c r="R75" i="13"/>
  <c r="C75" i="13"/>
  <c r="B75" i="13"/>
  <c r="A75" i="13"/>
  <c r="X74" i="13"/>
  <c r="T74" i="13"/>
  <c r="R74" i="13"/>
  <c r="M74" i="13"/>
  <c r="C74" i="13"/>
  <c r="B74" i="13"/>
  <c r="A74" i="13"/>
  <c r="X73" i="13"/>
  <c r="T73" i="13"/>
  <c r="R73" i="13"/>
  <c r="C73" i="13"/>
  <c r="B73" i="13"/>
  <c r="A73" i="13"/>
  <c r="M73" i="13" s="1"/>
  <c r="X72" i="13"/>
  <c r="T72" i="13"/>
  <c r="R72" i="13"/>
  <c r="C72" i="13"/>
  <c r="B72" i="13"/>
  <c r="A72" i="13"/>
  <c r="X71" i="13"/>
  <c r="T71" i="13"/>
  <c r="R71" i="13"/>
  <c r="C71" i="13"/>
  <c r="B71" i="13"/>
  <c r="A71" i="13"/>
  <c r="X70" i="13"/>
  <c r="T70" i="13"/>
  <c r="R70" i="13"/>
  <c r="C70" i="13"/>
  <c r="B70" i="13"/>
  <c r="A70" i="13"/>
  <c r="M70" i="13" s="1"/>
  <c r="X69" i="13"/>
  <c r="T69" i="13"/>
  <c r="R69" i="13"/>
  <c r="C69" i="13"/>
  <c r="B69" i="13"/>
  <c r="A69" i="13"/>
  <c r="X68" i="13"/>
  <c r="T68" i="13"/>
  <c r="R68" i="13"/>
  <c r="C68" i="13"/>
  <c r="B68" i="13"/>
  <c r="A68" i="13"/>
  <c r="X67" i="13"/>
  <c r="T67" i="13"/>
  <c r="R67" i="13"/>
  <c r="C67" i="13"/>
  <c r="B67" i="13"/>
  <c r="A67" i="13"/>
  <c r="M67" i="13" s="1"/>
  <c r="X66" i="13"/>
  <c r="T66" i="13"/>
  <c r="R66" i="13"/>
  <c r="C66" i="13"/>
  <c r="B66" i="13"/>
  <c r="A66" i="13"/>
  <c r="X65" i="13"/>
  <c r="T65" i="13"/>
  <c r="R65" i="13"/>
  <c r="C65" i="13"/>
  <c r="B65" i="13"/>
  <c r="A65" i="13"/>
  <c r="M65" i="13" s="1"/>
  <c r="X64" i="13"/>
  <c r="T64" i="13"/>
  <c r="R64" i="13"/>
  <c r="C64" i="13"/>
  <c r="B64" i="13"/>
  <c r="A64" i="13"/>
  <c r="M64" i="13" s="1"/>
  <c r="X63" i="13"/>
  <c r="T63" i="13"/>
  <c r="R63" i="13"/>
  <c r="C63" i="13"/>
  <c r="B63" i="13"/>
  <c r="A63" i="13"/>
  <c r="X62" i="13"/>
  <c r="T62" i="13"/>
  <c r="R62" i="13"/>
  <c r="C62" i="13"/>
  <c r="B62" i="13"/>
  <c r="A62" i="13"/>
  <c r="M62" i="13" s="1"/>
  <c r="X61" i="13"/>
  <c r="T61" i="13"/>
  <c r="R61" i="13"/>
  <c r="C61" i="13"/>
  <c r="B61" i="13"/>
  <c r="A61" i="13"/>
  <c r="M61" i="13" s="1"/>
  <c r="X60" i="13"/>
  <c r="T60" i="13"/>
  <c r="R60" i="13"/>
  <c r="C60" i="13"/>
  <c r="B60" i="13"/>
  <c r="A60" i="13"/>
  <c r="X59" i="13"/>
  <c r="T59" i="13"/>
  <c r="R59" i="13"/>
  <c r="C59" i="13"/>
  <c r="B59" i="13"/>
  <c r="A59" i="13"/>
  <c r="X58" i="13"/>
  <c r="T58" i="13"/>
  <c r="R58" i="13"/>
  <c r="C58" i="13"/>
  <c r="B58" i="13"/>
  <c r="A58" i="13"/>
  <c r="M58" i="13" s="1"/>
  <c r="X57" i="13"/>
  <c r="T57" i="13"/>
  <c r="R57" i="13"/>
  <c r="C57" i="13"/>
  <c r="B57" i="13"/>
  <c r="A57" i="13"/>
  <c r="X56" i="13"/>
  <c r="T56" i="13"/>
  <c r="R56" i="13"/>
  <c r="C56" i="13"/>
  <c r="B56" i="13"/>
  <c r="A56" i="13"/>
  <c r="X55" i="13"/>
  <c r="T55" i="13"/>
  <c r="R55" i="13"/>
  <c r="C55" i="13"/>
  <c r="B55" i="13"/>
  <c r="A55" i="13"/>
  <c r="M55" i="13" s="1"/>
  <c r="X54" i="13"/>
  <c r="T54" i="13"/>
  <c r="R54" i="13"/>
  <c r="C54" i="13"/>
  <c r="B54" i="13"/>
  <c r="A54" i="13"/>
  <c r="X53" i="13"/>
  <c r="T53" i="13"/>
  <c r="R53" i="13"/>
  <c r="C53" i="13"/>
  <c r="B53" i="13"/>
  <c r="A53" i="13"/>
  <c r="X52" i="13"/>
  <c r="T52" i="13"/>
  <c r="R52" i="13"/>
  <c r="C52" i="13"/>
  <c r="B52" i="13"/>
  <c r="A52" i="13"/>
  <c r="M52" i="13" s="1"/>
  <c r="X51" i="13"/>
  <c r="T51" i="13"/>
  <c r="R51" i="13"/>
  <c r="M51" i="13"/>
  <c r="C51" i="13"/>
  <c r="B51" i="13"/>
  <c r="A51" i="13"/>
  <c r="X50" i="13"/>
  <c r="T50" i="13"/>
  <c r="R50" i="13"/>
  <c r="C50" i="13"/>
  <c r="B50" i="13"/>
  <c r="A50" i="13"/>
  <c r="X49" i="13"/>
  <c r="T49" i="13"/>
  <c r="R49" i="13"/>
  <c r="C49" i="13"/>
  <c r="B49" i="13"/>
  <c r="A49" i="13"/>
  <c r="X48" i="13"/>
  <c r="T48" i="13"/>
  <c r="R48" i="13"/>
  <c r="C48" i="13"/>
  <c r="B48" i="13"/>
  <c r="A48" i="13"/>
  <c r="X47" i="13"/>
  <c r="T47" i="13"/>
  <c r="R47" i="13"/>
  <c r="C47" i="13"/>
  <c r="B47" i="13"/>
  <c r="A47" i="13"/>
  <c r="M47" i="13" s="1"/>
  <c r="X46" i="13"/>
  <c r="T46" i="13"/>
  <c r="R46" i="13"/>
  <c r="C46" i="13"/>
  <c r="B46" i="13"/>
  <c r="A46" i="13"/>
  <c r="M46" i="13" s="1"/>
  <c r="X45" i="13"/>
  <c r="T45" i="13"/>
  <c r="R45" i="13"/>
  <c r="C45" i="13"/>
  <c r="B45" i="13"/>
  <c r="A45" i="13"/>
  <c r="X44" i="13"/>
  <c r="T44" i="13"/>
  <c r="R44" i="13"/>
  <c r="C44" i="13"/>
  <c r="B44" i="13"/>
  <c r="A44" i="13"/>
  <c r="M44" i="13" s="1"/>
  <c r="X43" i="13"/>
  <c r="T43" i="13"/>
  <c r="R43" i="13"/>
  <c r="C43" i="13"/>
  <c r="B43" i="13"/>
  <c r="A43" i="13"/>
  <c r="X42" i="13"/>
  <c r="T42" i="13"/>
  <c r="R42" i="13"/>
  <c r="C42" i="13"/>
  <c r="B42" i="13"/>
  <c r="A42" i="13"/>
  <c r="X41" i="13"/>
  <c r="T41" i="13"/>
  <c r="R41" i="13"/>
  <c r="C41" i="13"/>
  <c r="B41" i="13"/>
  <c r="A41" i="13"/>
  <c r="X40" i="13"/>
  <c r="T40" i="13"/>
  <c r="R40" i="13"/>
  <c r="C40" i="13"/>
  <c r="B40" i="13"/>
  <c r="A40" i="13"/>
  <c r="M40" i="13" s="1"/>
  <c r="X39" i="13"/>
  <c r="T39" i="13"/>
  <c r="R39" i="13"/>
  <c r="C39" i="13"/>
  <c r="B39" i="13"/>
  <c r="A39" i="13"/>
  <c r="X38" i="13"/>
  <c r="T38" i="13"/>
  <c r="R38" i="13"/>
  <c r="C38" i="13"/>
  <c r="B38" i="13"/>
  <c r="A38" i="13"/>
  <c r="M38" i="13" s="1"/>
  <c r="X37" i="13"/>
  <c r="T37" i="13"/>
  <c r="R37" i="13"/>
  <c r="C37" i="13"/>
  <c r="B37" i="13"/>
  <c r="A37" i="13"/>
  <c r="X36" i="13"/>
  <c r="T36" i="13"/>
  <c r="R36" i="13"/>
  <c r="C36" i="13"/>
  <c r="B36" i="13"/>
  <c r="A36" i="13"/>
  <c r="X35" i="13"/>
  <c r="T35" i="13"/>
  <c r="R35" i="13"/>
  <c r="C35" i="13"/>
  <c r="B35" i="13"/>
  <c r="A35" i="13"/>
  <c r="M35" i="13" s="1"/>
  <c r="X34" i="13"/>
  <c r="T34" i="13"/>
  <c r="R34" i="13"/>
  <c r="C34" i="13"/>
  <c r="B34" i="13"/>
  <c r="A34" i="13"/>
  <c r="M34" i="13" s="1"/>
  <c r="X33" i="13"/>
  <c r="T33" i="13"/>
  <c r="R33" i="13"/>
  <c r="C33" i="13"/>
  <c r="B33" i="13"/>
  <c r="A33" i="13"/>
  <c r="X32" i="13"/>
  <c r="T32" i="13"/>
  <c r="R32" i="13"/>
  <c r="C32" i="13"/>
  <c r="B32" i="13"/>
  <c r="A32" i="13"/>
  <c r="M32" i="13" s="1"/>
  <c r="X31" i="13"/>
  <c r="T31" i="13"/>
  <c r="R31" i="13"/>
  <c r="C31" i="13"/>
  <c r="B31" i="13"/>
  <c r="A31" i="13"/>
  <c r="X30" i="13"/>
  <c r="T30" i="13"/>
  <c r="R30" i="13"/>
  <c r="C30" i="13"/>
  <c r="B30" i="13"/>
  <c r="A30" i="13"/>
  <c r="X29" i="13"/>
  <c r="T29" i="13"/>
  <c r="R29" i="13"/>
  <c r="C29" i="13"/>
  <c r="B29" i="13"/>
  <c r="A29" i="13"/>
  <c r="X28" i="13"/>
  <c r="T28" i="13"/>
  <c r="R28" i="13"/>
  <c r="C28" i="13"/>
  <c r="B28" i="13"/>
  <c r="A28" i="13"/>
  <c r="M28" i="13" s="1"/>
  <c r="X27" i="13"/>
  <c r="T27" i="13"/>
  <c r="R27" i="13"/>
  <c r="C27" i="13"/>
  <c r="B27" i="13"/>
  <c r="A27" i="13"/>
  <c r="X26" i="13"/>
  <c r="T26" i="13"/>
  <c r="R26" i="13"/>
  <c r="C26" i="13"/>
  <c r="B26" i="13"/>
  <c r="A26" i="13"/>
  <c r="M26" i="13" s="1"/>
  <c r="X25" i="13"/>
  <c r="T25" i="13"/>
  <c r="R25" i="13"/>
  <c r="C25" i="13"/>
  <c r="B25" i="13"/>
  <c r="A25" i="13"/>
  <c r="M25" i="13" s="1"/>
  <c r="X24" i="13"/>
  <c r="T24" i="13"/>
  <c r="R24" i="13"/>
  <c r="C24" i="13"/>
  <c r="B24" i="13"/>
  <c r="A24" i="13"/>
  <c r="X23" i="13"/>
  <c r="T23" i="13"/>
  <c r="R23" i="13"/>
  <c r="C23" i="13"/>
  <c r="B23" i="13"/>
  <c r="A23" i="13"/>
  <c r="M23" i="13" s="1"/>
  <c r="X22" i="13"/>
  <c r="T22" i="13"/>
  <c r="R22" i="13"/>
  <c r="C22" i="13"/>
  <c r="B22" i="13"/>
  <c r="A22" i="13"/>
  <c r="M22" i="13" s="1"/>
  <c r="X21" i="13"/>
  <c r="T21" i="13"/>
  <c r="R21" i="13"/>
  <c r="C21" i="13"/>
  <c r="B21" i="13"/>
  <c r="A21" i="13"/>
  <c r="M21" i="13" s="1"/>
  <c r="X20" i="13"/>
  <c r="T20" i="13"/>
  <c r="R20" i="13"/>
  <c r="C20" i="13"/>
  <c r="B20" i="13"/>
  <c r="A20" i="13"/>
  <c r="M20" i="13" s="1"/>
  <c r="X19" i="13"/>
  <c r="T19" i="13"/>
  <c r="R19" i="13"/>
  <c r="C19" i="13"/>
  <c r="B19" i="13"/>
  <c r="A19" i="13"/>
  <c r="M19" i="13" s="1"/>
  <c r="X18" i="13"/>
  <c r="T18" i="13"/>
  <c r="R18" i="13"/>
  <c r="C18" i="13"/>
  <c r="B18" i="13"/>
  <c r="A18" i="13"/>
  <c r="X17" i="13"/>
  <c r="T17" i="13"/>
  <c r="R17" i="13"/>
  <c r="C17" i="13"/>
  <c r="B17" i="13"/>
  <c r="A17" i="13"/>
  <c r="X16" i="13"/>
  <c r="T16" i="13"/>
  <c r="R16" i="13"/>
  <c r="C16" i="13"/>
  <c r="B16" i="13"/>
  <c r="A16" i="13"/>
  <c r="M16" i="13" s="1"/>
  <c r="X15" i="13"/>
  <c r="T15" i="13"/>
  <c r="R15" i="13"/>
  <c r="C15" i="13"/>
  <c r="B15" i="13"/>
  <c r="A15" i="13"/>
  <c r="X14" i="13"/>
  <c r="T14" i="13"/>
  <c r="R14" i="13"/>
  <c r="C14" i="13"/>
  <c r="B14" i="13"/>
  <c r="A14" i="13"/>
  <c r="M14" i="13" s="1"/>
  <c r="X13" i="13"/>
  <c r="T13" i="13"/>
  <c r="R13" i="13"/>
  <c r="C13" i="13"/>
  <c r="B13" i="13"/>
  <c r="A13" i="13"/>
  <c r="X12" i="13"/>
  <c r="T12" i="13"/>
  <c r="R12" i="13"/>
  <c r="C12" i="13"/>
  <c r="B12" i="13"/>
  <c r="A12" i="13"/>
  <c r="X11" i="13"/>
  <c r="T11" i="13"/>
  <c r="R11" i="13"/>
  <c r="C11" i="13"/>
  <c r="B11" i="13"/>
  <c r="A11" i="13"/>
  <c r="X10" i="13"/>
  <c r="T10" i="13"/>
  <c r="R10" i="13"/>
  <c r="C10" i="13"/>
  <c r="B10" i="13"/>
  <c r="A10" i="13"/>
  <c r="M10" i="13" s="1"/>
  <c r="X9" i="13"/>
  <c r="T9" i="13"/>
  <c r="R9" i="13"/>
  <c r="C9" i="13"/>
  <c r="B9" i="13"/>
  <c r="A9" i="13"/>
  <c r="X8" i="13"/>
  <c r="T8" i="13"/>
  <c r="R8" i="13"/>
  <c r="C8" i="13"/>
  <c r="B8" i="13"/>
  <c r="A8" i="13"/>
  <c r="M8" i="13" s="1"/>
  <c r="X7" i="13"/>
  <c r="T7" i="13"/>
  <c r="R7" i="13"/>
  <c r="C7" i="13"/>
  <c r="B7" i="13"/>
  <c r="A7" i="13"/>
  <c r="M7" i="13" s="1"/>
  <c r="X6" i="13"/>
  <c r="T6" i="13"/>
  <c r="R6" i="13"/>
  <c r="C6" i="13"/>
  <c r="B6" i="13"/>
  <c r="A6" i="13"/>
  <c r="X5" i="13"/>
  <c r="T5" i="13"/>
  <c r="R5" i="13"/>
  <c r="C5" i="13"/>
  <c r="B5" i="13"/>
  <c r="A5" i="13"/>
  <c r="X4" i="13"/>
  <c r="T4" i="13"/>
  <c r="R4" i="13"/>
  <c r="C4" i="13"/>
  <c r="B4" i="13"/>
  <c r="A4" i="13"/>
  <c r="M4" i="13" s="1"/>
  <c r="X3" i="13"/>
  <c r="T3" i="13"/>
  <c r="R3" i="13"/>
  <c r="C3" i="13"/>
  <c r="B3" i="13"/>
  <c r="A3" i="13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4" i="12"/>
  <c r="A3" i="12"/>
  <c r="A14" i="11"/>
  <c r="A13" i="11"/>
  <c r="A12" i="11"/>
  <c r="A11" i="11"/>
  <c r="A10" i="11"/>
  <c r="A9" i="11"/>
  <c r="A8" i="11"/>
  <c r="A7" i="11"/>
  <c r="A6" i="11"/>
  <c r="A5" i="11"/>
  <c r="A4" i="11"/>
  <c r="A3" i="11"/>
  <c r="A29" i="10"/>
  <c r="A28" i="10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A6" i="10"/>
  <c r="A5" i="10"/>
  <c r="A4" i="10"/>
  <c r="A3" i="10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02" i="6"/>
  <c r="A201" i="6"/>
  <c r="A200" i="6"/>
  <c r="A199" i="6"/>
  <c r="A198" i="6"/>
  <c r="A197" i="6"/>
  <c r="A196" i="6"/>
  <c r="A195" i="6"/>
  <c r="A194" i="6"/>
  <c r="A193" i="6"/>
  <c r="A192" i="6"/>
  <c r="A191" i="6"/>
  <c r="A190" i="6"/>
  <c r="A189" i="6"/>
  <c r="A188" i="6"/>
  <c r="A187" i="6"/>
  <c r="A186" i="6"/>
  <c r="A185" i="6"/>
  <c r="A184" i="6"/>
  <c r="A183" i="6"/>
  <c r="A182" i="6"/>
  <c r="A181" i="6"/>
  <c r="A180" i="6"/>
  <c r="A179" i="6"/>
  <c r="A178" i="6"/>
  <c r="A177" i="6"/>
  <c r="A176" i="6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A160" i="6"/>
  <c r="A159" i="6"/>
  <c r="A158" i="6"/>
  <c r="A157" i="6"/>
  <c r="A156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G225" i="3"/>
  <c r="D225" i="13" s="1"/>
  <c r="C225" i="3"/>
  <c r="B225" i="3"/>
  <c r="A225" i="3"/>
  <c r="G224" i="3"/>
  <c r="D224" i="13" s="1"/>
  <c r="C224" i="3"/>
  <c r="B224" i="3"/>
  <c r="A224" i="3"/>
  <c r="G223" i="3"/>
  <c r="D223" i="13" s="1"/>
  <c r="E223" i="13" s="1"/>
  <c r="C223" i="3"/>
  <c r="B223" i="3"/>
  <c r="A223" i="3"/>
  <c r="G222" i="3"/>
  <c r="D222" i="13" s="1"/>
  <c r="C222" i="3"/>
  <c r="B222" i="3"/>
  <c r="A222" i="3"/>
  <c r="G221" i="3"/>
  <c r="D221" i="13" s="1"/>
  <c r="C221" i="3"/>
  <c r="B221" i="3"/>
  <c r="A221" i="3"/>
  <c r="G220" i="3"/>
  <c r="D220" i="13" s="1"/>
  <c r="E220" i="13" s="1"/>
  <c r="C220" i="3"/>
  <c r="B220" i="3"/>
  <c r="A220" i="3"/>
  <c r="G219" i="3"/>
  <c r="D219" i="13" s="1"/>
  <c r="C219" i="3"/>
  <c r="B219" i="3"/>
  <c r="A219" i="3"/>
  <c r="G218" i="3"/>
  <c r="D218" i="13" s="1"/>
  <c r="E218" i="13" s="1"/>
  <c r="C218" i="3"/>
  <c r="B218" i="3"/>
  <c r="A218" i="3"/>
  <c r="G217" i="3"/>
  <c r="D217" i="13" s="1"/>
  <c r="E217" i="13" s="1"/>
  <c r="C217" i="3"/>
  <c r="B217" i="3"/>
  <c r="A217" i="3"/>
  <c r="G216" i="3"/>
  <c r="D216" i="13" s="1"/>
  <c r="C216" i="3"/>
  <c r="B216" i="3"/>
  <c r="A216" i="3"/>
  <c r="G215" i="3"/>
  <c r="D215" i="13" s="1"/>
  <c r="E215" i="13" s="1"/>
  <c r="C215" i="3"/>
  <c r="B215" i="3"/>
  <c r="A215" i="3"/>
  <c r="G214" i="3"/>
  <c r="D214" i="13" s="1"/>
  <c r="E214" i="13" s="1"/>
  <c r="C214" i="3"/>
  <c r="B214" i="3"/>
  <c r="A214" i="3"/>
  <c r="G213" i="3"/>
  <c r="D213" i="13" s="1"/>
  <c r="C213" i="3"/>
  <c r="B213" i="3"/>
  <c r="A213" i="3"/>
  <c r="G212" i="3"/>
  <c r="D212" i="13" s="1"/>
  <c r="E212" i="13" s="1"/>
  <c r="C212" i="3"/>
  <c r="B212" i="3"/>
  <c r="A212" i="3"/>
  <c r="G211" i="3"/>
  <c r="D211" i="13" s="1"/>
  <c r="E211" i="13" s="1"/>
  <c r="C211" i="3"/>
  <c r="B211" i="3"/>
  <c r="A211" i="3"/>
  <c r="G210" i="3"/>
  <c r="D210" i="13" s="1"/>
  <c r="C210" i="3"/>
  <c r="B210" i="3"/>
  <c r="A210" i="3"/>
  <c r="G209" i="3"/>
  <c r="D209" i="13" s="1"/>
  <c r="E209" i="13" s="1"/>
  <c r="C209" i="3"/>
  <c r="B209" i="3"/>
  <c r="A209" i="3"/>
  <c r="G208" i="3"/>
  <c r="D208" i="13" s="1"/>
  <c r="E208" i="13" s="1"/>
  <c r="C208" i="3"/>
  <c r="B208" i="3"/>
  <c r="A208" i="3"/>
  <c r="G207" i="3"/>
  <c r="D207" i="13" s="1"/>
  <c r="C207" i="3"/>
  <c r="B207" i="3"/>
  <c r="A207" i="3"/>
  <c r="G206" i="3"/>
  <c r="D206" i="13" s="1"/>
  <c r="C206" i="3"/>
  <c r="B206" i="3"/>
  <c r="A206" i="3"/>
  <c r="G205" i="3"/>
  <c r="D205" i="13" s="1"/>
  <c r="E205" i="13" s="1"/>
  <c r="C205" i="3"/>
  <c r="B205" i="3"/>
  <c r="A205" i="3"/>
  <c r="G204" i="3"/>
  <c r="D204" i="13" s="1"/>
  <c r="C204" i="3"/>
  <c r="B204" i="3"/>
  <c r="A204" i="3"/>
  <c r="G203" i="3"/>
  <c r="D203" i="13" s="1"/>
  <c r="E203" i="13" s="1"/>
  <c r="C203" i="3"/>
  <c r="B203" i="3"/>
  <c r="A203" i="3"/>
  <c r="G202" i="3"/>
  <c r="D202" i="13" s="1"/>
  <c r="C202" i="3"/>
  <c r="B202" i="3"/>
  <c r="A202" i="3"/>
  <c r="G201" i="3"/>
  <c r="D201" i="13" s="1"/>
  <c r="C201" i="3"/>
  <c r="B201" i="3"/>
  <c r="A201" i="3"/>
  <c r="G200" i="3"/>
  <c r="D200" i="13" s="1"/>
  <c r="E200" i="13" s="1"/>
  <c r="C200" i="3"/>
  <c r="B200" i="3"/>
  <c r="A200" i="3"/>
  <c r="G199" i="3"/>
  <c r="D199" i="13" s="1"/>
  <c r="E199" i="13" s="1"/>
  <c r="C199" i="3"/>
  <c r="B199" i="3"/>
  <c r="A199" i="3"/>
  <c r="G198" i="3"/>
  <c r="D198" i="13" s="1"/>
  <c r="C198" i="3"/>
  <c r="B198" i="3"/>
  <c r="A198" i="3"/>
  <c r="G197" i="3"/>
  <c r="D197" i="13" s="1"/>
  <c r="C197" i="3"/>
  <c r="B197" i="3"/>
  <c r="A197" i="3"/>
  <c r="G196" i="3"/>
  <c r="D196" i="13" s="1"/>
  <c r="E196" i="13" s="1"/>
  <c r="C196" i="3"/>
  <c r="B196" i="3"/>
  <c r="A196" i="3"/>
  <c r="G195" i="3"/>
  <c r="D195" i="13" s="1"/>
  <c r="C195" i="3"/>
  <c r="B195" i="3"/>
  <c r="A195" i="3"/>
  <c r="G194" i="3"/>
  <c r="D194" i="13" s="1"/>
  <c r="C194" i="3"/>
  <c r="B194" i="3"/>
  <c r="A194" i="3"/>
  <c r="G193" i="3"/>
  <c r="D193" i="13" s="1"/>
  <c r="E193" i="13" s="1"/>
  <c r="C193" i="3"/>
  <c r="B193" i="3"/>
  <c r="A193" i="3"/>
  <c r="G192" i="3"/>
  <c r="D192" i="13" s="1"/>
  <c r="C192" i="3"/>
  <c r="B192" i="3"/>
  <c r="A192" i="3"/>
  <c r="G191" i="3"/>
  <c r="D191" i="13" s="1"/>
  <c r="E191" i="13" s="1"/>
  <c r="C191" i="3"/>
  <c r="B191" i="3"/>
  <c r="A191" i="3"/>
  <c r="G190" i="3"/>
  <c r="D190" i="13" s="1"/>
  <c r="C190" i="3"/>
  <c r="B190" i="3"/>
  <c r="A190" i="3"/>
  <c r="G189" i="3"/>
  <c r="D189" i="13" s="1"/>
  <c r="C189" i="3"/>
  <c r="B189" i="3"/>
  <c r="A189" i="3"/>
  <c r="G188" i="3"/>
  <c r="D188" i="13" s="1"/>
  <c r="C188" i="3"/>
  <c r="B188" i="3"/>
  <c r="A188" i="3"/>
  <c r="G187" i="3"/>
  <c r="D187" i="13" s="1"/>
  <c r="E187" i="13" s="1"/>
  <c r="C187" i="3"/>
  <c r="B187" i="3"/>
  <c r="A187" i="3"/>
  <c r="G186" i="3"/>
  <c r="D186" i="13" s="1"/>
  <c r="C186" i="3"/>
  <c r="B186" i="3"/>
  <c r="A186" i="3"/>
  <c r="G185" i="3"/>
  <c r="D185" i="13" s="1"/>
  <c r="E185" i="13" s="1"/>
  <c r="C185" i="3"/>
  <c r="B185" i="3"/>
  <c r="A185" i="3"/>
  <c r="G184" i="3"/>
  <c r="D184" i="13" s="1"/>
  <c r="E184" i="13" s="1"/>
  <c r="C184" i="3"/>
  <c r="B184" i="3"/>
  <c r="A184" i="3"/>
  <c r="G183" i="3"/>
  <c r="D183" i="13" s="1"/>
  <c r="C183" i="3"/>
  <c r="B183" i="3"/>
  <c r="A183" i="3"/>
  <c r="G182" i="3"/>
  <c r="D182" i="13" s="1"/>
  <c r="C182" i="3"/>
  <c r="B182" i="3"/>
  <c r="A182" i="3"/>
  <c r="G181" i="3"/>
  <c r="D181" i="13" s="1"/>
  <c r="E181" i="13" s="1"/>
  <c r="C181" i="3"/>
  <c r="B181" i="3"/>
  <c r="A181" i="3"/>
  <c r="G180" i="3"/>
  <c r="D180" i="13" s="1"/>
  <c r="C180" i="3"/>
  <c r="B180" i="3"/>
  <c r="A180" i="3"/>
  <c r="G179" i="3"/>
  <c r="D179" i="13" s="1"/>
  <c r="C179" i="3"/>
  <c r="B179" i="3"/>
  <c r="A179" i="3"/>
  <c r="G178" i="3"/>
  <c r="D178" i="13" s="1"/>
  <c r="E178" i="13" s="1"/>
  <c r="C178" i="3"/>
  <c r="B178" i="3"/>
  <c r="A178" i="3"/>
  <c r="G177" i="3"/>
  <c r="D177" i="13" s="1"/>
  <c r="C177" i="3"/>
  <c r="B177" i="3"/>
  <c r="A177" i="3"/>
  <c r="G176" i="3"/>
  <c r="D176" i="13" s="1"/>
  <c r="C176" i="3"/>
  <c r="B176" i="3"/>
  <c r="A176" i="3"/>
  <c r="G175" i="3"/>
  <c r="D175" i="13" s="1"/>
  <c r="E175" i="13" s="1"/>
  <c r="C175" i="3"/>
  <c r="B175" i="3"/>
  <c r="A175" i="3"/>
  <c r="G174" i="3"/>
  <c r="D174" i="13" s="1"/>
  <c r="C174" i="3"/>
  <c r="B174" i="3"/>
  <c r="A174" i="3"/>
  <c r="G173" i="3"/>
  <c r="D173" i="13" s="1"/>
  <c r="E173" i="13" s="1"/>
  <c r="C173" i="3"/>
  <c r="B173" i="3"/>
  <c r="A173" i="3"/>
  <c r="G172" i="3"/>
  <c r="D172" i="13" s="1"/>
  <c r="C172" i="3"/>
  <c r="B172" i="3"/>
  <c r="A172" i="3"/>
  <c r="G171" i="3"/>
  <c r="D171" i="13" s="1"/>
  <c r="C171" i="3"/>
  <c r="B171" i="3"/>
  <c r="A171" i="3"/>
  <c r="G170" i="3"/>
  <c r="D170" i="13" s="1"/>
  <c r="C170" i="3"/>
  <c r="B170" i="3"/>
  <c r="A170" i="3"/>
  <c r="G169" i="3"/>
  <c r="D169" i="13" s="1"/>
  <c r="E169" i="13" s="1"/>
  <c r="C169" i="3"/>
  <c r="B169" i="3"/>
  <c r="A169" i="3"/>
  <c r="G168" i="3"/>
  <c r="D168" i="13" s="1"/>
  <c r="C168" i="3"/>
  <c r="B168" i="3"/>
  <c r="A168" i="3"/>
  <c r="G167" i="3"/>
  <c r="D167" i="13" s="1"/>
  <c r="C167" i="3"/>
  <c r="B167" i="3"/>
  <c r="A167" i="3"/>
  <c r="G166" i="3"/>
  <c r="D166" i="13" s="1"/>
  <c r="E166" i="13" s="1"/>
  <c r="C166" i="3"/>
  <c r="B166" i="3"/>
  <c r="A166" i="3"/>
  <c r="G165" i="3"/>
  <c r="D165" i="13" s="1"/>
  <c r="C165" i="3"/>
  <c r="B165" i="3"/>
  <c r="A165" i="3"/>
  <c r="G164" i="3"/>
  <c r="D164" i="13" s="1"/>
  <c r="C164" i="3"/>
  <c r="B164" i="3"/>
  <c r="A164" i="3"/>
  <c r="G163" i="3"/>
  <c r="D163" i="13" s="1"/>
  <c r="C163" i="3"/>
  <c r="B163" i="3"/>
  <c r="A163" i="3"/>
  <c r="G162" i="3"/>
  <c r="D162" i="13" s="1"/>
  <c r="E162" i="13" s="1"/>
  <c r="C162" i="3"/>
  <c r="B162" i="3"/>
  <c r="A162" i="3"/>
  <c r="G161" i="3"/>
  <c r="D161" i="13" s="1"/>
  <c r="E161" i="13" s="1"/>
  <c r="C161" i="3"/>
  <c r="B161" i="3"/>
  <c r="A161" i="3"/>
  <c r="G160" i="3"/>
  <c r="D160" i="13" s="1"/>
  <c r="C160" i="3"/>
  <c r="B160" i="3"/>
  <c r="A160" i="3"/>
  <c r="G159" i="3"/>
  <c r="D159" i="13" s="1"/>
  <c r="E159" i="13" s="1"/>
  <c r="C159" i="3"/>
  <c r="B159" i="3"/>
  <c r="A159" i="3"/>
  <c r="G158" i="3"/>
  <c r="D158" i="13" s="1"/>
  <c r="C158" i="3"/>
  <c r="B158" i="3"/>
  <c r="A158" i="3"/>
  <c r="G157" i="3"/>
  <c r="D157" i="13" s="1"/>
  <c r="C157" i="3"/>
  <c r="B157" i="3"/>
  <c r="A157" i="3"/>
  <c r="G156" i="3"/>
  <c r="D156" i="13" s="1"/>
  <c r="E156" i="13" s="1"/>
  <c r="C156" i="3"/>
  <c r="B156" i="3"/>
  <c r="A156" i="3"/>
  <c r="G155" i="3"/>
  <c r="D155" i="13" s="1"/>
  <c r="E155" i="13" s="1"/>
  <c r="C155" i="3"/>
  <c r="B155" i="3"/>
  <c r="A155" i="3"/>
  <c r="G154" i="3"/>
  <c r="D154" i="13" s="1"/>
  <c r="E154" i="13" s="1"/>
  <c r="C154" i="3"/>
  <c r="B154" i="3"/>
  <c r="A154" i="3"/>
  <c r="G153" i="3"/>
  <c r="D153" i="13" s="1"/>
  <c r="C153" i="3"/>
  <c r="B153" i="3"/>
  <c r="A153" i="3"/>
  <c r="G152" i="3"/>
  <c r="D152" i="13" s="1"/>
  <c r="C152" i="3"/>
  <c r="B152" i="3"/>
  <c r="A152" i="3"/>
  <c r="G151" i="3"/>
  <c r="D151" i="13" s="1"/>
  <c r="C151" i="3"/>
  <c r="B151" i="3"/>
  <c r="A151" i="3"/>
  <c r="G150" i="3"/>
  <c r="D150" i="13" s="1"/>
  <c r="C150" i="3"/>
  <c r="B150" i="3"/>
  <c r="A150" i="3"/>
  <c r="G149" i="3"/>
  <c r="D149" i="13" s="1"/>
  <c r="C149" i="3"/>
  <c r="B149" i="3"/>
  <c r="A149" i="3"/>
  <c r="G148" i="3"/>
  <c r="D148" i="13" s="1"/>
  <c r="C148" i="3"/>
  <c r="B148" i="3"/>
  <c r="A148" i="3"/>
  <c r="G147" i="3"/>
  <c r="D147" i="13" s="1"/>
  <c r="C147" i="3"/>
  <c r="B147" i="3"/>
  <c r="A147" i="3"/>
  <c r="G146" i="3"/>
  <c r="D146" i="13" s="1"/>
  <c r="E146" i="13" s="1"/>
  <c r="C146" i="3"/>
  <c r="B146" i="3"/>
  <c r="A146" i="3"/>
  <c r="G145" i="3"/>
  <c r="D145" i="13" s="1"/>
  <c r="C145" i="3"/>
  <c r="B145" i="3"/>
  <c r="A145" i="3"/>
  <c r="G144" i="3"/>
  <c r="D144" i="13" s="1"/>
  <c r="E144" i="13" s="1"/>
  <c r="C144" i="3"/>
  <c r="B144" i="3"/>
  <c r="A144" i="3"/>
  <c r="G143" i="3"/>
  <c r="D143" i="13" s="1"/>
  <c r="E143" i="13" s="1"/>
  <c r="C143" i="3"/>
  <c r="B143" i="3"/>
  <c r="A143" i="3"/>
  <c r="G142" i="3"/>
  <c r="D142" i="13" s="1"/>
  <c r="C142" i="3"/>
  <c r="B142" i="3"/>
  <c r="A142" i="3"/>
  <c r="G141" i="3"/>
  <c r="D141" i="13" s="1"/>
  <c r="E141" i="13" s="1"/>
  <c r="C141" i="3"/>
  <c r="B141" i="3"/>
  <c r="A141" i="3"/>
  <c r="G140" i="3"/>
  <c r="D140" i="13" s="1"/>
  <c r="E140" i="13" s="1"/>
  <c r="C140" i="3"/>
  <c r="B140" i="3"/>
  <c r="A140" i="3"/>
  <c r="G139" i="3"/>
  <c r="D139" i="13" s="1"/>
  <c r="C139" i="3"/>
  <c r="B139" i="3"/>
  <c r="A139" i="3"/>
  <c r="G138" i="3"/>
  <c r="D138" i="13" s="1"/>
  <c r="E138" i="13" s="1"/>
  <c r="C138" i="3"/>
  <c r="B138" i="3"/>
  <c r="A138" i="3"/>
  <c r="G137" i="3"/>
  <c r="D137" i="13" s="1"/>
  <c r="E137" i="13" s="1"/>
  <c r="C137" i="3"/>
  <c r="B137" i="3"/>
  <c r="A137" i="3"/>
  <c r="G136" i="3"/>
  <c r="D136" i="13" s="1"/>
  <c r="C136" i="3"/>
  <c r="B136" i="3"/>
  <c r="A136" i="3"/>
  <c r="G135" i="3"/>
  <c r="D135" i="13" s="1"/>
  <c r="E135" i="13" s="1"/>
  <c r="C135" i="3"/>
  <c r="B135" i="3"/>
  <c r="A135" i="3"/>
  <c r="G134" i="3"/>
  <c r="D134" i="13" s="1"/>
  <c r="E134" i="13" s="1"/>
  <c r="C134" i="3"/>
  <c r="B134" i="3"/>
  <c r="A134" i="3"/>
  <c r="G133" i="3"/>
  <c r="D133" i="13" s="1"/>
  <c r="C133" i="3"/>
  <c r="B133" i="3"/>
  <c r="A133" i="3"/>
  <c r="G132" i="3"/>
  <c r="D132" i="13" s="1"/>
  <c r="C132" i="3"/>
  <c r="B132" i="3"/>
  <c r="A132" i="3"/>
  <c r="G131" i="3"/>
  <c r="D131" i="13" s="1"/>
  <c r="E131" i="13" s="1"/>
  <c r="C131" i="3"/>
  <c r="B131" i="3"/>
  <c r="A131" i="3"/>
  <c r="G130" i="3"/>
  <c r="D130" i="13" s="1"/>
  <c r="C130" i="3"/>
  <c r="B130" i="3"/>
  <c r="A130" i="3"/>
  <c r="G129" i="3"/>
  <c r="D129" i="13" s="1"/>
  <c r="E129" i="13" s="1"/>
  <c r="W129" i="13" s="1"/>
  <c r="C129" i="3"/>
  <c r="B129" i="3"/>
  <c r="A129" i="3"/>
  <c r="G128" i="3"/>
  <c r="D128" i="13" s="1"/>
  <c r="E128" i="13" s="1"/>
  <c r="C128" i="3"/>
  <c r="B128" i="3"/>
  <c r="A128" i="3"/>
  <c r="G127" i="3"/>
  <c r="D127" i="13" s="1"/>
  <c r="C127" i="3"/>
  <c r="B127" i="3"/>
  <c r="A127" i="3"/>
  <c r="G126" i="3"/>
  <c r="D126" i="13" s="1"/>
  <c r="C126" i="3"/>
  <c r="B126" i="3"/>
  <c r="A126" i="3"/>
  <c r="G125" i="3"/>
  <c r="D125" i="13" s="1"/>
  <c r="E125" i="13" s="1"/>
  <c r="C125" i="3"/>
  <c r="B125" i="3"/>
  <c r="A125" i="3"/>
  <c r="G124" i="3"/>
  <c r="D124" i="13" s="1"/>
  <c r="C124" i="3"/>
  <c r="B124" i="3"/>
  <c r="A124" i="3"/>
  <c r="G123" i="3"/>
  <c r="D123" i="13" s="1"/>
  <c r="E123" i="13" s="1"/>
  <c r="C123" i="3"/>
  <c r="B123" i="3"/>
  <c r="A123" i="3"/>
  <c r="G122" i="3"/>
  <c r="D122" i="13" s="1"/>
  <c r="C122" i="3"/>
  <c r="B122" i="3"/>
  <c r="A122" i="3"/>
  <c r="G121" i="3"/>
  <c r="D121" i="13" s="1"/>
  <c r="C121" i="3"/>
  <c r="B121" i="3"/>
  <c r="A121" i="3"/>
  <c r="G120" i="3"/>
  <c r="D120" i="13" s="1"/>
  <c r="C120" i="3"/>
  <c r="B120" i="3"/>
  <c r="A120" i="3"/>
  <c r="G119" i="3"/>
  <c r="D119" i="13" s="1"/>
  <c r="E119" i="13" s="1"/>
  <c r="C119" i="3"/>
  <c r="B119" i="3"/>
  <c r="A119" i="3"/>
  <c r="G118" i="3"/>
  <c r="D118" i="13" s="1"/>
  <c r="C118" i="3"/>
  <c r="B118" i="3"/>
  <c r="A118" i="3"/>
  <c r="G117" i="3"/>
  <c r="D117" i="13" s="1"/>
  <c r="E117" i="13" s="1"/>
  <c r="C117" i="3"/>
  <c r="B117" i="3"/>
  <c r="A117" i="3"/>
  <c r="G116" i="3"/>
  <c r="D116" i="13" s="1"/>
  <c r="E116" i="13" s="1"/>
  <c r="C116" i="3"/>
  <c r="B116" i="3"/>
  <c r="A116" i="3"/>
  <c r="G115" i="3"/>
  <c r="D115" i="13" s="1"/>
  <c r="C115" i="3"/>
  <c r="B115" i="3"/>
  <c r="A115" i="3"/>
  <c r="G114" i="3"/>
  <c r="D114" i="13" s="1"/>
  <c r="C114" i="3"/>
  <c r="B114" i="3"/>
  <c r="A114" i="3"/>
  <c r="G113" i="3"/>
  <c r="D113" i="13" s="1"/>
  <c r="E113" i="13" s="1"/>
  <c r="C113" i="3"/>
  <c r="B113" i="3"/>
  <c r="A113" i="3"/>
  <c r="G112" i="3"/>
  <c r="D112" i="13" s="1"/>
  <c r="C112" i="3"/>
  <c r="B112" i="3"/>
  <c r="A112" i="3"/>
  <c r="G111" i="3"/>
  <c r="D111" i="13" s="1"/>
  <c r="C111" i="3"/>
  <c r="B111" i="3"/>
  <c r="A111" i="3"/>
  <c r="G110" i="3"/>
  <c r="D110" i="13" s="1"/>
  <c r="E110" i="13" s="1"/>
  <c r="C110" i="3"/>
  <c r="B110" i="3"/>
  <c r="A110" i="3"/>
  <c r="G109" i="3"/>
  <c r="D109" i="13" s="1"/>
  <c r="C109" i="3"/>
  <c r="B109" i="3"/>
  <c r="A109" i="3"/>
  <c r="G108" i="3"/>
  <c r="D108" i="13" s="1"/>
  <c r="C108" i="3"/>
  <c r="B108" i="3"/>
  <c r="A108" i="3"/>
  <c r="G107" i="3"/>
  <c r="D107" i="13" s="1"/>
  <c r="E107" i="13" s="1"/>
  <c r="C107" i="3"/>
  <c r="B107" i="3"/>
  <c r="A107" i="3"/>
  <c r="G106" i="3"/>
  <c r="D106" i="13" s="1"/>
  <c r="C106" i="3"/>
  <c r="B106" i="3"/>
  <c r="A106" i="3"/>
  <c r="G105" i="3"/>
  <c r="D105" i="13" s="1"/>
  <c r="C105" i="3"/>
  <c r="B105" i="3"/>
  <c r="A105" i="3"/>
  <c r="G104" i="3"/>
  <c r="D104" i="13" s="1"/>
  <c r="E104" i="13" s="1"/>
  <c r="C104" i="3"/>
  <c r="B104" i="3"/>
  <c r="A104" i="3"/>
  <c r="G103" i="3"/>
  <c r="D103" i="13" s="1"/>
  <c r="C103" i="3"/>
  <c r="B103" i="3"/>
  <c r="A103" i="3"/>
  <c r="G102" i="3"/>
  <c r="D102" i="13" s="1"/>
  <c r="E102" i="13" s="1"/>
  <c r="C102" i="3"/>
  <c r="B102" i="3"/>
  <c r="A102" i="3"/>
  <c r="G101" i="3"/>
  <c r="D101" i="13" s="1"/>
  <c r="E101" i="13" s="1"/>
  <c r="C101" i="3"/>
  <c r="B101" i="3"/>
  <c r="A101" i="3"/>
  <c r="G100" i="3"/>
  <c r="D100" i="13" s="1"/>
  <c r="C100" i="3"/>
  <c r="B100" i="3"/>
  <c r="A100" i="3"/>
  <c r="G99" i="3"/>
  <c r="D99" i="13" s="1"/>
  <c r="E99" i="13" s="1"/>
  <c r="C99" i="3"/>
  <c r="B99" i="3"/>
  <c r="A99" i="3"/>
  <c r="G98" i="3"/>
  <c r="D98" i="13" s="1"/>
  <c r="E98" i="13" s="1"/>
  <c r="C98" i="3"/>
  <c r="B98" i="3"/>
  <c r="A98" i="3"/>
  <c r="G97" i="3"/>
  <c r="D97" i="13" s="1"/>
  <c r="C97" i="3"/>
  <c r="B97" i="3"/>
  <c r="A97" i="3"/>
  <c r="G96" i="3"/>
  <c r="D96" i="13" s="1"/>
  <c r="C96" i="3"/>
  <c r="B96" i="3"/>
  <c r="A96" i="3"/>
  <c r="G95" i="3"/>
  <c r="D95" i="13" s="1"/>
  <c r="E95" i="13" s="1"/>
  <c r="C95" i="3"/>
  <c r="B95" i="3"/>
  <c r="A95" i="3"/>
  <c r="G94" i="3"/>
  <c r="D94" i="13" s="1"/>
  <c r="C94" i="3"/>
  <c r="B94" i="3"/>
  <c r="A94" i="3"/>
  <c r="G93" i="3"/>
  <c r="D93" i="13" s="1"/>
  <c r="C93" i="3"/>
  <c r="B93" i="3"/>
  <c r="A93" i="3"/>
  <c r="G92" i="3"/>
  <c r="D92" i="13" s="1"/>
  <c r="C92" i="3"/>
  <c r="B92" i="3"/>
  <c r="A92" i="3"/>
  <c r="G91" i="3"/>
  <c r="D91" i="13" s="1"/>
  <c r="C91" i="3"/>
  <c r="B91" i="3"/>
  <c r="A91" i="3"/>
  <c r="G90" i="3"/>
  <c r="D90" i="13" s="1"/>
  <c r="C90" i="3"/>
  <c r="B90" i="3"/>
  <c r="A90" i="3"/>
  <c r="G89" i="3"/>
  <c r="D89" i="13" s="1"/>
  <c r="C89" i="3"/>
  <c r="B89" i="3"/>
  <c r="A89" i="3"/>
  <c r="G88" i="3"/>
  <c r="D88" i="13" s="1"/>
  <c r="C88" i="3"/>
  <c r="B88" i="3"/>
  <c r="A88" i="3"/>
  <c r="G87" i="3"/>
  <c r="D87" i="13" s="1"/>
  <c r="C87" i="3"/>
  <c r="B87" i="3"/>
  <c r="A87" i="3"/>
  <c r="G86" i="3"/>
  <c r="D86" i="13" s="1"/>
  <c r="C86" i="3"/>
  <c r="B86" i="3"/>
  <c r="A86" i="3"/>
  <c r="G85" i="3"/>
  <c r="D85" i="13" s="1"/>
  <c r="C85" i="3"/>
  <c r="B85" i="3"/>
  <c r="A85" i="3"/>
  <c r="G84" i="3"/>
  <c r="D84" i="13" s="1"/>
  <c r="C84" i="3"/>
  <c r="B84" i="3"/>
  <c r="A84" i="3"/>
  <c r="G83" i="3"/>
  <c r="D83" i="13" s="1"/>
  <c r="C83" i="3"/>
  <c r="B83" i="3"/>
  <c r="A83" i="3"/>
  <c r="G82" i="3"/>
  <c r="D82" i="13" s="1"/>
  <c r="C82" i="3"/>
  <c r="B82" i="3"/>
  <c r="A82" i="3"/>
  <c r="G81" i="3"/>
  <c r="D81" i="13" s="1"/>
  <c r="E81" i="13" s="1"/>
  <c r="C81" i="3"/>
  <c r="B81" i="3"/>
  <c r="A81" i="3"/>
  <c r="G80" i="3"/>
  <c r="D80" i="13" s="1"/>
  <c r="E80" i="13" s="1"/>
  <c r="C80" i="3"/>
  <c r="B80" i="3"/>
  <c r="A80" i="3"/>
  <c r="G79" i="3"/>
  <c r="D79" i="13" s="1"/>
  <c r="C79" i="3"/>
  <c r="B79" i="3"/>
  <c r="A79" i="3"/>
  <c r="G78" i="3"/>
  <c r="D78" i="13" s="1"/>
  <c r="E78" i="13" s="1"/>
  <c r="C78" i="3"/>
  <c r="B78" i="3"/>
  <c r="A78" i="3"/>
  <c r="G77" i="3"/>
  <c r="D77" i="13" s="1"/>
  <c r="C77" i="3"/>
  <c r="B77" i="3"/>
  <c r="A77" i="3"/>
  <c r="G76" i="3"/>
  <c r="D76" i="13" s="1"/>
  <c r="C76" i="3"/>
  <c r="B76" i="3"/>
  <c r="A76" i="3"/>
  <c r="G75" i="3"/>
  <c r="D75" i="13" s="1"/>
  <c r="C75" i="3"/>
  <c r="B75" i="3"/>
  <c r="A75" i="3"/>
  <c r="G74" i="3"/>
  <c r="D74" i="13" s="1"/>
  <c r="E74" i="13" s="1"/>
  <c r="C74" i="3"/>
  <c r="B74" i="3"/>
  <c r="A74" i="3"/>
  <c r="G73" i="3"/>
  <c r="D73" i="13" s="1"/>
  <c r="C73" i="3"/>
  <c r="B73" i="3"/>
  <c r="A73" i="3"/>
  <c r="G72" i="3"/>
  <c r="D72" i="13" s="1"/>
  <c r="E72" i="13" s="1"/>
  <c r="C72" i="3"/>
  <c r="B72" i="3"/>
  <c r="A72" i="3"/>
  <c r="G71" i="3"/>
  <c r="D71" i="13" s="1"/>
  <c r="C71" i="3"/>
  <c r="B71" i="3"/>
  <c r="A71" i="3"/>
  <c r="G70" i="3"/>
  <c r="D70" i="13" s="1"/>
  <c r="C70" i="3"/>
  <c r="B70" i="3"/>
  <c r="A70" i="3"/>
  <c r="G69" i="3"/>
  <c r="D69" i="13" s="1"/>
  <c r="E69" i="13" s="1"/>
  <c r="C69" i="3"/>
  <c r="B69" i="3"/>
  <c r="A69" i="3"/>
  <c r="G68" i="3"/>
  <c r="D68" i="13" s="1"/>
  <c r="E68" i="13" s="1"/>
  <c r="C68" i="3"/>
  <c r="B68" i="3"/>
  <c r="A68" i="3"/>
  <c r="G67" i="3"/>
  <c r="D67" i="13" s="1"/>
  <c r="C67" i="3"/>
  <c r="B67" i="3"/>
  <c r="A67" i="3"/>
  <c r="G66" i="3"/>
  <c r="D66" i="13" s="1"/>
  <c r="E66" i="13" s="1"/>
  <c r="C66" i="3"/>
  <c r="B66" i="3"/>
  <c r="A66" i="3"/>
  <c r="G65" i="3"/>
  <c r="D65" i="13" s="1"/>
  <c r="C65" i="3"/>
  <c r="B65" i="3"/>
  <c r="A65" i="3"/>
  <c r="G64" i="3"/>
  <c r="D64" i="13" s="1"/>
  <c r="C64" i="3"/>
  <c r="B64" i="3"/>
  <c r="A64" i="3"/>
  <c r="G63" i="3"/>
  <c r="D63" i="13" s="1"/>
  <c r="C63" i="3"/>
  <c r="B63" i="3"/>
  <c r="A63" i="3"/>
  <c r="G62" i="3"/>
  <c r="D62" i="13" s="1"/>
  <c r="E62" i="13" s="1"/>
  <c r="C62" i="3"/>
  <c r="B62" i="3"/>
  <c r="A62" i="3"/>
  <c r="G61" i="3"/>
  <c r="D61" i="13" s="1"/>
  <c r="C61" i="3"/>
  <c r="B61" i="3"/>
  <c r="A61" i="3"/>
  <c r="G60" i="3"/>
  <c r="D60" i="13" s="1"/>
  <c r="E60" i="13" s="1"/>
  <c r="C60" i="3"/>
  <c r="B60" i="3"/>
  <c r="A60" i="3"/>
  <c r="G59" i="3"/>
  <c r="D59" i="13" s="1"/>
  <c r="C59" i="3"/>
  <c r="B59" i="3"/>
  <c r="A59" i="3"/>
  <c r="G58" i="3"/>
  <c r="D58" i="13" s="1"/>
  <c r="C58" i="3"/>
  <c r="B58" i="3"/>
  <c r="A58" i="3"/>
  <c r="G57" i="3"/>
  <c r="D57" i="13" s="1"/>
  <c r="C57" i="3"/>
  <c r="B57" i="3"/>
  <c r="A57" i="3"/>
  <c r="G56" i="3"/>
  <c r="D56" i="13" s="1"/>
  <c r="E56" i="13" s="1"/>
  <c r="C56" i="3"/>
  <c r="B56" i="3"/>
  <c r="A56" i="3"/>
  <c r="G55" i="3"/>
  <c r="D55" i="13" s="1"/>
  <c r="C55" i="3"/>
  <c r="B55" i="3"/>
  <c r="A55" i="3"/>
  <c r="G54" i="3"/>
  <c r="D54" i="13" s="1"/>
  <c r="E54" i="13" s="1"/>
  <c r="C54" i="3"/>
  <c r="B54" i="3"/>
  <c r="A54" i="3"/>
  <c r="G53" i="3"/>
  <c r="D53" i="13" s="1"/>
  <c r="C53" i="3"/>
  <c r="B53" i="3"/>
  <c r="A53" i="3"/>
  <c r="G52" i="3"/>
  <c r="D52" i="13" s="1"/>
  <c r="C52" i="3"/>
  <c r="B52" i="3"/>
  <c r="A52" i="3"/>
  <c r="G51" i="3"/>
  <c r="D51" i="13" s="1"/>
  <c r="C51" i="3"/>
  <c r="B51" i="3"/>
  <c r="A51" i="3"/>
  <c r="G50" i="3"/>
  <c r="D50" i="13" s="1"/>
  <c r="C50" i="3"/>
  <c r="B50" i="3"/>
  <c r="A50" i="3"/>
  <c r="G49" i="3"/>
  <c r="D49" i="13" s="1"/>
  <c r="C49" i="3"/>
  <c r="B49" i="3"/>
  <c r="A49" i="3"/>
  <c r="G48" i="3"/>
  <c r="D48" i="13" s="1"/>
  <c r="C48" i="3"/>
  <c r="B48" i="3"/>
  <c r="A48" i="3"/>
  <c r="G47" i="3"/>
  <c r="D47" i="13" s="1"/>
  <c r="E47" i="13" s="1"/>
  <c r="C47" i="3"/>
  <c r="B47" i="3"/>
  <c r="A47" i="3"/>
  <c r="G46" i="3"/>
  <c r="D46" i="13" s="1"/>
  <c r="C46" i="3"/>
  <c r="B46" i="3"/>
  <c r="A46" i="3"/>
  <c r="G45" i="3"/>
  <c r="D45" i="13" s="1"/>
  <c r="E45" i="13" s="1"/>
  <c r="C45" i="3"/>
  <c r="B45" i="3"/>
  <c r="A45" i="3"/>
  <c r="G44" i="3"/>
  <c r="D44" i="13" s="1"/>
  <c r="C44" i="3"/>
  <c r="B44" i="3"/>
  <c r="A44" i="3"/>
  <c r="G43" i="3"/>
  <c r="D43" i="13" s="1"/>
  <c r="C43" i="3"/>
  <c r="B43" i="3"/>
  <c r="A43" i="3"/>
  <c r="G42" i="3"/>
  <c r="D42" i="13" s="1"/>
  <c r="C42" i="3"/>
  <c r="B42" i="3"/>
  <c r="A42" i="3"/>
  <c r="G41" i="3"/>
  <c r="D41" i="13" s="1"/>
  <c r="E41" i="13" s="1"/>
  <c r="C41" i="3"/>
  <c r="B41" i="3"/>
  <c r="A41" i="3"/>
  <c r="G40" i="3"/>
  <c r="D40" i="13" s="1"/>
  <c r="C40" i="3"/>
  <c r="B40" i="3"/>
  <c r="A40" i="3"/>
  <c r="G39" i="3"/>
  <c r="D39" i="13" s="1"/>
  <c r="E39" i="13" s="1"/>
  <c r="C39" i="3"/>
  <c r="B39" i="3"/>
  <c r="A39" i="3"/>
  <c r="G38" i="3"/>
  <c r="D38" i="13" s="1"/>
  <c r="C38" i="3"/>
  <c r="B38" i="3"/>
  <c r="A38" i="3"/>
  <c r="G37" i="3"/>
  <c r="D37" i="13" s="1"/>
  <c r="C37" i="3"/>
  <c r="B37" i="3"/>
  <c r="A37" i="3"/>
  <c r="G36" i="3"/>
  <c r="D36" i="13" s="1"/>
  <c r="C36" i="3"/>
  <c r="B36" i="3"/>
  <c r="A36" i="3"/>
  <c r="G35" i="3"/>
  <c r="D35" i="13" s="1"/>
  <c r="E35" i="13" s="1"/>
  <c r="C35" i="3"/>
  <c r="B35" i="3"/>
  <c r="A35" i="3"/>
  <c r="G34" i="3"/>
  <c r="D34" i="13" s="1"/>
  <c r="C34" i="3"/>
  <c r="B34" i="3"/>
  <c r="A34" i="3"/>
  <c r="G33" i="3"/>
  <c r="D33" i="13" s="1"/>
  <c r="E33" i="13" s="1"/>
  <c r="C33" i="3"/>
  <c r="B33" i="3"/>
  <c r="A33" i="3"/>
  <c r="G32" i="3"/>
  <c r="D32" i="13" s="1"/>
  <c r="C32" i="3"/>
  <c r="B32" i="3"/>
  <c r="A32" i="3"/>
  <c r="G31" i="3"/>
  <c r="D31" i="13" s="1"/>
  <c r="C31" i="3"/>
  <c r="B31" i="3"/>
  <c r="A31" i="3"/>
  <c r="G30" i="3"/>
  <c r="D30" i="13" s="1"/>
  <c r="E30" i="13" s="1"/>
  <c r="C30" i="3"/>
  <c r="B30" i="3"/>
  <c r="A30" i="3"/>
  <c r="G29" i="3"/>
  <c r="D29" i="13" s="1"/>
  <c r="E29" i="13" s="1"/>
  <c r="C29" i="3"/>
  <c r="B29" i="3"/>
  <c r="A29" i="3"/>
  <c r="G28" i="3"/>
  <c r="D28" i="13" s="1"/>
  <c r="C28" i="3"/>
  <c r="B28" i="3"/>
  <c r="A28" i="3"/>
  <c r="G27" i="3"/>
  <c r="D27" i="13" s="1"/>
  <c r="E27" i="13" s="1"/>
  <c r="C27" i="3"/>
  <c r="B27" i="3"/>
  <c r="A27" i="3"/>
  <c r="G26" i="3"/>
  <c r="D26" i="13" s="1"/>
  <c r="E26" i="13" s="1"/>
  <c r="C26" i="3"/>
  <c r="B26" i="3"/>
  <c r="A26" i="3"/>
  <c r="G25" i="3"/>
  <c r="D25" i="13" s="1"/>
  <c r="C25" i="3"/>
  <c r="B25" i="3"/>
  <c r="A25" i="3"/>
  <c r="G24" i="3"/>
  <c r="D24" i="13" s="1"/>
  <c r="C24" i="3"/>
  <c r="B24" i="3"/>
  <c r="A24" i="3"/>
  <c r="G23" i="3"/>
  <c r="D23" i="13" s="1"/>
  <c r="E23" i="13" s="1"/>
  <c r="C23" i="3"/>
  <c r="B23" i="3"/>
  <c r="A23" i="3"/>
  <c r="G22" i="3"/>
  <c r="D22" i="13" s="1"/>
  <c r="C22" i="3"/>
  <c r="B22" i="3"/>
  <c r="A22" i="3"/>
  <c r="G21" i="3"/>
  <c r="D21" i="13" s="1"/>
  <c r="E21" i="13" s="1"/>
  <c r="C21" i="3"/>
  <c r="B21" i="3"/>
  <c r="A21" i="3"/>
  <c r="G20" i="3"/>
  <c r="D20" i="13" s="1"/>
  <c r="E20" i="13" s="1"/>
  <c r="C20" i="3"/>
  <c r="B20" i="3"/>
  <c r="A20" i="3"/>
  <c r="G19" i="3"/>
  <c r="D19" i="13" s="1"/>
  <c r="C19" i="3"/>
  <c r="B19" i="3"/>
  <c r="A19" i="3"/>
  <c r="G18" i="3"/>
  <c r="D18" i="13" s="1"/>
  <c r="E18" i="13" s="1"/>
  <c r="C18" i="3"/>
  <c r="B18" i="3"/>
  <c r="A18" i="3"/>
  <c r="G17" i="3"/>
  <c r="D17" i="13" s="1"/>
  <c r="C17" i="3"/>
  <c r="B17" i="3"/>
  <c r="A17" i="3"/>
  <c r="G16" i="3"/>
  <c r="D16" i="13" s="1"/>
  <c r="C16" i="3"/>
  <c r="B16" i="3"/>
  <c r="A16" i="3"/>
  <c r="G15" i="3"/>
  <c r="D15" i="13" s="1"/>
  <c r="E15" i="13" s="1"/>
  <c r="C15" i="3"/>
  <c r="B15" i="3"/>
  <c r="A15" i="3"/>
  <c r="G14" i="3"/>
  <c r="D14" i="13" s="1"/>
  <c r="E14" i="13" s="1"/>
  <c r="C14" i="3"/>
  <c r="B14" i="3"/>
  <c r="A14" i="3"/>
  <c r="G13" i="3"/>
  <c r="D13" i="13" s="1"/>
  <c r="C13" i="3"/>
  <c r="B13" i="3"/>
  <c r="A13" i="3"/>
  <c r="G12" i="3"/>
  <c r="D12" i="13" s="1"/>
  <c r="E12" i="13" s="1"/>
  <c r="C12" i="3"/>
  <c r="B12" i="3"/>
  <c r="A12" i="3"/>
  <c r="G11" i="3"/>
  <c r="D11" i="13" s="1"/>
  <c r="C11" i="3"/>
  <c r="B11" i="3"/>
  <c r="A11" i="3"/>
  <c r="G10" i="3"/>
  <c r="D10" i="13" s="1"/>
  <c r="C10" i="3"/>
  <c r="B10" i="3"/>
  <c r="A10" i="3"/>
  <c r="G9" i="3"/>
  <c r="D9" i="13" s="1"/>
  <c r="C9" i="3"/>
  <c r="B9" i="3"/>
  <c r="A9" i="3"/>
  <c r="G8" i="3"/>
  <c r="D8" i="13" s="1"/>
  <c r="C8" i="3"/>
  <c r="B8" i="3"/>
  <c r="A8" i="3"/>
  <c r="G7" i="3"/>
  <c r="D7" i="13" s="1"/>
  <c r="C7" i="3"/>
  <c r="B7" i="3"/>
  <c r="A7" i="3"/>
  <c r="G6" i="3"/>
  <c r="D6" i="13" s="1"/>
  <c r="E6" i="13" s="1"/>
  <c r="C6" i="3"/>
  <c r="B6" i="3"/>
  <c r="A6" i="3"/>
  <c r="G5" i="3"/>
  <c r="D5" i="13" s="1"/>
  <c r="E5" i="13" s="1"/>
  <c r="C5" i="3"/>
  <c r="B5" i="3"/>
  <c r="A5" i="3"/>
  <c r="G4" i="3"/>
  <c r="D4" i="13" s="1"/>
  <c r="C4" i="3"/>
  <c r="B4" i="3"/>
  <c r="A4" i="3"/>
  <c r="G3" i="3"/>
  <c r="D3" i="13" s="1"/>
  <c r="E3" i="13" s="1"/>
  <c r="C3" i="3"/>
  <c r="B3" i="3"/>
  <c r="A3" i="3"/>
  <c r="B22" i="2"/>
  <c r="B21" i="2"/>
  <c r="F9" i="2"/>
  <c r="H9" i="2" s="1"/>
  <c r="F8" i="2"/>
  <c r="H8" i="2" s="1"/>
  <c r="F7" i="2"/>
  <c r="H7" i="2" s="1"/>
  <c r="F6" i="2"/>
  <c r="H6" i="2" s="1"/>
  <c r="F5" i="2"/>
  <c r="H5" i="2" s="1"/>
  <c r="F4" i="2"/>
  <c r="H4" i="2" s="1"/>
  <c r="O222" i="13" l="1"/>
  <c r="P222" i="13" s="1"/>
  <c r="O224" i="13"/>
  <c r="P224" i="13" s="1"/>
  <c r="O200" i="13"/>
  <c r="P200" i="13" s="1"/>
  <c r="M219" i="13"/>
  <c r="O212" i="13"/>
  <c r="P212" i="13" s="1"/>
  <c r="O188" i="13"/>
  <c r="P188" i="13" s="1"/>
  <c r="E9" i="13"/>
  <c r="E63" i="13"/>
  <c r="E147" i="13"/>
  <c r="E84" i="13"/>
  <c r="U84" i="13" s="1"/>
  <c r="E111" i="13"/>
  <c r="E190" i="13"/>
  <c r="E202" i="13"/>
  <c r="O197" i="13"/>
  <c r="P197" i="13" s="1"/>
  <c r="O221" i="13"/>
  <c r="P221" i="13" s="1"/>
  <c r="E172" i="13"/>
  <c r="U172" i="13" s="1"/>
  <c r="O206" i="13"/>
  <c r="P206" i="13" s="1"/>
  <c r="M213" i="13"/>
  <c r="O218" i="13"/>
  <c r="P218" i="13" s="1"/>
  <c r="E122" i="13"/>
  <c r="E149" i="13"/>
  <c r="U149" i="13" s="1"/>
  <c r="E197" i="13"/>
  <c r="U197" i="13" s="1"/>
  <c r="E221" i="13"/>
  <c r="W221" i="13" s="1"/>
  <c r="O194" i="13"/>
  <c r="P194" i="13" s="1"/>
  <c r="O215" i="13"/>
  <c r="P215" i="13" s="1"/>
  <c r="E92" i="13"/>
  <c r="E11" i="13"/>
  <c r="W11" i="13" s="1"/>
  <c r="E86" i="13"/>
  <c r="W86" i="13" s="1"/>
  <c r="O225" i="13"/>
  <c r="P225" i="13" s="1"/>
  <c r="E17" i="13"/>
  <c r="U17" i="13" s="1"/>
  <c r="H191" i="13"/>
  <c r="H182" i="13"/>
  <c r="H192" i="13"/>
  <c r="H188" i="13"/>
  <c r="H186" i="13"/>
  <c r="H193" i="13"/>
  <c r="H185" i="13"/>
  <c r="H183" i="13"/>
  <c r="H179" i="13"/>
  <c r="H176" i="13"/>
  <c r="H162" i="13"/>
  <c r="H181" i="13"/>
  <c r="H177" i="13"/>
  <c r="H158" i="13"/>
  <c r="H180" i="13"/>
  <c r="H173" i="13"/>
  <c r="H165" i="13"/>
  <c r="H171" i="13"/>
  <c r="H170" i="13"/>
  <c r="H164" i="13"/>
  <c r="H156" i="13"/>
  <c r="H161" i="13"/>
  <c r="H169" i="13"/>
  <c r="H160" i="13"/>
  <c r="H167" i="13"/>
  <c r="H221" i="13"/>
  <c r="H215" i="13"/>
  <c r="H209" i="13"/>
  <c r="H203" i="13"/>
  <c r="H197" i="13"/>
  <c r="H225" i="13"/>
  <c r="H212" i="13"/>
  <c r="H210" i="13"/>
  <c r="H218" i="13"/>
  <c r="H216" i="13"/>
  <c r="H224" i="13"/>
  <c r="H222" i="13"/>
  <c r="H194" i="13"/>
  <c r="H213" i="13"/>
  <c r="H200" i="13"/>
  <c r="H198" i="13"/>
  <c r="H223" i="13"/>
  <c r="H219" i="13"/>
  <c r="H204" i="13"/>
  <c r="H211" i="13"/>
  <c r="H217" i="13"/>
  <c r="H206" i="13"/>
  <c r="U14" i="13"/>
  <c r="V14" i="13"/>
  <c r="G14" i="13"/>
  <c r="W14" i="13"/>
  <c r="W23" i="13"/>
  <c r="U23" i="13"/>
  <c r="G23" i="13"/>
  <c r="V23" i="13"/>
  <c r="W68" i="13"/>
  <c r="U68" i="13"/>
  <c r="V68" i="13"/>
  <c r="W80" i="13"/>
  <c r="U80" i="13"/>
  <c r="V80" i="13"/>
  <c r="G80" i="13"/>
  <c r="U92" i="13"/>
  <c r="W92" i="13"/>
  <c r="V92" i="13"/>
  <c r="U95" i="13"/>
  <c r="G95" i="13"/>
  <c r="W95" i="13"/>
  <c r="V95" i="13"/>
  <c r="V107" i="13"/>
  <c r="U107" i="13"/>
  <c r="G107" i="13"/>
  <c r="W107" i="13"/>
  <c r="V110" i="13"/>
  <c r="U110" i="13"/>
  <c r="W110" i="13"/>
  <c r="V113" i="13"/>
  <c r="U113" i="13"/>
  <c r="W113" i="13"/>
  <c r="V116" i="13"/>
  <c r="U116" i="13"/>
  <c r="W116" i="13"/>
  <c r="W119" i="13"/>
  <c r="V119" i="13"/>
  <c r="U119" i="13"/>
  <c r="V122" i="13"/>
  <c r="U122" i="13"/>
  <c r="W122" i="13"/>
  <c r="W125" i="13"/>
  <c r="V125" i="13"/>
  <c r="U125" i="13"/>
  <c r="V128" i="13"/>
  <c r="U128" i="13"/>
  <c r="W128" i="13"/>
  <c r="W131" i="13"/>
  <c r="V131" i="13"/>
  <c r="U131" i="13"/>
  <c r="V134" i="13"/>
  <c r="U134" i="13"/>
  <c r="W134" i="13"/>
  <c r="W137" i="13"/>
  <c r="V137" i="13"/>
  <c r="U137" i="13"/>
  <c r="V140" i="13"/>
  <c r="U140" i="13"/>
  <c r="W140" i="13"/>
  <c r="W143" i="13"/>
  <c r="V143" i="13"/>
  <c r="U143" i="13"/>
  <c r="V146" i="13"/>
  <c r="U146" i="13"/>
  <c r="W146" i="13"/>
  <c r="W149" i="13"/>
  <c r="W155" i="13"/>
  <c r="V155" i="13"/>
  <c r="U155" i="13"/>
  <c r="G155" i="13"/>
  <c r="V161" i="13"/>
  <c r="U161" i="13"/>
  <c r="G161" i="13"/>
  <c r="W161" i="13"/>
  <c r="W173" i="13"/>
  <c r="V173" i="13"/>
  <c r="U173" i="13"/>
  <c r="G185" i="13"/>
  <c r="W185" i="13"/>
  <c r="U185" i="13"/>
  <c r="V185" i="13"/>
  <c r="G191" i="13"/>
  <c r="W191" i="13"/>
  <c r="V191" i="13"/>
  <c r="U191" i="13"/>
  <c r="G197" i="13"/>
  <c r="W197" i="13"/>
  <c r="V197" i="13"/>
  <c r="U200" i="13"/>
  <c r="V200" i="13"/>
  <c r="W200" i="13"/>
  <c r="G203" i="13"/>
  <c r="V203" i="13"/>
  <c r="W203" i="13"/>
  <c r="U203" i="13"/>
  <c r="G209" i="13"/>
  <c r="V209" i="13"/>
  <c r="U209" i="13"/>
  <c r="W209" i="13"/>
  <c r="U212" i="13"/>
  <c r="W212" i="13"/>
  <c r="V212" i="13"/>
  <c r="G215" i="13"/>
  <c r="W215" i="13"/>
  <c r="V215" i="13"/>
  <c r="U215" i="13"/>
  <c r="U218" i="13"/>
  <c r="V218" i="13"/>
  <c r="W218" i="13"/>
  <c r="G221" i="13"/>
  <c r="V221" i="13"/>
  <c r="W5" i="13"/>
  <c r="U5" i="13"/>
  <c r="V5" i="13"/>
  <c r="U26" i="13"/>
  <c r="W26" i="13"/>
  <c r="V26" i="13"/>
  <c r="G26" i="13"/>
  <c r="W62" i="13"/>
  <c r="U62" i="13"/>
  <c r="V62" i="13"/>
  <c r="V98" i="13"/>
  <c r="U98" i="13"/>
  <c r="W98" i="13"/>
  <c r="W17" i="13"/>
  <c r="W29" i="13"/>
  <c r="U29" i="13"/>
  <c r="V29" i="13"/>
  <c r="G29" i="13"/>
  <c r="W74" i="13"/>
  <c r="U74" i="13"/>
  <c r="V74" i="13"/>
  <c r="V104" i="13"/>
  <c r="U104" i="13"/>
  <c r="W104" i="13"/>
  <c r="H22" i="13"/>
  <c r="H10" i="13"/>
  <c r="H33" i="13"/>
  <c r="H24" i="13"/>
  <c r="H15" i="13"/>
  <c r="H3" i="13"/>
  <c r="H28" i="13"/>
  <c r="H34" i="13"/>
  <c r="H21" i="13"/>
  <c r="H9" i="13"/>
  <c r="H25" i="13"/>
  <c r="H30" i="13"/>
  <c r="H13" i="13"/>
  <c r="H7" i="13"/>
  <c r="H6" i="13"/>
  <c r="H4" i="13"/>
  <c r="H12" i="13"/>
  <c r="H19" i="13"/>
  <c r="H18" i="13"/>
  <c r="H17" i="13"/>
  <c r="H16" i="13"/>
  <c r="H27" i="13"/>
  <c r="U20" i="13"/>
  <c r="G20" i="13"/>
  <c r="V20" i="13"/>
  <c r="W20" i="13"/>
  <c r="W35" i="13"/>
  <c r="U35" i="13"/>
  <c r="V35" i="13"/>
  <c r="W56" i="13"/>
  <c r="U56" i="13"/>
  <c r="V56" i="13"/>
  <c r="V101" i="13"/>
  <c r="U101" i="13"/>
  <c r="W101" i="13"/>
  <c r="H75" i="13"/>
  <c r="H78" i="13"/>
  <c r="H72" i="13"/>
  <c r="H69" i="13"/>
  <c r="H65" i="13"/>
  <c r="H51" i="13"/>
  <c r="H81" i="13"/>
  <c r="H84" i="13"/>
  <c r="H77" i="13"/>
  <c r="H67" i="13"/>
  <c r="H55" i="13"/>
  <c r="H46" i="13"/>
  <c r="H54" i="13"/>
  <c r="H60" i="13"/>
  <c r="H48" i="13"/>
  <c r="H63" i="13"/>
  <c r="H57" i="13"/>
  <c r="H37" i="13"/>
  <c r="H39" i="13"/>
  <c r="H59" i="13"/>
  <c r="H45" i="13"/>
  <c r="H79" i="13"/>
  <c r="H73" i="13"/>
  <c r="H66" i="13"/>
  <c r="H36" i="13"/>
  <c r="H49" i="13"/>
  <c r="H40" i="13"/>
  <c r="H52" i="13"/>
  <c r="H82" i="13"/>
  <c r="H42" i="13"/>
  <c r="H61" i="13"/>
  <c r="H71" i="13"/>
  <c r="H58" i="13"/>
  <c r="W41" i="13"/>
  <c r="U41" i="13"/>
  <c r="V41" i="13"/>
  <c r="U11" i="13"/>
  <c r="V11" i="13"/>
  <c r="W47" i="13"/>
  <c r="U47" i="13"/>
  <c r="G47" i="13"/>
  <c r="V47" i="13"/>
  <c r="H126" i="13"/>
  <c r="H120" i="13"/>
  <c r="H114" i="13"/>
  <c r="H108" i="13"/>
  <c r="H102" i="13"/>
  <c r="H123" i="13"/>
  <c r="H117" i="13"/>
  <c r="H111" i="13"/>
  <c r="H105" i="13"/>
  <c r="H99" i="13"/>
  <c r="H110" i="13"/>
  <c r="H93" i="13"/>
  <c r="H148" i="13"/>
  <c r="H142" i="13"/>
  <c r="H136" i="13"/>
  <c r="H130" i="13"/>
  <c r="H124" i="13"/>
  <c r="H118" i="13"/>
  <c r="H107" i="13"/>
  <c r="H96" i="13"/>
  <c r="H95" i="13"/>
  <c r="H90" i="13"/>
  <c r="H85" i="13"/>
  <c r="H97" i="13"/>
  <c r="H125" i="13"/>
  <c r="H89" i="13"/>
  <c r="H87" i="13"/>
  <c r="H91" i="13"/>
  <c r="H101" i="13"/>
  <c r="H131" i="13"/>
  <c r="C26" i="16"/>
  <c r="C6" i="16"/>
  <c r="D6" i="16" s="1"/>
  <c r="W3" i="13"/>
  <c r="V3" i="13"/>
  <c r="U3" i="13"/>
  <c r="U6" i="13"/>
  <c r="G6" i="13"/>
  <c r="V6" i="13"/>
  <c r="W6" i="13"/>
  <c r="W9" i="13"/>
  <c r="V9" i="13"/>
  <c r="U9" i="13"/>
  <c r="U12" i="13"/>
  <c r="W12" i="13"/>
  <c r="V12" i="13"/>
  <c r="G15" i="13"/>
  <c r="W15" i="13"/>
  <c r="V15" i="13"/>
  <c r="U15" i="13"/>
  <c r="U18" i="13"/>
  <c r="V18" i="13"/>
  <c r="W18" i="13"/>
  <c r="G21" i="13"/>
  <c r="W21" i="13"/>
  <c r="V21" i="13"/>
  <c r="U21" i="13"/>
  <c r="G27" i="13"/>
  <c r="V27" i="13"/>
  <c r="U27" i="13"/>
  <c r="W27" i="13"/>
  <c r="U30" i="13"/>
  <c r="W30" i="13"/>
  <c r="V30" i="13"/>
  <c r="G33" i="13"/>
  <c r="W33" i="13"/>
  <c r="V33" i="13"/>
  <c r="U33" i="13"/>
  <c r="G39" i="13"/>
  <c r="V39" i="13"/>
  <c r="U39" i="13"/>
  <c r="W39" i="13"/>
  <c r="G45" i="13"/>
  <c r="W45" i="13"/>
  <c r="V45" i="13"/>
  <c r="U45" i="13"/>
  <c r="U54" i="13"/>
  <c r="G54" i="13"/>
  <c r="W54" i="13"/>
  <c r="V54" i="13"/>
  <c r="G60" i="13"/>
  <c r="V60" i="13"/>
  <c r="U60" i="13"/>
  <c r="W60" i="13"/>
  <c r="U63" i="13"/>
  <c r="V63" i="13"/>
  <c r="W63" i="13"/>
  <c r="G66" i="13"/>
  <c r="U66" i="13"/>
  <c r="W66" i="13"/>
  <c r="V66" i="13"/>
  <c r="U69" i="13"/>
  <c r="W69" i="13"/>
  <c r="V69" i="13"/>
  <c r="G72" i="13"/>
  <c r="W72" i="13"/>
  <c r="V72" i="13"/>
  <c r="U72" i="13"/>
  <c r="G78" i="13"/>
  <c r="W78" i="13"/>
  <c r="V78" i="13"/>
  <c r="U78" i="13"/>
  <c r="U81" i="13"/>
  <c r="W81" i="13"/>
  <c r="V81" i="13"/>
  <c r="W84" i="13"/>
  <c r="G84" i="13"/>
  <c r="V84" i="13"/>
  <c r="W99" i="13"/>
  <c r="V99" i="13"/>
  <c r="U99" i="13"/>
  <c r="V102" i="13"/>
  <c r="W102" i="13"/>
  <c r="U102" i="13"/>
  <c r="W111" i="13"/>
  <c r="V111" i="13"/>
  <c r="U111" i="13"/>
  <c r="V117" i="13"/>
  <c r="U117" i="13"/>
  <c r="W117" i="13"/>
  <c r="V123" i="13"/>
  <c r="U123" i="13"/>
  <c r="W123" i="13"/>
  <c r="V129" i="13"/>
  <c r="U129" i="13"/>
  <c r="G135" i="13"/>
  <c r="V135" i="13"/>
  <c r="U135" i="13"/>
  <c r="W135" i="13"/>
  <c r="V138" i="13"/>
  <c r="U138" i="13"/>
  <c r="W138" i="13"/>
  <c r="G141" i="13"/>
  <c r="V141" i="13"/>
  <c r="U141" i="13"/>
  <c r="W141" i="13"/>
  <c r="V144" i="13"/>
  <c r="U144" i="13"/>
  <c r="W144" i="13"/>
  <c r="G147" i="13"/>
  <c r="V147" i="13"/>
  <c r="U147" i="13"/>
  <c r="W147" i="13"/>
  <c r="W156" i="13"/>
  <c r="G156" i="13"/>
  <c r="V156" i="13"/>
  <c r="U156" i="13"/>
  <c r="W159" i="13"/>
  <c r="U159" i="13"/>
  <c r="V159" i="13"/>
  <c r="W162" i="13"/>
  <c r="V162" i="13"/>
  <c r="G162" i="13"/>
  <c r="U162" i="13"/>
  <c r="W154" i="13"/>
  <c r="V154" i="13"/>
  <c r="U154" i="13"/>
  <c r="U166" i="13"/>
  <c r="V166" i="13"/>
  <c r="W166" i="13"/>
  <c r="U169" i="13"/>
  <c r="W169" i="13"/>
  <c r="V169" i="13"/>
  <c r="U175" i="13"/>
  <c r="W175" i="13"/>
  <c r="V175" i="13"/>
  <c r="U178" i="13"/>
  <c r="W178" i="13"/>
  <c r="V178" i="13"/>
  <c r="U181" i="13"/>
  <c r="G181" i="13"/>
  <c r="W181" i="13"/>
  <c r="V181" i="13"/>
  <c r="U184" i="13"/>
  <c r="V184" i="13"/>
  <c r="W184" i="13"/>
  <c r="W187" i="13"/>
  <c r="U187" i="13"/>
  <c r="V187" i="13"/>
  <c r="V190" i="13"/>
  <c r="U190" i="13"/>
  <c r="W190" i="13"/>
  <c r="G190" i="13"/>
  <c r="W193" i="13"/>
  <c r="U193" i="13"/>
  <c r="V193" i="13"/>
  <c r="V196" i="13"/>
  <c r="U196" i="13"/>
  <c r="W196" i="13"/>
  <c r="W199" i="13"/>
  <c r="U199" i="13"/>
  <c r="V199" i="13"/>
  <c r="V202" i="13"/>
  <c r="U202" i="13"/>
  <c r="W202" i="13"/>
  <c r="G202" i="13"/>
  <c r="W205" i="13"/>
  <c r="U205" i="13"/>
  <c r="V205" i="13"/>
  <c r="V208" i="13"/>
  <c r="U208" i="13"/>
  <c r="W208" i="13"/>
  <c r="W211" i="13"/>
  <c r="U211" i="13"/>
  <c r="V211" i="13"/>
  <c r="V214" i="13"/>
  <c r="U214" i="13"/>
  <c r="W214" i="13"/>
  <c r="W217" i="13"/>
  <c r="U217" i="13"/>
  <c r="G217" i="13"/>
  <c r="V217" i="13"/>
  <c r="V220" i="13"/>
  <c r="U220" i="13"/>
  <c r="W220" i="13"/>
  <c r="G220" i="13"/>
  <c r="W223" i="13"/>
  <c r="U223" i="13"/>
  <c r="V223" i="13"/>
  <c r="G223" i="13"/>
  <c r="H31" i="13"/>
  <c r="M31" i="13"/>
  <c r="E55" i="13"/>
  <c r="M11" i="13"/>
  <c r="H11" i="13"/>
  <c r="G11" i="13"/>
  <c r="E51" i="13"/>
  <c r="G68" i="13"/>
  <c r="M68" i="13"/>
  <c r="H68" i="13"/>
  <c r="E25" i="13"/>
  <c r="G25" i="13" s="1"/>
  <c r="E37" i="13"/>
  <c r="M5" i="13"/>
  <c r="H5" i="13"/>
  <c r="G5" i="13"/>
  <c r="M17" i="13"/>
  <c r="M43" i="13"/>
  <c r="H43" i="13"/>
  <c r="E24" i="13"/>
  <c r="G24" i="13" s="1"/>
  <c r="E32" i="13"/>
  <c r="M53" i="13"/>
  <c r="H53" i="13"/>
  <c r="E57" i="13"/>
  <c r="E36" i="13"/>
  <c r="E42" i="13"/>
  <c r="M56" i="13"/>
  <c r="G56" i="13"/>
  <c r="H41" i="13"/>
  <c r="M41" i="13"/>
  <c r="G41" i="13"/>
  <c r="E49" i="13"/>
  <c r="G49" i="13" s="1"/>
  <c r="E158" i="13"/>
  <c r="G158" i="13" s="1"/>
  <c r="C5" i="16"/>
  <c r="D5" i="16" s="1"/>
  <c r="H29" i="13"/>
  <c r="M29" i="13"/>
  <c r="H56" i="13"/>
  <c r="H92" i="13"/>
  <c r="M92" i="13"/>
  <c r="G92" i="13"/>
  <c r="H134" i="13"/>
  <c r="G134" i="13"/>
  <c r="M134" i="13"/>
  <c r="E48" i="13"/>
  <c r="G48" i="13" s="1"/>
  <c r="H62" i="13"/>
  <c r="E4" i="13"/>
  <c r="H8" i="13"/>
  <c r="E16" i="13"/>
  <c r="H20" i="13"/>
  <c r="H26" i="13"/>
  <c r="E34" i="13"/>
  <c r="H50" i="13"/>
  <c r="M50" i="13"/>
  <c r="E43" i="13"/>
  <c r="G43" i="13" s="1"/>
  <c r="E53" i="13"/>
  <c r="M71" i="13"/>
  <c r="E126" i="13"/>
  <c r="G126" i="13" s="1"/>
  <c r="G143" i="13"/>
  <c r="M143" i="13"/>
  <c r="H143" i="13"/>
  <c r="G3" i="13"/>
  <c r="E8" i="13"/>
  <c r="E13" i="13"/>
  <c r="H35" i="13"/>
  <c r="E50" i="13"/>
  <c r="M57" i="13"/>
  <c r="G63" i="13"/>
  <c r="E28" i="13"/>
  <c r="H44" i="13"/>
  <c r="E150" i="13"/>
  <c r="E44" i="13"/>
  <c r="E70" i="13"/>
  <c r="M76" i="13"/>
  <c r="E132" i="13"/>
  <c r="E10" i="13"/>
  <c r="H14" i="13"/>
  <c r="G19" i="13"/>
  <c r="E22" i="13"/>
  <c r="H38" i="13"/>
  <c r="E46" i="13"/>
  <c r="E64" i="13"/>
  <c r="G64" i="13" s="1"/>
  <c r="E96" i="13"/>
  <c r="G96" i="13" s="1"/>
  <c r="E31" i="13"/>
  <c r="G31" i="13" s="1"/>
  <c r="H151" i="13"/>
  <c r="M151" i="13"/>
  <c r="E7" i="13"/>
  <c r="M13" i="13"/>
  <c r="E19" i="13"/>
  <c r="H23" i="13"/>
  <c r="G35" i="13"/>
  <c r="E38" i="13"/>
  <c r="H47" i="13"/>
  <c r="M49" i="13"/>
  <c r="E58" i="13"/>
  <c r="G58" i="13" s="1"/>
  <c r="E61" i="13"/>
  <c r="M63" i="13"/>
  <c r="H74" i="13"/>
  <c r="H76" i="13"/>
  <c r="E90" i="13"/>
  <c r="G90" i="13" s="1"/>
  <c r="H100" i="13"/>
  <c r="M100" i="13"/>
  <c r="E120" i="13"/>
  <c r="G120" i="13" s="1"/>
  <c r="H32" i="13"/>
  <c r="M37" i="13"/>
  <c r="E40" i="13"/>
  <c r="M59" i="13"/>
  <c r="E75" i="13"/>
  <c r="G75" i="13" s="1"/>
  <c r="E52" i="13"/>
  <c r="E59" i="13"/>
  <c r="G62" i="13"/>
  <c r="E73" i="13"/>
  <c r="G74" i="13"/>
  <c r="E79" i="13"/>
  <c r="E89" i="13"/>
  <c r="H104" i="13"/>
  <c r="G104" i="13"/>
  <c r="E105" i="13"/>
  <c r="H121" i="13"/>
  <c r="M121" i="13"/>
  <c r="M6" i="13"/>
  <c r="G9" i="13"/>
  <c r="M12" i="13"/>
  <c r="M18" i="13"/>
  <c r="M24" i="13"/>
  <c r="M30" i="13"/>
  <c r="M36" i="13"/>
  <c r="M42" i="13"/>
  <c r="M48" i="13"/>
  <c r="H70" i="13"/>
  <c r="E76" i="13"/>
  <c r="E109" i="13"/>
  <c r="G125" i="13"/>
  <c r="H146" i="13"/>
  <c r="G146" i="13"/>
  <c r="G154" i="13"/>
  <c r="H154" i="13"/>
  <c r="H159" i="13"/>
  <c r="G159" i="13"/>
  <c r="M159" i="13"/>
  <c r="E65" i="13"/>
  <c r="E87" i="13"/>
  <c r="H133" i="13"/>
  <c r="M133" i="13"/>
  <c r="E198" i="13"/>
  <c r="E83" i="13"/>
  <c r="M94" i="13"/>
  <c r="H94" i="13"/>
  <c r="G137" i="13"/>
  <c r="H168" i="13"/>
  <c r="H80" i="13"/>
  <c r="E85" i="13"/>
  <c r="E93" i="13"/>
  <c r="E103" i="13"/>
  <c r="E108" i="13"/>
  <c r="H128" i="13"/>
  <c r="G128" i="13"/>
  <c r="H145" i="13"/>
  <c r="G145" i="13"/>
  <c r="M145" i="13"/>
  <c r="G102" i="13"/>
  <c r="E114" i="13"/>
  <c r="G149" i="13"/>
  <c r="E71" i="13"/>
  <c r="G71" i="13" s="1"/>
  <c r="H86" i="13"/>
  <c r="G119" i="13"/>
  <c r="H137" i="13"/>
  <c r="H140" i="13"/>
  <c r="G140" i="13"/>
  <c r="M3" i="13"/>
  <c r="M9" i="13"/>
  <c r="G12" i="13"/>
  <c r="M15" i="13"/>
  <c r="G18" i="13"/>
  <c r="M27" i="13"/>
  <c r="G30" i="13"/>
  <c r="M33" i="13"/>
  <c r="G36" i="13"/>
  <c r="M39" i="13"/>
  <c r="G42" i="13"/>
  <c r="M45" i="13"/>
  <c r="H64" i="13"/>
  <c r="G82" i="13"/>
  <c r="H83" i="13"/>
  <c r="E88" i="13"/>
  <c r="H127" i="13"/>
  <c r="M127" i="13"/>
  <c r="M137" i="13"/>
  <c r="M101" i="13"/>
  <c r="G101" i="13"/>
  <c r="E112" i="13"/>
  <c r="M128" i="13"/>
  <c r="G131" i="13"/>
  <c r="H149" i="13"/>
  <c r="E67" i="13"/>
  <c r="E77" i="13"/>
  <c r="G77" i="13" s="1"/>
  <c r="E82" i="13"/>
  <c r="H88" i="13"/>
  <c r="H119" i="13"/>
  <c r="H122" i="13"/>
  <c r="G122" i="13"/>
  <c r="H139" i="13"/>
  <c r="G139" i="13"/>
  <c r="M139" i="13"/>
  <c r="M149" i="13"/>
  <c r="M160" i="13"/>
  <c r="E183" i="13"/>
  <c r="G183" i="13" s="1"/>
  <c r="M69" i="13"/>
  <c r="M75" i="13"/>
  <c r="M81" i="13"/>
  <c r="M87" i="13"/>
  <c r="E94" i="13"/>
  <c r="G113" i="13"/>
  <c r="E121" i="13"/>
  <c r="G121" i="13" s="1"/>
  <c r="E127" i="13"/>
  <c r="G127" i="13" s="1"/>
  <c r="E133" i="13"/>
  <c r="G133" i="13" s="1"/>
  <c r="E139" i="13"/>
  <c r="E145" i="13"/>
  <c r="E151" i="13"/>
  <c r="G151" i="13" s="1"/>
  <c r="H113" i="13"/>
  <c r="E118" i="13"/>
  <c r="E124" i="13"/>
  <c r="E130" i="13"/>
  <c r="E136" i="13"/>
  <c r="E142" i="13"/>
  <c r="E148" i="13"/>
  <c r="M195" i="13"/>
  <c r="H195" i="13"/>
  <c r="O195" i="13"/>
  <c r="P195" i="13" s="1"/>
  <c r="G108" i="13"/>
  <c r="M109" i="13"/>
  <c r="H166" i="13"/>
  <c r="G166" i="13"/>
  <c r="E179" i="13"/>
  <c r="G179" i="13" s="1"/>
  <c r="M89" i="13"/>
  <c r="E106" i="13"/>
  <c r="E152" i="13"/>
  <c r="H155" i="13"/>
  <c r="H178" i="13"/>
  <c r="G178" i="13"/>
  <c r="M178" i="13"/>
  <c r="M90" i="13"/>
  <c r="E91" i="13"/>
  <c r="E100" i="13"/>
  <c r="G112" i="13"/>
  <c r="G116" i="13"/>
  <c r="H152" i="13"/>
  <c r="H153" i="13"/>
  <c r="H163" i="13"/>
  <c r="M163" i="13"/>
  <c r="E165" i="13"/>
  <c r="E224" i="13"/>
  <c r="M54" i="13"/>
  <c r="M60" i="13"/>
  <c r="M66" i="13"/>
  <c r="G69" i="13"/>
  <c r="M72" i="13"/>
  <c r="M78" i="13"/>
  <c r="G81" i="13"/>
  <c r="M84" i="13"/>
  <c r="G87" i="13"/>
  <c r="G110" i="13"/>
  <c r="H112" i="13"/>
  <c r="H115" i="13"/>
  <c r="H116" i="13"/>
  <c r="H157" i="13"/>
  <c r="M157" i="13"/>
  <c r="M166" i="13"/>
  <c r="E97" i="13"/>
  <c r="G98" i="13"/>
  <c r="H106" i="13"/>
  <c r="H109" i="13"/>
  <c r="H132" i="13"/>
  <c r="H138" i="13"/>
  <c r="H144" i="13"/>
  <c r="H150" i="13"/>
  <c r="M152" i="13"/>
  <c r="E153" i="13"/>
  <c r="E163" i="13"/>
  <c r="G163" i="13" s="1"/>
  <c r="H174" i="13"/>
  <c r="M174" i="13"/>
  <c r="E213" i="13"/>
  <c r="H98" i="13"/>
  <c r="H103" i="13"/>
  <c r="E115" i="13"/>
  <c r="E157" i="13"/>
  <c r="G157" i="13" s="1"/>
  <c r="M96" i="13"/>
  <c r="G99" i="13"/>
  <c r="M102" i="13"/>
  <c r="G105" i="13"/>
  <c r="M108" i="13"/>
  <c r="G111" i="13"/>
  <c r="M114" i="13"/>
  <c r="G117" i="13"/>
  <c r="M120" i="13"/>
  <c r="G123" i="13"/>
  <c r="M126" i="13"/>
  <c r="G129" i="13"/>
  <c r="M132" i="13"/>
  <c r="M138" i="13"/>
  <c r="M144" i="13"/>
  <c r="M150" i="13"/>
  <c r="E160" i="13"/>
  <c r="G160" i="13" s="1"/>
  <c r="E164" i="13"/>
  <c r="E170" i="13"/>
  <c r="H129" i="13"/>
  <c r="H135" i="13"/>
  <c r="H141" i="13"/>
  <c r="H147" i="13"/>
  <c r="G173" i="13"/>
  <c r="H189" i="13"/>
  <c r="O189" i="13"/>
  <c r="P189" i="13" s="1"/>
  <c r="E206" i="13"/>
  <c r="O211" i="13"/>
  <c r="P211" i="13" s="1"/>
  <c r="M211" i="13"/>
  <c r="G211" i="13"/>
  <c r="G175" i="13"/>
  <c r="E180" i="13"/>
  <c r="E182" i="13"/>
  <c r="O187" i="13"/>
  <c r="P187" i="13" s="1"/>
  <c r="H187" i="13"/>
  <c r="G187" i="13"/>
  <c r="M187" i="13"/>
  <c r="E195" i="13"/>
  <c r="G195" i="13" s="1"/>
  <c r="G138" i="13"/>
  <c r="G144" i="13"/>
  <c r="E176" i="13"/>
  <c r="G176" i="13" s="1"/>
  <c r="E188" i="13"/>
  <c r="O193" i="13"/>
  <c r="P193" i="13" s="1"/>
  <c r="G193" i="13"/>
  <c r="M193" i="13"/>
  <c r="E194" i="13"/>
  <c r="G194" i="13" s="1"/>
  <c r="H220" i="13"/>
  <c r="O220" i="13"/>
  <c r="P220" i="13" s="1"/>
  <c r="M220" i="13"/>
  <c r="E186" i="13"/>
  <c r="E201" i="13"/>
  <c r="M168" i="13"/>
  <c r="M169" i="13"/>
  <c r="G169" i="13"/>
  <c r="O199" i="13"/>
  <c r="P199" i="13" s="1"/>
  <c r="H199" i="13"/>
  <c r="G199" i="13"/>
  <c r="E167" i="13"/>
  <c r="F173" i="13" s="1"/>
  <c r="L173" i="13" s="1"/>
  <c r="H175" i="13"/>
  <c r="O207" i="13"/>
  <c r="P207" i="13" s="1"/>
  <c r="M207" i="13"/>
  <c r="H207" i="13"/>
  <c r="G196" i="13"/>
  <c r="O205" i="13"/>
  <c r="P205" i="13" s="1"/>
  <c r="E207" i="13"/>
  <c r="G207" i="13" s="1"/>
  <c r="E168" i="13"/>
  <c r="G168" i="13" s="1"/>
  <c r="E192" i="13"/>
  <c r="H214" i="13"/>
  <c r="O214" i="13"/>
  <c r="P214" i="13" s="1"/>
  <c r="E171" i="13"/>
  <c r="H184" i="13"/>
  <c r="O184" i="13"/>
  <c r="P184" i="13" s="1"/>
  <c r="H208" i="13"/>
  <c r="O208" i="13"/>
  <c r="P208" i="13" s="1"/>
  <c r="E222" i="13"/>
  <c r="H201" i="13"/>
  <c r="H202" i="13"/>
  <c r="O202" i="13"/>
  <c r="P202" i="13" s="1"/>
  <c r="G205" i="13"/>
  <c r="E216" i="13"/>
  <c r="E174" i="13"/>
  <c r="G174" i="13" s="1"/>
  <c r="E189" i="13"/>
  <c r="F193" i="13" s="1"/>
  <c r="H205" i="13"/>
  <c r="G214" i="13"/>
  <c r="O223" i="13"/>
  <c r="P223" i="13" s="1"/>
  <c r="E225" i="13"/>
  <c r="G225" i="13" s="1"/>
  <c r="H196" i="13"/>
  <c r="O196" i="13"/>
  <c r="P196" i="13" s="1"/>
  <c r="E210" i="13"/>
  <c r="E177" i="13"/>
  <c r="G184" i="13"/>
  <c r="G208" i="13"/>
  <c r="G213" i="13"/>
  <c r="O217" i="13"/>
  <c r="P217" i="13" s="1"/>
  <c r="E219" i="13"/>
  <c r="H172" i="13"/>
  <c r="H190" i="13"/>
  <c r="O190" i="13"/>
  <c r="P190" i="13" s="1"/>
  <c r="O201" i="13"/>
  <c r="P201" i="13" s="1"/>
  <c r="E204" i="13"/>
  <c r="M205" i="13"/>
  <c r="M214" i="13"/>
  <c r="G164" i="13"/>
  <c r="M167" i="13"/>
  <c r="G170" i="13"/>
  <c r="M173" i="13"/>
  <c r="M179" i="13"/>
  <c r="G182" i="13"/>
  <c r="M185" i="13"/>
  <c r="G188" i="13"/>
  <c r="M191" i="13"/>
  <c r="G200" i="13"/>
  <c r="M203" i="13"/>
  <c r="M209" i="13"/>
  <c r="G212" i="13"/>
  <c r="G218" i="13"/>
  <c r="G224" i="13"/>
  <c r="M186" i="13"/>
  <c r="M192" i="13"/>
  <c r="M198" i="13"/>
  <c r="M204" i="13"/>
  <c r="M210" i="13"/>
  <c r="M216" i="13"/>
  <c r="F179" i="13"/>
  <c r="L179" i="13" s="1"/>
  <c r="U221" i="13" l="1"/>
  <c r="V149" i="13"/>
  <c r="F81" i="13"/>
  <c r="L81" i="13" s="1"/>
  <c r="F187" i="13"/>
  <c r="F101" i="13"/>
  <c r="L101" i="13" s="1"/>
  <c r="F104" i="13"/>
  <c r="L104" i="13" s="1"/>
  <c r="F190" i="13"/>
  <c r="L190" i="13" s="1"/>
  <c r="G37" i="13"/>
  <c r="G86" i="13"/>
  <c r="F14" i="13"/>
  <c r="L14" i="13" s="1"/>
  <c r="F87" i="13"/>
  <c r="L87" i="13" s="1"/>
  <c r="V172" i="13"/>
  <c r="G172" i="13"/>
  <c r="V86" i="13"/>
  <c r="F215" i="13"/>
  <c r="Q215" i="13" s="1"/>
  <c r="F202" i="13"/>
  <c r="Q202" i="13" s="1"/>
  <c r="F181" i="13"/>
  <c r="L181" i="13" s="1"/>
  <c r="F72" i="13"/>
  <c r="L72" i="13" s="1"/>
  <c r="W172" i="13"/>
  <c r="U86" i="13"/>
  <c r="G17" i="13"/>
  <c r="V17" i="13"/>
  <c r="F152" i="13"/>
  <c r="L152" i="13" s="1"/>
  <c r="F68" i="13"/>
  <c r="L68" i="13" s="1"/>
  <c r="F18" i="13"/>
  <c r="L18" i="13" s="1"/>
  <c r="Q190" i="13"/>
  <c r="W93" i="13"/>
  <c r="V93" i="13"/>
  <c r="U93" i="13"/>
  <c r="F93" i="13"/>
  <c r="L93" i="13" s="1"/>
  <c r="W10" i="13"/>
  <c r="G10" i="13"/>
  <c r="V10" i="13"/>
  <c r="F10" i="13"/>
  <c r="L10" i="13" s="1"/>
  <c r="U10" i="13"/>
  <c r="U44" i="13"/>
  <c r="W44" i="13"/>
  <c r="V44" i="13"/>
  <c r="W13" i="13"/>
  <c r="V13" i="13"/>
  <c r="U13" i="13"/>
  <c r="F13" i="13"/>
  <c r="L13" i="13" s="1"/>
  <c r="F11" i="13"/>
  <c r="L11" i="13" s="1"/>
  <c r="F205" i="13"/>
  <c r="F3" i="13"/>
  <c r="F212" i="13"/>
  <c r="F167" i="13"/>
  <c r="L167" i="13" s="1"/>
  <c r="W157" i="13"/>
  <c r="V157" i="13"/>
  <c r="U157" i="13"/>
  <c r="F163" i="13"/>
  <c r="L163" i="13" s="1"/>
  <c r="W130" i="13"/>
  <c r="V130" i="13"/>
  <c r="U130" i="13"/>
  <c r="G130" i="13"/>
  <c r="U71" i="13"/>
  <c r="W71" i="13"/>
  <c r="V71" i="13"/>
  <c r="W85" i="13"/>
  <c r="V85" i="13"/>
  <c r="U85" i="13"/>
  <c r="G85" i="13"/>
  <c r="F85" i="13"/>
  <c r="W73" i="13"/>
  <c r="V73" i="13"/>
  <c r="G73" i="13"/>
  <c r="U73" i="13"/>
  <c r="F73" i="13"/>
  <c r="L73" i="13" s="1"/>
  <c r="W52" i="13"/>
  <c r="V52" i="13"/>
  <c r="U52" i="13"/>
  <c r="F52" i="13"/>
  <c r="L52" i="13" s="1"/>
  <c r="G52" i="13"/>
  <c r="W28" i="13"/>
  <c r="V28" i="13"/>
  <c r="U28" i="13"/>
  <c r="F28" i="13"/>
  <c r="L28" i="13" s="1"/>
  <c r="G28" i="13"/>
  <c r="W50" i="13"/>
  <c r="U50" i="13"/>
  <c r="V50" i="13"/>
  <c r="G50" i="13"/>
  <c r="U8" i="13"/>
  <c r="F8" i="13"/>
  <c r="L8" i="13" s="1"/>
  <c r="W8" i="13"/>
  <c r="G8" i="13"/>
  <c r="V8" i="13"/>
  <c r="U42" i="13"/>
  <c r="F42" i="13"/>
  <c r="L42" i="13" s="1"/>
  <c r="W42" i="13"/>
  <c r="V42" i="13"/>
  <c r="F9" i="13"/>
  <c r="L9" i="13" s="1"/>
  <c r="F218" i="13"/>
  <c r="F113" i="13"/>
  <c r="L113" i="13" s="1"/>
  <c r="F86" i="13"/>
  <c r="L86" i="13" s="1"/>
  <c r="W148" i="13"/>
  <c r="V148" i="13"/>
  <c r="U148" i="13"/>
  <c r="G148" i="13"/>
  <c r="F124" i="13"/>
  <c r="L124" i="13" s="1"/>
  <c r="F125" i="13"/>
  <c r="L125" i="13" s="1"/>
  <c r="W70" i="13"/>
  <c r="V70" i="13"/>
  <c r="U70" i="13"/>
  <c r="U51" i="13"/>
  <c r="W51" i="13"/>
  <c r="F51" i="13"/>
  <c r="L51" i="13" s="1"/>
  <c r="V51" i="13"/>
  <c r="F118" i="13"/>
  <c r="L118" i="13" s="1"/>
  <c r="W94" i="13"/>
  <c r="V94" i="13"/>
  <c r="U94" i="13"/>
  <c r="F169" i="13"/>
  <c r="L169" i="13" s="1"/>
  <c r="W179" i="13"/>
  <c r="V179" i="13"/>
  <c r="U179" i="13"/>
  <c r="F64" i="13"/>
  <c r="L64" i="13" s="1"/>
  <c r="F70" i="13"/>
  <c r="L70" i="13" s="1"/>
  <c r="V120" i="13"/>
  <c r="U120" i="13"/>
  <c r="W120" i="13"/>
  <c r="F120" i="13"/>
  <c r="L120" i="13" s="1"/>
  <c r="W61" i="13"/>
  <c r="F61" i="13"/>
  <c r="L61" i="13" s="1"/>
  <c r="V61" i="13"/>
  <c r="U61" i="13"/>
  <c r="G61" i="13"/>
  <c r="F44" i="13"/>
  <c r="L44" i="13" s="1"/>
  <c r="F71" i="13"/>
  <c r="L71" i="13" s="1"/>
  <c r="F50" i="13"/>
  <c r="L50" i="13" s="1"/>
  <c r="U36" i="13"/>
  <c r="F36" i="13"/>
  <c r="L36" i="13" s="1"/>
  <c r="W36" i="13"/>
  <c r="V36" i="13"/>
  <c r="U32" i="13"/>
  <c r="G32" i="13"/>
  <c r="F32" i="13"/>
  <c r="L32" i="13" s="1"/>
  <c r="W32" i="13"/>
  <c r="V32" i="13"/>
  <c r="F211" i="13"/>
  <c r="F196" i="13"/>
  <c r="F129" i="13"/>
  <c r="L129" i="13" s="1"/>
  <c r="F15" i="13"/>
  <c r="L15" i="13" s="1"/>
  <c r="F26" i="13"/>
  <c r="L26" i="13" s="1"/>
  <c r="F200" i="13"/>
  <c r="G152" i="13"/>
  <c r="F214" i="13"/>
  <c r="W136" i="13"/>
  <c r="V136" i="13"/>
  <c r="U136" i="13"/>
  <c r="G136" i="13"/>
  <c r="W189" i="13"/>
  <c r="V189" i="13"/>
  <c r="U189" i="13"/>
  <c r="W167" i="13"/>
  <c r="U167" i="13"/>
  <c r="V167" i="13"/>
  <c r="W186" i="13"/>
  <c r="G186" i="13"/>
  <c r="F186" i="13"/>
  <c r="V186" i="13"/>
  <c r="U186" i="13"/>
  <c r="W106" i="13"/>
  <c r="V106" i="13"/>
  <c r="U106" i="13"/>
  <c r="W142" i="13"/>
  <c r="V142" i="13"/>
  <c r="U142" i="13"/>
  <c r="G142" i="13"/>
  <c r="W88" i="13"/>
  <c r="V88" i="13"/>
  <c r="U88" i="13"/>
  <c r="U65" i="13"/>
  <c r="W65" i="13"/>
  <c r="V65" i="13"/>
  <c r="F65" i="13"/>
  <c r="L65" i="13" s="1"/>
  <c r="G65" i="13"/>
  <c r="F117" i="13"/>
  <c r="L117" i="13" s="1"/>
  <c r="F47" i="13"/>
  <c r="L47" i="13" s="1"/>
  <c r="F161" i="13"/>
  <c r="L161" i="13" s="1"/>
  <c r="F157" i="13"/>
  <c r="L157" i="13" s="1"/>
  <c r="V150" i="13"/>
  <c r="U150" i="13"/>
  <c r="W150" i="13"/>
  <c r="F150" i="13"/>
  <c r="L150" i="13" s="1"/>
  <c r="F138" i="13"/>
  <c r="L138" i="13" s="1"/>
  <c r="F6" i="13"/>
  <c r="L6" i="13" s="1"/>
  <c r="F31" i="13"/>
  <c r="L31" i="13" s="1"/>
  <c r="F223" i="13"/>
  <c r="F217" i="13"/>
  <c r="F144" i="13"/>
  <c r="L144" i="13" s="1"/>
  <c r="F54" i="13"/>
  <c r="L54" i="13" s="1"/>
  <c r="F12" i="13"/>
  <c r="L12" i="13" s="1"/>
  <c r="F74" i="13"/>
  <c r="L74" i="13" s="1"/>
  <c r="F23" i="13"/>
  <c r="L23" i="13" s="1"/>
  <c r="Q187" i="13"/>
  <c r="L187" i="13"/>
  <c r="W103" i="13"/>
  <c r="G103" i="13"/>
  <c r="U103" i="13"/>
  <c r="V103" i="13"/>
  <c r="F102" i="13"/>
  <c r="L102" i="13" s="1"/>
  <c r="F195" i="13"/>
  <c r="W174" i="13"/>
  <c r="V174" i="13"/>
  <c r="U174" i="13"/>
  <c r="F110" i="13"/>
  <c r="L110" i="13" s="1"/>
  <c r="W124" i="13"/>
  <c r="V124" i="13"/>
  <c r="U124" i="13"/>
  <c r="G124" i="13"/>
  <c r="U182" i="13"/>
  <c r="W182" i="13"/>
  <c r="V182" i="13"/>
  <c r="F182" i="13"/>
  <c r="W115" i="13"/>
  <c r="U115" i="13"/>
  <c r="G115" i="13"/>
  <c r="V115" i="13"/>
  <c r="W163" i="13"/>
  <c r="U163" i="13"/>
  <c r="V163" i="13"/>
  <c r="F115" i="13"/>
  <c r="L115" i="13" s="1"/>
  <c r="W100" i="13"/>
  <c r="V100" i="13"/>
  <c r="U100" i="13"/>
  <c r="W153" i="13"/>
  <c r="V153" i="13"/>
  <c r="U153" i="13"/>
  <c r="L193" i="13"/>
  <c r="Q193" i="13"/>
  <c r="W180" i="13"/>
  <c r="V180" i="13"/>
  <c r="G180" i="13"/>
  <c r="U180" i="13"/>
  <c r="F180" i="13"/>
  <c r="L180" i="13" s="1"/>
  <c r="F127" i="13"/>
  <c r="L127" i="13" s="1"/>
  <c r="F216" i="13"/>
  <c r="W216" i="13"/>
  <c r="G216" i="13"/>
  <c r="V216" i="13"/>
  <c r="U216" i="13"/>
  <c r="F97" i="13"/>
  <c r="L97" i="13" s="1"/>
  <c r="F151" i="13"/>
  <c r="L151" i="13" s="1"/>
  <c r="V132" i="13"/>
  <c r="U132" i="13"/>
  <c r="W132" i="13"/>
  <c r="F132" i="13"/>
  <c r="L132" i="13" s="1"/>
  <c r="W49" i="13"/>
  <c r="U49" i="13"/>
  <c r="F49" i="13"/>
  <c r="L49" i="13" s="1"/>
  <c r="V49" i="13"/>
  <c r="F172" i="13"/>
  <c r="L172" i="13" s="1"/>
  <c r="F175" i="13"/>
  <c r="L175" i="13" s="1"/>
  <c r="F189" i="13"/>
  <c r="V170" i="13"/>
  <c r="F170" i="13"/>
  <c r="L170" i="13" s="1"/>
  <c r="U170" i="13"/>
  <c r="W170" i="13"/>
  <c r="W91" i="13"/>
  <c r="U91" i="13"/>
  <c r="V91" i="13"/>
  <c r="F91" i="13"/>
  <c r="L91" i="13" s="1"/>
  <c r="F116" i="13"/>
  <c r="L116" i="13" s="1"/>
  <c r="W139" i="13"/>
  <c r="V139" i="13"/>
  <c r="U139" i="13"/>
  <c r="W183" i="13"/>
  <c r="V183" i="13"/>
  <c r="F183" i="13"/>
  <c r="U183" i="13"/>
  <c r="F139" i="13"/>
  <c r="L139" i="13" s="1"/>
  <c r="U83" i="13"/>
  <c r="W83" i="13"/>
  <c r="F83" i="13"/>
  <c r="L83" i="13" s="1"/>
  <c r="V83" i="13"/>
  <c r="U89" i="13"/>
  <c r="V89" i="13"/>
  <c r="G89" i="13"/>
  <c r="F89" i="13"/>
  <c r="L89" i="13" s="1"/>
  <c r="W89" i="13"/>
  <c r="F39" i="13"/>
  <c r="L39" i="13" s="1"/>
  <c r="W40" i="13"/>
  <c r="V40" i="13"/>
  <c r="U40" i="13"/>
  <c r="G40" i="13"/>
  <c r="F40" i="13"/>
  <c r="L40" i="13" s="1"/>
  <c r="G100" i="13"/>
  <c r="W96" i="13"/>
  <c r="V96" i="13"/>
  <c r="U96" i="13"/>
  <c r="F96" i="13"/>
  <c r="L96" i="13" s="1"/>
  <c r="F76" i="13"/>
  <c r="L76" i="13" s="1"/>
  <c r="F143" i="13"/>
  <c r="L143" i="13" s="1"/>
  <c r="W16" i="13"/>
  <c r="G16" i="13"/>
  <c r="V16" i="13"/>
  <c r="F16" i="13"/>
  <c r="L16" i="13" s="1"/>
  <c r="U16" i="13"/>
  <c r="U57" i="13"/>
  <c r="V57" i="13"/>
  <c r="W57" i="13"/>
  <c r="F17" i="13"/>
  <c r="L17" i="13" s="1"/>
  <c r="F5" i="13"/>
  <c r="L5" i="13" s="1"/>
  <c r="F123" i="13"/>
  <c r="L123" i="13" s="1"/>
  <c r="F95" i="13"/>
  <c r="L95" i="13" s="1"/>
  <c r="W201" i="13"/>
  <c r="V201" i="13"/>
  <c r="U201" i="13"/>
  <c r="F201" i="13"/>
  <c r="V152" i="13"/>
  <c r="W152" i="13"/>
  <c r="U152" i="13"/>
  <c r="V114" i="13"/>
  <c r="F114" i="13"/>
  <c r="L114" i="13" s="1"/>
  <c r="W114" i="13"/>
  <c r="U114" i="13"/>
  <c r="U38" i="13"/>
  <c r="W38" i="13"/>
  <c r="V38" i="13"/>
  <c r="G38" i="13"/>
  <c r="F38" i="13"/>
  <c r="L38" i="13" s="1"/>
  <c r="W25" i="13"/>
  <c r="V25" i="13"/>
  <c r="U25" i="13"/>
  <c r="F25" i="13"/>
  <c r="L25" i="13" s="1"/>
  <c r="F160" i="13"/>
  <c r="L160" i="13" s="1"/>
  <c r="F220" i="13"/>
  <c r="F122" i="13"/>
  <c r="L122" i="13" s="1"/>
  <c r="F94" i="13"/>
  <c r="L94" i="13" s="1"/>
  <c r="W109" i="13"/>
  <c r="V109" i="13"/>
  <c r="U109" i="13"/>
  <c r="G109" i="13"/>
  <c r="W58" i="13"/>
  <c r="V58" i="13"/>
  <c r="U58" i="13"/>
  <c r="F58" i="13"/>
  <c r="L58" i="13" s="1"/>
  <c r="F203" i="13"/>
  <c r="F159" i="13"/>
  <c r="L159" i="13" s="1"/>
  <c r="F35" i="13"/>
  <c r="W145" i="13"/>
  <c r="V145" i="13"/>
  <c r="U145" i="13"/>
  <c r="F88" i="13"/>
  <c r="L88" i="13" s="1"/>
  <c r="F134" i="13"/>
  <c r="L134" i="13" s="1"/>
  <c r="F99" i="13"/>
  <c r="L99" i="13" s="1"/>
  <c r="F222" i="13"/>
  <c r="W222" i="13"/>
  <c r="V222" i="13"/>
  <c r="G222" i="13"/>
  <c r="U222" i="13"/>
  <c r="W164" i="13"/>
  <c r="U164" i="13"/>
  <c r="F164" i="13"/>
  <c r="L164" i="13" s="1"/>
  <c r="V164" i="13"/>
  <c r="G93" i="13"/>
  <c r="F174" i="13"/>
  <c r="L174" i="13" s="1"/>
  <c r="F106" i="13"/>
  <c r="L106" i="13" s="1"/>
  <c r="F185" i="13"/>
  <c r="W133" i="13"/>
  <c r="V133" i="13"/>
  <c r="U133" i="13"/>
  <c r="W82" i="13"/>
  <c r="V82" i="13"/>
  <c r="U82" i="13"/>
  <c r="F82" i="13"/>
  <c r="L82" i="13" s="1"/>
  <c r="F140" i="13"/>
  <c r="L140" i="13" s="1"/>
  <c r="F149" i="13"/>
  <c r="L149" i="13" s="1"/>
  <c r="F128" i="13"/>
  <c r="L128" i="13" s="1"/>
  <c r="U87" i="13"/>
  <c r="W87" i="13"/>
  <c r="V87" i="13"/>
  <c r="V64" i="13"/>
  <c r="U64" i="13"/>
  <c r="W64" i="13"/>
  <c r="U53" i="13"/>
  <c r="W53" i="13"/>
  <c r="V53" i="13"/>
  <c r="W34" i="13"/>
  <c r="V34" i="13"/>
  <c r="G34" i="13"/>
  <c r="F34" i="13"/>
  <c r="L34" i="13" s="1"/>
  <c r="U34" i="13"/>
  <c r="F162" i="13"/>
  <c r="L162" i="13" s="1"/>
  <c r="F111" i="13"/>
  <c r="L111" i="13" s="1"/>
  <c r="F69" i="13"/>
  <c r="L69" i="13" s="1"/>
  <c r="F112" i="13"/>
  <c r="L112" i="13" s="1"/>
  <c r="W67" i="13"/>
  <c r="V67" i="13"/>
  <c r="G67" i="13"/>
  <c r="U67" i="13"/>
  <c r="F67" i="13"/>
  <c r="L67" i="13" s="1"/>
  <c r="W7" i="13"/>
  <c r="V7" i="13"/>
  <c r="U7" i="13"/>
  <c r="F7" i="13"/>
  <c r="L7" i="13" s="1"/>
  <c r="F60" i="13"/>
  <c r="L60" i="13" s="1"/>
  <c r="W219" i="13"/>
  <c r="V219" i="13"/>
  <c r="U219" i="13"/>
  <c r="F219" i="13"/>
  <c r="F191" i="13"/>
  <c r="F155" i="13"/>
  <c r="U188" i="13"/>
  <c r="W188" i="13"/>
  <c r="V188" i="13"/>
  <c r="F188" i="13"/>
  <c r="U206" i="13"/>
  <c r="W206" i="13"/>
  <c r="V206" i="13"/>
  <c r="F206" i="13"/>
  <c r="F148" i="13"/>
  <c r="L148" i="13" s="1"/>
  <c r="F154" i="13"/>
  <c r="L154" i="13" s="1"/>
  <c r="W22" i="13"/>
  <c r="V22" i="13"/>
  <c r="G22" i="13"/>
  <c r="F22" i="13"/>
  <c r="L22" i="13" s="1"/>
  <c r="U22" i="13"/>
  <c r="G7" i="13"/>
  <c r="U24" i="13"/>
  <c r="F24" i="13"/>
  <c r="L24" i="13" s="1"/>
  <c r="V24" i="13"/>
  <c r="W24" i="13"/>
  <c r="F21" i="13"/>
  <c r="L21" i="13" s="1"/>
  <c r="F199" i="13"/>
  <c r="W176" i="13"/>
  <c r="U176" i="13"/>
  <c r="F176" i="13"/>
  <c r="L176" i="13" s="1"/>
  <c r="V176" i="13"/>
  <c r="F131" i="13"/>
  <c r="L131" i="13" s="1"/>
  <c r="F121" i="13"/>
  <c r="L121" i="13" s="1"/>
  <c r="W4" i="13"/>
  <c r="G4" i="13"/>
  <c r="V4" i="13"/>
  <c r="F4" i="13"/>
  <c r="L4" i="13" s="1"/>
  <c r="U4" i="13"/>
  <c r="F204" i="13"/>
  <c r="W204" i="13"/>
  <c r="V204" i="13"/>
  <c r="U204" i="13"/>
  <c r="G204" i="13"/>
  <c r="F210" i="13"/>
  <c r="W210" i="13"/>
  <c r="G210" i="13"/>
  <c r="V210" i="13"/>
  <c r="U210" i="13"/>
  <c r="F142" i="13"/>
  <c r="L142" i="13" s="1"/>
  <c r="W213" i="13"/>
  <c r="V213" i="13"/>
  <c r="U213" i="13"/>
  <c r="F213" i="13"/>
  <c r="F45" i="13"/>
  <c r="L45" i="13" s="1"/>
  <c r="W31" i="13"/>
  <c r="V31" i="13"/>
  <c r="U31" i="13"/>
  <c r="G219" i="13"/>
  <c r="G106" i="13"/>
  <c r="W177" i="13"/>
  <c r="V177" i="13"/>
  <c r="G177" i="13"/>
  <c r="F177" i="13"/>
  <c r="L177" i="13" s="1"/>
  <c r="U177" i="13"/>
  <c r="W168" i="13"/>
  <c r="V168" i="13"/>
  <c r="U168" i="13"/>
  <c r="F168" i="13"/>
  <c r="L168" i="13" s="1"/>
  <c r="G201" i="13"/>
  <c r="G132" i="13"/>
  <c r="W160" i="13"/>
  <c r="V160" i="13"/>
  <c r="U160" i="13"/>
  <c r="W97" i="13"/>
  <c r="G97" i="13"/>
  <c r="V97" i="13"/>
  <c r="U97" i="13"/>
  <c r="F98" i="13"/>
  <c r="L98" i="13" s="1"/>
  <c r="U224" i="13"/>
  <c r="V224" i="13"/>
  <c r="F224" i="13"/>
  <c r="W224" i="13"/>
  <c r="G114" i="13"/>
  <c r="W127" i="13"/>
  <c r="V127" i="13"/>
  <c r="U127" i="13"/>
  <c r="F80" i="13"/>
  <c r="L80" i="13" s="1"/>
  <c r="G94" i="13"/>
  <c r="W76" i="13"/>
  <c r="V76" i="13"/>
  <c r="U76" i="13"/>
  <c r="F105" i="13"/>
  <c r="L105" i="13" s="1"/>
  <c r="W105" i="13"/>
  <c r="V105" i="13"/>
  <c r="U105" i="13"/>
  <c r="U59" i="13"/>
  <c r="G59" i="13"/>
  <c r="F59" i="13"/>
  <c r="L59" i="13" s="1"/>
  <c r="V59" i="13"/>
  <c r="W59" i="13"/>
  <c r="W19" i="13"/>
  <c r="V19" i="13"/>
  <c r="U19" i="13"/>
  <c r="F19" i="13"/>
  <c r="L19" i="13" s="1"/>
  <c r="W46" i="13"/>
  <c r="V46" i="13"/>
  <c r="G46" i="13"/>
  <c r="F46" i="13"/>
  <c r="L46" i="13" s="1"/>
  <c r="U46" i="13"/>
  <c r="W43" i="13"/>
  <c r="V43" i="13"/>
  <c r="U43" i="13"/>
  <c r="U48" i="13"/>
  <c r="F48" i="13"/>
  <c r="L48" i="13" s="1"/>
  <c r="W48" i="13"/>
  <c r="V48" i="13"/>
  <c r="V158" i="13"/>
  <c r="U158" i="13"/>
  <c r="W158" i="13"/>
  <c r="F158" i="13"/>
  <c r="L158" i="13" s="1"/>
  <c r="F53" i="13"/>
  <c r="L53" i="13" s="1"/>
  <c r="W37" i="13"/>
  <c r="V37" i="13"/>
  <c r="F37" i="13"/>
  <c r="L37" i="13" s="1"/>
  <c r="U37" i="13"/>
  <c r="W55" i="13"/>
  <c r="V55" i="13"/>
  <c r="U55" i="13"/>
  <c r="G55" i="13"/>
  <c r="F55" i="13"/>
  <c r="L55" i="13" s="1"/>
  <c r="F156" i="13"/>
  <c r="L156" i="13" s="1"/>
  <c r="F135" i="13"/>
  <c r="L135" i="13" s="1"/>
  <c r="F78" i="13"/>
  <c r="L78" i="13" s="1"/>
  <c r="F62" i="13"/>
  <c r="L62" i="13" s="1"/>
  <c r="G167" i="13"/>
  <c r="F209" i="13"/>
  <c r="F178" i="13"/>
  <c r="L178" i="13" s="1"/>
  <c r="W225" i="13"/>
  <c r="V225" i="13"/>
  <c r="F225" i="13"/>
  <c r="U225" i="13"/>
  <c r="F153" i="13"/>
  <c r="L153" i="13" s="1"/>
  <c r="W118" i="13"/>
  <c r="V118" i="13"/>
  <c r="U118" i="13"/>
  <c r="G118" i="13"/>
  <c r="F133" i="13"/>
  <c r="L133" i="13" s="1"/>
  <c r="G51" i="13"/>
  <c r="F30" i="13"/>
  <c r="L30" i="13" s="1"/>
  <c r="W207" i="13"/>
  <c r="V207" i="13"/>
  <c r="F207" i="13"/>
  <c r="U207" i="13"/>
  <c r="F109" i="13"/>
  <c r="L109" i="13" s="1"/>
  <c r="G153" i="13"/>
  <c r="U151" i="13"/>
  <c r="W151" i="13"/>
  <c r="V151" i="13"/>
  <c r="G88" i="13"/>
  <c r="G206" i="13"/>
  <c r="F192" i="13"/>
  <c r="W192" i="13"/>
  <c r="V192" i="13"/>
  <c r="U192" i="13"/>
  <c r="G192" i="13"/>
  <c r="G150" i="13"/>
  <c r="F166" i="13"/>
  <c r="L166" i="13" s="1"/>
  <c r="F63" i="13"/>
  <c r="L63" i="13" s="1"/>
  <c r="F136" i="13"/>
  <c r="L136" i="13" s="1"/>
  <c r="W171" i="13"/>
  <c r="V171" i="13"/>
  <c r="G171" i="13"/>
  <c r="U171" i="13"/>
  <c r="F171" i="13"/>
  <c r="L171" i="13" s="1"/>
  <c r="U194" i="13"/>
  <c r="W194" i="13"/>
  <c r="F194" i="13"/>
  <c r="V194" i="13"/>
  <c r="W195" i="13"/>
  <c r="V195" i="13"/>
  <c r="U195" i="13"/>
  <c r="G189" i="13"/>
  <c r="F130" i="13"/>
  <c r="L130" i="13" s="1"/>
  <c r="F103" i="13"/>
  <c r="L103" i="13" s="1"/>
  <c r="W165" i="13"/>
  <c r="V165" i="13"/>
  <c r="G165" i="13"/>
  <c r="U165" i="13"/>
  <c r="F165" i="13"/>
  <c r="L165" i="13" s="1"/>
  <c r="W121" i="13"/>
  <c r="V121" i="13"/>
  <c r="U121" i="13"/>
  <c r="U77" i="13"/>
  <c r="F77" i="13"/>
  <c r="L77" i="13" s="1"/>
  <c r="W77" i="13"/>
  <c r="V77" i="13"/>
  <c r="W112" i="13"/>
  <c r="V112" i="13"/>
  <c r="U112" i="13"/>
  <c r="G70" i="13"/>
  <c r="G91" i="13"/>
  <c r="G83" i="13"/>
  <c r="V108" i="13"/>
  <c r="F108" i="13"/>
  <c r="L108" i="13" s="1"/>
  <c r="W108" i="13"/>
  <c r="U108" i="13"/>
  <c r="F137" i="13"/>
  <c r="L137" i="13" s="1"/>
  <c r="F146" i="13"/>
  <c r="L146" i="13" s="1"/>
  <c r="U75" i="13"/>
  <c r="W75" i="13"/>
  <c r="F75" i="13"/>
  <c r="L75" i="13" s="1"/>
  <c r="V75" i="13"/>
  <c r="F100" i="13"/>
  <c r="L100" i="13" s="1"/>
  <c r="F57" i="13"/>
  <c r="L57" i="13" s="1"/>
  <c r="G13" i="13"/>
  <c r="F41" i="13"/>
  <c r="L41" i="13" s="1"/>
  <c r="F92" i="13"/>
  <c r="L92" i="13" s="1"/>
  <c r="F56" i="13"/>
  <c r="L56" i="13" s="1"/>
  <c r="G53" i="13"/>
  <c r="F208" i="13"/>
  <c r="F84" i="13"/>
  <c r="L84" i="13" s="1"/>
  <c r="F27" i="13"/>
  <c r="L27" i="13" s="1"/>
  <c r="F29" i="13"/>
  <c r="L29" i="13" s="1"/>
  <c r="F221" i="13"/>
  <c r="F119" i="13"/>
  <c r="L119" i="13" s="1"/>
  <c r="F145" i="13"/>
  <c r="L145" i="13" s="1"/>
  <c r="F198" i="13"/>
  <c r="W198" i="13"/>
  <c r="G198" i="13"/>
  <c r="V198" i="13"/>
  <c r="U198" i="13"/>
  <c r="W79" i="13"/>
  <c r="V79" i="13"/>
  <c r="G79" i="13"/>
  <c r="F79" i="13"/>
  <c r="L79" i="13" s="1"/>
  <c r="U79" i="13"/>
  <c r="W90" i="13"/>
  <c r="F90" i="13"/>
  <c r="L90" i="13" s="1"/>
  <c r="V90" i="13"/>
  <c r="U90" i="13"/>
  <c r="G44" i="13"/>
  <c r="G76" i="13"/>
  <c r="G57" i="13"/>
  <c r="V126" i="13"/>
  <c r="U126" i="13"/>
  <c r="W126" i="13"/>
  <c r="F126" i="13"/>
  <c r="L126" i="13" s="1"/>
  <c r="F43" i="13"/>
  <c r="L43" i="13" s="1"/>
  <c r="F184" i="13"/>
  <c r="F147" i="13"/>
  <c r="L147" i="13" s="1"/>
  <c r="F141" i="13"/>
  <c r="L141" i="13" s="1"/>
  <c r="F66" i="13"/>
  <c r="L66" i="13" s="1"/>
  <c r="F33" i="13"/>
  <c r="L33" i="13" s="1"/>
  <c r="F20" i="13"/>
  <c r="L20" i="13" s="1"/>
  <c r="F197" i="13"/>
  <c r="F107" i="13"/>
  <c r="L107" i="13" s="1"/>
  <c r="L215" i="13" l="1"/>
  <c r="L202" i="13"/>
  <c r="I7" i="2"/>
  <c r="I170" i="13" s="1"/>
  <c r="J170" i="13" s="1"/>
  <c r="K170" i="13" s="1"/>
  <c r="N170" i="13" s="1"/>
  <c r="O170" i="13" s="1"/>
  <c r="Y187" i="13"/>
  <c r="S187" i="13"/>
  <c r="Q209" i="13"/>
  <c r="L209" i="13"/>
  <c r="L224" i="13"/>
  <c r="Q224" i="13"/>
  <c r="L210" i="13"/>
  <c r="Q210" i="13"/>
  <c r="L211" i="13"/>
  <c r="Q211" i="13"/>
  <c r="L85" i="13"/>
  <c r="N72" i="9"/>
  <c r="N64" i="9"/>
  <c r="N40" i="9"/>
  <c r="N46" i="9"/>
  <c r="N4" i="9"/>
  <c r="N24" i="9"/>
  <c r="N3" i="9"/>
  <c r="N12" i="9"/>
  <c r="N14" i="9"/>
  <c r="N22" i="9"/>
  <c r="N58" i="9"/>
  <c r="N56" i="9"/>
  <c r="N25" i="9"/>
  <c r="N15" i="9"/>
  <c r="N69" i="9"/>
  <c r="N13" i="9"/>
  <c r="N57" i="9"/>
  <c r="N62" i="9"/>
  <c r="N48" i="9"/>
  <c r="N32" i="9"/>
  <c r="N44" i="9"/>
  <c r="N70" i="9"/>
  <c r="N21" i="9"/>
  <c r="N6" i="9"/>
  <c r="N66" i="9"/>
  <c r="N33" i="9"/>
  <c r="N45" i="9"/>
  <c r="N10" i="9"/>
  <c r="N60" i="9"/>
  <c r="N34" i="9"/>
  <c r="N68" i="9"/>
  <c r="N42" i="9"/>
  <c r="N71" i="9"/>
  <c r="N36" i="9"/>
  <c r="N38" i="9"/>
  <c r="N50" i="9"/>
  <c r="N5" i="9"/>
  <c r="N19" i="9"/>
  <c r="N20" i="9"/>
  <c r="N27" i="9"/>
  <c r="N41" i="9"/>
  <c r="N31" i="9"/>
  <c r="N52" i="9"/>
  <c r="N43" i="9"/>
  <c r="N55" i="9"/>
  <c r="N8" i="9"/>
  <c r="N17" i="9"/>
  <c r="N18" i="9"/>
  <c r="N67" i="9"/>
  <c r="N63" i="9"/>
  <c r="N53" i="9"/>
  <c r="N65" i="9"/>
  <c r="N37" i="9"/>
  <c r="N39" i="9"/>
  <c r="N11" i="9"/>
  <c r="N7" i="9"/>
  <c r="N35" i="9"/>
  <c r="N47" i="9"/>
  <c r="N49" i="9"/>
  <c r="N23" i="9"/>
  <c r="N16" i="9"/>
  <c r="N51" i="9"/>
  <c r="N54" i="9"/>
  <c r="N26" i="9"/>
  <c r="N28" i="9"/>
  <c r="N30" i="9"/>
  <c r="N61" i="9"/>
  <c r="N9" i="9"/>
  <c r="N59" i="9"/>
  <c r="N29" i="9"/>
  <c r="Y202" i="13"/>
  <c r="S202" i="13"/>
  <c r="L197" i="13"/>
  <c r="Q197" i="13"/>
  <c r="L195" i="13"/>
  <c r="Q195" i="13"/>
  <c r="L196" i="13"/>
  <c r="Q196" i="13"/>
  <c r="L213" i="13"/>
  <c r="Q213" i="13"/>
  <c r="L206" i="13"/>
  <c r="Q206" i="13"/>
  <c r="L155" i="13"/>
  <c r="N26" i="10"/>
  <c r="N20" i="10"/>
  <c r="N14" i="10"/>
  <c r="N8" i="10"/>
  <c r="N27" i="10"/>
  <c r="N10" i="10"/>
  <c r="N9" i="10"/>
  <c r="N28" i="10"/>
  <c r="N16" i="10"/>
  <c r="N24" i="10"/>
  <c r="N21" i="10"/>
  <c r="N22" i="10"/>
  <c r="N12" i="10"/>
  <c r="N15" i="10"/>
  <c r="N17" i="10"/>
  <c r="N7" i="10"/>
  <c r="N25" i="10"/>
  <c r="N4" i="10"/>
  <c r="N6" i="10"/>
  <c r="N29" i="10"/>
  <c r="N11" i="10"/>
  <c r="N5" i="10"/>
  <c r="N13" i="10"/>
  <c r="N19" i="10"/>
  <c r="N23" i="10"/>
  <c r="N18" i="10"/>
  <c r="N3" i="10"/>
  <c r="L201" i="13"/>
  <c r="Q201" i="13"/>
  <c r="L214" i="13"/>
  <c r="Q214" i="13"/>
  <c r="L208" i="13"/>
  <c r="Q208" i="13"/>
  <c r="L203" i="13"/>
  <c r="Q203" i="13"/>
  <c r="L207" i="13"/>
  <c r="Q207" i="13"/>
  <c r="Q191" i="13"/>
  <c r="L191" i="13"/>
  <c r="I6" i="2"/>
  <c r="L212" i="13"/>
  <c r="Q212" i="13"/>
  <c r="L198" i="13"/>
  <c r="Q198" i="13"/>
  <c r="L194" i="13"/>
  <c r="Q194" i="13"/>
  <c r="O29" i="12"/>
  <c r="O33" i="12"/>
  <c r="O24" i="12"/>
  <c r="O20" i="12"/>
  <c r="O16" i="12"/>
  <c r="O12" i="12"/>
  <c r="O8" i="12"/>
  <c r="O4" i="12"/>
  <c r="O19" i="12"/>
  <c r="O7" i="12"/>
  <c r="O17" i="12"/>
  <c r="O23" i="12"/>
  <c r="O9" i="12"/>
  <c r="O15" i="12"/>
  <c r="O21" i="12"/>
  <c r="O5" i="12"/>
  <c r="O3" i="12"/>
  <c r="O11" i="12"/>
  <c r="O27" i="12"/>
  <c r="O32" i="12"/>
  <c r="O18" i="12"/>
  <c r="O34" i="12"/>
  <c r="O10" i="12"/>
  <c r="O22" i="12"/>
  <c r="O28" i="12"/>
  <c r="O25" i="12"/>
  <c r="O6" i="12"/>
  <c r="O13" i="12"/>
  <c r="O30" i="12"/>
  <c r="O14" i="12"/>
  <c r="O26" i="12"/>
  <c r="O31" i="12"/>
  <c r="L192" i="13"/>
  <c r="Q192" i="13"/>
  <c r="L185" i="13"/>
  <c r="Q185" i="13"/>
  <c r="L220" i="13"/>
  <c r="Q220" i="13"/>
  <c r="L216" i="13"/>
  <c r="Q216" i="13"/>
  <c r="Y193" i="13"/>
  <c r="S193" i="13"/>
  <c r="L186" i="13"/>
  <c r="Q186" i="13"/>
  <c r="I4" i="2"/>
  <c r="L3" i="13"/>
  <c r="N32" i="7"/>
  <c r="N26" i="7"/>
  <c r="N20" i="7"/>
  <c r="N14" i="7"/>
  <c r="N33" i="7"/>
  <c r="N15" i="7"/>
  <c r="N30" i="7"/>
  <c r="N12" i="7"/>
  <c r="N24" i="7"/>
  <c r="N6" i="7"/>
  <c r="N28" i="7"/>
  <c r="N10" i="7"/>
  <c r="N3" i="7"/>
  <c r="N17" i="7"/>
  <c r="N27" i="7"/>
  <c r="N21" i="7"/>
  <c r="N9" i="7"/>
  <c r="N18" i="7"/>
  <c r="N16" i="7"/>
  <c r="C9" i="16"/>
  <c r="D9" i="16" s="1"/>
  <c r="N23" i="7"/>
  <c r="N13" i="7"/>
  <c r="N7" i="7"/>
  <c r="N4" i="7"/>
  <c r="N34" i="7"/>
  <c r="N29" i="7"/>
  <c r="N5" i="7"/>
  <c r="N19" i="7"/>
  <c r="N22" i="7"/>
  <c r="N25" i="7"/>
  <c r="N31" i="7"/>
  <c r="N11" i="7"/>
  <c r="N8" i="7"/>
  <c r="L188" i="13"/>
  <c r="Q188" i="13"/>
  <c r="L219" i="13"/>
  <c r="Q219" i="13"/>
  <c r="L189" i="13"/>
  <c r="Q189" i="13"/>
  <c r="L182" i="13"/>
  <c r="Q182" i="13"/>
  <c r="O12" i="11"/>
  <c r="O8" i="11"/>
  <c r="O4" i="11"/>
  <c r="O9" i="11"/>
  <c r="O13" i="11"/>
  <c r="O7" i="11"/>
  <c r="O5" i="11"/>
  <c r="O11" i="11"/>
  <c r="O10" i="11"/>
  <c r="O6" i="11"/>
  <c r="O3" i="11"/>
  <c r="O14" i="11"/>
  <c r="I8" i="2"/>
  <c r="Y190" i="13"/>
  <c r="S190" i="13"/>
  <c r="Q221" i="13"/>
  <c r="L221" i="13"/>
  <c r="L204" i="13"/>
  <c r="Q204" i="13"/>
  <c r="L200" i="13"/>
  <c r="Q200" i="13"/>
  <c r="I5" i="2"/>
  <c r="I9" i="2"/>
  <c r="L225" i="13"/>
  <c r="Q225" i="13"/>
  <c r="Q217" i="13"/>
  <c r="L217" i="13"/>
  <c r="L184" i="13"/>
  <c r="Q184" i="13"/>
  <c r="L199" i="13"/>
  <c r="Q199" i="13"/>
  <c r="L35" i="13"/>
  <c r="N30" i="8"/>
  <c r="N29" i="8"/>
  <c r="N24" i="8"/>
  <c r="N18" i="8"/>
  <c r="N12" i="8"/>
  <c r="N6" i="8"/>
  <c r="N36" i="8"/>
  <c r="N35" i="8"/>
  <c r="N15" i="8"/>
  <c r="N4" i="8"/>
  <c r="N39" i="8"/>
  <c r="N48" i="8"/>
  <c r="N21" i="8"/>
  <c r="N10" i="8"/>
  <c r="N7" i="8"/>
  <c r="N16" i="8"/>
  <c r="N13" i="8"/>
  <c r="N22" i="8"/>
  <c r="N19" i="8"/>
  <c r="N8" i="8"/>
  <c r="N14" i="8"/>
  <c r="N3" i="8"/>
  <c r="N9" i="8"/>
  <c r="N51" i="8"/>
  <c r="N20" i="8"/>
  <c r="N42" i="8"/>
  <c r="N50" i="8"/>
  <c r="N26" i="8"/>
  <c r="N44" i="8"/>
  <c r="N45" i="8"/>
  <c r="N28" i="8"/>
  <c r="N27" i="8"/>
  <c r="N38" i="8"/>
  <c r="N25" i="8"/>
  <c r="N41" i="8"/>
  <c r="N47" i="8"/>
  <c r="N46" i="8"/>
  <c r="N43" i="8"/>
  <c r="N17" i="8"/>
  <c r="N34" i="8"/>
  <c r="N23" i="8"/>
  <c r="N52" i="8"/>
  <c r="N32" i="8"/>
  <c r="N31" i="8"/>
  <c r="N5" i="8"/>
  <c r="N11" i="8"/>
  <c r="N40" i="8"/>
  <c r="N33" i="8"/>
  <c r="N49" i="8"/>
  <c r="N37" i="8"/>
  <c r="Q223" i="13"/>
  <c r="L223" i="13"/>
  <c r="L218" i="13"/>
  <c r="Q218" i="13"/>
  <c r="L205" i="13"/>
  <c r="Q205" i="13"/>
  <c r="S215" i="13"/>
  <c r="Y215" i="13"/>
  <c r="Q222" i="13"/>
  <c r="L222" i="13"/>
  <c r="L183" i="13"/>
  <c r="Q183" i="13"/>
  <c r="I177" i="13" l="1"/>
  <c r="J177" i="13" s="1"/>
  <c r="K177" i="13" s="1"/>
  <c r="N177" i="13" s="1"/>
  <c r="O177" i="13" s="1"/>
  <c r="I175" i="13"/>
  <c r="J175" i="13" s="1"/>
  <c r="K175" i="13" s="1"/>
  <c r="N175" i="13" s="1"/>
  <c r="O175" i="13" s="1"/>
  <c r="I159" i="13"/>
  <c r="J159" i="13" s="1"/>
  <c r="K159" i="13" s="1"/>
  <c r="N159" i="13" s="1"/>
  <c r="O159" i="13" s="1"/>
  <c r="I162" i="13"/>
  <c r="J162" i="13" s="1"/>
  <c r="K162" i="13" s="1"/>
  <c r="N162" i="13" s="1"/>
  <c r="O162" i="13" s="1"/>
  <c r="I158" i="13"/>
  <c r="J158" i="13" s="1"/>
  <c r="K158" i="13" s="1"/>
  <c r="N158" i="13" s="1"/>
  <c r="O158" i="13" s="1"/>
  <c r="I161" i="13"/>
  <c r="J161" i="13" s="1"/>
  <c r="K161" i="13" s="1"/>
  <c r="N161" i="13" s="1"/>
  <c r="O161" i="13" s="1"/>
  <c r="I169" i="13"/>
  <c r="J169" i="13" s="1"/>
  <c r="K169" i="13" s="1"/>
  <c r="N169" i="13" s="1"/>
  <c r="O169" i="13" s="1"/>
  <c r="I156" i="13"/>
  <c r="J156" i="13" s="1"/>
  <c r="K156" i="13" s="1"/>
  <c r="N156" i="13" s="1"/>
  <c r="O156" i="13" s="1"/>
  <c r="I174" i="13"/>
  <c r="J174" i="13" s="1"/>
  <c r="K174" i="13" s="1"/>
  <c r="N174" i="13" s="1"/>
  <c r="O174" i="13" s="1"/>
  <c r="I176" i="13"/>
  <c r="J176" i="13" s="1"/>
  <c r="K176" i="13" s="1"/>
  <c r="N176" i="13" s="1"/>
  <c r="O176" i="13" s="1"/>
  <c r="I178" i="13"/>
  <c r="J178" i="13" s="1"/>
  <c r="K178" i="13" s="1"/>
  <c r="N178" i="13" s="1"/>
  <c r="O178" i="13" s="1"/>
  <c r="I173" i="13"/>
  <c r="J173" i="13" s="1"/>
  <c r="K173" i="13" s="1"/>
  <c r="N173" i="13" s="1"/>
  <c r="O173" i="13" s="1"/>
  <c r="I166" i="13"/>
  <c r="J166" i="13" s="1"/>
  <c r="K166" i="13" s="1"/>
  <c r="N166" i="13" s="1"/>
  <c r="O166" i="13" s="1"/>
  <c r="I165" i="13"/>
  <c r="J165" i="13" s="1"/>
  <c r="K165" i="13" s="1"/>
  <c r="N165" i="13" s="1"/>
  <c r="O165" i="13" s="1"/>
  <c r="I160" i="13"/>
  <c r="J160" i="13" s="1"/>
  <c r="K160" i="13" s="1"/>
  <c r="N160" i="13" s="1"/>
  <c r="O160" i="13" s="1"/>
  <c r="I180" i="13"/>
  <c r="J180" i="13" s="1"/>
  <c r="K180" i="13" s="1"/>
  <c r="N180" i="13" s="1"/>
  <c r="O180" i="13" s="1"/>
  <c r="I163" i="13"/>
  <c r="J163" i="13" s="1"/>
  <c r="K163" i="13" s="1"/>
  <c r="N163" i="13" s="1"/>
  <c r="O163" i="13" s="1"/>
  <c r="I172" i="13"/>
  <c r="J172" i="13" s="1"/>
  <c r="K172" i="13" s="1"/>
  <c r="N172" i="13" s="1"/>
  <c r="O172" i="13" s="1"/>
  <c r="I164" i="13"/>
  <c r="J164" i="13" s="1"/>
  <c r="K164" i="13" s="1"/>
  <c r="N164" i="13" s="1"/>
  <c r="O164" i="13" s="1"/>
  <c r="I155" i="13"/>
  <c r="J155" i="13" s="1"/>
  <c r="K155" i="13" s="1"/>
  <c r="N155" i="13" s="1"/>
  <c r="O155" i="13" s="1"/>
  <c r="I171" i="13"/>
  <c r="J171" i="13" s="1"/>
  <c r="K171" i="13" s="1"/>
  <c r="N171" i="13" s="1"/>
  <c r="O171" i="13" s="1"/>
  <c r="I179" i="13"/>
  <c r="J179" i="13" s="1"/>
  <c r="K179" i="13" s="1"/>
  <c r="N179" i="13" s="1"/>
  <c r="O179" i="13" s="1"/>
  <c r="I181" i="13"/>
  <c r="J181" i="13" s="1"/>
  <c r="K181" i="13" s="1"/>
  <c r="N181" i="13" s="1"/>
  <c r="O181" i="13" s="1"/>
  <c r="I157" i="13"/>
  <c r="J157" i="13" s="1"/>
  <c r="K157" i="13" s="1"/>
  <c r="N157" i="13" s="1"/>
  <c r="O157" i="13" s="1"/>
  <c r="I167" i="13"/>
  <c r="J167" i="13" s="1"/>
  <c r="K167" i="13" s="1"/>
  <c r="N167" i="13" s="1"/>
  <c r="O167" i="13" s="1"/>
  <c r="I168" i="13"/>
  <c r="J168" i="13" s="1"/>
  <c r="K168" i="13" s="1"/>
  <c r="N168" i="13" s="1"/>
  <c r="O168" i="13" s="1"/>
  <c r="B40" i="8"/>
  <c r="M40" i="8"/>
  <c r="L40" i="8"/>
  <c r="K40" i="8"/>
  <c r="I40" i="8"/>
  <c r="E40" i="8"/>
  <c r="C40" i="8"/>
  <c r="D40" i="8" s="1"/>
  <c r="B41" i="8"/>
  <c r="L41" i="8"/>
  <c r="M41" i="8"/>
  <c r="I41" i="8"/>
  <c r="E41" i="8"/>
  <c r="K41" i="8"/>
  <c r="C41" i="8"/>
  <c r="D41" i="8" s="1"/>
  <c r="I9" i="8"/>
  <c r="C9" i="8"/>
  <c r="D9" i="8" s="1"/>
  <c r="M9" i="8"/>
  <c r="K9" i="8"/>
  <c r="E9" i="8"/>
  <c r="B9" i="8"/>
  <c r="L9" i="8"/>
  <c r="L39" i="8"/>
  <c r="I39" i="8"/>
  <c r="E39" i="8"/>
  <c r="M39" i="8"/>
  <c r="K39" i="8"/>
  <c r="C39" i="8"/>
  <c r="D39" i="8" s="1"/>
  <c r="B39" i="8"/>
  <c r="Y199" i="13"/>
  <c r="S199" i="13"/>
  <c r="Y225" i="13"/>
  <c r="S225" i="13"/>
  <c r="I8" i="11"/>
  <c r="C8" i="11"/>
  <c r="N8" i="11"/>
  <c r="B8" i="11"/>
  <c r="M8" i="11"/>
  <c r="F8" i="11"/>
  <c r="D8" i="11"/>
  <c r="E8" i="11" s="1"/>
  <c r="L8" i="11"/>
  <c r="K8" i="11"/>
  <c r="J8" i="11"/>
  <c r="M23" i="12"/>
  <c r="L23" i="12"/>
  <c r="J23" i="12"/>
  <c r="F23" i="12"/>
  <c r="D23" i="12"/>
  <c r="E23" i="12" s="1"/>
  <c r="N23" i="12"/>
  <c r="I23" i="12"/>
  <c r="C23" i="12"/>
  <c r="B23" i="12"/>
  <c r="Y183" i="13"/>
  <c r="S183" i="13"/>
  <c r="E11" i="8"/>
  <c r="C11" i="8"/>
  <c r="D11" i="8" s="1"/>
  <c r="B11" i="8"/>
  <c r="K11" i="8"/>
  <c r="I11" i="8"/>
  <c r="L11" i="8"/>
  <c r="M11" i="8"/>
  <c r="M25" i="8"/>
  <c r="L25" i="8"/>
  <c r="K25" i="8"/>
  <c r="E25" i="8"/>
  <c r="C25" i="8"/>
  <c r="D25" i="8" s="1"/>
  <c r="B25" i="8"/>
  <c r="I25" i="8"/>
  <c r="I3" i="8"/>
  <c r="C3" i="8"/>
  <c r="D3" i="8" s="1"/>
  <c r="M3" i="8"/>
  <c r="E3" i="8"/>
  <c r="B3" i="8"/>
  <c r="L3" i="8"/>
  <c r="K3" i="8"/>
  <c r="E4" i="8"/>
  <c r="M4" i="8"/>
  <c r="K4" i="8"/>
  <c r="L4" i="8"/>
  <c r="I4" i="8"/>
  <c r="B4" i="8"/>
  <c r="C4" i="8"/>
  <c r="D4" i="8" s="1"/>
  <c r="I12" i="11"/>
  <c r="C12" i="11"/>
  <c r="N12" i="11"/>
  <c r="B12" i="11"/>
  <c r="M12" i="11"/>
  <c r="J12" i="11"/>
  <c r="F12" i="11"/>
  <c r="D12" i="11"/>
  <c r="E12" i="11" s="1"/>
  <c r="L12" i="11"/>
  <c r="K34" i="7"/>
  <c r="I34" i="7"/>
  <c r="E34" i="7"/>
  <c r="L34" i="7"/>
  <c r="M34" i="7"/>
  <c r="C34" i="7"/>
  <c r="D34" i="7" s="1"/>
  <c r="B34" i="7"/>
  <c r="M27" i="7"/>
  <c r="L27" i="7"/>
  <c r="K27" i="7"/>
  <c r="B27" i="7"/>
  <c r="I27" i="7"/>
  <c r="C27" i="7"/>
  <c r="D27" i="7" s="1"/>
  <c r="E27" i="7"/>
  <c r="D10" i="12"/>
  <c r="E10" i="12" s="1"/>
  <c r="C10" i="12"/>
  <c r="N10" i="12"/>
  <c r="B10" i="12"/>
  <c r="M10" i="12"/>
  <c r="I10" i="12"/>
  <c r="J10" i="12"/>
  <c r="F10" i="12"/>
  <c r="L10" i="12"/>
  <c r="Y205" i="13"/>
  <c r="S205" i="13"/>
  <c r="E5" i="8"/>
  <c r="C5" i="8"/>
  <c r="D5" i="8" s="1"/>
  <c r="B5" i="8"/>
  <c r="K5" i="8"/>
  <c r="I5" i="8"/>
  <c r="L5" i="8"/>
  <c r="M5" i="8"/>
  <c r="B38" i="8"/>
  <c r="L38" i="8"/>
  <c r="E38" i="8"/>
  <c r="C38" i="8"/>
  <c r="D38" i="8" s="1"/>
  <c r="K38" i="8"/>
  <c r="M38" i="8"/>
  <c r="I38" i="8"/>
  <c r="K14" i="8"/>
  <c r="I14" i="8"/>
  <c r="E14" i="8"/>
  <c r="C14" i="8"/>
  <c r="D14" i="8" s="1"/>
  <c r="B14" i="8"/>
  <c r="M14" i="8"/>
  <c r="L14" i="8"/>
  <c r="I15" i="8"/>
  <c r="C15" i="8"/>
  <c r="D15" i="8" s="1"/>
  <c r="M15" i="8"/>
  <c r="L15" i="8"/>
  <c r="K15" i="8"/>
  <c r="E15" i="8"/>
  <c r="B15" i="8"/>
  <c r="C14" i="11"/>
  <c r="N14" i="11"/>
  <c r="B14" i="11"/>
  <c r="M14" i="11"/>
  <c r="I14" i="11"/>
  <c r="F14" i="11"/>
  <c r="D14" i="11"/>
  <c r="E14" i="11" s="1"/>
  <c r="L14" i="11"/>
  <c r="K14" i="11"/>
  <c r="J14" i="11"/>
  <c r="Y182" i="13"/>
  <c r="S182" i="13"/>
  <c r="K3" i="11" s="1"/>
  <c r="C8" i="7"/>
  <c r="D8" i="7" s="1"/>
  <c r="B8" i="7"/>
  <c r="M8" i="7"/>
  <c r="L8" i="7"/>
  <c r="I8" i="7"/>
  <c r="K8" i="7"/>
  <c r="E8" i="7"/>
  <c r="K4" i="7"/>
  <c r="I4" i="7"/>
  <c r="E4" i="7"/>
  <c r="M4" i="7"/>
  <c r="L4" i="7"/>
  <c r="C4" i="7"/>
  <c r="D4" i="7" s="1"/>
  <c r="B4" i="7"/>
  <c r="I17" i="7"/>
  <c r="C17" i="7"/>
  <c r="D17" i="7" s="1"/>
  <c r="E17" i="7"/>
  <c r="B17" i="7"/>
  <c r="M17" i="7"/>
  <c r="L17" i="7"/>
  <c r="K17" i="7"/>
  <c r="C26" i="7"/>
  <c r="D26" i="7" s="1"/>
  <c r="B26" i="7"/>
  <c r="M26" i="7"/>
  <c r="L26" i="7"/>
  <c r="I26" i="7"/>
  <c r="K26" i="7"/>
  <c r="E26" i="7"/>
  <c r="Y192" i="13"/>
  <c r="S192" i="13"/>
  <c r="F34" i="12"/>
  <c r="D34" i="12"/>
  <c r="E34" i="12" s="1"/>
  <c r="J34" i="12"/>
  <c r="I34" i="12"/>
  <c r="K34" i="12"/>
  <c r="N34" i="12"/>
  <c r="M34" i="12"/>
  <c r="L34" i="12"/>
  <c r="B34" i="12"/>
  <c r="C34" i="12"/>
  <c r="M7" i="12"/>
  <c r="L7" i="12"/>
  <c r="J7" i="12"/>
  <c r="F7" i="12"/>
  <c r="D7" i="12"/>
  <c r="E7" i="12" s="1"/>
  <c r="C7" i="12"/>
  <c r="B7" i="12"/>
  <c r="N7" i="12"/>
  <c r="I7" i="12"/>
  <c r="I13" i="10"/>
  <c r="C13" i="10"/>
  <c r="D13" i="10" s="1"/>
  <c r="B13" i="10"/>
  <c r="M13" i="10"/>
  <c r="L13" i="10"/>
  <c r="F13" i="10"/>
  <c r="E13" i="10"/>
  <c r="K13" i="10"/>
  <c r="G13" i="10"/>
  <c r="F21" i="10"/>
  <c r="E21" i="10"/>
  <c r="L21" i="10"/>
  <c r="K21" i="10"/>
  <c r="B21" i="10"/>
  <c r="M21" i="10"/>
  <c r="I21" i="10"/>
  <c r="C21" i="10"/>
  <c r="D21" i="10" s="1"/>
  <c r="B30" i="9"/>
  <c r="L30" i="9"/>
  <c r="K30" i="9"/>
  <c r="I30" i="9"/>
  <c r="E30" i="9"/>
  <c r="M30" i="9"/>
  <c r="C30" i="9"/>
  <c r="D30" i="9" s="1"/>
  <c r="B39" i="9"/>
  <c r="L39" i="9"/>
  <c r="E39" i="9"/>
  <c r="C39" i="9"/>
  <c r="D39" i="9" s="1"/>
  <c r="K39" i="9"/>
  <c r="I39" i="9"/>
  <c r="M39" i="9"/>
  <c r="B31" i="9"/>
  <c r="L31" i="9"/>
  <c r="I31" i="9"/>
  <c r="E31" i="9"/>
  <c r="C31" i="9"/>
  <c r="D31" i="9" s="1"/>
  <c r="K31" i="9"/>
  <c r="M31" i="9"/>
  <c r="L34" i="9"/>
  <c r="C34" i="9"/>
  <c r="D34" i="9" s="1"/>
  <c r="B34" i="9"/>
  <c r="K34" i="9"/>
  <c r="I34" i="9"/>
  <c r="M34" i="9"/>
  <c r="E34" i="9"/>
  <c r="B62" i="9"/>
  <c r="L62" i="9"/>
  <c r="I62" i="9"/>
  <c r="E62" i="9"/>
  <c r="C62" i="9"/>
  <c r="D62" i="9" s="1"/>
  <c r="M62" i="9"/>
  <c r="K62" i="9"/>
  <c r="B24" i="9"/>
  <c r="L24" i="9"/>
  <c r="I24" i="9"/>
  <c r="E24" i="9"/>
  <c r="C24" i="9"/>
  <c r="D24" i="9" s="1"/>
  <c r="M24" i="9"/>
  <c r="K24" i="9"/>
  <c r="B31" i="8"/>
  <c r="M31" i="8"/>
  <c r="L31" i="8"/>
  <c r="I31" i="8"/>
  <c r="K31" i="8"/>
  <c r="E31" i="8"/>
  <c r="C31" i="8"/>
  <c r="D31" i="8" s="1"/>
  <c r="M27" i="8"/>
  <c r="L27" i="8"/>
  <c r="K27" i="8"/>
  <c r="E27" i="8"/>
  <c r="C27" i="8"/>
  <c r="D27" i="8" s="1"/>
  <c r="B27" i="8"/>
  <c r="I27" i="8"/>
  <c r="K8" i="8"/>
  <c r="I8" i="8"/>
  <c r="E8" i="8"/>
  <c r="C8" i="8"/>
  <c r="D8" i="8" s="1"/>
  <c r="B8" i="8"/>
  <c r="L8" i="8"/>
  <c r="M8" i="8"/>
  <c r="L35" i="8"/>
  <c r="C35" i="8"/>
  <c r="D35" i="8" s="1"/>
  <c r="B35" i="8"/>
  <c r="M35" i="8"/>
  <c r="K35" i="8"/>
  <c r="I35" i="8"/>
  <c r="E35" i="8"/>
  <c r="L3" i="11"/>
  <c r="F3" i="11"/>
  <c r="D3" i="11"/>
  <c r="E3" i="11" s="1"/>
  <c r="N3" i="11"/>
  <c r="M3" i="11"/>
  <c r="J3" i="11"/>
  <c r="C3" i="11"/>
  <c r="B3" i="11"/>
  <c r="I3" i="11"/>
  <c r="I11" i="7"/>
  <c r="C11" i="7"/>
  <c r="D11" i="7" s="1"/>
  <c r="M11" i="7"/>
  <c r="L11" i="7"/>
  <c r="K11" i="7"/>
  <c r="E11" i="7"/>
  <c r="B11" i="7"/>
  <c r="M3" i="7"/>
  <c r="L3" i="7"/>
  <c r="K3" i="7"/>
  <c r="E3" i="7"/>
  <c r="C3" i="7"/>
  <c r="D3" i="7" s="1"/>
  <c r="B3" i="7"/>
  <c r="I3" i="7"/>
  <c r="D18" i="12"/>
  <c r="E18" i="12" s="1"/>
  <c r="C18" i="12"/>
  <c r="N18" i="12"/>
  <c r="B18" i="12"/>
  <c r="M18" i="12"/>
  <c r="I18" i="12"/>
  <c r="F18" i="12"/>
  <c r="L18" i="12"/>
  <c r="J18" i="12"/>
  <c r="L24" i="10"/>
  <c r="K24" i="10"/>
  <c r="F24" i="10"/>
  <c r="E24" i="10"/>
  <c r="B24" i="10"/>
  <c r="M24" i="10"/>
  <c r="I24" i="10"/>
  <c r="G24" i="10"/>
  <c r="C24" i="10"/>
  <c r="D24" i="10" s="1"/>
  <c r="B37" i="9"/>
  <c r="L37" i="9"/>
  <c r="I37" i="9"/>
  <c r="E37" i="9"/>
  <c r="C37" i="9"/>
  <c r="D37" i="9" s="1"/>
  <c r="M37" i="9"/>
  <c r="K37" i="9"/>
  <c r="B60" i="9"/>
  <c r="L60" i="9"/>
  <c r="K60" i="9"/>
  <c r="M60" i="9"/>
  <c r="I60" i="9"/>
  <c r="C60" i="9"/>
  <c r="D60" i="9" s="1"/>
  <c r="E60" i="9"/>
  <c r="B57" i="9"/>
  <c r="L57" i="9"/>
  <c r="E57" i="9"/>
  <c r="I57" i="9"/>
  <c r="C57" i="9"/>
  <c r="D57" i="9" s="1"/>
  <c r="M57" i="9"/>
  <c r="K57" i="9"/>
  <c r="L4" i="9"/>
  <c r="K4" i="9"/>
  <c r="B4" i="9"/>
  <c r="M4" i="9"/>
  <c r="E4" i="9"/>
  <c r="C4" i="9"/>
  <c r="D4" i="9" s="1"/>
  <c r="I4" i="9"/>
  <c r="Y224" i="13"/>
  <c r="S224" i="13"/>
  <c r="Y218" i="13"/>
  <c r="S218" i="13"/>
  <c r="K27" i="12" s="1"/>
  <c r="L32" i="8"/>
  <c r="B32" i="8"/>
  <c r="M32" i="8"/>
  <c r="I32" i="8"/>
  <c r="E32" i="8"/>
  <c r="C32" i="8"/>
  <c r="D32" i="8" s="1"/>
  <c r="K32" i="8"/>
  <c r="B28" i="8"/>
  <c r="M28" i="8"/>
  <c r="L28" i="8"/>
  <c r="K28" i="8"/>
  <c r="E28" i="8"/>
  <c r="I28" i="8"/>
  <c r="C28" i="8"/>
  <c r="D28" i="8" s="1"/>
  <c r="M19" i="8"/>
  <c r="L19" i="8"/>
  <c r="K19" i="8"/>
  <c r="E19" i="8"/>
  <c r="B19" i="8"/>
  <c r="I19" i="8"/>
  <c r="C19" i="8"/>
  <c r="D19" i="8" s="1"/>
  <c r="C36" i="8"/>
  <c r="D36" i="8" s="1"/>
  <c r="B36" i="8"/>
  <c r="K36" i="8"/>
  <c r="E36" i="8"/>
  <c r="L36" i="8"/>
  <c r="M36" i="8"/>
  <c r="I36" i="8"/>
  <c r="E7" i="7"/>
  <c r="C7" i="7"/>
  <c r="D7" i="7" s="1"/>
  <c r="B7" i="7"/>
  <c r="K7" i="7"/>
  <c r="I7" i="7"/>
  <c r="M7" i="7"/>
  <c r="L7" i="7"/>
  <c r="L32" i="12"/>
  <c r="J32" i="12"/>
  <c r="D32" i="12"/>
  <c r="E32" i="12" s="1"/>
  <c r="C32" i="12"/>
  <c r="F32" i="12"/>
  <c r="B32" i="12"/>
  <c r="M32" i="12"/>
  <c r="I32" i="12"/>
  <c r="N32" i="12"/>
  <c r="Y198" i="13"/>
  <c r="S198" i="13"/>
  <c r="K7" i="12" s="1"/>
  <c r="Y214" i="13"/>
  <c r="S214" i="13"/>
  <c r="K23" i="12" s="1"/>
  <c r="C16" i="10"/>
  <c r="D16" i="10" s="1"/>
  <c r="I16" i="10"/>
  <c r="M16" i="10"/>
  <c r="L16" i="10"/>
  <c r="K16" i="10"/>
  <c r="F16" i="10"/>
  <c r="B16" i="10"/>
  <c r="E16" i="10"/>
  <c r="G16" i="10"/>
  <c r="B26" i="9"/>
  <c r="L26" i="9"/>
  <c r="K26" i="9"/>
  <c r="I26" i="9"/>
  <c r="E26" i="9"/>
  <c r="C26" i="9"/>
  <c r="D26" i="9" s="1"/>
  <c r="M26" i="9"/>
  <c r="B27" i="9"/>
  <c r="L27" i="9"/>
  <c r="E27" i="9"/>
  <c r="C27" i="9"/>
  <c r="D27" i="9" s="1"/>
  <c r="M27" i="9"/>
  <c r="K27" i="9"/>
  <c r="I27" i="9"/>
  <c r="L46" i="9"/>
  <c r="C46" i="9"/>
  <c r="D46" i="9" s="1"/>
  <c r="K46" i="9"/>
  <c r="E46" i="9"/>
  <c r="B46" i="9"/>
  <c r="M46" i="9"/>
  <c r="I46" i="9"/>
  <c r="I188" i="13"/>
  <c r="J188" i="13" s="1"/>
  <c r="K188" i="13" s="1"/>
  <c r="N188" i="13" s="1"/>
  <c r="I182" i="13"/>
  <c r="J182" i="13" s="1"/>
  <c r="K182" i="13" s="1"/>
  <c r="N182" i="13" s="1"/>
  <c r="H3" i="11" s="1"/>
  <c r="I191" i="13"/>
  <c r="J191" i="13" s="1"/>
  <c r="K191" i="13" s="1"/>
  <c r="N191" i="13" s="1"/>
  <c r="H12" i="11" s="1"/>
  <c r="I185" i="13"/>
  <c r="J185" i="13" s="1"/>
  <c r="K185" i="13" s="1"/>
  <c r="N185" i="13" s="1"/>
  <c r="H6" i="11" s="1"/>
  <c r="I183" i="13"/>
  <c r="J183" i="13" s="1"/>
  <c r="K183" i="13" s="1"/>
  <c r="N183" i="13" s="1"/>
  <c r="I186" i="13"/>
  <c r="J186" i="13" s="1"/>
  <c r="K186" i="13" s="1"/>
  <c r="N186" i="13" s="1"/>
  <c r="I192" i="13"/>
  <c r="J192" i="13" s="1"/>
  <c r="K192" i="13" s="1"/>
  <c r="N192" i="13" s="1"/>
  <c r="I189" i="13"/>
  <c r="J189" i="13" s="1"/>
  <c r="K189" i="13" s="1"/>
  <c r="N189" i="13" s="1"/>
  <c r="I184" i="13"/>
  <c r="J184" i="13" s="1"/>
  <c r="K184" i="13" s="1"/>
  <c r="N184" i="13" s="1"/>
  <c r="I187" i="13"/>
  <c r="J187" i="13" s="1"/>
  <c r="K187" i="13" s="1"/>
  <c r="N187" i="13" s="1"/>
  <c r="H8" i="11" s="1"/>
  <c r="I193" i="13"/>
  <c r="J193" i="13" s="1"/>
  <c r="K193" i="13" s="1"/>
  <c r="N193" i="13" s="1"/>
  <c r="H14" i="11" s="1"/>
  <c r="I190" i="13"/>
  <c r="J190" i="13" s="1"/>
  <c r="K190" i="13" s="1"/>
  <c r="N190" i="13" s="1"/>
  <c r="M21" i="7"/>
  <c r="L21" i="7"/>
  <c r="K21" i="7"/>
  <c r="E21" i="7"/>
  <c r="C21" i="7"/>
  <c r="D21" i="7" s="1"/>
  <c r="B21" i="7"/>
  <c r="I21" i="7"/>
  <c r="C32" i="7"/>
  <c r="D32" i="7" s="1"/>
  <c r="B32" i="7"/>
  <c r="M32" i="7"/>
  <c r="L32" i="7"/>
  <c r="I32" i="7"/>
  <c r="E32" i="7"/>
  <c r="K32" i="7"/>
  <c r="M19" i="12"/>
  <c r="L19" i="12"/>
  <c r="J19" i="12"/>
  <c r="F19" i="12"/>
  <c r="D19" i="12"/>
  <c r="E19" i="12" s="1"/>
  <c r="C19" i="12"/>
  <c r="B19" i="12"/>
  <c r="I19" i="12"/>
  <c r="N19" i="12"/>
  <c r="B5" i="10"/>
  <c r="M5" i="10"/>
  <c r="K5" i="10"/>
  <c r="I5" i="10"/>
  <c r="E5" i="10"/>
  <c r="C5" i="10"/>
  <c r="D5" i="10" s="1"/>
  <c r="L5" i="10"/>
  <c r="L28" i="9"/>
  <c r="C28" i="9"/>
  <c r="D28" i="9" s="1"/>
  <c r="M28" i="9"/>
  <c r="K28" i="9"/>
  <c r="E28" i="9"/>
  <c r="I28" i="9"/>
  <c r="B28" i="9"/>
  <c r="B41" i="9"/>
  <c r="M41" i="9"/>
  <c r="I41" i="9"/>
  <c r="E41" i="9"/>
  <c r="C41" i="9"/>
  <c r="D41" i="9" s="1"/>
  <c r="L41" i="9"/>
  <c r="K41" i="9"/>
  <c r="I218" i="13"/>
  <c r="J218" i="13" s="1"/>
  <c r="K218" i="13" s="1"/>
  <c r="N218" i="13" s="1"/>
  <c r="H27" i="12" s="1"/>
  <c r="I212" i="13"/>
  <c r="J212" i="13" s="1"/>
  <c r="K212" i="13" s="1"/>
  <c r="N212" i="13" s="1"/>
  <c r="I206" i="13"/>
  <c r="J206" i="13" s="1"/>
  <c r="K206" i="13" s="1"/>
  <c r="N206" i="13" s="1"/>
  <c r="I200" i="13"/>
  <c r="J200" i="13" s="1"/>
  <c r="K200" i="13" s="1"/>
  <c r="N200" i="13" s="1"/>
  <c r="I194" i="13"/>
  <c r="J194" i="13" s="1"/>
  <c r="K194" i="13" s="1"/>
  <c r="N194" i="13" s="1"/>
  <c r="I216" i="13"/>
  <c r="J216" i="13" s="1"/>
  <c r="K216" i="13" s="1"/>
  <c r="N216" i="13" s="1"/>
  <c r="I222" i="13"/>
  <c r="J222" i="13" s="1"/>
  <c r="K222" i="13" s="1"/>
  <c r="N222" i="13" s="1"/>
  <c r="H31" i="12" s="1"/>
  <c r="I197" i="13"/>
  <c r="J197" i="13" s="1"/>
  <c r="K197" i="13" s="1"/>
  <c r="N197" i="13" s="1"/>
  <c r="I219" i="13"/>
  <c r="J219" i="13" s="1"/>
  <c r="K219" i="13" s="1"/>
  <c r="N219" i="13" s="1"/>
  <c r="H28" i="12" s="1"/>
  <c r="I215" i="13"/>
  <c r="J215" i="13" s="1"/>
  <c r="K215" i="13" s="1"/>
  <c r="N215" i="13" s="1"/>
  <c r="I204" i="13"/>
  <c r="J204" i="13" s="1"/>
  <c r="K204" i="13" s="1"/>
  <c r="N204" i="13" s="1"/>
  <c r="I221" i="13"/>
  <c r="J221" i="13" s="1"/>
  <c r="K221" i="13" s="1"/>
  <c r="N221" i="13" s="1"/>
  <c r="I210" i="13"/>
  <c r="J210" i="13" s="1"/>
  <c r="K210" i="13" s="1"/>
  <c r="N210" i="13" s="1"/>
  <c r="H19" i="12" s="1"/>
  <c r="I209" i="13"/>
  <c r="J209" i="13" s="1"/>
  <c r="K209" i="13" s="1"/>
  <c r="N209" i="13" s="1"/>
  <c r="H18" i="12" s="1"/>
  <c r="I203" i="13"/>
  <c r="J203" i="13" s="1"/>
  <c r="K203" i="13" s="1"/>
  <c r="N203" i="13" s="1"/>
  <c r="H12" i="12" s="1"/>
  <c r="I213" i="13"/>
  <c r="J213" i="13" s="1"/>
  <c r="K213" i="13" s="1"/>
  <c r="N213" i="13" s="1"/>
  <c r="I198" i="13"/>
  <c r="J198" i="13" s="1"/>
  <c r="K198" i="13" s="1"/>
  <c r="N198" i="13" s="1"/>
  <c r="H7" i="12" s="1"/>
  <c r="I225" i="13"/>
  <c r="J225" i="13" s="1"/>
  <c r="K225" i="13" s="1"/>
  <c r="N225" i="13" s="1"/>
  <c r="H34" i="12" s="1"/>
  <c r="I199" i="13"/>
  <c r="J199" i="13" s="1"/>
  <c r="K199" i="13" s="1"/>
  <c r="N199" i="13" s="1"/>
  <c r="I224" i="13"/>
  <c r="J224" i="13" s="1"/>
  <c r="K224" i="13" s="1"/>
  <c r="N224" i="13" s="1"/>
  <c r="I195" i="13"/>
  <c r="J195" i="13" s="1"/>
  <c r="K195" i="13" s="1"/>
  <c r="N195" i="13" s="1"/>
  <c r="H4" i="12" s="1"/>
  <c r="I220" i="13"/>
  <c r="J220" i="13" s="1"/>
  <c r="K220" i="13" s="1"/>
  <c r="N220" i="13" s="1"/>
  <c r="I205" i="13"/>
  <c r="J205" i="13" s="1"/>
  <c r="K205" i="13" s="1"/>
  <c r="N205" i="13" s="1"/>
  <c r="H14" i="12" s="1"/>
  <c r="I223" i="13"/>
  <c r="J223" i="13" s="1"/>
  <c r="K223" i="13" s="1"/>
  <c r="N223" i="13" s="1"/>
  <c r="H32" i="12" s="1"/>
  <c r="I201" i="13"/>
  <c r="J201" i="13" s="1"/>
  <c r="K201" i="13" s="1"/>
  <c r="N201" i="13" s="1"/>
  <c r="H10" i="12" s="1"/>
  <c r="I214" i="13"/>
  <c r="J214" i="13" s="1"/>
  <c r="K214" i="13" s="1"/>
  <c r="N214" i="13" s="1"/>
  <c r="H23" i="12" s="1"/>
  <c r="I196" i="13"/>
  <c r="J196" i="13" s="1"/>
  <c r="K196" i="13" s="1"/>
  <c r="N196" i="13" s="1"/>
  <c r="I202" i="13"/>
  <c r="J202" i="13" s="1"/>
  <c r="K202" i="13" s="1"/>
  <c r="N202" i="13" s="1"/>
  <c r="I207" i="13"/>
  <c r="J207" i="13" s="1"/>
  <c r="K207" i="13" s="1"/>
  <c r="N207" i="13" s="1"/>
  <c r="I211" i="13"/>
  <c r="J211" i="13" s="1"/>
  <c r="K211" i="13" s="1"/>
  <c r="N211" i="13" s="1"/>
  <c r="I208" i="13"/>
  <c r="J208" i="13" s="1"/>
  <c r="K208" i="13" s="1"/>
  <c r="N208" i="13" s="1"/>
  <c r="I217" i="13"/>
  <c r="J217" i="13" s="1"/>
  <c r="K217" i="13" s="1"/>
  <c r="N217" i="13" s="1"/>
  <c r="H26" i="12" s="1"/>
  <c r="S221" i="13"/>
  <c r="K30" i="12" s="1"/>
  <c r="Y221" i="13"/>
  <c r="C6" i="11"/>
  <c r="N6" i="11"/>
  <c r="B6" i="11"/>
  <c r="M6" i="11"/>
  <c r="I6" i="11"/>
  <c r="J6" i="11"/>
  <c r="F6" i="11"/>
  <c r="D6" i="11"/>
  <c r="E6" i="11" s="1"/>
  <c r="L6" i="11"/>
  <c r="Y189" i="13"/>
  <c r="S189" i="13"/>
  <c r="K10" i="11" s="1"/>
  <c r="E31" i="7"/>
  <c r="C31" i="7"/>
  <c r="D31" i="7" s="1"/>
  <c r="B31" i="7"/>
  <c r="K31" i="7"/>
  <c r="M31" i="7"/>
  <c r="L31" i="7"/>
  <c r="I31" i="7"/>
  <c r="K10" i="7"/>
  <c r="I10" i="7"/>
  <c r="E10" i="7"/>
  <c r="C10" i="7"/>
  <c r="D10" i="7" s="1"/>
  <c r="B10" i="7"/>
  <c r="L10" i="7"/>
  <c r="M10" i="7"/>
  <c r="C31" i="12"/>
  <c r="M31" i="12"/>
  <c r="F31" i="12"/>
  <c r="B31" i="12"/>
  <c r="J31" i="12"/>
  <c r="I31" i="12"/>
  <c r="N31" i="12"/>
  <c r="D31" i="12"/>
  <c r="E31" i="12" s="1"/>
  <c r="L31" i="12"/>
  <c r="J4" i="12"/>
  <c r="I4" i="12"/>
  <c r="C4" i="12"/>
  <c r="N4" i="12"/>
  <c r="B4" i="12"/>
  <c r="M4" i="12"/>
  <c r="F4" i="12"/>
  <c r="L4" i="12"/>
  <c r="D4" i="12"/>
  <c r="E4" i="12" s="1"/>
  <c r="S191" i="13"/>
  <c r="K12" i="11" s="1"/>
  <c r="Y191" i="13"/>
  <c r="B11" i="10"/>
  <c r="M11" i="10"/>
  <c r="G11" i="10"/>
  <c r="F11" i="10"/>
  <c r="E11" i="10"/>
  <c r="C11" i="10"/>
  <c r="D11" i="10" s="1"/>
  <c r="L11" i="10"/>
  <c r="K11" i="10"/>
  <c r="I11" i="10"/>
  <c r="Y206" i="13"/>
  <c r="S206" i="13"/>
  <c r="K15" i="12" s="1"/>
  <c r="B65" i="9"/>
  <c r="M65" i="9"/>
  <c r="L65" i="9"/>
  <c r="K65" i="9"/>
  <c r="I65" i="9"/>
  <c r="E65" i="9"/>
  <c r="C65" i="9"/>
  <c r="D65" i="9" s="1"/>
  <c r="L10" i="9"/>
  <c r="I10" i="9"/>
  <c r="E10" i="9"/>
  <c r="K10" i="9"/>
  <c r="C10" i="9"/>
  <c r="D10" i="9" s="1"/>
  <c r="M10" i="9"/>
  <c r="B10" i="9"/>
  <c r="B13" i="9"/>
  <c r="L13" i="9"/>
  <c r="M13" i="9"/>
  <c r="E13" i="9"/>
  <c r="C13" i="9"/>
  <c r="D13" i="9" s="1"/>
  <c r="K13" i="9"/>
  <c r="I13" i="9"/>
  <c r="B52" i="8"/>
  <c r="L52" i="8"/>
  <c r="E52" i="8"/>
  <c r="C52" i="8"/>
  <c r="D52" i="8" s="1"/>
  <c r="M52" i="8"/>
  <c r="I52" i="8"/>
  <c r="K52" i="8"/>
  <c r="L45" i="8"/>
  <c r="M45" i="8"/>
  <c r="K45" i="8"/>
  <c r="C45" i="8"/>
  <c r="D45" i="8" s="1"/>
  <c r="I45" i="8"/>
  <c r="E45" i="8"/>
  <c r="B45" i="8"/>
  <c r="E22" i="8"/>
  <c r="M22" i="8"/>
  <c r="K22" i="8"/>
  <c r="B22" i="8"/>
  <c r="L22" i="8"/>
  <c r="I22" i="8"/>
  <c r="C22" i="8"/>
  <c r="D22" i="8" s="1"/>
  <c r="C6" i="8"/>
  <c r="D6" i="8" s="1"/>
  <c r="B6" i="8"/>
  <c r="M6" i="8"/>
  <c r="L6" i="8"/>
  <c r="I6" i="8"/>
  <c r="E6" i="8"/>
  <c r="K6" i="8"/>
  <c r="Y184" i="13"/>
  <c r="S184" i="13"/>
  <c r="I78" i="13"/>
  <c r="J78" i="13" s="1"/>
  <c r="K78" i="13" s="1"/>
  <c r="N78" i="13" s="1"/>
  <c r="O78" i="13" s="1"/>
  <c r="I72" i="13"/>
  <c r="J72" i="13" s="1"/>
  <c r="K72" i="13" s="1"/>
  <c r="N72" i="13" s="1"/>
  <c r="O72" i="13" s="1"/>
  <c r="I65" i="13"/>
  <c r="J65" i="13" s="1"/>
  <c r="K65" i="13" s="1"/>
  <c r="N65" i="13" s="1"/>
  <c r="O65" i="13" s="1"/>
  <c r="I58" i="13"/>
  <c r="J58" i="13" s="1"/>
  <c r="K58" i="13" s="1"/>
  <c r="N58" i="13" s="1"/>
  <c r="O58" i="13" s="1"/>
  <c r="I79" i="13"/>
  <c r="J79" i="13" s="1"/>
  <c r="K79" i="13" s="1"/>
  <c r="N79" i="13" s="1"/>
  <c r="O79" i="13" s="1"/>
  <c r="I84" i="13"/>
  <c r="J84" i="13" s="1"/>
  <c r="K84" i="13" s="1"/>
  <c r="N84" i="13" s="1"/>
  <c r="O84" i="13" s="1"/>
  <c r="I67" i="13"/>
  <c r="J67" i="13" s="1"/>
  <c r="K67" i="13" s="1"/>
  <c r="N67" i="13" s="1"/>
  <c r="O67" i="13" s="1"/>
  <c r="I54" i="13"/>
  <c r="J54" i="13" s="1"/>
  <c r="K54" i="13" s="1"/>
  <c r="N54" i="13" s="1"/>
  <c r="O54" i="13" s="1"/>
  <c r="I64" i="13"/>
  <c r="J64" i="13" s="1"/>
  <c r="K64" i="13" s="1"/>
  <c r="N64" i="13" s="1"/>
  <c r="O64" i="13" s="1"/>
  <c r="I60" i="13"/>
  <c r="J60" i="13" s="1"/>
  <c r="K60" i="13" s="1"/>
  <c r="N60" i="13" s="1"/>
  <c r="O60" i="13" s="1"/>
  <c r="I39" i="13"/>
  <c r="J39" i="13" s="1"/>
  <c r="K39" i="13" s="1"/>
  <c r="N39" i="13" s="1"/>
  <c r="O39" i="13" s="1"/>
  <c r="I59" i="13"/>
  <c r="J59" i="13" s="1"/>
  <c r="K59" i="13" s="1"/>
  <c r="N59" i="13" s="1"/>
  <c r="O59" i="13" s="1"/>
  <c r="I45" i="13"/>
  <c r="J45" i="13" s="1"/>
  <c r="K45" i="13" s="1"/>
  <c r="N45" i="13" s="1"/>
  <c r="O45" i="13" s="1"/>
  <c r="I73" i="13"/>
  <c r="J73" i="13" s="1"/>
  <c r="K73" i="13" s="1"/>
  <c r="N73" i="13" s="1"/>
  <c r="O73" i="13" s="1"/>
  <c r="I66" i="13"/>
  <c r="J66" i="13" s="1"/>
  <c r="K66" i="13" s="1"/>
  <c r="N66" i="13" s="1"/>
  <c r="O66" i="13" s="1"/>
  <c r="I55" i="13"/>
  <c r="J55" i="13" s="1"/>
  <c r="K55" i="13" s="1"/>
  <c r="N55" i="13" s="1"/>
  <c r="O55" i="13" s="1"/>
  <c r="I49" i="13"/>
  <c r="J49" i="13" s="1"/>
  <c r="K49" i="13" s="1"/>
  <c r="N49" i="13" s="1"/>
  <c r="O49" i="13" s="1"/>
  <c r="I40" i="13"/>
  <c r="J40" i="13" s="1"/>
  <c r="K40" i="13" s="1"/>
  <c r="N40" i="13" s="1"/>
  <c r="O40" i="13" s="1"/>
  <c r="I61" i="13"/>
  <c r="J61" i="13" s="1"/>
  <c r="K61" i="13" s="1"/>
  <c r="N61" i="13" s="1"/>
  <c r="O61" i="13" s="1"/>
  <c r="I53" i="13"/>
  <c r="J53" i="13" s="1"/>
  <c r="K53" i="13" s="1"/>
  <c r="N53" i="13" s="1"/>
  <c r="O53" i="13" s="1"/>
  <c r="I46" i="13"/>
  <c r="J46" i="13" s="1"/>
  <c r="K46" i="13" s="1"/>
  <c r="N46" i="13" s="1"/>
  <c r="O46" i="13" s="1"/>
  <c r="I43" i="13"/>
  <c r="J43" i="13" s="1"/>
  <c r="K43" i="13" s="1"/>
  <c r="N43" i="13" s="1"/>
  <c r="O43" i="13" s="1"/>
  <c r="I56" i="13"/>
  <c r="J56" i="13" s="1"/>
  <c r="K56" i="13" s="1"/>
  <c r="N56" i="13" s="1"/>
  <c r="O56" i="13" s="1"/>
  <c r="I41" i="13"/>
  <c r="J41" i="13" s="1"/>
  <c r="K41" i="13" s="1"/>
  <c r="N41" i="13" s="1"/>
  <c r="O41" i="13" s="1"/>
  <c r="I38" i="13"/>
  <c r="J38" i="13" s="1"/>
  <c r="K38" i="13" s="1"/>
  <c r="N38" i="13" s="1"/>
  <c r="O38" i="13" s="1"/>
  <c r="I68" i="13"/>
  <c r="J68" i="13" s="1"/>
  <c r="K68" i="13" s="1"/>
  <c r="N68" i="13" s="1"/>
  <c r="O68" i="13" s="1"/>
  <c r="I47" i="13"/>
  <c r="J47" i="13" s="1"/>
  <c r="K47" i="13" s="1"/>
  <c r="N47" i="13" s="1"/>
  <c r="O47" i="13" s="1"/>
  <c r="I81" i="13"/>
  <c r="J81" i="13" s="1"/>
  <c r="K81" i="13" s="1"/>
  <c r="N81" i="13" s="1"/>
  <c r="O81" i="13" s="1"/>
  <c r="I70" i="13"/>
  <c r="J70" i="13" s="1"/>
  <c r="K70" i="13" s="1"/>
  <c r="N70" i="13" s="1"/>
  <c r="O70" i="13" s="1"/>
  <c r="I80" i="13"/>
  <c r="J80" i="13" s="1"/>
  <c r="K80" i="13" s="1"/>
  <c r="N80" i="13" s="1"/>
  <c r="O80" i="13" s="1"/>
  <c r="I71" i="13"/>
  <c r="J71" i="13" s="1"/>
  <c r="K71" i="13" s="1"/>
  <c r="N71" i="13" s="1"/>
  <c r="O71" i="13" s="1"/>
  <c r="I62" i="13"/>
  <c r="J62" i="13" s="1"/>
  <c r="K62" i="13" s="1"/>
  <c r="N62" i="13" s="1"/>
  <c r="O62" i="13" s="1"/>
  <c r="I35" i="13"/>
  <c r="J35" i="13" s="1"/>
  <c r="K35" i="13" s="1"/>
  <c r="N35" i="13" s="1"/>
  <c r="O35" i="13" s="1"/>
  <c r="I44" i="13"/>
  <c r="J44" i="13" s="1"/>
  <c r="K44" i="13" s="1"/>
  <c r="N44" i="13" s="1"/>
  <c r="O44" i="13" s="1"/>
  <c r="I82" i="13"/>
  <c r="J82" i="13" s="1"/>
  <c r="K82" i="13" s="1"/>
  <c r="N82" i="13" s="1"/>
  <c r="O82" i="13" s="1"/>
  <c r="I75" i="13"/>
  <c r="J75" i="13" s="1"/>
  <c r="K75" i="13" s="1"/>
  <c r="N75" i="13" s="1"/>
  <c r="O75" i="13" s="1"/>
  <c r="I48" i="13"/>
  <c r="J48" i="13" s="1"/>
  <c r="K48" i="13" s="1"/>
  <c r="N48" i="13" s="1"/>
  <c r="O48" i="13" s="1"/>
  <c r="I69" i="13"/>
  <c r="J69" i="13" s="1"/>
  <c r="K69" i="13" s="1"/>
  <c r="N69" i="13" s="1"/>
  <c r="O69" i="13" s="1"/>
  <c r="I63" i="13"/>
  <c r="J63" i="13" s="1"/>
  <c r="K63" i="13" s="1"/>
  <c r="N63" i="13" s="1"/>
  <c r="O63" i="13" s="1"/>
  <c r="I76" i="13"/>
  <c r="J76" i="13" s="1"/>
  <c r="K76" i="13" s="1"/>
  <c r="N76" i="13" s="1"/>
  <c r="O76" i="13" s="1"/>
  <c r="I50" i="13"/>
  <c r="J50" i="13" s="1"/>
  <c r="K50" i="13" s="1"/>
  <c r="N50" i="13" s="1"/>
  <c r="O50" i="13" s="1"/>
  <c r="I52" i="13"/>
  <c r="J52" i="13" s="1"/>
  <c r="K52" i="13" s="1"/>
  <c r="N52" i="13" s="1"/>
  <c r="O52" i="13" s="1"/>
  <c r="I57" i="13"/>
  <c r="J57" i="13" s="1"/>
  <c r="K57" i="13" s="1"/>
  <c r="N57" i="13" s="1"/>
  <c r="O57" i="13" s="1"/>
  <c r="I51" i="13"/>
  <c r="J51" i="13" s="1"/>
  <c r="K51" i="13" s="1"/>
  <c r="N51" i="13" s="1"/>
  <c r="O51" i="13" s="1"/>
  <c r="I83" i="13"/>
  <c r="J83" i="13" s="1"/>
  <c r="K83" i="13" s="1"/>
  <c r="N83" i="13" s="1"/>
  <c r="O83" i="13" s="1"/>
  <c r="I77" i="13"/>
  <c r="J77" i="13" s="1"/>
  <c r="K77" i="13" s="1"/>
  <c r="N77" i="13" s="1"/>
  <c r="O77" i="13" s="1"/>
  <c r="I37" i="13"/>
  <c r="J37" i="13" s="1"/>
  <c r="K37" i="13" s="1"/>
  <c r="N37" i="13" s="1"/>
  <c r="O37" i="13" s="1"/>
  <c r="I42" i="13"/>
  <c r="J42" i="13" s="1"/>
  <c r="K42" i="13" s="1"/>
  <c r="N42" i="13" s="1"/>
  <c r="O42" i="13" s="1"/>
  <c r="I36" i="13"/>
  <c r="J36" i="13" s="1"/>
  <c r="K36" i="13" s="1"/>
  <c r="N36" i="13" s="1"/>
  <c r="O36" i="13" s="1"/>
  <c r="I74" i="13"/>
  <c r="J74" i="13" s="1"/>
  <c r="K74" i="13" s="1"/>
  <c r="N74" i="13" s="1"/>
  <c r="O74" i="13" s="1"/>
  <c r="C10" i="11"/>
  <c r="N10" i="11"/>
  <c r="B10" i="11"/>
  <c r="M10" i="11"/>
  <c r="I10" i="11"/>
  <c r="H10" i="11"/>
  <c r="F10" i="11"/>
  <c r="L10" i="11"/>
  <c r="J10" i="11"/>
  <c r="D10" i="11"/>
  <c r="E10" i="11" s="1"/>
  <c r="E25" i="7"/>
  <c r="C25" i="7"/>
  <c r="D25" i="7" s="1"/>
  <c r="B25" i="7"/>
  <c r="K25" i="7"/>
  <c r="I25" i="7"/>
  <c r="M25" i="7"/>
  <c r="L25" i="7"/>
  <c r="E13" i="7"/>
  <c r="C13" i="7"/>
  <c r="D13" i="7" s="1"/>
  <c r="B13" i="7"/>
  <c r="K13" i="7"/>
  <c r="F13" i="7"/>
  <c r="M13" i="7"/>
  <c r="I13" i="7"/>
  <c r="L13" i="7"/>
  <c r="K28" i="7"/>
  <c r="I28" i="7"/>
  <c r="E28" i="7"/>
  <c r="C28" i="7"/>
  <c r="D28" i="7" s="1"/>
  <c r="B28" i="7"/>
  <c r="M28" i="7"/>
  <c r="L28" i="7"/>
  <c r="I33" i="13"/>
  <c r="J33" i="13" s="1"/>
  <c r="K33" i="13" s="1"/>
  <c r="N33" i="13" s="1"/>
  <c r="O33" i="13" s="1"/>
  <c r="I15" i="13"/>
  <c r="J15" i="13" s="1"/>
  <c r="K15" i="13" s="1"/>
  <c r="N15" i="13" s="1"/>
  <c r="O15" i="13" s="1"/>
  <c r="I3" i="13"/>
  <c r="I28" i="13"/>
  <c r="J28" i="13" s="1"/>
  <c r="K28" i="13" s="1"/>
  <c r="N28" i="13" s="1"/>
  <c r="O28" i="13" s="1"/>
  <c r="I13" i="13"/>
  <c r="J13" i="13" s="1"/>
  <c r="K13" i="13" s="1"/>
  <c r="N13" i="13" s="1"/>
  <c r="O13" i="13" s="1"/>
  <c r="I21" i="13"/>
  <c r="J21" i="13" s="1"/>
  <c r="K21" i="13" s="1"/>
  <c r="N21" i="13" s="1"/>
  <c r="O21" i="13" s="1"/>
  <c r="I9" i="13"/>
  <c r="J9" i="13" s="1"/>
  <c r="K9" i="13" s="1"/>
  <c r="N9" i="13" s="1"/>
  <c r="O9" i="13" s="1"/>
  <c r="I25" i="13"/>
  <c r="J25" i="13" s="1"/>
  <c r="K25" i="13" s="1"/>
  <c r="N25" i="13" s="1"/>
  <c r="O25" i="13" s="1"/>
  <c r="I27" i="13"/>
  <c r="J27" i="13" s="1"/>
  <c r="K27" i="13" s="1"/>
  <c r="N27" i="13" s="1"/>
  <c r="O27" i="13" s="1"/>
  <c r="I4" i="13"/>
  <c r="J4" i="13" s="1"/>
  <c r="K4" i="13" s="1"/>
  <c r="N4" i="13" s="1"/>
  <c r="O4" i="13" s="1"/>
  <c r="I22" i="13"/>
  <c r="J22" i="13" s="1"/>
  <c r="K22" i="13" s="1"/>
  <c r="N22" i="13" s="1"/>
  <c r="O22" i="13" s="1"/>
  <c r="I16" i="13"/>
  <c r="J16" i="13" s="1"/>
  <c r="K16" i="13" s="1"/>
  <c r="N16" i="13" s="1"/>
  <c r="O16" i="13" s="1"/>
  <c r="I10" i="13"/>
  <c r="J10" i="13" s="1"/>
  <c r="K10" i="13" s="1"/>
  <c r="N10" i="13" s="1"/>
  <c r="O10" i="13" s="1"/>
  <c r="I34" i="13"/>
  <c r="J34" i="13" s="1"/>
  <c r="K34" i="13" s="1"/>
  <c r="N34" i="13" s="1"/>
  <c r="O34" i="13" s="1"/>
  <c r="I24" i="13"/>
  <c r="J24" i="13" s="1"/>
  <c r="K24" i="13" s="1"/>
  <c r="N24" i="13" s="1"/>
  <c r="O24" i="13" s="1"/>
  <c r="I26" i="13"/>
  <c r="J26" i="13" s="1"/>
  <c r="K26" i="13" s="1"/>
  <c r="N26" i="13" s="1"/>
  <c r="O26" i="13" s="1"/>
  <c r="I32" i="13"/>
  <c r="J32" i="13" s="1"/>
  <c r="K32" i="13" s="1"/>
  <c r="N32" i="13" s="1"/>
  <c r="O32" i="13" s="1"/>
  <c r="I6" i="13"/>
  <c r="J6" i="13" s="1"/>
  <c r="K6" i="13" s="1"/>
  <c r="N6" i="13" s="1"/>
  <c r="O6" i="13" s="1"/>
  <c r="I29" i="13"/>
  <c r="J29" i="13" s="1"/>
  <c r="K29" i="13" s="1"/>
  <c r="N29" i="13" s="1"/>
  <c r="O29" i="13" s="1"/>
  <c r="I5" i="13"/>
  <c r="J5" i="13" s="1"/>
  <c r="K5" i="13" s="1"/>
  <c r="N5" i="13" s="1"/>
  <c r="O5" i="13" s="1"/>
  <c r="I17" i="13"/>
  <c r="J17" i="13" s="1"/>
  <c r="K17" i="13" s="1"/>
  <c r="N17" i="13" s="1"/>
  <c r="O17" i="13" s="1"/>
  <c r="I14" i="13"/>
  <c r="J14" i="13" s="1"/>
  <c r="K14" i="13" s="1"/>
  <c r="N14" i="13" s="1"/>
  <c r="O14" i="13" s="1"/>
  <c r="I23" i="13"/>
  <c r="J23" i="13" s="1"/>
  <c r="K23" i="13" s="1"/>
  <c r="N23" i="13" s="1"/>
  <c r="O23" i="13" s="1"/>
  <c r="I11" i="13"/>
  <c r="J11" i="13" s="1"/>
  <c r="K11" i="13" s="1"/>
  <c r="N11" i="13" s="1"/>
  <c r="O11" i="13" s="1"/>
  <c r="I19" i="13"/>
  <c r="J19" i="13" s="1"/>
  <c r="K19" i="13" s="1"/>
  <c r="N19" i="13" s="1"/>
  <c r="O19" i="13" s="1"/>
  <c r="I12" i="13"/>
  <c r="J12" i="13" s="1"/>
  <c r="K12" i="13" s="1"/>
  <c r="N12" i="13" s="1"/>
  <c r="O12" i="13" s="1"/>
  <c r="C25" i="16"/>
  <c r="I7" i="13"/>
  <c r="J7" i="13" s="1"/>
  <c r="K7" i="13" s="1"/>
  <c r="N7" i="13" s="1"/>
  <c r="O7" i="13" s="1"/>
  <c r="I8" i="13"/>
  <c r="J8" i="13" s="1"/>
  <c r="K8" i="13" s="1"/>
  <c r="N8" i="13" s="1"/>
  <c r="O8" i="13" s="1"/>
  <c r="I31" i="13"/>
  <c r="J31" i="13" s="1"/>
  <c r="K31" i="13" s="1"/>
  <c r="N31" i="13" s="1"/>
  <c r="O31" i="13" s="1"/>
  <c r="I20" i="13"/>
  <c r="J20" i="13" s="1"/>
  <c r="K20" i="13" s="1"/>
  <c r="N20" i="13" s="1"/>
  <c r="O20" i="13" s="1"/>
  <c r="I18" i="13"/>
  <c r="J18" i="13" s="1"/>
  <c r="K18" i="13" s="1"/>
  <c r="N18" i="13" s="1"/>
  <c r="O18" i="13" s="1"/>
  <c r="I30" i="13"/>
  <c r="J30" i="13" s="1"/>
  <c r="K30" i="13" s="1"/>
  <c r="N30" i="13" s="1"/>
  <c r="O30" i="13" s="1"/>
  <c r="D26" i="12"/>
  <c r="E26" i="12" s="1"/>
  <c r="C26" i="12"/>
  <c r="N26" i="12"/>
  <c r="B26" i="12"/>
  <c r="M26" i="12"/>
  <c r="I26" i="12"/>
  <c r="G26" i="12"/>
  <c r="F26" i="12"/>
  <c r="L26" i="12"/>
  <c r="J26" i="12"/>
  <c r="M27" i="12"/>
  <c r="L27" i="12"/>
  <c r="J27" i="12"/>
  <c r="F27" i="12"/>
  <c r="D27" i="12"/>
  <c r="E27" i="12" s="1"/>
  <c r="N27" i="12"/>
  <c r="I27" i="12"/>
  <c r="C27" i="12"/>
  <c r="B27" i="12"/>
  <c r="J8" i="12"/>
  <c r="I8" i="12"/>
  <c r="H8" i="12"/>
  <c r="G8" i="12"/>
  <c r="C8" i="12"/>
  <c r="N8" i="12"/>
  <c r="B8" i="12"/>
  <c r="M8" i="12"/>
  <c r="L8" i="12"/>
  <c r="K8" i="12"/>
  <c r="D8" i="12"/>
  <c r="E8" i="12" s="1"/>
  <c r="F8" i="12"/>
  <c r="B29" i="10"/>
  <c r="M29" i="10"/>
  <c r="G29" i="10"/>
  <c r="F29" i="10"/>
  <c r="K29" i="10"/>
  <c r="I29" i="10"/>
  <c r="E29" i="10"/>
  <c r="C29" i="10"/>
  <c r="D29" i="10" s="1"/>
  <c r="L29" i="10"/>
  <c r="C28" i="10"/>
  <c r="D28" i="10" s="1"/>
  <c r="I28" i="10"/>
  <c r="F28" i="10"/>
  <c r="B28" i="10"/>
  <c r="M28" i="10"/>
  <c r="L28" i="10"/>
  <c r="K28" i="10"/>
  <c r="G28" i="10"/>
  <c r="E28" i="10"/>
  <c r="S197" i="13"/>
  <c r="K6" i="12" s="1"/>
  <c r="Y197" i="13"/>
  <c r="B54" i="9"/>
  <c r="L54" i="9"/>
  <c r="K54" i="9"/>
  <c r="C54" i="9"/>
  <c r="D54" i="9" s="1"/>
  <c r="I54" i="9"/>
  <c r="M54" i="9"/>
  <c r="E54" i="9"/>
  <c r="B53" i="9"/>
  <c r="M53" i="9"/>
  <c r="L53" i="9"/>
  <c r="K53" i="9"/>
  <c r="E53" i="9"/>
  <c r="I53" i="9"/>
  <c r="C53" i="9"/>
  <c r="D53" i="9" s="1"/>
  <c r="B20" i="9"/>
  <c r="L20" i="9"/>
  <c r="C20" i="9"/>
  <c r="D20" i="9" s="1"/>
  <c r="M20" i="9"/>
  <c r="I20" i="9"/>
  <c r="K20" i="9"/>
  <c r="E20" i="9"/>
  <c r="B45" i="9"/>
  <c r="L45" i="9"/>
  <c r="E45" i="9"/>
  <c r="M45" i="9"/>
  <c r="K45" i="9"/>
  <c r="I45" i="9"/>
  <c r="C45" i="9"/>
  <c r="D45" i="9" s="1"/>
  <c r="B69" i="9"/>
  <c r="L69" i="9"/>
  <c r="E69" i="9"/>
  <c r="C69" i="9"/>
  <c r="D69" i="9" s="1"/>
  <c r="M69" i="9"/>
  <c r="K69" i="9"/>
  <c r="I69" i="9"/>
  <c r="L40" i="9"/>
  <c r="C40" i="9"/>
  <c r="D40" i="9" s="1"/>
  <c r="M40" i="9"/>
  <c r="K40" i="9"/>
  <c r="I40" i="9"/>
  <c r="E40" i="9"/>
  <c r="B40" i="9"/>
  <c r="E24" i="7"/>
  <c r="M24" i="7"/>
  <c r="C24" i="7"/>
  <c r="D24" i="7" s="1"/>
  <c r="B24" i="7"/>
  <c r="K24" i="7"/>
  <c r="I24" i="7"/>
  <c r="L24" i="7"/>
  <c r="Y186" i="13"/>
  <c r="S186" i="13"/>
  <c r="F30" i="12"/>
  <c r="D30" i="12"/>
  <c r="E30" i="12" s="1"/>
  <c r="J30" i="12"/>
  <c r="I30" i="12"/>
  <c r="N30" i="12"/>
  <c r="H30" i="12"/>
  <c r="G30" i="12"/>
  <c r="B30" i="12"/>
  <c r="M30" i="12"/>
  <c r="L30" i="12"/>
  <c r="C30" i="12"/>
  <c r="M3" i="12"/>
  <c r="L3" i="12"/>
  <c r="J3" i="12"/>
  <c r="F3" i="12"/>
  <c r="D3" i="12"/>
  <c r="E3" i="12" s="1"/>
  <c r="N3" i="12"/>
  <c r="I3" i="12"/>
  <c r="H3" i="12"/>
  <c r="C3" i="12"/>
  <c r="B3" i="12"/>
  <c r="J16" i="12"/>
  <c r="I16" i="12"/>
  <c r="H16" i="12"/>
  <c r="C16" i="12"/>
  <c r="N16" i="12"/>
  <c r="B16" i="12"/>
  <c r="M16" i="12"/>
  <c r="F16" i="12"/>
  <c r="D16" i="12"/>
  <c r="E16" i="12" s="1"/>
  <c r="L16" i="12"/>
  <c r="Y207" i="13"/>
  <c r="S207" i="13"/>
  <c r="K16" i="12" s="1"/>
  <c r="C4" i="10"/>
  <c r="D4" i="10" s="1"/>
  <c r="I4" i="10"/>
  <c r="F4" i="10"/>
  <c r="E4" i="10"/>
  <c r="B4" i="10"/>
  <c r="M4" i="10"/>
  <c r="K4" i="10"/>
  <c r="G4" i="10"/>
  <c r="L4" i="10"/>
  <c r="C10" i="10"/>
  <c r="D10" i="10" s="1"/>
  <c r="I10" i="10"/>
  <c r="L10" i="10"/>
  <c r="G10" i="10"/>
  <c r="F10" i="10"/>
  <c r="K10" i="10"/>
  <c r="E10" i="10"/>
  <c r="M10" i="10"/>
  <c r="B10" i="10"/>
  <c r="L16" i="9"/>
  <c r="M16" i="9"/>
  <c r="C16" i="9"/>
  <c r="D16" i="9" s="1"/>
  <c r="B16" i="9"/>
  <c r="K16" i="9"/>
  <c r="E16" i="9"/>
  <c r="I16" i="9"/>
  <c r="B67" i="9"/>
  <c r="L67" i="9"/>
  <c r="I67" i="9"/>
  <c r="E67" i="9"/>
  <c r="C67" i="9"/>
  <c r="D67" i="9" s="1"/>
  <c r="M67" i="9"/>
  <c r="K67" i="9"/>
  <c r="B5" i="9"/>
  <c r="E5" i="9"/>
  <c r="C5" i="9"/>
  <c r="D5" i="9" s="1"/>
  <c r="M5" i="9"/>
  <c r="L5" i="9"/>
  <c r="K5" i="9"/>
  <c r="I5" i="9"/>
  <c r="B66" i="9"/>
  <c r="L66" i="9"/>
  <c r="K66" i="9"/>
  <c r="E66" i="9"/>
  <c r="I66" i="9"/>
  <c r="C66" i="9"/>
  <c r="D66" i="9" s="1"/>
  <c r="M66" i="9"/>
  <c r="B25" i="9"/>
  <c r="L25" i="9"/>
  <c r="M25" i="9"/>
  <c r="K25" i="9"/>
  <c r="I25" i="9"/>
  <c r="E25" i="9"/>
  <c r="C25" i="9"/>
  <c r="D25" i="9" s="1"/>
  <c r="M72" i="9"/>
  <c r="L72" i="9"/>
  <c r="B72" i="9"/>
  <c r="E72" i="9"/>
  <c r="K72" i="9"/>
  <c r="I72" i="9"/>
  <c r="C72" i="9"/>
  <c r="D72" i="9" s="1"/>
  <c r="E30" i="7"/>
  <c r="M30" i="7"/>
  <c r="L30" i="7"/>
  <c r="K30" i="7"/>
  <c r="I30" i="7"/>
  <c r="C30" i="7"/>
  <c r="D30" i="7" s="1"/>
  <c r="B30" i="7"/>
  <c r="S185" i="13"/>
  <c r="K6" i="11" s="1"/>
  <c r="Y185" i="13"/>
  <c r="D6" i="12"/>
  <c r="E6" i="12" s="1"/>
  <c r="C6" i="12"/>
  <c r="N6" i="12"/>
  <c r="B6" i="12"/>
  <c r="M6" i="12"/>
  <c r="I6" i="12"/>
  <c r="H6" i="12"/>
  <c r="G6" i="12"/>
  <c r="F6" i="12"/>
  <c r="L6" i="12"/>
  <c r="J6" i="12"/>
  <c r="G21" i="12"/>
  <c r="F21" i="12"/>
  <c r="D21" i="12"/>
  <c r="E21" i="12" s="1"/>
  <c r="L21" i="12"/>
  <c r="J21" i="12"/>
  <c r="C21" i="12"/>
  <c r="N21" i="12"/>
  <c r="M21" i="12"/>
  <c r="B21" i="12"/>
  <c r="I21" i="12"/>
  <c r="H21" i="12"/>
  <c r="J24" i="12"/>
  <c r="I24" i="12"/>
  <c r="H24" i="12"/>
  <c r="G24" i="12"/>
  <c r="C24" i="12"/>
  <c r="N24" i="12"/>
  <c r="B24" i="12"/>
  <c r="M24" i="12"/>
  <c r="K24" i="12"/>
  <c r="D24" i="12"/>
  <c r="E24" i="12" s="1"/>
  <c r="F24" i="12"/>
  <c r="L24" i="12"/>
  <c r="Y212" i="13"/>
  <c r="S212" i="13"/>
  <c r="K21" i="12" s="1"/>
  <c r="I7" i="10"/>
  <c r="C7" i="10"/>
  <c r="D7" i="10" s="1"/>
  <c r="B7" i="10"/>
  <c r="E7" i="10"/>
  <c r="M7" i="10"/>
  <c r="K7" i="10"/>
  <c r="L7" i="10"/>
  <c r="G7" i="10"/>
  <c r="F7" i="10"/>
  <c r="G8" i="10"/>
  <c r="B8" i="10"/>
  <c r="M8" i="10"/>
  <c r="L8" i="10"/>
  <c r="I8" i="10"/>
  <c r="E8" i="10"/>
  <c r="C8" i="10"/>
  <c r="D8" i="10" s="1"/>
  <c r="F8" i="10"/>
  <c r="K8" i="10"/>
  <c r="B49" i="9"/>
  <c r="L49" i="9"/>
  <c r="I49" i="9"/>
  <c r="C49" i="9"/>
  <c r="D49" i="9" s="1"/>
  <c r="K49" i="9"/>
  <c r="E49" i="9"/>
  <c r="M49" i="9"/>
  <c r="B17" i="9"/>
  <c r="C17" i="9"/>
  <c r="D17" i="9" s="1"/>
  <c r="M17" i="9"/>
  <c r="K17" i="9"/>
  <c r="I17" i="9"/>
  <c r="L17" i="9"/>
  <c r="E17" i="9"/>
  <c r="B38" i="9"/>
  <c r="L38" i="9"/>
  <c r="M38" i="9"/>
  <c r="K38" i="9"/>
  <c r="E38" i="9"/>
  <c r="I38" i="9"/>
  <c r="C38" i="9"/>
  <c r="D38" i="9" s="1"/>
  <c r="B21" i="9"/>
  <c r="L21" i="9"/>
  <c r="I21" i="9"/>
  <c r="E21" i="9"/>
  <c r="M21" i="9"/>
  <c r="K21" i="9"/>
  <c r="C21" i="9"/>
  <c r="D21" i="9" s="1"/>
  <c r="L58" i="9"/>
  <c r="C58" i="9"/>
  <c r="D58" i="9" s="1"/>
  <c r="M58" i="9"/>
  <c r="B58" i="9"/>
  <c r="K58" i="9"/>
  <c r="I58" i="9"/>
  <c r="E58" i="9"/>
  <c r="E23" i="8"/>
  <c r="C23" i="8"/>
  <c r="D23" i="8" s="1"/>
  <c r="B23" i="8"/>
  <c r="K23" i="8"/>
  <c r="I23" i="8"/>
  <c r="L23" i="8"/>
  <c r="G23" i="8"/>
  <c r="M23" i="8"/>
  <c r="F44" i="8"/>
  <c r="B44" i="8"/>
  <c r="L44" i="8"/>
  <c r="K44" i="8"/>
  <c r="I44" i="8"/>
  <c r="G44" i="8"/>
  <c r="C44" i="8"/>
  <c r="D44" i="8" s="1"/>
  <c r="M44" i="8"/>
  <c r="E44" i="8"/>
  <c r="M13" i="8"/>
  <c r="L13" i="8"/>
  <c r="K13" i="8"/>
  <c r="G13" i="8"/>
  <c r="E13" i="8"/>
  <c r="I13" i="8"/>
  <c r="F13" i="8"/>
  <c r="C13" i="8"/>
  <c r="D13" i="8" s="1"/>
  <c r="B13" i="8"/>
  <c r="C12" i="8"/>
  <c r="D12" i="8" s="1"/>
  <c r="B12" i="8"/>
  <c r="M12" i="8"/>
  <c r="L12" i="8"/>
  <c r="I12" i="8"/>
  <c r="G12" i="8"/>
  <c r="K12" i="8"/>
  <c r="E12" i="8"/>
  <c r="Y200" i="13"/>
  <c r="S200" i="13"/>
  <c r="L11" i="11"/>
  <c r="K11" i="11"/>
  <c r="J11" i="11"/>
  <c r="F11" i="11"/>
  <c r="D11" i="11"/>
  <c r="E11" i="11" s="1"/>
  <c r="H11" i="11"/>
  <c r="C11" i="11"/>
  <c r="B11" i="11"/>
  <c r="N11" i="11"/>
  <c r="M11" i="11"/>
  <c r="I11" i="11"/>
  <c r="G11" i="11"/>
  <c r="Y219" i="13"/>
  <c r="S219" i="13"/>
  <c r="K28" i="12" s="1"/>
  <c r="E17" i="8"/>
  <c r="C17" i="8"/>
  <c r="D17" i="8" s="1"/>
  <c r="B17" i="8"/>
  <c r="K17" i="8"/>
  <c r="I17" i="8"/>
  <c r="G17" i="8"/>
  <c r="M17" i="8"/>
  <c r="L17" i="8"/>
  <c r="B50" i="8"/>
  <c r="L50" i="8"/>
  <c r="M50" i="8"/>
  <c r="I50" i="8"/>
  <c r="E50" i="8"/>
  <c r="K50" i="8"/>
  <c r="C50" i="8"/>
  <c r="D50" i="8" s="1"/>
  <c r="M7" i="8"/>
  <c r="L7" i="8"/>
  <c r="K7" i="8"/>
  <c r="G7" i="8"/>
  <c r="E7" i="8"/>
  <c r="I7" i="8"/>
  <c r="B7" i="8"/>
  <c r="C7" i="8"/>
  <c r="D7" i="8" s="1"/>
  <c r="C24" i="8"/>
  <c r="D24" i="8" s="1"/>
  <c r="B24" i="8"/>
  <c r="M24" i="8"/>
  <c r="L24" i="8"/>
  <c r="I24" i="8"/>
  <c r="K24" i="8"/>
  <c r="E24" i="8"/>
  <c r="Y217" i="13"/>
  <c r="S217" i="13"/>
  <c r="K26" i="12" s="1"/>
  <c r="L7" i="11"/>
  <c r="K7" i="11"/>
  <c r="J7" i="11"/>
  <c r="F7" i="11"/>
  <c r="D7" i="11"/>
  <c r="E7" i="11" s="1"/>
  <c r="M7" i="11"/>
  <c r="H7" i="11"/>
  <c r="G7" i="11"/>
  <c r="N7" i="11"/>
  <c r="I7" i="11"/>
  <c r="C7" i="11"/>
  <c r="B7" i="11"/>
  <c r="Y188" i="13"/>
  <c r="S188" i="13"/>
  <c r="K22" i="7"/>
  <c r="I22" i="7"/>
  <c r="E22" i="7"/>
  <c r="M22" i="7"/>
  <c r="L22" i="7"/>
  <c r="F22" i="7"/>
  <c r="C22" i="7"/>
  <c r="D22" i="7" s="1"/>
  <c r="B22" i="7"/>
  <c r="K16" i="7"/>
  <c r="I16" i="7"/>
  <c r="E16" i="7"/>
  <c r="L16" i="7"/>
  <c r="M16" i="7"/>
  <c r="C16" i="7"/>
  <c r="D16" i="7" s="1"/>
  <c r="B16" i="7"/>
  <c r="G12" i="7"/>
  <c r="F12" i="7"/>
  <c r="E12" i="7"/>
  <c r="M12" i="7"/>
  <c r="L12" i="7"/>
  <c r="K12" i="7"/>
  <c r="I12" i="7"/>
  <c r="C12" i="7"/>
  <c r="D12" i="7" s="1"/>
  <c r="B12" i="7"/>
  <c r="F13" i="12"/>
  <c r="D13" i="12"/>
  <c r="E13" i="12" s="1"/>
  <c r="L13" i="12"/>
  <c r="J13" i="12"/>
  <c r="N13" i="12"/>
  <c r="I13" i="12"/>
  <c r="C13" i="12"/>
  <c r="B13" i="12"/>
  <c r="M13" i="12"/>
  <c r="H13" i="12"/>
  <c r="F5" i="12"/>
  <c r="D5" i="12"/>
  <c r="E5" i="12" s="1"/>
  <c r="L5" i="12"/>
  <c r="J5" i="12"/>
  <c r="N5" i="12"/>
  <c r="I5" i="12"/>
  <c r="H5" i="12"/>
  <c r="C5" i="12"/>
  <c r="B5" i="12"/>
  <c r="M5" i="12"/>
  <c r="J20" i="12"/>
  <c r="I20" i="12"/>
  <c r="H20" i="12"/>
  <c r="G20" i="12"/>
  <c r="C20" i="12"/>
  <c r="N20" i="12"/>
  <c r="B20" i="12"/>
  <c r="M20" i="12"/>
  <c r="L20" i="12"/>
  <c r="F20" i="12"/>
  <c r="D20" i="12"/>
  <c r="E20" i="12" s="1"/>
  <c r="Y201" i="13"/>
  <c r="S201" i="13"/>
  <c r="K10" i="12" s="1"/>
  <c r="I25" i="10"/>
  <c r="C25" i="10"/>
  <c r="D25" i="10" s="1"/>
  <c r="B25" i="10"/>
  <c r="F25" i="10"/>
  <c r="E25" i="10"/>
  <c r="M25" i="10"/>
  <c r="G25" i="10"/>
  <c r="K25" i="10"/>
  <c r="L25" i="10"/>
  <c r="F27" i="10"/>
  <c r="E27" i="10"/>
  <c r="L27" i="10"/>
  <c r="K27" i="10"/>
  <c r="I27" i="10"/>
  <c r="G27" i="10"/>
  <c r="C27" i="10"/>
  <c r="D27" i="10" s="1"/>
  <c r="M27" i="10"/>
  <c r="B27" i="10"/>
  <c r="B23" i="9"/>
  <c r="L23" i="9"/>
  <c r="I23" i="9"/>
  <c r="K23" i="9"/>
  <c r="E23" i="9"/>
  <c r="C23" i="9"/>
  <c r="D23" i="9" s="1"/>
  <c r="M23" i="9"/>
  <c r="B18" i="9"/>
  <c r="L18" i="9"/>
  <c r="I18" i="9"/>
  <c r="E18" i="9"/>
  <c r="M18" i="9"/>
  <c r="K18" i="9"/>
  <c r="C18" i="9"/>
  <c r="D18" i="9" s="1"/>
  <c r="B50" i="9"/>
  <c r="L50" i="9"/>
  <c r="M50" i="9"/>
  <c r="K50" i="9"/>
  <c r="I50" i="9"/>
  <c r="C50" i="9"/>
  <c r="D50" i="9" s="1"/>
  <c r="E50" i="9"/>
  <c r="B6" i="9"/>
  <c r="L6" i="9"/>
  <c r="M6" i="9"/>
  <c r="K6" i="9"/>
  <c r="I6" i="9"/>
  <c r="C6" i="9"/>
  <c r="D6" i="9" s="1"/>
  <c r="E6" i="9"/>
  <c r="B56" i="9"/>
  <c r="L56" i="9"/>
  <c r="K56" i="9"/>
  <c r="E56" i="9"/>
  <c r="M56" i="9"/>
  <c r="C56" i="9"/>
  <c r="D56" i="9" s="1"/>
  <c r="I56" i="9"/>
  <c r="B37" i="8"/>
  <c r="C37" i="8"/>
  <c r="D37" i="8" s="1"/>
  <c r="K37" i="8"/>
  <c r="I37" i="8"/>
  <c r="M37" i="8"/>
  <c r="L37" i="8"/>
  <c r="E37" i="8"/>
  <c r="B43" i="8"/>
  <c r="E43" i="8"/>
  <c r="C43" i="8"/>
  <c r="D43" i="8" s="1"/>
  <c r="M43" i="8"/>
  <c r="K43" i="8"/>
  <c r="L43" i="8"/>
  <c r="I43" i="8"/>
  <c r="L42" i="8"/>
  <c r="C42" i="8"/>
  <c r="D42" i="8" s="1"/>
  <c r="B42" i="8"/>
  <c r="M42" i="8"/>
  <c r="I42" i="8"/>
  <c r="G42" i="8"/>
  <c r="E42" i="8"/>
  <c r="K42" i="8"/>
  <c r="G10" i="8"/>
  <c r="E10" i="8"/>
  <c r="M10" i="8"/>
  <c r="K10" i="8"/>
  <c r="L10" i="8"/>
  <c r="B10" i="8"/>
  <c r="I10" i="8"/>
  <c r="C10" i="8"/>
  <c r="D10" i="8" s="1"/>
  <c r="L29" i="8"/>
  <c r="F29" i="8"/>
  <c r="M29" i="8"/>
  <c r="K29" i="8"/>
  <c r="E29" i="8"/>
  <c r="C29" i="8"/>
  <c r="D29" i="8" s="1"/>
  <c r="B29" i="8"/>
  <c r="I29" i="8"/>
  <c r="G29" i="8"/>
  <c r="F13" i="11"/>
  <c r="D13" i="11"/>
  <c r="E13" i="11" s="1"/>
  <c r="L13" i="11"/>
  <c r="K13" i="11"/>
  <c r="J13" i="11"/>
  <c r="M13" i="11"/>
  <c r="H13" i="11"/>
  <c r="G13" i="11"/>
  <c r="N13" i="11"/>
  <c r="I13" i="11"/>
  <c r="C13" i="11"/>
  <c r="B13" i="11"/>
  <c r="E19" i="7"/>
  <c r="C19" i="7"/>
  <c r="D19" i="7" s="1"/>
  <c r="B19" i="7"/>
  <c r="K19" i="7"/>
  <c r="M19" i="7"/>
  <c r="L19" i="7"/>
  <c r="I19" i="7"/>
  <c r="Y222" i="13"/>
  <c r="S222" i="13"/>
  <c r="K31" i="12" s="1"/>
  <c r="B49" i="8"/>
  <c r="M49" i="8"/>
  <c r="L49" i="8"/>
  <c r="K49" i="8"/>
  <c r="I49" i="8"/>
  <c r="E49" i="8"/>
  <c r="C49" i="8"/>
  <c r="D49" i="8" s="1"/>
  <c r="G49" i="8"/>
  <c r="B46" i="8"/>
  <c r="K46" i="8"/>
  <c r="G46" i="8"/>
  <c r="M46" i="8"/>
  <c r="L46" i="8"/>
  <c r="I46" i="8"/>
  <c r="F46" i="8"/>
  <c r="C46" i="8"/>
  <c r="D46" i="8" s="1"/>
  <c r="E46" i="8"/>
  <c r="K20" i="8"/>
  <c r="I20" i="8"/>
  <c r="E20" i="8"/>
  <c r="C20" i="8"/>
  <c r="D20" i="8" s="1"/>
  <c r="L20" i="8"/>
  <c r="B20" i="8"/>
  <c r="M20" i="8"/>
  <c r="I21" i="8"/>
  <c r="G21" i="8"/>
  <c r="C21" i="8"/>
  <c r="D21" i="8" s="1"/>
  <c r="M21" i="8"/>
  <c r="L21" i="8"/>
  <c r="K21" i="8"/>
  <c r="E21" i="8"/>
  <c r="B21" i="8"/>
  <c r="M30" i="8"/>
  <c r="L30" i="8"/>
  <c r="K30" i="8"/>
  <c r="I30" i="8"/>
  <c r="G30" i="8"/>
  <c r="E30" i="8"/>
  <c r="B30" i="8"/>
  <c r="C30" i="8"/>
  <c r="D30" i="8" s="1"/>
  <c r="F9" i="11"/>
  <c r="D9" i="11"/>
  <c r="E9" i="11" s="1"/>
  <c r="L9" i="11"/>
  <c r="K9" i="11"/>
  <c r="J9" i="11"/>
  <c r="M9" i="11"/>
  <c r="I9" i="11"/>
  <c r="H9" i="11"/>
  <c r="C9" i="11"/>
  <c r="G9" i="11"/>
  <c r="N9" i="11"/>
  <c r="B9" i="11"/>
  <c r="I5" i="7"/>
  <c r="G5" i="7"/>
  <c r="F5" i="7"/>
  <c r="C5" i="7"/>
  <c r="D5" i="7" s="1"/>
  <c r="M5" i="7"/>
  <c r="K5" i="7"/>
  <c r="E5" i="7"/>
  <c r="L5" i="7"/>
  <c r="B5" i="7"/>
  <c r="G18" i="7"/>
  <c r="F18" i="7"/>
  <c r="E18" i="7"/>
  <c r="M18" i="7"/>
  <c r="K18" i="7"/>
  <c r="I18" i="7"/>
  <c r="C18" i="7"/>
  <c r="D18" i="7" s="1"/>
  <c r="B18" i="7"/>
  <c r="L18" i="7"/>
  <c r="M15" i="7"/>
  <c r="L15" i="7"/>
  <c r="K15" i="7"/>
  <c r="G15" i="7"/>
  <c r="I15" i="7"/>
  <c r="F15" i="7"/>
  <c r="B15" i="7"/>
  <c r="E15" i="7"/>
  <c r="C15" i="7"/>
  <c r="D15" i="7" s="1"/>
  <c r="G25" i="12"/>
  <c r="F25" i="12"/>
  <c r="D25" i="12"/>
  <c r="E25" i="12" s="1"/>
  <c r="L25" i="12"/>
  <c r="J25" i="12"/>
  <c r="N25" i="12"/>
  <c r="I25" i="12"/>
  <c r="C25" i="12"/>
  <c r="B25" i="12"/>
  <c r="H25" i="12"/>
  <c r="M25" i="12"/>
  <c r="M15" i="12"/>
  <c r="L15" i="12"/>
  <c r="J15" i="12"/>
  <c r="F15" i="12"/>
  <c r="D15" i="12"/>
  <c r="E15" i="12" s="1"/>
  <c r="N15" i="12"/>
  <c r="I15" i="12"/>
  <c r="H15" i="12"/>
  <c r="C15" i="12"/>
  <c r="G15" i="12"/>
  <c r="B15" i="12"/>
  <c r="I33" i="12"/>
  <c r="G33" i="12"/>
  <c r="M33" i="12"/>
  <c r="L33" i="12"/>
  <c r="F33" i="12"/>
  <c r="D33" i="12"/>
  <c r="E33" i="12" s="1"/>
  <c r="C33" i="12"/>
  <c r="N33" i="12"/>
  <c r="K33" i="12"/>
  <c r="J33" i="12"/>
  <c r="H33" i="12"/>
  <c r="B33" i="12"/>
  <c r="S203" i="13"/>
  <c r="K12" i="12" s="1"/>
  <c r="Y203" i="13"/>
  <c r="F3" i="10"/>
  <c r="E3" i="10"/>
  <c r="K3" i="10"/>
  <c r="B3" i="10"/>
  <c r="L3" i="10"/>
  <c r="I3" i="10"/>
  <c r="G3" i="10"/>
  <c r="C3" i="10"/>
  <c r="D3" i="10" s="1"/>
  <c r="M3" i="10"/>
  <c r="B17" i="10"/>
  <c r="M17" i="10"/>
  <c r="G17" i="10"/>
  <c r="F17" i="10"/>
  <c r="K17" i="10"/>
  <c r="I17" i="10"/>
  <c r="E17" i="10"/>
  <c r="L17" i="10"/>
  <c r="C17" i="10"/>
  <c r="D17" i="10" s="1"/>
  <c r="G14" i="10"/>
  <c r="B14" i="10"/>
  <c r="M14" i="10"/>
  <c r="L14" i="10"/>
  <c r="I14" i="10"/>
  <c r="K14" i="10"/>
  <c r="C14" i="10"/>
  <c r="D14" i="10" s="1"/>
  <c r="E14" i="10"/>
  <c r="F14" i="10"/>
  <c r="S196" i="13"/>
  <c r="K5" i="12" s="1"/>
  <c r="Y196" i="13"/>
  <c r="B29" i="9"/>
  <c r="M29" i="9"/>
  <c r="L29" i="9"/>
  <c r="I29" i="9"/>
  <c r="K29" i="9"/>
  <c r="E29" i="9"/>
  <c r="C29" i="9"/>
  <c r="D29" i="9" s="1"/>
  <c r="B47" i="9"/>
  <c r="M47" i="9"/>
  <c r="E47" i="9"/>
  <c r="C47" i="9"/>
  <c r="D47" i="9" s="1"/>
  <c r="L47" i="9"/>
  <c r="K47" i="9"/>
  <c r="I47" i="9"/>
  <c r="B8" i="9"/>
  <c r="L8" i="9"/>
  <c r="E8" i="9"/>
  <c r="C8" i="9"/>
  <c r="D8" i="9" s="1"/>
  <c r="M8" i="9"/>
  <c r="K8" i="9"/>
  <c r="I8" i="9"/>
  <c r="G8" i="9"/>
  <c r="B36" i="9"/>
  <c r="L36" i="9"/>
  <c r="K36" i="9"/>
  <c r="I36" i="9"/>
  <c r="E36" i="9"/>
  <c r="C36" i="9"/>
  <c r="D36" i="9" s="1"/>
  <c r="M36" i="9"/>
  <c r="L70" i="9"/>
  <c r="E70" i="9"/>
  <c r="K70" i="9"/>
  <c r="I70" i="9"/>
  <c r="C70" i="9"/>
  <c r="D70" i="9" s="1"/>
  <c r="M70" i="9"/>
  <c r="B70" i="9"/>
  <c r="L22" i="9"/>
  <c r="M22" i="9"/>
  <c r="K22" i="9"/>
  <c r="E22" i="9"/>
  <c r="B22" i="9"/>
  <c r="I22" i="9"/>
  <c r="C22" i="9"/>
  <c r="D22" i="9" s="1"/>
  <c r="S211" i="13"/>
  <c r="K20" i="12" s="1"/>
  <c r="Y211" i="13"/>
  <c r="I23" i="7"/>
  <c r="G23" i="7"/>
  <c r="F23" i="7"/>
  <c r="C23" i="7"/>
  <c r="D23" i="7" s="1"/>
  <c r="M23" i="7"/>
  <c r="K23" i="7"/>
  <c r="E23" i="7"/>
  <c r="L23" i="7"/>
  <c r="B23" i="7"/>
  <c r="G6" i="7"/>
  <c r="F6" i="7"/>
  <c r="E6" i="7"/>
  <c r="M6" i="7"/>
  <c r="C6" i="7"/>
  <c r="D6" i="7" s="1"/>
  <c r="B6" i="7"/>
  <c r="K6" i="7"/>
  <c r="I6" i="7"/>
  <c r="L6" i="7"/>
  <c r="Y220" i="13"/>
  <c r="S220" i="13"/>
  <c r="K29" i="12" s="1"/>
  <c r="D14" i="12"/>
  <c r="E14" i="12" s="1"/>
  <c r="C14" i="12"/>
  <c r="N14" i="12"/>
  <c r="B14" i="12"/>
  <c r="M14" i="12"/>
  <c r="I14" i="12"/>
  <c r="G14" i="12"/>
  <c r="F14" i="12"/>
  <c r="L14" i="12"/>
  <c r="K14" i="12"/>
  <c r="J14" i="12"/>
  <c r="M11" i="12"/>
  <c r="L11" i="12"/>
  <c r="K11" i="12"/>
  <c r="J11" i="12"/>
  <c r="F11" i="12"/>
  <c r="D11" i="12"/>
  <c r="E11" i="12" s="1"/>
  <c r="N11" i="12"/>
  <c r="H11" i="12"/>
  <c r="G11" i="12"/>
  <c r="C11" i="12"/>
  <c r="B11" i="12"/>
  <c r="I11" i="12"/>
  <c r="J12" i="12"/>
  <c r="I12" i="12"/>
  <c r="C12" i="12"/>
  <c r="N12" i="12"/>
  <c r="B12" i="12"/>
  <c r="M12" i="12"/>
  <c r="D12" i="12"/>
  <c r="E12" i="12" s="1"/>
  <c r="F12" i="12"/>
  <c r="L12" i="12"/>
  <c r="L6" i="10"/>
  <c r="K6" i="10"/>
  <c r="F6" i="10"/>
  <c r="E6" i="10"/>
  <c r="M6" i="10"/>
  <c r="C6" i="10"/>
  <c r="D6" i="10" s="1"/>
  <c r="B6" i="10"/>
  <c r="I6" i="10"/>
  <c r="G6" i="10"/>
  <c r="F9" i="10"/>
  <c r="E9" i="10"/>
  <c r="L9" i="10"/>
  <c r="K9" i="10"/>
  <c r="M9" i="10"/>
  <c r="I9" i="10"/>
  <c r="B9" i="10"/>
  <c r="G9" i="10"/>
  <c r="C9" i="10"/>
  <c r="D9" i="10" s="1"/>
  <c r="Y213" i="13"/>
  <c r="S213" i="13"/>
  <c r="K22" i="12" s="1"/>
  <c r="B51" i="9"/>
  <c r="L51" i="9"/>
  <c r="E51" i="9"/>
  <c r="K51" i="9"/>
  <c r="M51" i="9"/>
  <c r="I51" i="9"/>
  <c r="C51" i="9"/>
  <c r="D51" i="9" s="1"/>
  <c r="B63" i="9"/>
  <c r="L63" i="9"/>
  <c r="E63" i="9"/>
  <c r="M63" i="9"/>
  <c r="C63" i="9"/>
  <c r="D63" i="9" s="1"/>
  <c r="K63" i="9"/>
  <c r="I63" i="9"/>
  <c r="B19" i="9"/>
  <c r="L19" i="9"/>
  <c r="M19" i="9"/>
  <c r="K19" i="9"/>
  <c r="C19" i="9"/>
  <c r="D19" i="9" s="1"/>
  <c r="I19" i="9"/>
  <c r="E19" i="9"/>
  <c r="B33" i="9"/>
  <c r="L33" i="9"/>
  <c r="E33" i="9"/>
  <c r="M33" i="9"/>
  <c r="K33" i="9"/>
  <c r="C33" i="9"/>
  <c r="D33" i="9" s="1"/>
  <c r="I33" i="9"/>
  <c r="B15" i="9"/>
  <c r="L15" i="9"/>
  <c r="K15" i="9"/>
  <c r="I15" i="9"/>
  <c r="E15" i="9"/>
  <c r="M15" i="9"/>
  <c r="C15" i="9"/>
  <c r="D15" i="9" s="1"/>
  <c r="L64" i="9"/>
  <c r="C64" i="9"/>
  <c r="D64" i="9" s="1"/>
  <c r="E64" i="9"/>
  <c r="B64" i="9"/>
  <c r="M64" i="9"/>
  <c r="K64" i="9"/>
  <c r="I64" i="9"/>
  <c r="S209" i="13"/>
  <c r="K18" i="12" s="1"/>
  <c r="Y209" i="13"/>
  <c r="Y223" i="13"/>
  <c r="S223" i="13"/>
  <c r="K32" i="12" s="1"/>
  <c r="B34" i="8"/>
  <c r="C34" i="8"/>
  <c r="D34" i="8" s="1"/>
  <c r="M34" i="8"/>
  <c r="G34" i="8"/>
  <c r="F34" i="8"/>
  <c r="E34" i="8"/>
  <c r="I34" i="8"/>
  <c r="L34" i="8"/>
  <c r="K34" i="8"/>
  <c r="F26" i="8"/>
  <c r="L26" i="8"/>
  <c r="M26" i="8"/>
  <c r="K26" i="8"/>
  <c r="I26" i="8"/>
  <c r="C26" i="8"/>
  <c r="D26" i="8" s="1"/>
  <c r="E26" i="8"/>
  <c r="B26" i="8"/>
  <c r="G16" i="8"/>
  <c r="F16" i="8"/>
  <c r="E16" i="8"/>
  <c r="M16" i="8"/>
  <c r="K16" i="8"/>
  <c r="L16" i="8"/>
  <c r="I16" i="8"/>
  <c r="C16" i="8"/>
  <c r="D16" i="8" s="1"/>
  <c r="B16" i="8"/>
  <c r="C18" i="8"/>
  <c r="D18" i="8" s="1"/>
  <c r="B18" i="8"/>
  <c r="M18" i="8"/>
  <c r="L18" i="8"/>
  <c r="I18" i="8"/>
  <c r="G18" i="8"/>
  <c r="K18" i="8"/>
  <c r="E18" i="8"/>
  <c r="F18" i="8"/>
  <c r="F5" i="11"/>
  <c r="D5" i="11"/>
  <c r="E5" i="11" s="1"/>
  <c r="L5" i="11"/>
  <c r="K5" i="11"/>
  <c r="J5" i="11"/>
  <c r="H5" i="11"/>
  <c r="C5" i="11"/>
  <c r="B5" i="11"/>
  <c r="N5" i="11"/>
  <c r="M5" i="11"/>
  <c r="I5" i="11"/>
  <c r="G5" i="11"/>
  <c r="B33" i="8"/>
  <c r="M33" i="8"/>
  <c r="I33" i="8"/>
  <c r="G33" i="8"/>
  <c r="L33" i="8"/>
  <c r="E33" i="8"/>
  <c r="K33" i="8"/>
  <c r="F33" i="8"/>
  <c r="C33" i="8"/>
  <c r="D33" i="8" s="1"/>
  <c r="B47" i="8"/>
  <c r="L47" i="8"/>
  <c r="F47" i="8"/>
  <c r="E47" i="8"/>
  <c r="C47" i="8"/>
  <c r="D47" i="8" s="1"/>
  <c r="K47" i="8"/>
  <c r="M47" i="8"/>
  <c r="I47" i="8"/>
  <c r="G47" i="8"/>
  <c r="F51" i="8"/>
  <c r="L51" i="8"/>
  <c r="C51" i="8"/>
  <c r="D51" i="8" s="1"/>
  <c r="B51" i="8"/>
  <c r="M51" i="8"/>
  <c r="I51" i="8"/>
  <c r="G51" i="8"/>
  <c r="E51" i="8"/>
  <c r="K51" i="8"/>
  <c r="L48" i="8"/>
  <c r="I48" i="8"/>
  <c r="E48" i="8"/>
  <c r="M48" i="8"/>
  <c r="K48" i="8"/>
  <c r="B48" i="8"/>
  <c r="C48" i="8"/>
  <c r="D48" i="8" s="1"/>
  <c r="Y204" i="13"/>
  <c r="S204" i="13"/>
  <c r="K13" i="12" s="1"/>
  <c r="I4" i="11"/>
  <c r="H4" i="11"/>
  <c r="C4" i="11"/>
  <c r="N4" i="11"/>
  <c r="B4" i="11"/>
  <c r="M4" i="11"/>
  <c r="K4" i="11"/>
  <c r="G4" i="11"/>
  <c r="F4" i="11"/>
  <c r="L4" i="11"/>
  <c r="J4" i="11"/>
  <c r="D4" i="11"/>
  <c r="E4" i="11" s="1"/>
  <c r="I29" i="7"/>
  <c r="F29" i="7"/>
  <c r="C29" i="7"/>
  <c r="D29" i="7" s="1"/>
  <c r="M29" i="7"/>
  <c r="L29" i="7"/>
  <c r="K29" i="7"/>
  <c r="E29" i="7"/>
  <c r="B29" i="7"/>
  <c r="M9" i="7"/>
  <c r="L9" i="7"/>
  <c r="K9" i="7"/>
  <c r="G9" i="7"/>
  <c r="B9" i="7"/>
  <c r="I9" i="7"/>
  <c r="E9" i="7"/>
  <c r="C9" i="7"/>
  <c r="D9" i="7" s="1"/>
  <c r="M33" i="7"/>
  <c r="L33" i="7"/>
  <c r="K33" i="7"/>
  <c r="I33" i="7"/>
  <c r="F33" i="7"/>
  <c r="B33" i="7"/>
  <c r="C33" i="7"/>
  <c r="D33" i="7" s="1"/>
  <c r="E33" i="7"/>
  <c r="L28" i="12"/>
  <c r="J28" i="12"/>
  <c r="D28" i="12"/>
  <c r="E28" i="12" s="1"/>
  <c r="C28" i="12"/>
  <c r="N28" i="12"/>
  <c r="M28" i="12"/>
  <c r="I28" i="12"/>
  <c r="B28" i="12"/>
  <c r="F28" i="12"/>
  <c r="G9" i="12"/>
  <c r="F9" i="12"/>
  <c r="D9" i="12"/>
  <c r="E9" i="12" s="1"/>
  <c r="L9" i="12"/>
  <c r="K9" i="12"/>
  <c r="J9" i="12"/>
  <c r="C9" i="12"/>
  <c r="N9" i="12"/>
  <c r="M9" i="12"/>
  <c r="H9" i="12"/>
  <c r="B9" i="12"/>
  <c r="I9" i="12"/>
  <c r="I29" i="12"/>
  <c r="G29" i="12"/>
  <c r="M29" i="12"/>
  <c r="L29" i="12"/>
  <c r="N29" i="12"/>
  <c r="D29" i="12"/>
  <c r="E29" i="12" s="1"/>
  <c r="C29" i="12"/>
  <c r="J29" i="12"/>
  <c r="F29" i="12"/>
  <c r="B29" i="12"/>
  <c r="H29" i="12"/>
  <c r="I150" i="13"/>
  <c r="J150" i="13" s="1"/>
  <c r="K150" i="13" s="1"/>
  <c r="N150" i="13" s="1"/>
  <c r="O150" i="13" s="1"/>
  <c r="I144" i="13"/>
  <c r="J144" i="13" s="1"/>
  <c r="K144" i="13" s="1"/>
  <c r="N144" i="13" s="1"/>
  <c r="O144" i="13" s="1"/>
  <c r="I138" i="13"/>
  <c r="J138" i="13" s="1"/>
  <c r="K138" i="13" s="1"/>
  <c r="N138" i="13" s="1"/>
  <c r="O138" i="13" s="1"/>
  <c r="I132" i="13"/>
  <c r="J132" i="13" s="1"/>
  <c r="K132" i="13" s="1"/>
  <c r="N132" i="13" s="1"/>
  <c r="O132" i="13" s="1"/>
  <c r="I126" i="13"/>
  <c r="J126" i="13" s="1"/>
  <c r="K126" i="13" s="1"/>
  <c r="N126" i="13" s="1"/>
  <c r="O126" i="13" s="1"/>
  <c r="I120" i="13"/>
  <c r="J120" i="13" s="1"/>
  <c r="K120" i="13" s="1"/>
  <c r="N120" i="13" s="1"/>
  <c r="O120" i="13" s="1"/>
  <c r="I153" i="13"/>
  <c r="J153" i="13" s="1"/>
  <c r="K153" i="13" s="1"/>
  <c r="N153" i="13" s="1"/>
  <c r="O153" i="13" s="1"/>
  <c r="I108" i="13"/>
  <c r="J108" i="13" s="1"/>
  <c r="K108" i="13" s="1"/>
  <c r="N108" i="13" s="1"/>
  <c r="O108" i="13" s="1"/>
  <c r="I114" i="13"/>
  <c r="J114" i="13" s="1"/>
  <c r="K114" i="13" s="1"/>
  <c r="N114" i="13" s="1"/>
  <c r="O114" i="13" s="1"/>
  <c r="I112" i="13"/>
  <c r="J112" i="13" s="1"/>
  <c r="K112" i="13" s="1"/>
  <c r="N112" i="13" s="1"/>
  <c r="O112" i="13" s="1"/>
  <c r="I148" i="13"/>
  <c r="J148" i="13" s="1"/>
  <c r="K148" i="13" s="1"/>
  <c r="N148" i="13" s="1"/>
  <c r="O148" i="13" s="1"/>
  <c r="I142" i="13"/>
  <c r="J142" i="13" s="1"/>
  <c r="K142" i="13" s="1"/>
  <c r="N142" i="13" s="1"/>
  <c r="O142" i="13" s="1"/>
  <c r="I136" i="13"/>
  <c r="J136" i="13" s="1"/>
  <c r="K136" i="13" s="1"/>
  <c r="N136" i="13" s="1"/>
  <c r="O136" i="13" s="1"/>
  <c r="I130" i="13"/>
  <c r="J130" i="13" s="1"/>
  <c r="K130" i="13" s="1"/>
  <c r="N130" i="13" s="1"/>
  <c r="O130" i="13" s="1"/>
  <c r="I124" i="13"/>
  <c r="J124" i="13" s="1"/>
  <c r="K124" i="13" s="1"/>
  <c r="N124" i="13" s="1"/>
  <c r="O124" i="13" s="1"/>
  <c r="I118" i="13"/>
  <c r="J118" i="13" s="1"/>
  <c r="K118" i="13" s="1"/>
  <c r="N118" i="13" s="1"/>
  <c r="O118" i="13" s="1"/>
  <c r="I85" i="13"/>
  <c r="J85" i="13" s="1"/>
  <c r="K85" i="13" s="1"/>
  <c r="N85" i="13" s="1"/>
  <c r="O85" i="13" s="1"/>
  <c r="I105" i="13"/>
  <c r="J105" i="13" s="1"/>
  <c r="K105" i="13" s="1"/>
  <c r="N105" i="13" s="1"/>
  <c r="O105" i="13" s="1"/>
  <c r="I96" i="13"/>
  <c r="J96" i="13" s="1"/>
  <c r="K96" i="13" s="1"/>
  <c r="N96" i="13" s="1"/>
  <c r="O96" i="13" s="1"/>
  <c r="I111" i="13"/>
  <c r="J111" i="13" s="1"/>
  <c r="K111" i="13" s="1"/>
  <c r="N111" i="13" s="1"/>
  <c r="O111" i="13" s="1"/>
  <c r="I103" i="13"/>
  <c r="J103" i="13" s="1"/>
  <c r="K103" i="13" s="1"/>
  <c r="N103" i="13" s="1"/>
  <c r="O103" i="13" s="1"/>
  <c r="I147" i="13"/>
  <c r="J147" i="13" s="1"/>
  <c r="K147" i="13" s="1"/>
  <c r="N147" i="13" s="1"/>
  <c r="O147" i="13" s="1"/>
  <c r="I141" i="13"/>
  <c r="J141" i="13" s="1"/>
  <c r="K141" i="13" s="1"/>
  <c r="N141" i="13" s="1"/>
  <c r="O141" i="13" s="1"/>
  <c r="I135" i="13"/>
  <c r="J135" i="13" s="1"/>
  <c r="K135" i="13" s="1"/>
  <c r="N135" i="13" s="1"/>
  <c r="O135" i="13" s="1"/>
  <c r="I129" i="13"/>
  <c r="J129" i="13" s="1"/>
  <c r="K129" i="13" s="1"/>
  <c r="N129" i="13" s="1"/>
  <c r="O129" i="13" s="1"/>
  <c r="I123" i="13"/>
  <c r="J123" i="13" s="1"/>
  <c r="K123" i="13" s="1"/>
  <c r="N123" i="13" s="1"/>
  <c r="O123" i="13" s="1"/>
  <c r="I117" i="13"/>
  <c r="J117" i="13" s="1"/>
  <c r="K117" i="13" s="1"/>
  <c r="N117" i="13" s="1"/>
  <c r="O117" i="13" s="1"/>
  <c r="I90" i="13"/>
  <c r="J90" i="13" s="1"/>
  <c r="K90" i="13" s="1"/>
  <c r="N90" i="13" s="1"/>
  <c r="O90" i="13" s="1"/>
  <c r="I102" i="13"/>
  <c r="J102" i="13" s="1"/>
  <c r="K102" i="13" s="1"/>
  <c r="N102" i="13" s="1"/>
  <c r="O102" i="13" s="1"/>
  <c r="I97" i="13"/>
  <c r="J97" i="13" s="1"/>
  <c r="K97" i="13" s="1"/>
  <c r="N97" i="13" s="1"/>
  <c r="O97" i="13" s="1"/>
  <c r="I115" i="13"/>
  <c r="J115" i="13" s="1"/>
  <c r="K115" i="13" s="1"/>
  <c r="N115" i="13" s="1"/>
  <c r="O115" i="13" s="1"/>
  <c r="I93" i="13"/>
  <c r="J93" i="13" s="1"/>
  <c r="K93" i="13" s="1"/>
  <c r="N93" i="13" s="1"/>
  <c r="O93" i="13" s="1"/>
  <c r="I99" i="13"/>
  <c r="J99" i="13" s="1"/>
  <c r="K99" i="13" s="1"/>
  <c r="N99" i="13" s="1"/>
  <c r="O99" i="13" s="1"/>
  <c r="I88" i="13"/>
  <c r="J88" i="13" s="1"/>
  <c r="K88" i="13" s="1"/>
  <c r="N88" i="13" s="1"/>
  <c r="O88" i="13" s="1"/>
  <c r="I149" i="13"/>
  <c r="J149" i="13" s="1"/>
  <c r="K149" i="13" s="1"/>
  <c r="N149" i="13" s="1"/>
  <c r="O149" i="13" s="1"/>
  <c r="I143" i="13"/>
  <c r="J143" i="13" s="1"/>
  <c r="K143" i="13" s="1"/>
  <c r="N143" i="13" s="1"/>
  <c r="O143" i="13" s="1"/>
  <c r="I98" i="13"/>
  <c r="J98" i="13" s="1"/>
  <c r="K98" i="13" s="1"/>
  <c r="N98" i="13" s="1"/>
  <c r="O98" i="13" s="1"/>
  <c r="I116" i="13"/>
  <c r="J116" i="13" s="1"/>
  <c r="K116" i="13" s="1"/>
  <c r="N116" i="13" s="1"/>
  <c r="O116" i="13" s="1"/>
  <c r="I86" i="13"/>
  <c r="J86" i="13" s="1"/>
  <c r="K86" i="13" s="1"/>
  <c r="N86" i="13" s="1"/>
  <c r="O86" i="13" s="1"/>
  <c r="I122" i="13"/>
  <c r="J122" i="13" s="1"/>
  <c r="K122" i="13" s="1"/>
  <c r="N122" i="13" s="1"/>
  <c r="O122" i="13" s="1"/>
  <c r="I92" i="13"/>
  <c r="J92" i="13" s="1"/>
  <c r="K92" i="13" s="1"/>
  <c r="N92" i="13" s="1"/>
  <c r="O92" i="13" s="1"/>
  <c r="I133" i="13"/>
  <c r="J133" i="13" s="1"/>
  <c r="K133" i="13" s="1"/>
  <c r="N133" i="13" s="1"/>
  <c r="O133" i="13" s="1"/>
  <c r="I87" i="13"/>
  <c r="J87" i="13" s="1"/>
  <c r="K87" i="13" s="1"/>
  <c r="N87" i="13" s="1"/>
  <c r="O87" i="13" s="1"/>
  <c r="I131" i="13"/>
  <c r="J131" i="13" s="1"/>
  <c r="K131" i="13" s="1"/>
  <c r="N131" i="13" s="1"/>
  <c r="O131" i="13" s="1"/>
  <c r="I107" i="13"/>
  <c r="J107" i="13" s="1"/>
  <c r="K107" i="13" s="1"/>
  <c r="N107" i="13" s="1"/>
  <c r="O107" i="13" s="1"/>
  <c r="I154" i="13"/>
  <c r="J154" i="13" s="1"/>
  <c r="K154" i="13" s="1"/>
  <c r="N154" i="13" s="1"/>
  <c r="O154" i="13" s="1"/>
  <c r="I146" i="13"/>
  <c r="J146" i="13" s="1"/>
  <c r="K146" i="13" s="1"/>
  <c r="N146" i="13" s="1"/>
  <c r="O146" i="13" s="1"/>
  <c r="I145" i="13"/>
  <c r="J145" i="13" s="1"/>
  <c r="K145" i="13" s="1"/>
  <c r="N145" i="13" s="1"/>
  <c r="O145" i="13" s="1"/>
  <c r="I152" i="13"/>
  <c r="J152" i="13" s="1"/>
  <c r="K152" i="13" s="1"/>
  <c r="N152" i="13" s="1"/>
  <c r="O152" i="13" s="1"/>
  <c r="I106" i="13"/>
  <c r="J106" i="13" s="1"/>
  <c r="K106" i="13" s="1"/>
  <c r="N106" i="13" s="1"/>
  <c r="O106" i="13" s="1"/>
  <c r="I91" i="13"/>
  <c r="J91" i="13" s="1"/>
  <c r="K91" i="13" s="1"/>
  <c r="N91" i="13" s="1"/>
  <c r="O91" i="13" s="1"/>
  <c r="I128" i="13"/>
  <c r="J128" i="13" s="1"/>
  <c r="K128" i="13" s="1"/>
  <c r="N128" i="13" s="1"/>
  <c r="O128" i="13" s="1"/>
  <c r="I140" i="13"/>
  <c r="J140" i="13" s="1"/>
  <c r="K140" i="13" s="1"/>
  <c r="N140" i="13" s="1"/>
  <c r="O140" i="13" s="1"/>
  <c r="I100" i="13"/>
  <c r="J100" i="13" s="1"/>
  <c r="K100" i="13" s="1"/>
  <c r="N100" i="13" s="1"/>
  <c r="O100" i="13" s="1"/>
  <c r="I101" i="13"/>
  <c r="J101" i="13" s="1"/>
  <c r="K101" i="13" s="1"/>
  <c r="N101" i="13" s="1"/>
  <c r="O101" i="13" s="1"/>
  <c r="I109" i="13"/>
  <c r="J109" i="13" s="1"/>
  <c r="K109" i="13" s="1"/>
  <c r="N109" i="13" s="1"/>
  <c r="O109" i="13" s="1"/>
  <c r="I134" i="13"/>
  <c r="J134" i="13" s="1"/>
  <c r="K134" i="13" s="1"/>
  <c r="N134" i="13" s="1"/>
  <c r="O134" i="13" s="1"/>
  <c r="I125" i="13"/>
  <c r="J125" i="13" s="1"/>
  <c r="K125" i="13" s="1"/>
  <c r="N125" i="13" s="1"/>
  <c r="O125" i="13" s="1"/>
  <c r="I94" i="13"/>
  <c r="J94" i="13" s="1"/>
  <c r="K94" i="13" s="1"/>
  <c r="N94" i="13" s="1"/>
  <c r="O94" i="13" s="1"/>
  <c r="I139" i="13"/>
  <c r="J139" i="13" s="1"/>
  <c r="K139" i="13" s="1"/>
  <c r="N139" i="13" s="1"/>
  <c r="O139" i="13" s="1"/>
  <c r="I127" i="13"/>
  <c r="J127" i="13" s="1"/>
  <c r="K127" i="13" s="1"/>
  <c r="N127" i="13" s="1"/>
  <c r="O127" i="13" s="1"/>
  <c r="I110" i="13"/>
  <c r="J110" i="13" s="1"/>
  <c r="K110" i="13" s="1"/>
  <c r="N110" i="13" s="1"/>
  <c r="O110" i="13" s="1"/>
  <c r="I151" i="13"/>
  <c r="J151" i="13" s="1"/>
  <c r="K151" i="13" s="1"/>
  <c r="N151" i="13" s="1"/>
  <c r="O151" i="13" s="1"/>
  <c r="I119" i="13"/>
  <c r="J119" i="13" s="1"/>
  <c r="K119" i="13" s="1"/>
  <c r="N119" i="13" s="1"/>
  <c r="O119" i="13" s="1"/>
  <c r="I89" i="13"/>
  <c r="J89" i="13" s="1"/>
  <c r="K89" i="13" s="1"/>
  <c r="N89" i="13" s="1"/>
  <c r="O89" i="13" s="1"/>
  <c r="I113" i="13"/>
  <c r="J113" i="13" s="1"/>
  <c r="K113" i="13" s="1"/>
  <c r="N113" i="13" s="1"/>
  <c r="O113" i="13" s="1"/>
  <c r="I95" i="13"/>
  <c r="J95" i="13" s="1"/>
  <c r="K95" i="13" s="1"/>
  <c r="N95" i="13" s="1"/>
  <c r="O95" i="13" s="1"/>
  <c r="I104" i="13"/>
  <c r="J104" i="13" s="1"/>
  <c r="K104" i="13" s="1"/>
  <c r="N104" i="13" s="1"/>
  <c r="O104" i="13" s="1"/>
  <c r="I121" i="13"/>
  <c r="J121" i="13" s="1"/>
  <c r="K121" i="13" s="1"/>
  <c r="N121" i="13" s="1"/>
  <c r="O121" i="13" s="1"/>
  <c r="I137" i="13"/>
  <c r="J137" i="13" s="1"/>
  <c r="K137" i="13" s="1"/>
  <c r="N137" i="13" s="1"/>
  <c r="O137" i="13" s="1"/>
  <c r="L18" i="10"/>
  <c r="K18" i="10"/>
  <c r="F18" i="10"/>
  <c r="E18" i="10"/>
  <c r="C18" i="10"/>
  <c r="D18" i="10" s="1"/>
  <c r="B18" i="10"/>
  <c r="M18" i="10"/>
  <c r="I18" i="10"/>
  <c r="G18" i="10"/>
  <c r="F15" i="10"/>
  <c r="E15" i="10"/>
  <c r="L15" i="10"/>
  <c r="K15" i="10"/>
  <c r="I15" i="10"/>
  <c r="G15" i="10"/>
  <c r="C15" i="10"/>
  <c r="D15" i="10" s="1"/>
  <c r="B15" i="10"/>
  <c r="M15" i="10"/>
  <c r="G20" i="10"/>
  <c r="B20" i="10"/>
  <c r="M20" i="10"/>
  <c r="L20" i="10"/>
  <c r="K20" i="10"/>
  <c r="I20" i="10"/>
  <c r="E20" i="10"/>
  <c r="F20" i="10"/>
  <c r="C20" i="10"/>
  <c r="D20" i="10" s="1"/>
  <c r="B59" i="9"/>
  <c r="M59" i="9"/>
  <c r="C59" i="9"/>
  <c r="D59" i="9" s="1"/>
  <c r="K59" i="9"/>
  <c r="I59" i="9"/>
  <c r="E59" i="9"/>
  <c r="L59" i="9"/>
  <c r="B35" i="9"/>
  <c r="M35" i="9"/>
  <c r="K35" i="9"/>
  <c r="I35" i="9"/>
  <c r="E35" i="9"/>
  <c r="L35" i="9"/>
  <c r="C35" i="9"/>
  <c r="D35" i="9" s="1"/>
  <c r="B55" i="9"/>
  <c r="L55" i="9"/>
  <c r="I55" i="9"/>
  <c r="M55" i="9"/>
  <c r="K55" i="9"/>
  <c r="G55" i="9"/>
  <c r="E55" i="9"/>
  <c r="C55" i="9"/>
  <c r="D55" i="9" s="1"/>
  <c r="C71" i="9"/>
  <c r="D71" i="9" s="1"/>
  <c r="B71" i="9"/>
  <c r="M71" i="9"/>
  <c r="K71" i="9"/>
  <c r="E71" i="9"/>
  <c r="L71" i="9"/>
  <c r="G71" i="9"/>
  <c r="I71" i="9"/>
  <c r="B44" i="9"/>
  <c r="L44" i="9"/>
  <c r="C44" i="9"/>
  <c r="D44" i="9" s="1"/>
  <c r="K44" i="9"/>
  <c r="I44" i="9"/>
  <c r="M44" i="9"/>
  <c r="E44" i="9"/>
  <c r="B14" i="9"/>
  <c r="L14" i="9"/>
  <c r="E14" i="9"/>
  <c r="C14" i="9"/>
  <c r="D14" i="9" s="1"/>
  <c r="K14" i="9"/>
  <c r="I14" i="9"/>
  <c r="M14" i="9"/>
  <c r="C14" i="7"/>
  <c r="D14" i="7" s="1"/>
  <c r="B14" i="7"/>
  <c r="M14" i="7"/>
  <c r="L14" i="7"/>
  <c r="I14" i="7"/>
  <c r="G14" i="7"/>
  <c r="F14" i="7"/>
  <c r="E14" i="7"/>
  <c r="K14" i="7"/>
  <c r="Y216" i="13"/>
  <c r="S216" i="13"/>
  <c r="K25" i="12" s="1"/>
  <c r="D22" i="12"/>
  <c r="E22" i="12" s="1"/>
  <c r="C22" i="12"/>
  <c r="N22" i="12"/>
  <c r="B22" i="12"/>
  <c r="M22" i="12"/>
  <c r="I22" i="12"/>
  <c r="H22" i="12"/>
  <c r="G22" i="12"/>
  <c r="J22" i="12"/>
  <c r="F22" i="12"/>
  <c r="L22" i="12"/>
  <c r="Y194" i="13"/>
  <c r="S194" i="13"/>
  <c r="K3" i="12" s="1"/>
  <c r="Y208" i="13"/>
  <c r="S208" i="13"/>
  <c r="K17" i="12" s="1"/>
  <c r="B23" i="10"/>
  <c r="M23" i="10"/>
  <c r="G23" i="10"/>
  <c r="F23" i="10"/>
  <c r="L23" i="10"/>
  <c r="K23" i="10"/>
  <c r="E23" i="10"/>
  <c r="C23" i="10"/>
  <c r="D23" i="10" s="1"/>
  <c r="I23" i="10"/>
  <c r="L12" i="10"/>
  <c r="K12" i="10"/>
  <c r="F12" i="10"/>
  <c r="E12" i="10"/>
  <c r="M12" i="10"/>
  <c r="I12" i="10"/>
  <c r="G12" i="10"/>
  <c r="B12" i="10"/>
  <c r="C12" i="10"/>
  <c r="D12" i="10" s="1"/>
  <c r="G26" i="10"/>
  <c r="B26" i="10"/>
  <c r="M26" i="10"/>
  <c r="L26" i="10"/>
  <c r="I26" i="10"/>
  <c r="F26" i="10"/>
  <c r="K26" i="10"/>
  <c r="E26" i="10"/>
  <c r="C26" i="10"/>
  <c r="D26" i="10" s="1"/>
  <c r="Y195" i="13"/>
  <c r="S195" i="13"/>
  <c r="K4" i="12" s="1"/>
  <c r="B9" i="9"/>
  <c r="L9" i="9"/>
  <c r="M9" i="9"/>
  <c r="K9" i="9"/>
  <c r="I9" i="9"/>
  <c r="C9" i="9"/>
  <c r="D9" i="9" s="1"/>
  <c r="E9" i="9"/>
  <c r="B7" i="9"/>
  <c r="L7" i="9"/>
  <c r="I7" i="9"/>
  <c r="M7" i="9"/>
  <c r="K7" i="9"/>
  <c r="E7" i="9"/>
  <c r="C7" i="9"/>
  <c r="D7" i="9" s="1"/>
  <c r="B43" i="9"/>
  <c r="L43" i="9"/>
  <c r="I43" i="9"/>
  <c r="M43" i="9"/>
  <c r="K43" i="9"/>
  <c r="E43" i="9"/>
  <c r="C43" i="9"/>
  <c r="D43" i="9" s="1"/>
  <c r="B42" i="9"/>
  <c r="L42" i="9"/>
  <c r="K42" i="9"/>
  <c r="E42" i="9"/>
  <c r="C42" i="9"/>
  <c r="D42" i="9" s="1"/>
  <c r="M42" i="9"/>
  <c r="I42" i="9"/>
  <c r="B32" i="9"/>
  <c r="L32" i="9"/>
  <c r="E32" i="9"/>
  <c r="C32" i="9"/>
  <c r="D32" i="9" s="1"/>
  <c r="M32" i="9"/>
  <c r="K32" i="9"/>
  <c r="I32" i="9"/>
  <c r="B12" i="9"/>
  <c r="L12" i="9"/>
  <c r="K12" i="9"/>
  <c r="I12" i="9"/>
  <c r="M12" i="9"/>
  <c r="E12" i="9"/>
  <c r="C12" i="9"/>
  <c r="D12" i="9" s="1"/>
  <c r="C20" i="7"/>
  <c r="D20" i="7" s="1"/>
  <c r="B20" i="7"/>
  <c r="M20" i="7"/>
  <c r="L20" i="7"/>
  <c r="I20" i="7"/>
  <c r="K20" i="7"/>
  <c r="E20" i="7"/>
  <c r="G17" i="12"/>
  <c r="F17" i="12"/>
  <c r="D17" i="12"/>
  <c r="E17" i="12" s="1"/>
  <c r="L17" i="12"/>
  <c r="J17" i="12"/>
  <c r="N17" i="12"/>
  <c r="I17" i="12"/>
  <c r="H17" i="12"/>
  <c r="C17" i="12"/>
  <c r="M17" i="12"/>
  <c r="B17" i="12"/>
  <c r="I19" i="10"/>
  <c r="C19" i="10"/>
  <c r="D19" i="10" s="1"/>
  <c r="B19" i="10"/>
  <c r="M19" i="10"/>
  <c r="K19" i="10"/>
  <c r="G19" i="10"/>
  <c r="E19" i="10"/>
  <c r="L19" i="10"/>
  <c r="F19" i="10"/>
  <c r="C22" i="10"/>
  <c r="D22" i="10" s="1"/>
  <c r="I22" i="10"/>
  <c r="L22" i="10"/>
  <c r="G22" i="10"/>
  <c r="F22" i="10"/>
  <c r="E22" i="10"/>
  <c r="K22" i="10"/>
  <c r="M22" i="10"/>
  <c r="B22" i="10"/>
  <c r="B61" i="9"/>
  <c r="L61" i="9"/>
  <c r="I61" i="9"/>
  <c r="K61" i="9"/>
  <c r="E61" i="9"/>
  <c r="M61" i="9"/>
  <c r="C61" i="9"/>
  <c r="D61" i="9" s="1"/>
  <c r="F11" i="9"/>
  <c r="B11" i="9"/>
  <c r="E11" i="9"/>
  <c r="C11" i="9"/>
  <c r="D11" i="9" s="1"/>
  <c r="L11" i="9"/>
  <c r="M11" i="9"/>
  <c r="K11" i="9"/>
  <c r="I11" i="9"/>
  <c r="G11" i="9"/>
  <c r="L52" i="9"/>
  <c r="C52" i="9"/>
  <c r="D52" i="9" s="1"/>
  <c r="I52" i="9"/>
  <c r="E52" i="9"/>
  <c r="B52" i="9"/>
  <c r="M52" i="9"/>
  <c r="K52" i="9"/>
  <c r="B68" i="9"/>
  <c r="L68" i="9"/>
  <c r="M68" i="9"/>
  <c r="C68" i="9"/>
  <c r="D68" i="9" s="1"/>
  <c r="K68" i="9"/>
  <c r="I68" i="9"/>
  <c r="E68" i="9"/>
  <c r="F48" i="9"/>
  <c r="B48" i="9"/>
  <c r="L48" i="9"/>
  <c r="K48" i="9"/>
  <c r="M48" i="9"/>
  <c r="E48" i="9"/>
  <c r="I48" i="9"/>
  <c r="C48" i="9"/>
  <c r="D48" i="9" s="1"/>
  <c r="B3" i="9"/>
  <c r="L3" i="9"/>
  <c r="M3" i="9"/>
  <c r="K3" i="9"/>
  <c r="I3" i="9"/>
  <c r="E3" i="9"/>
  <c r="C3" i="9"/>
  <c r="D3" i="9" s="1"/>
  <c r="Y210" i="13"/>
  <c r="S210" i="13"/>
  <c r="K19" i="12" s="1"/>
  <c r="F6" i="9" l="1"/>
  <c r="F56" i="9"/>
  <c r="F3" i="9"/>
  <c r="F71" i="9"/>
  <c r="G31" i="12"/>
  <c r="F24" i="8"/>
  <c r="F50" i="8"/>
  <c r="G24" i="8"/>
  <c r="G3" i="12"/>
  <c r="G3" i="9"/>
  <c r="G59" i="9"/>
  <c r="F7" i="9"/>
  <c r="F37" i="8"/>
  <c r="F50" i="9"/>
  <c r="G35" i="9"/>
  <c r="F5" i="9"/>
  <c r="G9" i="9"/>
  <c r="G72" i="9"/>
  <c r="G21" i="10"/>
  <c r="F66" i="9"/>
  <c r="F24" i="7"/>
  <c r="G25" i="7"/>
  <c r="F5" i="10"/>
  <c r="G58" i="9"/>
  <c r="G31" i="7"/>
  <c r="G5" i="10"/>
  <c r="G7" i="9"/>
  <c r="F32" i="9"/>
  <c r="F8" i="9"/>
  <c r="F12" i="8"/>
  <c r="G32" i="8"/>
  <c r="F23" i="9"/>
  <c r="G52" i="9"/>
  <c r="G12" i="9"/>
  <c r="G32" i="9"/>
  <c r="G26" i="9"/>
  <c r="G69" i="9"/>
  <c r="G28" i="7"/>
  <c r="F21" i="7"/>
  <c r="F68" i="9"/>
  <c r="F52" i="9"/>
  <c r="G6" i="9"/>
  <c r="G16" i="7"/>
  <c r="F17" i="9"/>
  <c r="F44" i="9"/>
  <c r="F55" i="9"/>
  <c r="F16" i="7"/>
  <c r="F45" i="8"/>
  <c r="F31" i="7"/>
  <c r="G68" i="9"/>
  <c r="G50" i="9"/>
  <c r="G32" i="12"/>
  <c r="F7" i="7"/>
  <c r="F12" i="9"/>
  <c r="F28" i="7"/>
  <c r="G42" i="9"/>
  <c r="G22" i="9"/>
  <c r="G40" i="9"/>
  <c r="G41" i="9"/>
  <c r="F31" i="8"/>
  <c r="G44" i="9"/>
  <c r="G15" i="9"/>
  <c r="G17" i="9"/>
  <c r="G5" i="9"/>
  <c r="F25" i="7"/>
  <c r="G6" i="8"/>
  <c r="G13" i="9"/>
  <c r="F46" i="9"/>
  <c r="G3" i="11"/>
  <c r="G8" i="8"/>
  <c r="F30" i="9"/>
  <c r="G7" i="12"/>
  <c r="G8" i="7"/>
  <c r="F5" i="8"/>
  <c r="G23" i="12"/>
  <c r="F39" i="8"/>
  <c r="G41" i="8"/>
  <c r="F40" i="8"/>
  <c r="G14" i="9"/>
  <c r="F38" i="9"/>
  <c r="G28" i="12"/>
  <c r="F29" i="9"/>
  <c r="G19" i="7"/>
  <c r="G67" i="9"/>
  <c r="G16" i="9"/>
  <c r="F4" i="9"/>
  <c r="F60" i="9"/>
  <c r="F37" i="9"/>
  <c r="G24" i="9"/>
  <c r="G62" i="9"/>
  <c r="F34" i="9"/>
  <c r="F8" i="7"/>
  <c r="G38" i="8"/>
  <c r="G34" i="7"/>
  <c r="F11" i="8"/>
  <c r="G40" i="8"/>
  <c r="F14" i="9"/>
  <c r="F63" i="9"/>
  <c r="G61" i="9"/>
  <c r="G48" i="9"/>
  <c r="F42" i="9"/>
  <c r="F43" i="9"/>
  <c r="F59" i="9"/>
  <c r="F33" i="9"/>
  <c r="G12" i="12"/>
  <c r="F47" i="9"/>
  <c r="F19" i="7"/>
  <c r="F43" i="8"/>
  <c r="G56" i="9"/>
  <c r="F18" i="9"/>
  <c r="F45" i="9"/>
  <c r="F53" i="9"/>
  <c r="F54" i="9"/>
  <c r="G13" i="7"/>
  <c r="F28" i="8"/>
  <c r="F4" i="7"/>
  <c r="B40" i="14"/>
  <c r="G14" i="8"/>
  <c r="G25" i="9"/>
  <c r="F35" i="9"/>
  <c r="F9" i="7"/>
  <c r="F15" i="9"/>
  <c r="G70" i="9"/>
  <c r="F20" i="8"/>
  <c r="G43" i="8"/>
  <c r="G5" i="12"/>
  <c r="G13" i="12"/>
  <c r="F23" i="8"/>
  <c r="G66" i="9"/>
  <c r="F16" i="9"/>
  <c r="G16" i="12"/>
  <c r="F69" i="9"/>
  <c r="G10" i="11"/>
  <c r="F28" i="9"/>
  <c r="G27" i="8"/>
  <c r="F31" i="9"/>
  <c r="G26" i="7"/>
  <c r="G4" i="7"/>
  <c r="G5" i="8"/>
  <c r="G25" i="8"/>
  <c r="G20" i="8"/>
  <c r="F52" i="8"/>
  <c r="F10" i="7"/>
  <c r="G6" i="11"/>
  <c r="F36" i="8"/>
  <c r="F19" i="8"/>
  <c r="G39" i="9"/>
  <c r="F26" i="7"/>
  <c r="F27" i="7"/>
  <c r="F34" i="7"/>
  <c r="C31" i="14"/>
  <c r="G43" i="9"/>
  <c r="G48" i="8"/>
  <c r="F64" i="9"/>
  <c r="F19" i="9"/>
  <c r="F22" i="9"/>
  <c r="F36" i="9"/>
  <c r="F42" i="8"/>
  <c r="G22" i="7"/>
  <c r="F7" i="8"/>
  <c r="G50" i="8"/>
  <c r="F17" i="8"/>
  <c r="G21" i="9"/>
  <c r="F72" i="9"/>
  <c r="F40" i="9"/>
  <c r="G54" i="9"/>
  <c r="G27" i="12"/>
  <c r="F6" i="8"/>
  <c r="G45" i="8"/>
  <c r="G52" i="8"/>
  <c r="F10" i="9"/>
  <c r="F65" i="9"/>
  <c r="F41" i="9"/>
  <c r="G36" i="8"/>
  <c r="G18" i="12"/>
  <c r="F24" i="9"/>
  <c r="G31" i="9"/>
  <c r="G34" i="12"/>
  <c r="G10" i="12"/>
  <c r="F3" i="8"/>
  <c r="G19" i="12"/>
  <c r="G60" i="9"/>
  <c r="G34" i="9"/>
  <c r="G30" i="9"/>
  <c r="F14" i="8"/>
  <c r="G3" i="8"/>
  <c r="F61" i="9"/>
  <c r="F20" i="7"/>
  <c r="G33" i="7"/>
  <c r="G29" i="7"/>
  <c r="F10" i="8"/>
  <c r="F21" i="9"/>
  <c r="F67" i="9"/>
  <c r="G24" i="7"/>
  <c r="G53" i="9"/>
  <c r="G4" i="12"/>
  <c r="F26" i="9"/>
  <c r="G28" i="8"/>
  <c r="F11" i="7"/>
  <c r="G27" i="7"/>
  <c r="G8" i="11"/>
  <c r="G39" i="8"/>
  <c r="F41" i="8"/>
  <c r="G20" i="7"/>
  <c r="F48" i="8"/>
  <c r="G29" i="9"/>
  <c r="G23" i="9"/>
  <c r="F49" i="9"/>
  <c r="G28" i="9"/>
  <c r="G7" i="7"/>
  <c r="G57" i="9"/>
  <c r="G37" i="9"/>
  <c r="G11" i="7"/>
  <c r="F35" i="8"/>
  <c r="F17" i="7"/>
  <c r="G14" i="11"/>
  <c r="G12" i="11"/>
  <c r="F4" i="8"/>
  <c r="G11" i="8"/>
  <c r="F9" i="8"/>
  <c r="B41" i="14"/>
  <c r="G38" i="9"/>
  <c r="F9" i="9"/>
  <c r="G51" i="9"/>
  <c r="F20" i="9"/>
  <c r="G33" i="9"/>
  <c r="G63" i="9"/>
  <c r="F70" i="9"/>
  <c r="G36" i="9"/>
  <c r="F30" i="8"/>
  <c r="F21" i="8"/>
  <c r="G37" i="8"/>
  <c r="G18" i="9"/>
  <c r="F58" i="9"/>
  <c r="F30" i="7"/>
  <c r="G45" i="9"/>
  <c r="F13" i="9"/>
  <c r="F32" i="7"/>
  <c r="G46" i="9"/>
  <c r="G27" i="9"/>
  <c r="G19" i="8"/>
  <c r="G17" i="7"/>
  <c r="G4" i="8"/>
  <c r="F25" i="8"/>
  <c r="G9" i="8"/>
  <c r="G30" i="7"/>
  <c r="F25" i="9"/>
  <c r="G20" i="9"/>
  <c r="J3" i="13"/>
  <c r="F22" i="8"/>
  <c r="G32" i="7"/>
  <c r="F27" i="9"/>
  <c r="F8" i="8"/>
  <c r="F39" i="9"/>
  <c r="F15" i="8"/>
  <c r="F38" i="8"/>
  <c r="G26" i="8"/>
  <c r="G64" i="9"/>
  <c r="G19" i="9"/>
  <c r="F51" i="9"/>
  <c r="G47" i="9"/>
  <c r="F49" i="8"/>
  <c r="G49" i="9"/>
  <c r="G22" i="8"/>
  <c r="G10" i="9"/>
  <c r="G65" i="9"/>
  <c r="G10" i="7"/>
  <c r="G21" i="7"/>
  <c r="F32" i="8"/>
  <c r="G4" i="9"/>
  <c r="F57" i="9"/>
  <c r="G35" i="8"/>
  <c r="F27" i="8"/>
  <c r="G31" i="8"/>
  <c r="F62" i="9"/>
  <c r="C30" i="14"/>
  <c r="G15" i="8"/>
  <c r="C31" i="16" l="1"/>
  <c r="C32" i="16"/>
  <c r="C15" i="16"/>
  <c r="D15" i="16" s="1"/>
  <c r="K3" i="13"/>
  <c r="F3" i="7"/>
  <c r="N3" i="13" l="1"/>
  <c r="O3" i="13" l="1"/>
  <c r="G3" i="7"/>
  <c r="P3" i="13" l="1"/>
  <c r="Q3" i="13" s="1"/>
  <c r="P171" i="13"/>
  <c r="Q171" i="13" s="1"/>
  <c r="P176" i="13"/>
  <c r="Q176" i="13" s="1"/>
  <c r="P161" i="13"/>
  <c r="Q161" i="13" s="1"/>
  <c r="P177" i="13"/>
  <c r="Q177" i="13" s="1"/>
  <c r="P169" i="13"/>
  <c r="Q169" i="13" s="1"/>
  <c r="P172" i="13"/>
  <c r="Q172" i="13" s="1"/>
  <c r="P164" i="13"/>
  <c r="Q164" i="13" s="1"/>
  <c r="P156" i="13"/>
  <c r="Q156" i="13" s="1"/>
  <c r="P162" i="13"/>
  <c r="Q162" i="13" s="1"/>
  <c r="P159" i="13"/>
  <c r="Q159" i="13" s="1"/>
  <c r="P165" i="13"/>
  <c r="Q165" i="13" s="1"/>
  <c r="P178" i="13"/>
  <c r="Q178" i="13" s="1"/>
  <c r="P175" i="13"/>
  <c r="Q175" i="13" s="1"/>
  <c r="P167" i="13"/>
  <c r="Q167" i="13" s="1"/>
  <c r="P179" i="13"/>
  <c r="Q179" i="13" s="1"/>
  <c r="P180" i="13"/>
  <c r="Q180" i="13" s="1"/>
  <c r="P173" i="13"/>
  <c r="Q173" i="13" s="1"/>
  <c r="P158" i="13"/>
  <c r="Q158" i="13" s="1"/>
  <c r="P160" i="13"/>
  <c r="Q160" i="13" s="1"/>
  <c r="P168" i="13"/>
  <c r="Q168" i="13" s="1"/>
  <c r="P174" i="13"/>
  <c r="Q174" i="13" s="1"/>
  <c r="P170" i="13"/>
  <c r="Q170" i="13" s="1"/>
  <c r="P181" i="13"/>
  <c r="Q181" i="13" s="1"/>
  <c r="P157" i="13"/>
  <c r="Q157" i="13" s="1"/>
  <c r="P166" i="13"/>
  <c r="Q166" i="13" s="1"/>
  <c r="P163" i="13"/>
  <c r="Q163" i="13" s="1"/>
  <c r="P155" i="13"/>
  <c r="Q155" i="13" s="1"/>
  <c r="P16" i="13"/>
  <c r="Q16" i="13" s="1"/>
  <c r="P110" i="13"/>
  <c r="Q110" i="13" s="1"/>
  <c r="P43" i="13"/>
  <c r="Q43" i="13" s="1"/>
  <c r="P17" i="13"/>
  <c r="Q17" i="13" s="1"/>
  <c r="P18" i="13"/>
  <c r="Q18" i="13" s="1"/>
  <c r="P89" i="13"/>
  <c r="Q89" i="13" s="1"/>
  <c r="P118" i="13"/>
  <c r="Q118" i="13" s="1"/>
  <c r="P81" i="13"/>
  <c r="Q81" i="13" s="1"/>
  <c r="P47" i="13"/>
  <c r="Q47" i="13" s="1"/>
  <c r="P94" i="13"/>
  <c r="Q94" i="13" s="1"/>
  <c r="P37" i="13"/>
  <c r="Q37" i="13" s="1"/>
  <c r="P130" i="13"/>
  <c r="Q130" i="13" s="1"/>
  <c r="P137" i="13"/>
  <c r="Q137" i="13" s="1"/>
  <c r="P60" i="13"/>
  <c r="Q60" i="13" s="1"/>
  <c r="P10" i="13"/>
  <c r="Q10" i="13" s="1"/>
  <c r="P27" i="13"/>
  <c r="Q27" i="13" s="1"/>
  <c r="P95" i="13"/>
  <c r="Q95" i="13" s="1"/>
  <c r="P5" i="13"/>
  <c r="Q5" i="13" s="1"/>
  <c r="P140" i="13"/>
  <c r="Q140" i="13" s="1"/>
  <c r="P132" i="13"/>
  <c r="Q132" i="13" s="1"/>
  <c r="P58" i="13"/>
  <c r="Q58" i="13" s="1"/>
  <c r="P66" i="13"/>
  <c r="Q66" i="13" s="1"/>
  <c r="P74" i="13"/>
  <c r="Q74" i="13" s="1"/>
  <c r="P76" i="13"/>
  <c r="Q76" i="13" s="1"/>
  <c r="P26" i="13"/>
  <c r="Q26" i="13" s="1"/>
  <c r="P116" i="13"/>
  <c r="Q116" i="13" s="1"/>
  <c r="P146" i="13"/>
  <c r="Q146" i="13" s="1"/>
  <c r="P82" i="13"/>
  <c r="Q82" i="13" s="1"/>
  <c r="P125" i="13"/>
  <c r="Q125" i="13" s="1"/>
  <c r="P75" i="13"/>
  <c r="Q75" i="13" s="1"/>
  <c r="P14" i="13"/>
  <c r="Q14" i="13" s="1"/>
  <c r="P51" i="13"/>
  <c r="Q51" i="13" s="1"/>
  <c r="P101" i="13"/>
  <c r="Q101" i="13" s="1"/>
  <c r="P25" i="13"/>
  <c r="Q25" i="13" s="1"/>
  <c r="P92" i="13"/>
  <c r="Q92" i="13" s="1"/>
  <c r="P151" i="13"/>
  <c r="Q151" i="13" s="1"/>
  <c r="P65" i="13"/>
  <c r="Q65" i="13" s="1"/>
  <c r="P106" i="13"/>
  <c r="Q106" i="13" s="1"/>
  <c r="P69" i="13"/>
  <c r="Q69" i="13" s="1"/>
  <c r="P127" i="13"/>
  <c r="Q127" i="13" s="1"/>
  <c r="P98" i="13"/>
  <c r="Q98" i="13" s="1"/>
  <c r="P70" i="13"/>
  <c r="Q70" i="13" s="1"/>
  <c r="P84" i="13"/>
  <c r="Q84" i="13" s="1"/>
  <c r="P11" i="13"/>
  <c r="Q11" i="13" s="1"/>
  <c r="P142" i="13"/>
  <c r="Q142" i="13" s="1"/>
  <c r="P78" i="13"/>
  <c r="Q78" i="13" s="1"/>
  <c r="P145" i="13"/>
  <c r="Q145" i="13" s="1"/>
  <c r="P149" i="13"/>
  <c r="Q149" i="13" s="1"/>
  <c r="P56" i="13"/>
  <c r="Q56" i="13" s="1"/>
  <c r="P135" i="13"/>
  <c r="Q135" i="13" s="1"/>
  <c r="P154" i="13"/>
  <c r="Q154" i="13" s="1"/>
  <c r="P4" i="13"/>
  <c r="Q4" i="13" s="1"/>
  <c r="P62" i="13"/>
  <c r="Q62" i="13" s="1"/>
  <c r="P87" i="13"/>
  <c r="Q87" i="13" s="1"/>
  <c r="P57" i="13"/>
  <c r="Q57" i="13" s="1"/>
  <c r="P100" i="13"/>
  <c r="Q100" i="13" s="1"/>
  <c r="P102" i="13"/>
  <c r="Q102" i="13" s="1"/>
  <c r="P31" i="13"/>
  <c r="Q31" i="13" s="1"/>
  <c r="P119" i="13"/>
  <c r="Q119" i="13" s="1"/>
  <c r="P91" i="13"/>
  <c r="Q91" i="13" s="1"/>
  <c r="P144" i="13"/>
  <c r="Q144" i="13" s="1"/>
  <c r="P68" i="13"/>
  <c r="Q68" i="13" s="1"/>
  <c r="P152" i="13"/>
  <c r="Q152" i="13" s="1"/>
  <c r="P86" i="13"/>
  <c r="Q86" i="13" s="1"/>
  <c r="P73" i="13"/>
  <c r="Q73" i="13" s="1"/>
  <c r="P33" i="13"/>
  <c r="Q33" i="13" s="1"/>
  <c r="P103" i="13"/>
  <c r="Q103" i="13" s="1"/>
  <c r="P128" i="13"/>
  <c r="Q128" i="13" s="1"/>
  <c r="P114" i="13"/>
  <c r="Q114" i="13" s="1"/>
  <c r="P90" i="13"/>
  <c r="Q90" i="13" s="1"/>
  <c r="P45" i="13"/>
  <c r="Q45" i="13" s="1"/>
  <c r="P59" i="13"/>
  <c r="Q59" i="13" s="1"/>
  <c r="P141" i="13"/>
  <c r="Q141" i="13" s="1"/>
  <c r="P39" i="13"/>
  <c r="Q39" i="13" s="1"/>
  <c r="P88" i="13"/>
  <c r="Q88" i="13" s="1"/>
  <c r="P53" i="13"/>
  <c r="Q53" i="13" s="1"/>
  <c r="P113" i="13"/>
  <c r="Q113" i="13" s="1"/>
  <c r="P115" i="13"/>
  <c r="Q115" i="13" s="1"/>
  <c r="P71" i="13"/>
  <c r="Q71" i="13" s="1"/>
  <c r="P29" i="13"/>
  <c r="Q29" i="13" s="1"/>
  <c r="P85" i="13"/>
  <c r="Q85" i="13" s="1"/>
  <c r="P6" i="13"/>
  <c r="Q6" i="13" s="1"/>
  <c r="P122" i="13"/>
  <c r="Q122" i="13" s="1"/>
  <c r="P44" i="13"/>
  <c r="Q44" i="13" s="1"/>
  <c r="P63" i="13"/>
  <c r="Q63" i="13" s="1"/>
  <c r="P148" i="13"/>
  <c r="Q148" i="13" s="1"/>
  <c r="P19" i="13"/>
  <c r="Q19" i="13" s="1"/>
  <c r="P147" i="13"/>
  <c r="Q147" i="13" s="1"/>
  <c r="P83" i="13"/>
  <c r="Q83" i="13" s="1"/>
  <c r="P105" i="13"/>
  <c r="Q105" i="13" s="1"/>
  <c r="P54" i="13"/>
  <c r="Q54" i="13" s="1"/>
  <c r="P96" i="13"/>
  <c r="Q96" i="13" s="1"/>
  <c r="P61" i="13"/>
  <c r="Q61" i="13" s="1"/>
  <c r="P9" i="13"/>
  <c r="Q9" i="13" s="1"/>
  <c r="P126" i="13"/>
  <c r="Q126" i="13" s="1"/>
  <c r="P21" i="13"/>
  <c r="Q21" i="13" s="1"/>
  <c r="P117" i="13"/>
  <c r="Q117" i="13" s="1"/>
  <c r="P72" i="13"/>
  <c r="Q72" i="13" s="1"/>
  <c r="P129" i="13"/>
  <c r="Q129" i="13" s="1"/>
  <c r="P12" i="13"/>
  <c r="Q12" i="13" s="1"/>
  <c r="P34" i="13"/>
  <c r="Q34" i="13" s="1"/>
  <c r="P48" i="13"/>
  <c r="Q48" i="13" s="1"/>
  <c r="P120" i="13"/>
  <c r="Q120" i="13" s="1"/>
  <c r="P123" i="13"/>
  <c r="Q123" i="13" s="1"/>
  <c r="P41" i="13"/>
  <c r="Q41" i="13" s="1"/>
  <c r="P112" i="13"/>
  <c r="Q112" i="13" s="1"/>
  <c r="P121" i="13"/>
  <c r="Q121" i="13" s="1"/>
  <c r="P35" i="13"/>
  <c r="Q35" i="13" s="1"/>
  <c r="P109" i="13"/>
  <c r="Q109" i="13" s="1"/>
  <c r="P104" i="13"/>
  <c r="Q104" i="13" s="1"/>
  <c r="P153" i="13"/>
  <c r="Q153" i="13" s="1"/>
  <c r="P67" i="13"/>
  <c r="Q67" i="13" s="1"/>
  <c r="P52" i="13"/>
  <c r="Q52" i="13" s="1"/>
  <c r="P50" i="13"/>
  <c r="Q50" i="13" s="1"/>
  <c r="P133" i="13"/>
  <c r="Q133" i="13" s="1"/>
  <c r="P32" i="13"/>
  <c r="Q32" i="13" s="1"/>
  <c r="P124" i="13"/>
  <c r="Q124" i="13" s="1"/>
  <c r="P136" i="13"/>
  <c r="Q136" i="13" s="1"/>
  <c r="P20" i="13"/>
  <c r="Q20" i="13" s="1"/>
  <c r="P138" i="13"/>
  <c r="Q138" i="13" s="1"/>
  <c r="P150" i="13"/>
  <c r="Q150" i="13" s="1"/>
  <c r="P99" i="13"/>
  <c r="Q99" i="13" s="1"/>
  <c r="P24" i="13"/>
  <c r="Q24" i="13" s="1"/>
  <c r="P139" i="13"/>
  <c r="Q139" i="13" s="1"/>
  <c r="P8" i="13"/>
  <c r="Q8" i="13" s="1"/>
  <c r="P30" i="13"/>
  <c r="Q30" i="13" s="1"/>
  <c r="P23" i="13"/>
  <c r="Q23" i="13" s="1"/>
  <c r="P134" i="13"/>
  <c r="Q134" i="13" s="1"/>
  <c r="P46" i="13"/>
  <c r="Q46" i="13" s="1"/>
  <c r="P93" i="13"/>
  <c r="Q93" i="13" s="1"/>
  <c r="P131" i="13"/>
  <c r="Q131" i="13" s="1"/>
  <c r="P80" i="13"/>
  <c r="Q80" i="13" s="1"/>
  <c r="P15" i="13"/>
  <c r="Q15" i="13" s="1"/>
  <c r="P79" i="13"/>
  <c r="Q79" i="13" s="1"/>
  <c r="P77" i="13"/>
  <c r="Q77" i="13" s="1"/>
  <c r="P28" i="13"/>
  <c r="Q28" i="13" s="1"/>
  <c r="P38" i="13"/>
  <c r="Q38" i="13" s="1"/>
  <c r="P42" i="13"/>
  <c r="Q42" i="13" s="1"/>
  <c r="P13" i="13"/>
  <c r="Q13" i="13" s="1"/>
  <c r="P143" i="13"/>
  <c r="Q143" i="13" s="1"/>
  <c r="P22" i="13"/>
  <c r="Q22" i="13" s="1"/>
  <c r="P97" i="13"/>
  <c r="Q97" i="13" s="1"/>
  <c r="P107" i="13"/>
  <c r="Q107" i="13" s="1"/>
  <c r="P64" i="13"/>
  <c r="Q64" i="13" s="1"/>
  <c r="P108" i="13"/>
  <c r="Q108" i="13" s="1"/>
  <c r="P111" i="13"/>
  <c r="Q111" i="13" s="1"/>
  <c r="P40" i="13"/>
  <c r="Q40" i="13" s="1"/>
  <c r="P49" i="13"/>
  <c r="Q49" i="13" s="1"/>
  <c r="P55" i="13"/>
  <c r="Q55" i="13" s="1"/>
  <c r="P7" i="13"/>
  <c r="Q7" i="13" s="1"/>
  <c r="P36" i="13"/>
  <c r="Q36" i="13" s="1"/>
  <c r="Y174" i="13" l="1"/>
  <c r="S174" i="13"/>
  <c r="J22" i="10" s="1"/>
  <c r="H22" i="10"/>
  <c r="Y73" i="13"/>
  <c r="S73" i="13"/>
  <c r="J41" i="8" s="1"/>
  <c r="H41" i="8"/>
  <c r="Y107" i="13"/>
  <c r="S107" i="13"/>
  <c r="J26" i="9" s="1"/>
  <c r="H26" i="9"/>
  <c r="Y143" i="13"/>
  <c r="S143" i="13"/>
  <c r="H61" i="9"/>
  <c r="Y134" i="13"/>
  <c r="S134" i="13"/>
  <c r="H52" i="9"/>
  <c r="Y32" i="13"/>
  <c r="S32" i="13"/>
  <c r="J32" i="7" s="1"/>
  <c r="H32" i="7"/>
  <c r="Y123" i="13"/>
  <c r="S123" i="13"/>
  <c r="J36" i="9" s="1"/>
  <c r="H36" i="9"/>
  <c r="Y96" i="13"/>
  <c r="S96" i="13"/>
  <c r="J8" i="9" s="1"/>
  <c r="H8" i="9"/>
  <c r="Y29" i="13"/>
  <c r="S29" i="13"/>
  <c r="J29" i="7" s="1"/>
  <c r="H29" i="7"/>
  <c r="Y128" i="13"/>
  <c r="S128" i="13"/>
  <c r="J42" i="9" s="1"/>
  <c r="H42" i="9"/>
  <c r="Y100" i="13"/>
  <c r="S100" i="13"/>
  <c r="J10" i="9" s="1"/>
  <c r="H10" i="9"/>
  <c r="Y11" i="13"/>
  <c r="S11" i="13"/>
  <c r="J11" i="7" s="1"/>
  <c r="H11" i="7"/>
  <c r="Y51" i="13"/>
  <c r="S51" i="13"/>
  <c r="J19" i="8" s="1"/>
  <c r="H19" i="8"/>
  <c r="Y132" i="13"/>
  <c r="S132" i="13"/>
  <c r="H49" i="9"/>
  <c r="Y81" i="13"/>
  <c r="S81" i="13"/>
  <c r="J49" i="8" s="1"/>
  <c r="H49" i="8"/>
  <c r="Y181" i="13"/>
  <c r="S181" i="13"/>
  <c r="J29" i="10" s="1"/>
  <c r="H29" i="10"/>
  <c r="Y165" i="13"/>
  <c r="S165" i="13"/>
  <c r="J13" i="10" s="1"/>
  <c r="H13" i="10"/>
  <c r="Y30" i="13"/>
  <c r="S30" i="13"/>
  <c r="J30" i="7" s="1"/>
  <c r="H30" i="7"/>
  <c r="Y33" i="13"/>
  <c r="S33" i="13"/>
  <c r="J33" i="7" s="1"/>
  <c r="H33" i="7"/>
  <c r="Y52" i="13"/>
  <c r="S52" i="13"/>
  <c r="J20" i="8" s="1"/>
  <c r="H20" i="8"/>
  <c r="Y111" i="13"/>
  <c r="S111" i="13"/>
  <c r="J35" i="9" s="1"/>
  <c r="H35" i="9"/>
  <c r="Y36" i="13"/>
  <c r="S36" i="13"/>
  <c r="J4" i="8" s="1"/>
  <c r="H4" i="8"/>
  <c r="Y13" i="13"/>
  <c r="S13" i="13"/>
  <c r="J13" i="7" s="1"/>
  <c r="H13" i="7"/>
  <c r="S23" i="13"/>
  <c r="J23" i="7" s="1"/>
  <c r="Y23" i="13"/>
  <c r="H23" i="7"/>
  <c r="S133" i="13"/>
  <c r="Y133" i="13"/>
  <c r="H51" i="9"/>
  <c r="Y120" i="13"/>
  <c r="S120" i="13"/>
  <c r="J30" i="9" s="1"/>
  <c r="H30" i="9"/>
  <c r="Y54" i="13"/>
  <c r="S54" i="13"/>
  <c r="J22" i="8" s="1"/>
  <c r="H22" i="8"/>
  <c r="Y71" i="13"/>
  <c r="S71" i="13"/>
  <c r="J39" i="8" s="1"/>
  <c r="H39" i="8"/>
  <c r="S103" i="13"/>
  <c r="J22" i="9" s="1"/>
  <c r="Y103" i="13"/>
  <c r="H22" i="9"/>
  <c r="Y57" i="13"/>
  <c r="S57" i="13"/>
  <c r="J25" i="8" s="1"/>
  <c r="H25" i="8"/>
  <c r="Y84" i="13"/>
  <c r="S84" i="13"/>
  <c r="J52" i="8" s="1"/>
  <c r="H52" i="8"/>
  <c r="Y14" i="13"/>
  <c r="S14" i="13"/>
  <c r="J14" i="7" s="1"/>
  <c r="H14" i="7"/>
  <c r="Y140" i="13"/>
  <c r="S140" i="13"/>
  <c r="H58" i="9"/>
  <c r="Y118" i="13"/>
  <c r="S118" i="13"/>
  <c r="H47" i="9"/>
  <c r="Y170" i="13"/>
  <c r="S170" i="13"/>
  <c r="J18" i="10" s="1"/>
  <c r="H18" i="10"/>
  <c r="Y159" i="13"/>
  <c r="S159" i="13"/>
  <c r="J7" i="10" s="1"/>
  <c r="H7" i="10"/>
  <c r="Y75" i="13"/>
  <c r="S75" i="13"/>
  <c r="J43" i="8" s="1"/>
  <c r="H43" i="8"/>
  <c r="Y8" i="13"/>
  <c r="S8" i="13"/>
  <c r="J8" i="7" s="1"/>
  <c r="H8" i="7"/>
  <c r="Y168" i="13"/>
  <c r="S168" i="13"/>
  <c r="J16" i="10" s="1"/>
  <c r="H16" i="10"/>
  <c r="Y49" i="13"/>
  <c r="S49" i="13"/>
  <c r="J17" i="8" s="1"/>
  <c r="H17" i="8"/>
  <c r="Y28" i="13"/>
  <c r="S28" i="13"/>
  <c r="J28" i="7" s="1"/>
  <c r="H28" i="7"/>
  <c r="S139" i="13"/>
  <c r="J57" i="9" s="1"/>
  <c r="Y139" i="13"/>
  <c r="H57" i="9"/>
  <c r="Y67" i="13"/>
  <c r="S67" i="13"/>
  <c r="J35" i="8" s="1"/>
  <c r="H35" i="8"/>
  <c r="Y12" i="13"/>
  <c r="S12" i="13"/>
  <c r="J12" i="7" s="1"/>
  <c r="H12" i="7"/>
  <c r="Y147" i="13"/>
  <c r="S147" i="13"/>
  <c r="H65" i="9"/>
  <c r="Y53" i="13"/>
  <c r="S53" i="13"/>
  <c r="J21" i="8" s="1"/>
  <c r="H21" i="8"/>
  <c r="Y86" i="13"/>
  <c r="S86" i="13"/>
  <c r="J3" i="9" s="1"/>
  <c r="H3" i="9"/>
  <c r="Y4" i="13"/>
  <c r="S4" i="13"/>
  <c r="J4" i="7" s="1"/>
  <c r="H4" i="7"/>
  <c r="S127" i="13"/>
  <c r="J40" i="9" s="1"/>
  <c r="Y127" i="13"/>
  <c r="H40" i="9"/>
  <c r="Y82" i="13"/>
  <c r="S82" i="13"/>
  <c r="J50" i="8" s="1"/>
  <c r="H50" i="8"/>
  <c r="Y27" i="13"/>
  <c r="S27" i="13"/>
  <c r="J27" i="7" s="1"/>
  <c r="H27" i="7"/>
  <c r="Y17" i="13"/>
  <c r="S17" i="13"/>
  <c r="J17" i="7" s="1"/>
  <c r="H17" i="7"/>
  <c r="Y160" i="13"/>
  <c r="S160" i="13"/>
  <c r="J8" i="10" s="1"/>
  <c r="H8" i="10"/>
  <c r="Y164" i="13"/>
  <c r="S164" i="13"/>
  <c r="J12" i="10" s="1"/>
  <c r="H12" i="10"/>
  <c r="Y70" i="13"/>
  <c r="S70" i="13"/>
  <c r="J38" i="8" s="1"/>
  <c r="H38" i="8"/>
  <c r="Y83" i="13"/>
  <c r="S83" i="13"/>
  <c r="J51" i="8" s="1"/>
  <c r="H51" i="8"/>
  <c r="Y156" i="13"/>
  <c r="S156" i="13"/>
  <c r="J4" i="10" s="1"/>
  <c r="H4" i="10"/>
  <c r="Y40" i="13"/>
  <c r="S40" i="13"/>
  <c r="J8" i="8" s="1"/>
  <c r="H8" i="8"/>
  <c r="S77" i="13"/>
  <c r="J45" i="8" s="1"/>
  <c r="Y77" i="13"/>
  <c r="H45" i="8"/>
  <c r="Y24" i="13"/>
  <c r="S24" i="13"/>
  <c r="J24" i="7" s="1"/>
  <c r="H24" i="7"/>
  <c r="S153" i="13"/>
  <c r="Y153" i="13"/>
  <c r="H71" i="9"/>
  <c r="Y129" i="13"/>
  <c r="S129" i="13"/>
  <c r="H44" i="9"/>
  <c r="Y19" i="13"/>
  <c r="S19" i="13"/>
  <c r="J19" i="7" s="1"/>
  <c r="H19" i="7"/>
  <c r="Y88" i="13"/>
  <c r="S88" i="13"/>
  <c r="J6" i="9" s="1"/>
  <c r="H6" i="9"/>
  <c r="S152" i="13"/>
  <c r="J70" i="9" s="1"/>
  <c r="Y152" i="13"/>
  <c r="H70" i="9"/>
  <c r="S154" i="13"/>
  <c r="Y154" i="13"/>
  <c r="H72" i="9"/>
  <c r="Y69" i="13"/>
  <c r="S69" i="13"/>
  <c r="J37" i="8" s="1"/>
  <c r="H37" i="8"/>
  <c r="Y146" i="13"/>
  <c r="S146" i="13"/>
  <c r="J64" i="9" s="1"/>
  <c r="H64" i="9"/>
  <c r="Y10" i="13"/>
  <c r="S10" i="13"/>
  <c r="J10" i="7" s="1"/>
  <c r="H10" i="7"/>
  <c r="Y43" i="13"/>
  <c r="S43" i="13"/>
  <c r="J11" i="8" s="1"/>
  <c r="H11" i="8"/>
  <c r="Y158" i="13"/>
  <c r="S158" i="13"/>
  <c r="J6" i="10" s="1"/>
  <c r="H6" i="10"/>
  <c r="Y172" i="13"/>
  <c r="S172" i="13"/>
  <c r="J20" i="10" s="1"/>
  <c r="H20" i="10"/>
  <c r="Y7" i="13"/>
  <c r="S7" i="13"/>
  <c r="J7" i="7" s="1"/>
  <c r="H7" i="7"/>
  <c r="Y87" i="13"/>
  <c r="S87" i="13"/>
  <c r="J5" i="9" s="1"/>
  <c r="H5" i="9"/>
  <c r="S113" i="13"/>
  <c r="J38" i="9" s="1"/>
  <c r="Y113" i="13"/>
  <c r="H38" i="9"/>
  <c r="Y79" i="13"/>
  <c r="S79" i="13"/>
  <c r="J47" i="8" s="1"/>
  <c r="H47" i="8"/>
  <c r="Y99" i="13"/>
  <c r="S99" i="13"/>
  <c r="J12" i="9" s="1"/>
  <c r="H12" i="9"/>
  <c r="Y104" i="13"/>
  <c r="S104" i="13"/>
  <c r="J20" i="9" s="1"/>
  <c r="H20" i="9"/>
  <c r="Y72" i="13"/>
  <c r="S72" i="13"/>
  <c r="J40" i="8" s="1"/>
  <c r="H40" i="8"/>
  <c r="Y148" i="13"/>
  <c r="S148" i="13"/>
  <c r="H66" i="9"/>
  <c r="Y39" i="13"/>
  <c r="S39" i="13"/>
  <c r="J7" i="8" s="1"/>
  <c r="H7" i="8"/>
  <c r="Y68" i="13"/>
  <c r="S68" i="13"/>
  <c r="J36" i="8" s="1"/>
  <c r="H36" i="8"/>
  <c r="Y135" i="13"/>
  <c r="S135" i="13"/>
  <c r="H53" i="9"/>
  <c r="Y106" i="13"/>
  <c r="S106" i="13"/>
  <c r="J19" i="9" s="1"/>
  <c r="H19" i="9"/>
  <c r="Y116" i="13"/>
  <c r="S116" i="13"/>
  <c r="J43" i="9" s="1"/>
  <c r="H43" i="9"/>
  <c r="Y60" i="13"/>
  <c r="S60" i="13"/>
  <c r="J28" i="8" s="1"/>
  <c r="H28" i="8"/>
  <c r="Y110" i="13"/>
  <c r="S110" i="13"/>
  <c r="J29" i="9" s="1"/>
  <c r="H29" i="9"/>
  <c r="Y173" i="13"/>
  <c r="S173" i="13"/>
  <c r="J21" i="10" s="1"/>
  <c r="H21" i="10"/>
  <c r="Y169" i="13"/>
  <c r="S169" i="13"/>
  <c r="J17" i="10" s="1"/>
  <c r="H17" i="10"/>
  <c r="S115" i="13"/>
  <c r="J41" i="9" s="1"/>
  <c r="Y115" i="13"/>
  <c r="H41" i="9"/>
  <c r="Y38" i="13"/>
  <c r="S38" i="13"/>
  <c r="J6" i="8" s="1"/>
  <c r="H6" i="8"/>
  <c r="Y95" i="13"/>
  <c r="S95" i="13"/>
  <c r="J17" i="9" s="1"/>
  <c r="H17" i="9"/>
  <c r="Y108" i="13"/>
  <c r="S108" i="13"/>
  <c r="J25" i="9" s="1"/>
  <c r="H25" i="9"/>
  <c r="Y15" i="13"/>
  <c r="S15" i="13"/>
  <c r="J15" i="7" s="1"/>
  <c r="H15" i="7"/>
  <c r="Y150" i="13"/>
  <c r="S150" i="13"/>
  <c r="H68" i="9"/>
  <c r="S109" i="13"/>
  <c r="J31" i="9" s="1"/>
  <c r="Y109" i="13"/>
  <c r="H31" i="9"/>
  <c r="Y117" i="13"/>
  <c r="S117" i="13"/>
  <c r="J37" i="9" s="1"/>
  <c r="H37" i="9"/>
  <c r="Y63" i="13"/>
  <c r="S63" i="13"/>
  <c r="J31" i="8" s="1"/>
  <c r="H31" i="8"/>
  <c r="Y141" i="13"/>
  <c r="S141" i="13"/>
  <c r="H59" i="9"/>
  <c r="Y144" i="13"/>
  <c r="S144" i="13"/>
  <c r="H62" i="9"/>
  <c r="Y56" i="13"/>
  <c r="S56" i="13"/>
  <c r="J24" i="8" s="1"/>
  <c r="H24" i="8"/>
  <c r="Y65" i="13"/>
  <c r="S65" i="13"/>
  <c r="J33" i="8" s="1"/>
  <c r="H33" i="8"/>
  <c r="Y26" i="13"/>
  <c r="S26" i="13"/>
  <c r="J26" i="7" s="1"/>
  <c r="H26" i="7"/>
  <c r="Y137" i="13"/>
  <c r="S137" i="13"/>
  <c r="J55" i="9" s="1"/>
  <c r="H55" i="9"/>
  <c r="Y16" i="13"/>
  <c r="S16" i="13"/>
  <c r="J16" i="7" s="1"/>
  <c r="H16" i="7"/>
  <c r="Y180" i="13"/>
  <c r="S180" i="13"/>
  <c r="J28" i="10" s="1"/>
  <c r="H28" i="10"/>
  <c r="Y177" i="13"/>
  <c r="S177" i="13"/>
  <c r="J25" i="10" s="1"/>
  <c r="H25" i="10"/>
  <c r="Y105" i="13"/>
  <c r="S105" i="13"/>
  <c r="J24" i="9" s="1"/>
  <c r="H24" i="9"/>
  <c r="Y55" i="13"/>
  <c r="S55" i="13"/>
  <c r="J23" i="8" s="1"/>
  <c r="H23" i="8"/>
  <c r="Y125" i="13"/>
  <c r="S125" i="13"/>
  <c r="H45" i="9"/>
  <c r="Y64" i="13"/>
  <c r="S64" i="13"/>
  <c r="J32" i="8" s="1"/>
  <c r="H32" i="8"/>
  <c r="Y80" i="13"/>
  <c r="S80" i="13"/>
  <c r="J48" i="8" s="1"/>
  <c r="H48" i="8"/>
  <c r="Y138" i="13"/>
  <c r="S138" i="13"/>
  <c r="J56" i="9" s="1"/>
  <c r="H56" i="9"/>
  <c r="Y35" i="13"/>
  <c r="S35" i="13"/>
  <c r="J3" i="8" s="1"/>
  <c r="H3" i="8"/>
  <c r="Y21" i="13"/>
  <c r="S21" i="13"/>
  <c r="J21" i="7" s="1"/>
  <c r="H21" i="7"/>
  <c r="Y44" i="13"/>
  <c r="S44" i="13"/>
  <c r="J12" i="8" s="1"/>
  <c r="H12" i="8"/>
  <c r="Y59" i="13"/>
  <c r="S59" i="13"/>
  <c r="J27" i="8" s="1"/>
  <c r="H27" i="8"/>
  <c r="Y91" i="13"/>
  <c r="S91" i="13"/>
  <c r="J16" i="9" s="1"/>
  <c r="H16" i="9"/>
  <c r="Y149" i="13"/>
  <c r="S149" i="13"/>
  <c r="J67" i="9" s="1"/>
  <c r="H67" i="9"/>
  <c r="Y151" i="13"/>
  <c r="S151" i="13"/>
  <c r="J69" i="9" s="1"/>
  <c r="H69" i="9"/>
  <c r="Y76" i="13"/>
  <c r="S76" i="13"/>
  <c r="J44" i="8" s="1"/>
  <c r="H44" i="8"/>
  <c r="Y130" i="13"/>
  <c r="S130" i="13"/>
  <c r="J46" i="9" s="1"/>
  <c r="H46" i="9"/>
  <c r="S155" i="13"/>
  <c r="J3" i="10" s="1"/>
  <c r="Y155" i="13"/>
  <c r="H3" i="10"/>
  <c r="Y179" i="13"/>
  <c r="S179" i="13"/>
  <c r="J27" i="10" s="1"/>
  <c r="H27" i="10"/>
  <c r="Y161" i="13"/>
  <c r="S161" i="13"/>
  <c r="J9" i="10" s="1"/>
  <c r="H9" i="10"/>
  <c r="Y48" i="13"/>
  <c r="S48" i="13"/>
  <c r="J16" i="8" s="1"/>
  <c r="H16" i="8"/>
  <c r="Y5" i="13"/>
  <c r="S5" i="13"/>
  <c r="J5" i="7" s="1"/>
  <c r="H5" i="7"/>
  <c r="S62" i="13"/>
  <c r="J30" i="8" s="1"/>
  <c r="Y62" i="13"/>
  <c r="H30" i="8"/>
  <c r="Y131" i="13"/>
  <c r="S131" i="13"/>
  <c r="J48" i="9" s="1"/>
  <c r="H48" i="9"/>
  <c r="Y20" i="13"/>
  <c r="S20" i="13"/>
  <c r="J20" i="7" s="1"/>
  <c r="H20" i="7"/>
  <c r="S121" i="13"/>
  <c r="J32" i="9" s="1"/>
  <c r="Y121" i="13"/>
  <c r="H32" i="9"/>
  <c r="Y126" i="13"/>
  <c r="S126" i="13"/>
  <c r="J39" i="9" s="1"/>
  <c r="H39" i="9"/>
  <c r="Y122" i="13"/>
  <c r="S122" i="13"/>
  <c r="J33" i="9" s="1"/>
  <c r="H33" i="9"/>
  <c r="Y45" i="13"/>
  <c r="S45" i="13"/>
  <c r="J13" i="8" s="1"/>
  <c r="H13" i="8"/>
  <c r="Y119" i="13"/>
  <c r="S119" i="13"/>
  <c r="J28" i="9" s="1"/>
  <c r="H28" i="9"/>
  <c r="S145" i="13"/>
  <c r="Y145" i="13"/>
  <c r="H63" i="9"/>
  <c r="Y92" i="13"/>
  <c r="S92" i="13"/>
  <c r="J21" i="9" s="1"/>
  <c r="H21" i="9"/>
  <c r="Y74" i="13"/>
  <c r="S74" i="13"/>
  <c r="J42" i="8" s="1"/>
  <c r="H42" i="8"/>
  <c r="Y37" i="13"/>
  <c r="S37" i="13"/>
  <c r="J5" i="8" s="1"/>
  <c r="H5" i="8"/>
  <c r="Y163" i="13"/>
  <c r="S163" i="13"/>
  <c r="J11" i="10" s="1"/>
  <c r="H11" i="10"/>
  <c r="Y167" i="13"/>
  <c r="S167" i="13"/>
  <c r="J15" i="10" s="1"/>
  <c r="H15" i="10"/>
  <c r="Y176" i="13"/>
  <c r="S176" i="13"/>
  <c r="J24" i="10" s="1"/>
  <c r="H24" i="10"/>
  <c r="Y42" i="13"/>
  <c r="S42" i="13"/>
  <c r="J10" i="8" s="1"/>
  <c r="H10" i="8"/>
  <c r="Y162" i="13"/>
  <c r="S162" i="13"/>
  <c r="J10" i="10" s="1"/>
  <c r="H10" i="10"/>
  <c r="Y98" i="13"/>
  <c r="S98" i="13"/>
  <c r="J15" i="9" s="1"/>
  <c r="H15" i="9"/>
  <c r="S97" i="13"/>
  <c r="J14" i="9" s="1"/>
  <c r="Y97" i="13"/>
  <c r="H14" i="9"/>
  <c r="Y93" i="13"/>
  <c r="S93" i="13"/>
  <c r="J9" i="9" s="1"/>
  <c r="H9" i="9"/>
  <c r="Y136" i="13"/>
  <c r="S136" i="13"/>
  <c r="J54" i="9" s="1"/>
  <c r="H54" i="9"/>
  <c r="Y112" i="13"/>
  <c r="S112" i="13"/>
  <c r="J27" i="9" s="1"/>
  <c r="H27" i="9"/>
  <c r="Y9" i="13"/>
  <c r="S9" i="13"/>
  <c r="J9" i="7" s="1"/>
  <c r="H9" i="7"/>
  <c r="Y6" i="13"/>
  <c r="S6" i="13"/>
  <c r="J6" i="7" s="1"/>
  <c r="H6" i="7"/>
  <c r="Y90" i="13"/>
  <c r="S90" i="13"/>
  <c r="J13" i="9" s="1"/>
  <c r="H13" i="9"/>
  <c r="Y31" i="13"/>
  <c r="S31" i="13"/>
  <c r="J31" i="7" s="1"/>
  <c r="H31" i="7"/>
  <c r="Y78" i="13"/>
  <c r="S78" i="13"/>
  <c r="J46" i="8" s="1"/>
  <c r="H46" i="8"/>
  <c r="Y25" i="13"/>
  <c r="S25" i="13"/>
  <c r="J25" i="7" s="1"/>
  <c r="H25" i="7"/>
  <c r="Y66" i="13"/>
  <c r="S66" i="13"/>
  <c r="J34" i="8" s="1"/>
  <c r="H34" i="8"/>
  <c r="Y94" i="13"/>
  <c r="S94" i="13"/>
  <c r="J7" i="9" s="1"/>
  <c r="H7" i="9"/>
  <c r="Y166" i="13"/>
  <c r="S166" i="13"/>
  <c r="J14" i="10" s="1"/>
  <c r="H14" i="10"/>
  <c r="Y175" i="13"/>
  <c r="S175" i="13"/>
  <c r="J23" i="10" s="1"/>
  <c r="H23" i="10"/>
  <c r="Y171" i="13"/>
  <c r="S171" i="13"/>
  <c r="J19" i="10" s="1"/>
  <c r="H19" i="10"/>
  <c r="Y50" i="13"/>
  <c r="S50" i="13"/>
  <c r="J18" i="8" s="1"/>
  <c r="H18" i="8"/>
  <c r="Y89" i="13"/>
  <c r="S89" i="13"/>
  <c r="J18" i="9" s="1"/>
  <c r="H18" i="9"/>
  <c r="Y34" i="13"/>
  <c r="S34" i="13"/>
  <c r="J34" i="7" s="1"/>
  <c r="H34" i="7"/>
  <c r="Y18" i="13"/>
  <c r="S18" i="13"/>
  <c r="J18" i="7" s="1"/>
  <c r="H18" i="7"/>
  <c r="Y22" i="13"/>
  <c r="S22" i="13"/>
  <c r="J22" i="7" s="1"/>
  <c r="H22" i="7"/>
  <c r="Y46" i="13"/>
  <c r="S46" i="13"/>
  <c r="J14" i="8" s="1"/>
  <c r="H14" i="8"/>
  <c r="Y124" i="13"/>
  <c r="S124" i="13"/>
  <c r="J50" i="9" s="1"/>
  <c r="H50" i="9"/>
  <c r="Y41" i="13"/>
  <c r="S41" i="13"/>
  <c r="J9" i="8" s="1"/>
  <c r="H9" i="8"/>
  <c r="Y61" i="13"/>
  <c r="S61" i="13"/>
  <c r="J29" i="8" s="1"/>
  <c r="H29" i="8"/>
  <c r="Y85" i="13"/>
  <c r="S85" i="13"/>
  <c r="J4" i="9" s="1"/>
  <c r="H4" i="9"/>
  <c r="Y114" i="13"/>
  <c r="S114" i="13"/>
  <c r="J34" i="9" s="1"/>
  <c r="H34" i="9"/>
  <c r="Y102" i="13"/>
  <c r="S102" i="13"/>
  <c r="J23" i="9" s="1"/>
  <c r="H23" i="9"/>
  <c r="Y142" i="13"/>
  <c r="S142" i="13"/>
  <c r="J60" i="9" s="1"/>
  <c r="H60" i="9"/>
  <c r="Y101" i="13"/>
  <c r="S101" i="13"/>
  <c r="J11" i="9" s="1"/>
  <c r="H11" i="9"/>
  <c r="Y58" i="13"/>
  <c r="S58" i="13"/>
  <c r="J26" i="8" s="1"/>
  <c r="H26" i="8"/>
  <c r="Y47" i="13"/>
  <c r="S47" i="13"/>
  <c r="J15" i="8" s="1"/>
  <c r="H15" i="8"/>
  <c r="Y157" i="13"/>
  <c r="S157" i="13"/>
  <c r="J5" i="10" s="1"/>
  <c r="H5" i="10"/>
  <c r="Y178" i="13"/>
  <c r="S178" i="13"/>
  <c r="J26" i="10" s="1"/>
  <c r="H26" i="10"/>
  <c r="C10" i="16"/>
  <c r="D10" i="16" s="1"/>
  <c r="M159" i="15"/>
  <c r="M147" i="15"/>
  <c r="M217" i="15"/>
  <c r="M205" i="15"/>
  <c r="M193" i="15"/>
  <c r="M181" i="15"/>
  <c r="M169" i="15"/>
  <c r="M157" i="15"/>
  <c r="M145" i="15"/>
  <c r="M220" i="15"/>
  <c r="M210" i="15"/>
  <c r="M196" i="15"/>
  <c r="M186" i="15"/>
  <c r="M97" i="15"/>
  <c r="M85" i="15"/>
  <c r="M172" i="15"/>
  <c r="M160" i="15"/>
  <c r="M106" i="15"/>
  <c r="M132" i="15"/>
  <c r="M120" i="15"/>
  <c r="M110" i="15"/>
  <c r="M222" i="15"/>
  <c r="M208" i="15"/>
  <c r="M198" i="15"/>
  <c r="M184" i="15"/>
  <c r="M99" i="15"/>
  <c r="M87" i="15"/>
  <c r="M133" i="15"/>
  <c r="M121" i="15"/>
  <c r="M80" i="15"/>
  <c r="M77" i="15"/>
  <c r="M74" i="15"/>
  <c r="M71" i="15"/>
  <c r="M65" i="15"/>
  <c r="M62" i="15"/>
  <c r="M59" i="15"/>
  <c r="M50" i="15"/>
  <c r="M102" i="15"/>
  <c r="M98" i="15"/>
  <c r="M96" i="15"/>
  <c r="M86" i="15"/>
  <c r="M84" i="15"/>
  <c r="M162" i="15"/>
  <c r="M104" i="15"/>
  <c r="M92" i="15"/>
  <c r="M150" i="15"/>
  <c r="M43" i="15"/>
  <c r="M42" i="15"/>
  <c r="M31" i="15"/>
  <c r="M112" i="15"/>
  <c r="M55" i="15"/>
  <c r="M36" i="15"/>
  <c r="M24" i="15"/>
  <c r="M52" i="15"/>
  <c r="M148" i="15"/>
  <c r="M174" i="15"/>
  <c r="M19" i="15"/>
  <c r="M72" i="15"/>
  <c r="M34" i="15"/>
  <c r="M22" i="15"/>
  <c r="M5" i="15"/>
  <c r="M15" i="15"/>
  <c r="M108" i="15"/>
  <c r="M11" i="15"/>
  <c r="Y3" i="13"/>
  <c r="O191" i="6"/>
  <c r="O200" i="6"/>
  <c r="O192" i="6"/>
  <c r="O201" i="6"/>
  <c r="O193" i="6"/>
  <c r="O173" i="6"/>
  <c r="O169" i="6"/>
  <c r="O165" i="6"/>
  <c r="O184" i="6"/>
  <c r="O180" i="6"/>
  <c r="O176" i="6"/>
  <c r="O188" i="6"/>
  <c r="O197" i="6"/>
  <c r="O181" i="6"/>
  <c r="O164" i="6"/>
  <c r="O160" i="6"/>
  <c r="O156" i="6"/>
  <c r="O152" i="6"/>
  <c r="O177" i="6"/>
  <c r="O149" i="6"/>
  <c r="O58" i="6"/>
  <c r="O118" i="6"/>
  <c r="O102" i="6"/>
  <c r="O86" i="6"/>
  <c r="O70" i="6"/>
  <c r="O157" i="6"/>
  <c r="O18" i="6"/>
  <c r="O183" i="6"/>
  <c r="O179" i="6"/>
  <c r="O187" i="6"/>
  <c r="O114" i="6"/>
  <c r="O98" i="6"/>
  <c r="O82" i="6"/>
  <c r="O66" i="6"/>
  <c r="O37" i="6"/>
  <c r="O175" i="6"/>
  <c r="O168" i="6"/>
  <c r="O148" i="6"/>
  <c r="O134" i="6"/>
  <c r="O119" i="6"/>
  <c r="O103" i="6"/>
  <c r="O87" i="6"/>
  <c r="O71" i="6"/>
  <c r="O33" i="6"/>
  <c r="O153" i="6"/>
  <c r="O125" i="6"/>
  <c r="O110" i="6"/>
  <c r="O94" i="6"/>
  <c r="O78" i="6"/>
  <c r="O62" i="6"/>
  <c r="O31" i="6"/>
  <c r="O67" i="6"/>
  <c r="O55" i="6"/>
  <c r="O45" i="6"/>
  <c r="M219" i="1"/>
  <c r="M207" i="1"/>
  <c r="M195" i="1"/>
  <c r="M183" i="1"/>
  <c r="M171" i="1"/>
  <c r="M159" i="1"/>
  <c r="M147" i="1"/>
  <c r="M135" i="1"/>
  <c r="M123" i="1"/>
  <c r="M111" i="1"/>
  <c r="O106" i="6"/>
  <c r="O3" i="6"/>
  <c r="P175" i="5"/>
  <c r="P139" i="5"/>
  <c r="P103" i="5"/>
  <c r="M220" i="1"/>
  <c r="M208" i="1"/>
  <c r="M196" i="1"/>
  <c r="M184" i="1"/>
  <c r="M172" i="1"/>
  <c r="M160" i="1"/>
  <c r="M148" i="1"/>
  <c r="M136" i="1"/>
  <c r="M124" i="1"/>
  <c r="M112" i="1"/>
  <c r="O54" i="6"/>
  <c r="O7" i="6"/>
  <c r="M221" i="1"/>
  <c r="M209" i="1"/>
  <c r="M197" i="1"/>
  <c r="M185" i="1"/>
  <c r="M173" i="1"/>
  <c r="M161" i="1"/>
  <c r="M149" i="1"/>
  <c r="M137" i="1"/>
  <c r="O115" i="6"/>
  <c r="O51" i="6"/>
  <c r="O11" i="6"/>
  <c r="M222" i="1"/>
  <c r="M210" i="1"/>
  <c r="M198" i="1"/>
  <c r="M186" i="1"/>
  <c r="M174" i="1"/>
  <c r="M162" i="1"/>
  <c r="M150" i="1"/>
  <c r="M138" i="1"/>
  <c r="M126" i="1"/>
  <c r="M114" i="1"/>
  <c r="O99" i="6"/>
  <c r="O27" i="6"/>
  <c r="O4" i="6"/>
  <c r="P160" i="5"/>
  <c r="M225" i="1"/>
  <c r="M213" i="1"/>
  <c r="M201" i="1"/>
  <c r="O74" i="6"/>
  <c r="O8" i="6"/>
  <c r="P157" i="5"/>
  <c r="P121" i="5"/>
  <c r="P85" i="5"/>
  <c r="M214" i="1"/>
  <c r="M202" i="1"/>
  <c r="M190" i="1"/>
  <c r="M178" i="1"/>
  <c r="M166" i="1"/>
  <c r="M154" i="1"/>
  <c r="M142" i="1"/>
  <c r="M130" i="1"/>
  <c r="M118" i="1"/>
  <c r="O46" i="6"/>
  <c r="O29" i="6"/>
  <c r="M215" i="1"/>
  <c r="M203" i="1"/>
  <c r="M191" i="1"/>
  <c r="M179" i="1"/>
  <c r="M167" i="1"/>
  <c r="M155" i="1"/>
  <c r="M143" i="1"/>
  <c r="M131" i="1"/>
  <c r="M119" i="1"/>
  <c r="O83" i="6"/>
  <c r="O133" i="6"/>
  <c r="P112" i="5"/>
  <c r="P70" i="5"/>
  <c r="P64" i="5"/>
  <c r="P58" i="5"/>
  <c r="P52" i="5"/>
  <c r="P46" i="5"/>
  <c r="P40" i="5"/>
  <c r="P34" i="5"/>
  <c r="P28" i="5"/>
  <c r="P22" i="5"/>
  <c r="P16" i="5"/>
  <c r="P10" i="5"/>
  <c r="P4" i="5"/>
  <c r="M205" i="1"/>
  <c r="M182" i="1"/>
  <c r="M158" i="1"/>
  <c r="M134" i="1"/>
  <c r="M128" i="1"/>
  <c r="M113" i="1"/>
  <c r="M105" i="1"/>
  <c r="M93" i="1"/>
  <c r="M81" i="1"/>
  <c r="M69" i="1"/>
  <c r="M57" i="1"/>
  <c r="M45" i="1"/>
  <c r="M33" i="1"/>
  <c r="M21" i="1"/>
  <c r="M9" i="1"/>
  <c r="M22" i="1"/>
  <c r="M217" i="1"/>
  <c r="M133" i="1"/>
  <c r="M62" i="1"/>
  <c r="M50" i="1"/>
  <c r="M26" i="1"/>
  <c r="P196" i="5"/>
  <c r="P91" i="5"/>
  <c r="M223" i="1"/>
  <c r="M218" i="1"/>
  <c r="M175" i="1"/>
  <c r="M151" i="1"/>
  <c r="M106" i="1"/>
  <c r="M94" i="1"/>
  <c r="M82" i="1"/>
  <c r="M70" i="1"/>
  <c r="M58" i="1"/>
  <c r="M46" i="1"/>
  <c r="M34" i="1"/>
  <c r="M10" i="1"/>
  <c r="O185" i="6"/>
  <c r="O26" i="6"/>
  <c r="P94" i="5"/>
  <c r="M188" i="1"/>
  <c r="M164" i="1"/>
  <c r="M140" i="1"/>
  <c r="M107" i="1"/>
  <c r="M95" i="1"/>
  <c r="M83" i="1"/>
  <c r="M71" i="1"/>
  <c r="M59" i="1"/>
  <c r="M47" i="1"/>
  <c r="M35" i="1"/>
  <c r="M23" i="1"/>
  <c r="M11" i="1"/>
  <c r="M132" i="1"/>
  <c r="O90" i="6"/>
  <c r="P181" i="5"/>
  <c r="M199" i="1"/>
  <c r="M177" i="1"/>
  <c r="M153" i="1"/>
  <c r="M122" i="1"/>
  <c r="M120" i="1"/>
  <c r="M108" i="1"/>
  <c r="M96" i="1"/>
  <c r="M84" i="1"/>
  <c r="M72" i="1"/>
  <c r="M60" i="1"/>
  <c r="M48" i="1"/>
  <c r="M36" i="1"/>
  <c r="M24" i="1"/>
  <c r="M12" i="1"/>
  <c r="P109" i="5"/>
  <c r="O15" i="6"/>
  <c r="P214" i="5"/>
  <c r="P184" i="5"/>
  <c r="P76" i="5"/>
  <c r="M212" i="1"/>
  <c r="M204" i="1"/>
  <c r="M192" i="1"/>
  <c r="M168" i="1"/>
  <c r="M144" i="1"/>
  <c r="M97" i="1"/>
  <c r="M85" i="1"/>
  <c r="M73" i="1"/>
  <c r="M61" i="1"/>
  <c r="M49" i="1"/>
  <c r="M37" i="1"/>
  <c r="M25" i="1"/>
  <c r="M13" i="1"/>
  <c r="M157" i="1"/>
  <c r="M109" i="1"/>
  <c r="M74" i="1"/>
  <c r="M38" i="1"/>
  <c r="P163" i="5"/>
  <c r="M181" i="1"/>
  <c r="M116" i="1"/>
  <c r="M98" i="1"/>
  <c r="M86" i="1"/>
  <c r="M14" i="1"/>
  <c r="M156" i="1"/>
  <c r="M43" i="1"/>
  <c r="P202" i="5"/>
  <c r="P166" i="5"/>
  <c r="P73" i="5"/>
  <c r="P67" i="5"/>
  <c r="P61" i="5"/>
  <c r="P55" i="5"/>
  <c r="P49" i="5"/>
  <c r="P43" i="5"/>
  <c r="P37" i="5"/>
  <c r="P31" i="5"/>
  <c r="P25" i="5"/>
  <c r="P19" i="5"/>
  <c r="P13" i="5"/>
  <c r="P7" i="5"/>
  <c r="M194" i="1"/>
  <c r="M170" i="1"/>
  <c r="M146" i="1"/>
  <c r="M129" i="1"/>
  <c r="M127" i="1"/>
  <c r="M99" i="1"/>
  <c r="M87" i="1"/>
  <c r="M75" i="1"/>
  <c r="M63" i="1"/>
  <c r="M51" i="1"/>
  <c r="M39" i="1"/>
  <c r="M27" i="1"/>
  <c r="M15" i="1"/>
  <c r="M3" i="1"/>
  <c r="P208" i="5"/>
  <c r="P145" i="5"/>
  <c r="M187" i="1"/>
  <c r="M163" i="1"/>
  <c r="M139" i="1"/>
  <c r="M125" i="1"/>
  <c r="M100" i="1"/>
  <c r="M88" i="1"/>
  <c r="M76" i="1"/>
  <c r="M64" i="1"/>
  <c r="M52" i="1"/>
  <c r="M40" i="1"/>
  <c r="M28" i="1"/>
  <c r="M16" i="1"/>
  <c r="M4" i="1"/>
  <c r="M66" i="1"/>
  <c r="M6" i="1"/>
  <c r="P130" i="5"/>
  <c r="M180" i="1"/>
  <c r="M91" i="1"/>
  <c r="M67" i="1"/>
  <c r="M55" i="1"/>
  <c r="M7" i="1"/>
  <c r="O22" i="6"/>
  <c r="P190" i="5"/>
  <c r="P148" i="5"/>
  <c r="M211" i="1"/>
  <c r="M206" i="1"/>
  <c r="M176" i="1"/>
  <c r="M152" i="1"/>
  <c r="M101" i="1"/>
  <c r="M89" i="1"/>
  <c r="M77" i="1"/>
  <c r="M65" i="1"/>
  <c r="M53" i="1"/>
  <c r="M41" i="1"/>
  <c r="M29" i="1"/>
  <c r="M17" i="1"/>
  <c r="M5" i="1"/>
  <c r="M90" i="1"/>
  <c r="M78" i="1"/>
  <c r="M54" i="1"/>
  <c r="M30" i="1"/>
  <c r="M79" i="1"/>
  <c r="M31" i="1"/>
  <c r="M19" i="1"/>
  <c r="O189" i="6"/>
  <c r="O161" i="6"/>
  <c r="O50" i="6"/>
  <c r="P220" i="5"/>
  <c r="P127" i="5"/>
  <c r="M224" i="1"/>
  <c r="M216" i="1"/>
  <c r="M189" i="1"/>
  <c r="M165" i="1"/>
  <c r="M141" i="1"/>
  <c r="M121" i="1"/>
  <c r="M110" i="1"/>
  <c r="M102" i="1"/>
  <c r="M42" i="1"/>
  <c r="M18" i="1"/>
  <c r="M103" i="1"/>
  <c r="M92" i="1"/>
  <c r="M104" i="1"/>
  <c r="M200" i="1"/>
  <c r="M145" i="1"/>
  <c r="M169" i="1"/>
  <c r="M80" i="1"/>
  <c r="M193" i="1"/>
  <c r="M117" i="1"/>
  <c r="M115" i="1"/>
  <c r="M8" i="1"/>
  <c r="M20" i="1"/>
  <c r="M32" i="1"/>
  <c r="M44" i="1"/>
  <c r="M56" i="1"/>
  <c r="M68" i="1"/>
  <c r="P35" i="5"/>
  <c r="O24" i="6"/>
  <c r="O23" i="6"/>
  <c r="O25" i="6"/>
  <c r="P66" i="5"/>
  <c r="P44" i="5"/>
  <c r="P211" i="5"/>
  <c r="P215" i="5"/>
  <c r="P81" i="5"/>
  <c r="P193" i="5"/>
  <c r="P27" i="5"/>
  <c r="P120" i="5"/>
  <c r="P185" i="5"/>
  <c r="P162" i="5"/>
  <c r="P200" i="5"/>
  <c r="P207" i="5"/>
  <c r="P141" i="5"/>
  <c r="P180" i="5"/>
  <c r="P173" i="5"/>
  <c r="P78" i="5"/>
  <c r="O21" i="6"/>
  <c r="O130" i="6"/>
  <c r="O72" i="6"/>
  <c r="O141" i="6"/>
  <c r="O76" i="6"/>
  <c r="O158" i="6"/>
  <c r="O170" i="6"/>
  <c r="O202" i="6"/>
  <c r="P29" i="5"/>
  <c r="O39" i="6"/>
  <c r="P128" i="5"/>
  <c r="P82" i="5"/>
  <c r="P72" i="5"/>
  <c r="P50" i="5"/>
  <c r="O47" i="6"/>
  <c r="O12" i="6"/>
  <c r="P88" i="5"/>
  <c r="P89" i="5"/>
  <c r="P33" i="5"/>
  <c r="P197" i="5"/>
  <c r="P198" i="5"/>
  <c r="P188" i="5"/>
  <c r="P212" i="5"/>
  <c r="P219" i="5"/>
  <c r="P167" i="5"/>
  <c r="O14" i="6"/>
  <c r="P183" i="5"/>
  <c r="P104" i="5"/>
  <c r="O41" i="6"/>
  <c r="O162" i="6"/>
  <c r="O81" i="6"/>
  <c r="O145" i="6"/>
  <c r="O85" i="6"/>
  <c r="S3" i="13"/>
  <c r="J3" i="7" s="1"/>
  <c r="M45" i="15"/>
  <c r="M53" i="15"/>
  <c r="M128" i="15"/>
  <c r="M142" i="15"/>
  <c r="M73" i="15"/>
  <c r="M136" i="15"/>
  <c r="M49" i="15"/>
  <c r="M194" i="15"/>
  <c r="M219" i="15"/>
  <c r="M151" i="15"/>
  <c r="M213" i="15"/>
  <c r="M200" i="15"/>
  <c r="M225" i="15"/>
  <c r="M70" i="15"/>
  <c r="M116" i="15"/>
  <c r="M158" i="15"/>
  <c r="M111" i="15"/>
  <c r="M224" i="15"/>
  <c r="M171" i="15"/>
  <c r="M187" i="15"/>
  <c r="O42" i="6"/>
  <c r="P216" i="5"/>
  <c r="O10" i="6"/>
  <c r="O159" i="6"/>
  <c r="O113" i="6"/>
  <c r="O44" i="6"/>
  <c r="M129" i="15"/>
  <c r="M88" i="15"/>
  <c r="M199" i="15"/>
  <c r="M32" i="15"/>
  <c r="M135" i="15"/>
  <c r="M40" i="15"/>
  <c r="M89" i="15"/>
  <c r="M180" i="15"/>
  <c r="M118" i="15"/>
  <c r="M191" i="15"/>
  <c r="P69" i="5"/>
  <c r="O59" i="6"/>
  <c r="P98" i="5"/>
  <c r="P189" i="5"/>
  <c r="O84" i="6"/>
  <c r="M3" i="15"/>
  <c r="M47" i="15"/>
  <c r="M185" i="15"/>
  <c r="M54" i="15"/>
  <c r="M25" i="15"/>
  <c r="M83" i="15"/>
  <c r="M37" i="15"/>
  <c r="M204" i="15"/>
  <c r="P205" i="5"/>
  <c r="P161" i="5"/>
  <c r="P106" i="5"/>
  <c r="P131" i="5"/>
  <c r="O137" i="6"/>
  <c r="O198" i="6"/>
  <c r="P11" i="5"/>
  <c r="O95" i="6"/>
  <c r="P135" i="5"/>
  <c r="P6" i="5"/>
  <c r="P146" i="5"/>
  <c r="P56" i="5"/>
  <c r="P47" i="5"/>
  <c r="O16" i="6"/>
  <c r="P102" i="5"/>
  <c r="O5" i="6"/>
  <c r="P39" i="5"/>
  <c r="O28" i="6"/>
  <c r="P210" i="5"/>
  <c r="O17" i="6"/>
  <c r="P224" i="5"/>
  <c r="O9" i="6"/>
  <c r="P177" i="5"/>
  <c r="O43" i="6"/>
  <c r="P194" i="5"/>
  <c r="P114" i="5"/>
  <c r="O64" i="6"/>
  <c r="O195" i="6"/>
  <c r="O88" i="6"/>
  <c r="O155" i="6"/>
  <c r="O92" i="6"/>
  <c r="M94" i="15"/>
  <c r="M63" i="15"/>
  <c r="M134" i="15"/>
  <c r="M178" i="15"/>
  <c r="M107" i="15"/>
  <c r="M143" i="15"/>
  <c r="M68" i="15"/>
  <c r="M218" i="15"/>
  <c r="M91" i="15"/>
  <c r="M163" i="15"/>
  <c r="M212" i="15"/>
  <c r="M221" i="15"/>
  <c r="M119" i="15"/>
  <c r="M155" i="15"/>
  <c r="M202" i="15"/>
  <c r="M168" i="15"/>
  <c r="O89" i="6"/>
  <c r="P86" i="5"/>
  <c r="O132" i="6"/>
  <c r="O117" i="6"/>
  <c r="M138" i="15"/>
  <c r="M216" i="15"/>
  <c r="M179" i="15"/>
  <c r="M12" i="15"/>
  <c r="P93" i="5"/>
  <c r="P122" i="5"/>
  <c r="O144" i="6"/>
  <c r="O122" i="6"/>
  <c r="M20" i="15"/>
  <c r="M16" i="15"/>
  <c r="M223" i="15"/>
  <c r="M35" i="15"/>
  <c r="M8" i="15"/>
  <c r="M44" i="15"/>
  <c r="M93" i="15"/>
  <c r="P209" i="5"/>
  <c r="P178" i="5"/>
  <c r="P152" i="5"/>
  <c r="P147" i="5"/>
  <c r="M64" i="15"/>
  <c r="P71" i="5"/>
  <c r="P65" i="5"/>
  <c r="P142" i="5"/>
  <c r="P12" i="5"/>
  <c r="P153" i="5"/>
  <c r="P62" i="5"/>
  <c r="O48" i="6"/>
  <c r="P182" i="5"/>
  <c r="P45" i="5"/>
  <c r="O56" i="6"/>
  <c r="P222" i="5"/>
  <c r="O79" i="6"/>
  <c r="O13" i="6"/>
  <c r="O35" i="6"/>
  <c r="P192" i="5"/>
  <c r="O52" i="6"/>
  <c r="P206" i="5"/>
  <c r="P140" i="5"/>
  <c r="O73" i="6"/>
  <c r="O97" i="6"/>
  <c r="O166" i="6"/>
  <c r="O101" i="6"/>
  <c r="O139" i="6"/>
  <c r="M154" i="15"/>
  <c r="M207" i="15"/>
  <c r="M90" i="15"/>
  <c r="M175" i="15"/>
  <c r="M95" i="15"/>
  <c r="M122" i="15"/>
  <c r="M26" i="15"/>
  <c r="M161" i="15"/>
  <c r="M131" i="15"/>
  <c r="M167" i="15"/>
  <c r="M75" i="15"/>
  <c r="M38" i="15"/>
  <c r="M146" i="15"/>
  <c r="M125" i="15"/>
  <c r="P80" i="5"/>
  <c r="O142" i="6"/>
  <c r="O63" i="6"/>
  <c r="M39" i="15"/>
  <c r="M177" i="15"/>
  <c r="P17" i="5"/>
  <c r="P195" i="5"/>
  <c r="O116" i="6"/>
  <c r="O194" i="6"/>
  <c r="M60" i="15"/>
  <c r="M117" i="15"/>
  <c r="M103" i="15"/>
  <c r="M105" i="15"/>
  <c r="M109" i="15"/>
  <c r="M48" i="15"/>
  <c r="M123" i="15"/>
  <c r="M67" i="15"/>
  <c r="M156" i="15"/>
  <c r="M170" i="15"/>
  <c r="P124" i="5"/>
  <c r="P156" i="5"/>
  <c r="P18" i="5"/>
  <c r="P174" i="5"/>
  <c r="P68" i="5"/>
  <c r="O68" i="6"/>
  <c r="P223" i="5"/>
  <c r="P51" i="5"/>
  <c r="O32" i="6"/>
  <c r="O124" i="6"/>
  <c r="O30" i="6"/>
  <c r="O75" i="6"/>
  <c r="P204" i="5"/>
  <c r="O111" i="6"/>
  <c r="P218" i="5"/>
  <c r="P150" i="5"/>
  <c r="O107" i="6"/>
  <c r="O104" i="6"/>
  <c r="O108" i="6"/>
  <c r="O147" i="6"/>
  <c r="M28" i="15"/>
  <c r="O105" i="6"/>
  <c r="M57" i="15"/>
  <c r="M113" i="15"/>
  <c r="M4" i="15"/>
  <c r="M140" i="15"/>
  <c r="M29" i="15"/>
  <c r="M124" i="15"/>
  <c r="M214" i="15"/>
  <c r="M201" i="15"/>
  <c r="P138" i="5"/>
  <c r="P221" i="5"/>
  <c r="P24" i="5"/>
  <c r="P199" i="5"/>
  <c r="P74" i="5"/>
  <c r="O123" i="6"/>
  <c r="P57" i="5"/>
  <c r="P176" i="5"/>
  <c r="M82" i="15"/>
  <c r="M211" i="15"/>
  <c r="O80" i="6"/>
  <c r="M41" i="15"/>
  <c r="M137" i="15"/>
  <c r="M141" i="15"/>
  <c r="M130" i="15"/>
  <c r="M203" i="15"/>
  <c r="M13" i="15"/>
  <c r="M10" i="15"/>
  <c r="M58" i="15"/>
  <c r="M190" i="15"/>
  <c r="M76" i="15"/>
  <c r="P38" i="5"/>
  <c r="O65" i="6"/>
  <c r="M51" i="15"/>
  <c r="M173" i="15"/>
  <c r="M176" i="15"/>
  <c r="O34" i="6"/>
  <c r="O40" i="6"/>
  <c r="P30" i="5"/>
  <c r="O20" i="6"/>
  <c r="P8" i="5"/>
  <c r="P115" i="5"/>
  <c r="O140" i="6"/>
  <c r="P63" i="5"/>
  <c r="P77" i="5"/>
  <c r="P83" i="5"/>
  <c r="O61" i="6"/>
  <c r="P96" i="5"/>
  <c r="O136" i="6"/>
  <c r="O38" i="6"/>
  <c r="O138" i="6"/>
  <c r="O36" i="6"/>
  <c r="P186" i="5"/>
  <c r="O77" i="6"/>
  <c r="O120" i="6"/>
  <c r="O57" i="6"/>
  <c r="O129" i="6"/>
  <c r="O196" i="6"/>
  <c r="M100" i="15"/>
  <c r="P87" i="5"/>
  <c r="O60" i="6"/>
  <c r="M197" i="15"/>
  <c r="M23" i="15"/>
  <c r="M115" i="15"/>
  <c r="M153" i="15"/>
  <c r="O127" i="6"/>
  <c r="M144" i="15"/>
  <c r="M30" i="15"/>
  <c r="M14" i="15"/>
  <c r="M61" i="15"/>
  <c r="M183" i="15"/>
  <c r="M209" i="15"/>
  <c r="M189" i="15"/>
  <c r="P79" i="5"/>
  <c r="O96" i="6"/>
  <c r="P97" i="5"/>
  <c r="P36" i="5"/>
  <c r="O128" i="6"/>
  <c r="P14" i="5"/>
  <c r="P136" i="5"/>
  <c r="P59" i="5"/>
  <c r="M101" i="15"/>
  <c r="M56" i="15"/>
  <c r="M17" i="15"/>
  <c r="M149" i="15"/>
  <c r="M79" i="15"/>
  <c r="M182" i="15"/>
  <c r="M215" i="15"/>
  <c r="M46" i="15"/>
  <c r="O19" i="6"/>
  <c r="P159" i="5"/>
  <c r="M78" i="15"/>
  <c r="M192" i="15"/>
  <c r="M188" i="15"/>
  <c r="P41" i="5"/>
  <c r="P100" i="5"/>
  <c r="O190" i="6"/>
  <c r="P118" i="5"/>
  <c r="P42" i="5"/>
  <c r="P20" i="5"/>
  <c r="P143" i="5"/>
  <c r="P84" i="5"/>
  <c r="P169" i="5"/>
  <c r="P3" i="5"/>
  <c r="P75" i="5"/>
  <c r="P113" i="5"/>
  <c r="P90" i="5"/>
  <c r="P119" i="5"/>
  <c r="O174" i="6"/>
  <c r="P132" i="5"/>
  <c r="O91" i="6"/>
  <c r="P108" i="5"/>
  <c r="P101" i="5"/>
  <c r="O112" i="6"/>
  <c r="P201" i="5"/>
  <c r="O93" i="6"/>
  <c r="O172" i="6"/>
  <c r="O131" i="6"/>
  <c r="O135" i="6"/>
  <c r="O143" i="6"/>
  <c r="O182" i="6"/>
  <c r="M114" i="15"/>
  <c r="M139" i="15"/>
  <c r="M164" i="15"/>
  <c r="P217" i="5"/>
  <c r="P60" i="5"/>
  <c r="P179" i="5"/>
  <c r="P21" i="5"/>
  <c r="P165" i="5"/>
  <c r="O150" i="6"/>
  <c r="P170" i="5"/>
  <c r="O6" i="6"/>
  <c r="O69" i="6"/>
  <c r="O167" i="6"/>
  <c r="O178" i="6"/>
  <c r="M7" i="15"/>
  <c r="P23" i="5"/>
  <c r="P107" i="5"/>
  <c r="P110" i="5"/>
  <c r="P125" i="5"/>
  <c r="P48" i="5"/>
  <c r="P26" i="5"/>
  <c r="P203" i="5"/>
  <c r="P164" i="5"/>
  <c r="P133" i="5"/>
  <c r="P151" i="5"/>
  <c r="P9" i="5"/>
  <c r="P92" i="5"/>
  <c r="P123" i="5"/>
  <c r="P116" i="5"/>
  <c r="P129" i="5"/>
  <c r="P158" i="5"/>
  <c r="P95" i="5"/>
  <c r="O121" i="6"/>
  <c r="P134" i="5"/>
  <c r="P111" i="5"/>
  <c r="O151" i="6"/>
  <c r="P213" i="5"/>
  <c r="O100" i="6"/>
  <c r="O154" i="6"/>
  <c r="O49" i="6"/>
  <c r="O171" i="6"/>
  <c r="O146" i="6"/>
  <c r="M9" i="15"/>
  <c r="M66" i="15"/>
  <c r="M6" i="15"/>
  <c r="M27" i="15"/>
  <c r="M33" i="15"/>
  <c r="M18" i="15"/>
  <c r="M126" i="15"/>
  <c r="M21" i="15"/>
  <c r="M69" i="15"/>
  <c r="M127" i="15"/>
  <c r="M166" i="15"/>
  <c r="M81" i="15"/>
  <c r="M195" i="15"/>
  <c r="M206" i="15"/>
  <c r="M165" i="15"/>
  <c r="M152" i="15"/>
  <c r="P5" i="5"/>
  <c r="P187" i="5"/>
  <c r="P117" i="5"/>
  <c r="P191" i="5"/>
  <c r="P54" i="5"/>
  <c r="P32" i="5"/>
  <c r="P53" i="5"/>
  <c r="P171" i="5"/>
  <c r="P154" i="5"/>
  <c r="P172" i="5"/>
  <c r="P15" i="5"/>
  <c r="P99" i="5"/>
  <c r="P149" i="5"/>
  <c r="P126" i="5"/>
  <c r="P155" i="5"/>
  <c r="P168" i="5"/>
  <c r="P105" i="5"/>
  <c r="O126" i="6"/>
  <c r="P144" i="5"/>
  <c r="P137" i="5"/>
  <c r="P225" i="5"/>
  <c r="O109" i="6"/>
  <c r="O163" i="6"/>
  <c r="O53" i="6"/>
  <c r="O199" i="6"/>
  <c r="O186" i="6"/>
  <c r="C13" i="16"/>
  <c r="D13" i="16" s="1"/>
  <c r="C11" i="16"/>
  <c r="D11" i="16" s="1"/>
  <c r="C12" i="16"/>
  <c r="D12" i="16" s="1"/>
  <c r="C14" i="16"/>
  <c r="D14" i="16" s="1"/>
  <c r="H3" i="7"/>
  <c r="B30" i="14"/>
  <c r="D31" i="14"/>
  <c r="D30" i="14"/>
  <c r="B31" i="14"/>
  <c r="J62" i="9" l="1"/>
  <c r="J59" i="9"/>
  <c r="J68" i="9"/>
  <c r="J53" i="9"/>
  <c r="J71" i="9"/>
  <c r="J51" i="9"/>
  <c r="J66" i="9"/>
  <c r="J61" i="9"/>
  <c r="J63" i="9"/>
  <c r="J45" i="9"/>
  <c r="J44" i="9"/>
  <c r="J47" i="9"/>
  <c r="J49" i="9"/>
  <c r="D28" i="14"/>
  <c r="J72" i="9"/>
  <c r="J65" i="9"/>
  <c r="J58" i="9"/>
  <c r="J52" i="9"/>
  <c r="B26" i="14"/>
  <c r="C29" i="14"/>
  <c r="C27" i="14"/>
  <c r="Z157" i="13"/>
  <c r="Z142" i="13"/>
  <c r="K206" i="15"/>
  <c r="J206" i="15"/>
  <c r="H206" i="15"/>
  <c r="G206" i="15"/>
  <c r="F206" i="15"/>
  <c r="D206" i="15"/>
  <c r="L206" i="15"/>
  <c r="I206" i="15"/>
  <c r="E206" i="15"/>
  <c r="C206" i="15"/>
  <c r="B206" i="15"/>
  <c r="J59" i="5"/>
  <c r="I59" i="5"/>
  <c r="H59" i="5"/>
  <c r="G59" i="5"/>
  <c r="D59" i="5"/>
  <c r="O59" i="5"/>
  <c r="C59" i="5"/>
  <c r="N59" i="5"/>
  <c r="B59" i="5"/>
  <c r="M59" i="5"/>
  <c r="L59" i="5"/>
  <c r="K59" i="5"/>
  <c r="E59" i="5"/>
  <c r="F59" i="5" s="1"/>
  <c r="E103" i="15"/>
  <c r="C103" i="15"/>
  <c r="K103" i="15"/>
  <c r="I103" i="15"/>
  <c r="F103" i="15"/>
  <c r="D103" i="15"/>
  <c r="B103" i="15"/>
  <c r="L103" i="15"/>
  <c r="J103" i="15"/>
  <c r="H103" i="15"/>
  <c r="G103" i="15"/>
  <c r="L204" i="15"/>
  <c r="J204" i="15"/>
  <c r="I204" i="15"/>
  <c r="H204" i="15"/>
  <c r="F204" i="15"/>
  <c r="K204" i="15"/>
  <c r="G204" i="15"/>
  <c r="E204" i="15"/>
  <c r="D204" i="15"/>
  <c r="C204" i="15"/>
  <c r="B204" i="15"/>
  <c r="J173" i="5"/>
  <c r="H173" i="5"/>
  <c r="G173" i="5"/>
  <c r="E173" i="5"/>
  <c r="F173" i="5" s="1"/>
  <c r="D173" i="5"/>
  <c r="B173" i="5"/>
  <c r="N173" i="5"/>
  <c r="M173" i="5"/>
  <c r="L173" i="5"/>
  <c r="K173" i="5"/>
  <c r="O173" i="5"/>
  <c r="I173" i="5"/>
  <c r="C173" i="5"/>
  <c r="J191" i="5"/>
  <c r="H191" i="5"/>
  <c r="G191" i="5"/>
  <c r="E191" i="5"/>
  <c r="F191" i="5" s="1"/>
  <c r="D191" i="5"/>
  <c r="O191" i="5"/>
  <c r="C191" i="5"/>
  <c r="L191" i="5"/>
  <c r="K191" i="5"/>
  <c r="I191" i="5"/>
  <c r="B191" i="5"/>
  <c r="N191" i="5"/>
  <c r="M191" i="5"/>
  <c r="C178" i="6"/>
  <c r="N178" i="6"/>
  <c r="B178" i="6"/>
  <c r="J178" i="6"/>
  <c r="G178" i="6"/>
  <c r="F178" i="6"/>
  <c r="D178" i="6"/>
  <c r="L178" i="6"/>
  <c r="M178" i="6"/>
  <c r="K178" i="6"/>
  <c r="I178" i="6"/>
  <c r="H178" i="6"/>
  <c r="E178" i="6"/>
  <c r="F138" i="6"/>
  <c r="N138" i="6"/>
  <c r="B138" i="6"/>
  <c r="E138" i="6"/>
  <c r="D138" i="6"/>
  <c r="C138" i="6"/>
  <c r="M138" i="6"/>
  <c r="J138" i="6"/>
  <c r="L138" i="6"/>
  <c r="K138" i="6"/>
  <c r="I138" i="6"/>
  <c r="H138" i="6"/>
  <c r="G138" i="6"/>
  <c r="J149" i="5"/>
  <c r="H149" i="5"/>
  <c r="G149" i="5"/>
  <c r="E149" i="5"/>
  <c r="F149" i="5" s="1"/>
  <c r="D149" i="5"/>
  <c r="O149" i="5"/>
  <c r="N149" i="5"/>
  <c r="M149" i="5"/>
  <c r="I149" i="5"/>
  <c r="C149" i="5"/>
  <c r="B149" i="5"/>
  <c r="L149" i="5"/>
  <c r="K149" i="5"/>
  <c r="D111" i="5"/>
  <c r="O111" i="5"/>
  <c r="C111" i="5"/>
  <c r="N111" i="5"/>
  <c r="B111" i="5"/>
  <c r="M111" i="5"/>
  <c r="L111" i="5"/>
  <c r="E111" i="5"/>
  <c r="F111" i="5" s="1"/>
  <c r="K111" i="5"/>
  <c r="J111" i="5"/>
  <c r="I111" i="5"/>
  <c r="H111" i="5"/>
  <c r="G111" i="5"/>
  <c r="E6" i="6"/>
  <c r="D6" i="6"/>
  <c r="C6" i="6"/>
  <c r="N6" i="6"/>
  <c r="B6" i="6"/>
  <c r="M6" i="6"/>
  <c r="L6" i="6"/>
  <c r="K6" i="6"/>
  <c r="J6" i="6"/>
  <c r="I6" i="6"/>
  <c r="H6" i="6"/>
  <c r="G6" i="6"/>
  <c r="F6" i="6"/>
  <c r="J119" i="5"/>
  <c r="H119" i="5"/>
  <c r="G119" i="5"/>
  <c r="E119" i="5"/>
  <c r="F119" i="5" s="1"/>
  <c r="D119" i="5"/>
  <c r="N119" i="5"/>
  <c r="M119" i="5"/>
  <c r="L119" i="5"/>
  <c r="K119" i="5"/>
  <c r="B119" i="5"/>
  <c r="O119" i="5"/>
  <c r="I119" i="5"/>
  <c r="C119" i="5"/>
  <c r="N100" i="5"/>
  <c r="B100" i="5"/>
  <c r="L100" i="5"/>
  <c r="K100" i="5"/>
  <c r="J100" i="5"/>
  <c r="I100" i="5"/>
  <c r="H100" i="5"/>
  <c r="O100" i="5"/>
  <c r="E100" i="5"/>
  <c r="F100" i="5" s="1"/>
  <c r="D100" i="5"/>
  <c r="C100" i="5"/>
  <c r="M100" i="5"/>
  <c r="G100" i="5"/>
  <c r="D87" i="5"/>
  <c r="O87" i="5"/>
  <c r="C87" i="5"/>
  <c r="N87" i="5"/>
  <c r="B87" i="5"/>
  <c r="M87" i="5"/>
  <c r="L87" i="5"/>
  <c r="K87" i="5"/>
  <c r="H87" i="5"/>
  <c r="G87" i="5"/>
  <c r="E87" i="5"/>
  <c r="F87" i="5" s="1"/>
  <c r="J87" i="5"/>
  <c r="I87" i="5"/>
  <c r="E176" i="15"/>
  <c r="D176" i="15"/>
  <c r="B176" i="15"/>
  <c r="L176" i="15"/>
  <c r="J176" i="15"/>
  <c r="C176" i="15"/>
  <c r="I176" i="15"/>
  <c r="G176" i="15"/>
  <c r="F176" i="15"/>
  <c r="K176" i="15"/>
  <c r="H176" i="15"/>
  <c r="C147" i="6"/>
  <c r="L147" i="6"/>
  <c r="K147" i="6"/>
  <c r="E147" i="6"/>
  <c r="D147" i="6"/>
  <c r="B147" i="6"/>
  <c r="N147" i="6"/>
  <c r="I147" i="6"/>
  <c r="J147" i="6"/>
  <c r="H147" i="6"/>
  <c r="G147" i="6"/>
  <c r="F147" i="6"/>
  <c r="M147" i="6"/>
  <c r="D48" i="15"/>
  <c r="B48" i="15"/>
  <c r="J48" i="15"/>
  <c r="L48" i="15"/>
  <c r="H48" i="15"/>
  <c r="F48" i="15"/>
  <c r="E48" i="15"/>
  <c r="G48" i="15"/>
  <c r="C48" i="15"/>
  <c r="I48" i="15"/>
  <c r="K48" i="15"/>
  <c r="K95" i="15"/>
  <c r="I95" i="15"/>
  <c r="J95" i="15"/>
  <c r="F95" i="15"/>
  <c r="E95" i="15"/>
  <c r="D95" i="15"/>
  <c r="C95" i="15"/>
  <c r="L95" i="15"/>
  <c r="H95" i="15"/>
  <c r="G95" i="15"/>
  <c r="B95" i="15"/>
  <c r="E12" i="5"/>
  <c r="F12" i="5" s="1"/>
  <c r="D12" i="5"/>
  <c r="O12" i="5"/>
  <c r="C12" i="5"/>
  <c r="L12" i="5"/>
  <c r="K12" i="5"/>
  <c r="J12" i="5"/>
  <c r="I12" i="5"/>
  <c r="N12" i="5"/>
  <c r="M12" i="5"/>
  <c r="H12" i="5"/>
  <c r="G12" i="5"/>
  <c r="B12" i="5"/>
  <c r="D117" i="6"/>
  <c r="C117" i="6"/>
  <c r="N117" i="6"/>
  <c r="B117" i="6"/>
  <c r="M117" i="6"/>
  <c r="L117" i="6"/>
  <c r="K117" i="6"/>
  <c r="H117" i="6"/>
  <c r="F117" i="6"/>
  <c r="E117" i="6"/>
  <c r="G117" i="6"/>
  <c r="I117" i="6"/>
  <c r="J117" i="6"/>
  <c r="G64" i="6"/>
  <c r="F64" i="6"/>
  <c r="E64" i="6"/>
  <c r="D64" i="6"/>
  <c r="C64" i="6"/>
  <c r="N64" i="6"/>
  <c r="B64" i="6"/>
  <c r="K64" i="6"/>
  <c r="M64" i="6"/>
  <c r="L64" i="6"/>
  <c r="J64" i="6"/>
  <c r="H64" i="6"/>
  <c r="I64" i="6"/>
  <c r="D102" i="5"/>
  <c r="O102" i="5"/>
  <c r="C102" i="5"/>
  <c r="N102" i="5"/>
  <c r="B102" i="5"/>
  <c r="M102" i="5"/>
  <c r="L102" i="5"/>
  <c r="I102" i="5"/>
  <c r="H102" i="5"/>
  <c r="G102" i="5"/>
  <c r="E102" i="5"/>
  <c r="F102" i="5" s="1"/>
  <c r="K102" i="5"/>
  <c r="J102" i="5"/>
  <c r="D189" i="5"/>
  <c r="O189" i="5"/>
  <c r="C189" i="5"/>
  <c r="N189" i="5"/>
  <c r="B189" i="5"/>
  <c r="M189" i="5"/>
  <c r="L189" i="5"/>
  <c r="K189" i="5"/>
  <c r="J189" i="5"/>
  <c r="I189" i="5"/>
  <c r="H189" i="5"/>
  <c r="G189" i="5"/>
  <c r="E189" i="5"/>
  <c r="F189" i="5" s="1"/>
  <c r="B142" i="15"/>
  <c r="L142" i="15"/>
  <c r="K142" i="15"/>
  <c r="J142" i="15"/>
  <c r="H142" i="15"/>
  <c r="F142" i="15"/>
  <c r="G142" i="15"/>
  <c r="D142" i="15"/>
  <c r="I142" i="15"/>
  <c r="E142" i="15"/>
  <c r="C142" i="15"/>
  <c r="F130" i="6"/>
  <c r="N130" i="6"/>
  <c r="B130" i="6"/>
  <c r="J130" i="6"/>
  <c r="I130" i="6"/>
  <c r="H130" i="6"/>
  <c r="G130" i="6"/>
  <c r="E130" i="6"/>
  <c r="D130" i="6"/>
  <c r="M130" i="6"/>
  <c r="L130" i="6"/>
  <c r="K130" i="6"/>
  <c r="C130" i="6"/>
  <c r="N127" i="5"/>
  <c r="B127" i="5"/>
  <c r="L127" i="5"/>
  <c r="K127" i="5"/>
  <c r="J127" i="5"/>
  <c r="I127" i="5"/>
  <c r="H127" i="5"/>
  <c r="C127" i="5"/>
  <c r="O127" i="5"/>
  <c r="M127" i="5"/>
  <c r="G127" i="5"/>
  <c r="D127" i="5"/>
  <c r="E127" i="5"/>
  <c r="F127" i="5" s="1"/>
  <c r="D211" i="1"/>
  <c r="C211" i="1"/>
  <c r="B211" i="1"/>
  <c r="I211" i="1"/>
  <c r="H211" i="1"/>
  <c r="E211" i="1"/>
  <c r="F211" i="1" s="1"/>
  <c r="L211" i="1"/>
  <c r="G211" i="1"/>
  <c r="G4" i="1"/>
  <c r="E4" i="1"/>
  <c r="F4" i="1" s="1"/>
  <c r="D4" i="1"/>
  <c r="B4" i="1"/>
  <c r="C4" i="1"/>
  <c r="L4" i="1"/>
  <c r="I4" i="1"/>
  <c r="H4" i="1"/>
  <c r="D187" i="1"/>
  <c r="C187" i="1"/>
  <c r="B187" i="1"/>
  <c r="I187" i="1"/>
  <c r="H187" i="1"/>
  <c r="E187" i="1"/>
  <c r="F187" i="1" s="1"/>
  <c r="L187" i="1"/>
  <c r="G187" i="1"/>
  <c r="D127" i="1"/>
  <c r="C127" i="1"/>
  <c r="I127" i="1"/>
  <c r="H127" i="1"/>
  <c r="B127" i="1"/>
  <c r="L127" i="1"/>
  <c r="G127" i="1"/>
  <c r="E127" i="1"/>
  <c r="F127" i="1" s="1"/>
  <c r="N49" i="5"/>
  <c r="B49" i="5"/>
  <c r="M49" i="5"/>
  <c r="L49" i="5"/>
  <c r="K49" i="5"/>
  <c r="H49" i="5"/>
  <c r="G49" i="5"/>
  <c r="E49" i="5"/>
  <c r="F49" i="5" s="1"/>
  <c r="C49" i="5"/>
  <c r="O49" i="5"/>
  <c r="J49" i="5"/>
  <c r="D49" i="5"/>
  <c r="I49" i="5"/>
  <c r="E116" i="1"/>
  <c r="F116" i="1" s="1"/>
  <c r="D116" i="1"/>
  <c r="B116" i="1"/>
  <c r="I116" i="1"/>
  <c r="L116" i="1"/>
  <c r="H116" i="1"/>
  <c r="C116" i="1"/>
  <c r="G116" i="1"/>
  <c r="D73" i="1"/>
  <c r="C73" i="1"/>
  <c r="B73" i="1"/>
  <c r="L73" i="1"/>
  <c r="I73" i="1"/>
  <c r="H73" i="1"/>
  <c r="G73" i="1"/>
  <c r="E73" i="1"/>
  <c r="F73" i="1" s="1"/>
  <c r="E153" i="1"/>
  <c r="F153" i="1" s="1"/>
  <c r="D153" i="1"/>
  <c r="C153" i="1"/>
  <c r="L153" i="1"/>
  <c r="H153" i="1"/>
  <c r="I153" i="1"/>
  <c r="G153" i="1"/>
  <c r="B153" i="1"/>
  <c r="B83" i="1"/>
  <c r="I83" i="1"/>
  <c r="L83" i="1"/>
  <c r="H83" i="1"/>
  <c r="G83" i="1"/>
  <c r="D83" i="1"/>
  <c r="E83" i="1"/>
  <c r="F83" i="1" s="1"/>
  <c r="C83" i="1"/>
  <c r="L58" i="1"/>
  <c r="I58" i="1"/>
  <c r="H58" i="1"/>
  <c r="G58" i="1"/>
  <c r="E58" i="1"/>
  <c r="F58" i="1" s="1"/>
  <c r="D58" i="1"/>
  <c r="C58" i="1"/>
  <c r="B58" i="1"/>
  <c r="E50" i="1"/>
  <c r="F50" i="1" s="1"/>
  <c r="D50" i="1"/>
  <c r="C50" i="1"/>
  <c r="B50" i="1"/>
  <c r="L50" i="1"/>
  <c r="H50" i="1"/>
  <c r="I50" i="1"/>
  <c r="G50" i="1"/>
  <c r="G93" i="1"/>
  <c r="L93" i="1"/>
  <c r="I93" i="1"/>
  <c r="H93" i="1"/>
  <c r="E93" i="1"/>
  <c r="F93" i="1" s="1"/>
  <c r="B93" i="1"/>
  <c r="D93" i="1"/>
  <c r="C93" i="1"/>
  <c r="N28" i="5"/>
  <c r="B28" i="5"/>
  <c r="M28" i="5"/>
  <c r="L28" i="5"/>
  <c r="K28" i="5"/>
  <c r="H28" i="5"/>
  <c r="G28" i="5"/>
  <c r="E28" i="5"/>
  <c r="F28" i="5" s="1"/>
  <c r="O28" i="5"/>
  <c r="J28" i="5"/>
  <c r="I28" i="5"/>
  <c r="D28" i="5"/>
  <c r="C28" i="5"/>
  <c r="H131" i="1"/>
  <c r="G131" i="1"/>
  <c r="E131" i="1"/>
  <c r="F131" i="1" s="1"/>
  <c r="L131" i="1"/>
  <c r="C131" i="1"/>
  <c r="I131" i="1"/>
  <c r="D131" i="1"/>
  <c r="B131" i="1"/>
  <c r="G142" i="1"/>
  <c r="E142" i="1"/>
  <c r="F142" i="1" s="1"/>
  <c r="D142" i="1"/>
  <c r="L142" i="1"/>
  <c r="I142" i="1"/>
  <c r="H142" i="1"/>
  <c r="C142" i="1"/>
  <c r="B142" i="1"/>
  <c r="E201" i="1"/>
  <c r="F201" i="1" s="1"/>
  <c r="D201" i="1"/>
  <c r="C201" i="1"/>
  <c r="L201" i="1"/>
  <c r="I201" i="1"/>
  <c r="H201" i="1"/>
  <c r="G201" i="1"/>
  <c r="B201" i="1"/>
  <c r="C174" i="1"/>
  <c r="B174" i="1"/>
  <c r="H174" i="1"/>
  <c r="G174" i="1"/>
  <c r="D174" i="1"/>
  <c r="L174" i="1"/>
  <c r="I174" i="1"/>
  <c r="E174" i="1"/>
  <c r="F174" i="1" s="1"/>
  <c r="B185" i="1"/>
  <c r="L185" i="1"/>
  <c r="G185" i="1"/>
  <c r="C185" i="1"/>
  <c r="E185" i="1"/>
  <c r="F185" i="1" s="1"/>
  <c r="I185" i="1"/>
  <c r="H185" i="1"/>
  <c r="D185" i="1"/>
  <c r="L184" i="1"/>
  <c r="E184" i="1"/>
  <c r="F184" i="1" s="1"/>
  <c r="C184" i="1"/>
  <c r="I184" i="1"/>
  <c r="H184" i="1"/>
  <c r="G184" i="1"/>
  <c r="D184" i="1"/>
  <c r="B184" i="1"/>
  <c r="L147" i="1"/>
  <c r="I147" i="1"/>
  <c r="E147" i="1"/>
  <c r="F147" i="1" s="1"/>
  <c r="D147" i="1"/>
  <c r="H147" i="1"/>
  <c r="G147" i="1"/>
  <c r="B147" i="1"/>
  <c r="C147" i="1"/>
  <c r="M78" i="6"/>
  <c r="L78" i="6"/>
  <c r="K78" i="6"/>
  <c r="J78" i="6"/>
  <c r="I78" i="6"/>
  <c r="H78" i="6"/>
  <c r="E78" i="6"/>
  <c r="C78" i="6"/>
  <c r="B78" i="6"/>
  <c r="N78" i="6"/>
  <c r="G78" i="6"/>
  <c r="D78" i="6"/>
  <c r="F78" i="6"/>
  <c r="L168" i="6"/>
  <c r="K168" i="6"/>
  <c r="I168" i="6"/>
  <c r="H168" i="6"/>
  <c r="F168" i="6"/>
  <c r="D168" i="6"/>
  <c r="J168" i="6"/>
  <c r="G168" i="6"/>
  <c r="E168" i="6"/>
  <c r="C168" i="6"/>
  <c r="B168" i="6"/>
  <c r="N168" i="6"/>
  <c r="M168" i="6"/>
  <c r="M70" i="6"/>
  <c r="L70" i="6"/>
  <c r="K70" i="6"/>
  <c r="J70" i="6"/>
  <c r="I70" i="6"/>
  <c r="H70" i="6"/>
  <c r="E70" i="6"/>
  <c r="N70" i="6"/>
  <c r="G70" i="6"/>
  <c r="F70" i="6"/>
  <c r="D70" i="6"/>
  <c r="C70" i="6"/>
  <c r="B70" i="6"/>
  <c r="F197" i="6"/>
  <c r="E197" i="6"/>
  <c r="D197" i="6"/>
  <c r="M197" i="6"/>
  <c r="K197" i="6"/>
  <c r="J197" i="6"/>
  <c r="I197" i="6"/>
  <c r="H197" i="6"/>
  <c r="G197" i="6"/>
  <c r="B197" i="6"/>
  <c r="C197" i="6"/>
  <c r="N197" i="6"/>
  <c r="L197" i="6"/>
  <c r="L191" i="6"/>
  <c r="K191" i="6"/>
  <c r="G191" i="6"/>
  <c r="N191" i="6"/>
  <c r="M191" i="6"/>
  <c r="J191" i="6"/>
  <c r="H191" i="6"/>
  <c r="E191" i="6"/>
  <c r="I191" i="6"/>
  <c r="F191" i="6"/>
  <c r="D191" i="6"/>
  <c r="C191" i="6"/>
  <c r="B191" i="6"/>
  <c r="I148" i="15"/>
  <c r="H148" i="15"/>
  <c r="F148" i="15"/>
  <c r="E148" i="15"/>
  <c r="D148" i="15"/>
  <c r="B148" i="15"/>
  <c r="L148" i="15"/>
  <c r="K148" i="15"/>
  <c r="J148" i="15"/>
  <c r="G148" i="15"/>
  <c r="C148" i="15"/>
  <c r="B92" i="15"/>
  <c r="L92" i="15"/>
  <c r="I92" i="15"/>
  <c r="G92" i="15"/>
  <c r="D92" i="15"/>
  <c r="C92" i="15"/>
  <c r="K92" i="15"/>
  <c r="J92" i="15"/>
  <c r="H92" i="15"/>
  <c r="F92" i="15"/>
  <c r="E92" i="15"/>
  <c r="J110" i="15"/>
  <c r="H110" i="15"/>
  <c r="F110" i="15"/>
  <c r="D110" i="15"/>
  <c r="B110" i="15"/>
  <c r="E110" i="15"/>
  <c r="L110" i="15"/>
  <c r="K110" i="15"/>
  <c r="I110" i="15"/>
  <c r="G110" i="15"/>
  <c r="C110" i="15"/>
  <c r="L145" i="15"/>
  <c r="K145" i="15"/>
  <c r="I145" i="15"/>
  <c r="H145" i="15"/>
  <c r="G145" i="15"/>
  <c r="E145" i="15"/>
  <c r="C145" i="15"/>
  <c r="B145" i="15"/>
  <c r="J145" i="15"/>
  <c r="D145" i="15"/>
  <c r="F145" i="15"/>
  <c r="Z178" i="13"/>
  <c r="Z101" i="13"/>
  <c r="Z85" i="13"/>
  <c r="K5" i="1" s="1"/>
  <c r="B38" i="14"/>
  <c r="Z124" i="13"/>
  <c r="D53" i="6"/>
  <c r="C53" i="6"/>
  <c r="N53" i="6"/>
  <c r="B53" i="6"/>
  <c r="L53" i="6"/>
  <c r="H53" i="6"/>
  <c r="E53" i="6"/>
  <c r="M53" i="6"/>
  <c r="K53" i="6"/>
  <c r="J53" i="6"/>
  <c r="I53" i="6"/>
  <c r="G53" i="6"/>
  <c r="F53" i="6"/>
  <c r="D99" i="5"/>
  <c r="O99" i="5"/>
  <c r="C99" i="5"/>
  <c r="N99" i="5"/>
  <c r="B99" i="5"/>
  <c r="M99" i="5"/>
  <c r="L99" i="5"/>
  <c r="J99" i="5"/>
  <c r="I99" i="5"/>
  <c r="H99" i="5"/>
  <c r="G99" i="5"/>
  <c r="K99" i="5"/>
  <c r="E99" i="5"/>
  <c r="F99" i="5" s="1"/>
  <c r="E152" i="15"/>
  <c r="D152" i="15"/>
  <c r="B152" i="15"/>
  <c r="L152" i="15"/>
  <c r="J152" i="15"/>
  <c r="C152" i="15"/>
  <c r="I152" i="15"/>
  <c r="K152" i="15"/>
  <c r="H152" i="15"/>
  <c r="G152" i="15"/>
  <c r="F152" i="15"/>
  <c r="C27" i="15"/>
  <c r="B27" i="15"/>
  <c r="L27" i="15"/>
  <c r="G27" i="15"/>
  <c r="F27" i="15"/>
  <c r="J27" i="15"/>
  <c r="I27" i="15"/>
  <c r="H27" i="15"/>
  <c r="E27" i="15"/>
  <c r="D27" i="15"/>
  <c r="K27" i="15"/>
  <c r="J134" i="5"/>
  <c r="H134" i="5"/>
  <c r="G134" i="5"/>
  <c r="E134" i="5"/>
  <c r="F134" i="5" s="1"/>
  <c r="D134" i="5"/>
  <c r="C134" i="5"/>
  <c r="B134" i="5"/>
  <c r="O134" i="5"/>
  <c r="N134" i="5"/>
  <c r="M134" i="5"/>
  <c r="L134" i="5"/>
  <c r="I134" i="5"/>
  <c r="K134" i="5"/>
  <c r="J203" i="5"/>
  <c r="H203" i="5"/>
  <c r="G203" i="5"/>
  <c r="E203" i="5"/>
  <c r="F203" i="5" s="1"/>
  <c r="D203" i="5"/>
  <c r="O203" i="5"/>
  <c r="C203" i="5"/>
  <c r="L203" i="5"/>
  <c r="K203" i="5"/>
  <c r="I203" i="5"/>
  <c r="B203" i="5"/>
  <c r="N203" i="5"/>
  <c r="M203" i="5"/>
  <c r="J170" i="5"/>
  <c r="H170" i="5"/>
  <c r="G170" i="5"/>
  <c r="E170" i="5"/>
  <c r="F170" i="5" s="1"/>
  <c r="D170" i="5"/>
  <c r="C170" i="5"/>
  <c r="B170" i="5"/>
  <c r="O170" i="5"/>
  <c r="N170" i="5"/>
  <c r="M170" i="5"/>
  <c r="L170" i="5"/>
  <c r="K170" i="5"/>
  <c r="I170" i="5"/>
  <c r="C135" i="6"/>
  <c r="K135" i="6"/>
  <c r="G135" i="6"/>
  <c r="F135" i="6"/>
  <c r="E135" i="6"/>
  <c r="D135" i="6"/>
  <c r="B135" i="6"/>
  <c r="L135" i="6"/>
  <c r="M135" i="6"/>
  <c r="J135" i="6"/>
  <c r="I135" i="6"/>
  <c r="H135" i="6"/>
  <c r="N135" i="6"/>
  <c r="D90" i="5"/>
  <c r="O90" i="5"/>
  <c r="C90" i="5"/>
  <c r="N90" i="5"/>
  <c r="B90" i="5"/>
  <c r="M90" i="5"/>
  <c r="L90" i="5"/>
  <c r="K90" i="5"/>
  <c r="J90" i="5"/>
  <c r="G90" i="5"/>
  <c r="E90" i="5"/>
  <c r="F90" i="5" s="1"/>
  <c r="I90" i="5"/>
  <c r="H90" i="5"/>
  <c r="J41" i="5"/>
  <c r="I41" i="5"/>
  <c r="H41" i="5"/>
  <c r="G41" i="5"/>
  <c r="D41" i="5"/>
  <c r="O41" i="5"/>
  <c r="C41" i="5"/>
  <c r="N41" i="5"/>
  <c r="B41" i="5"/>
  <c r="M41" i="5"/>
  <c r="E41" i="5"/>
  <c r="F41" i="5" s="1"/>
  <c r="L41" i="5"/>
  <c r="K41" i="5"/>
  <c r="H56" i="15"/>
  <c r="F56" i="15"/>
  <c r="B56" i="15"/>
  <c r="G56" i="15"/>
  <c r="E56" i="15"/>
  <c r="D56" i="15"/>
  <c r="C56" i="15"/>
  <c r="L56" i="15"/>
  <c r="K56" i="15"/>
  <c r="I56" i="15"/>
  <c r="J56" i="15"/>
  <c r="J183" i="15"/>
  <c r="I183" i="15"/>
  <c r="G183" i="15"/>
  <c r="F183" i="15"/>
  <c r="E183" i="15"/>
  <c r="C183" i="15"/>
  <c r="L183" i="15"/>
  <c r="K183" i="15"/>
  <c r="B183" i="15"/>
  <c r="D183" i="15"/>
  <c r="H183" i="15"/>
  <c r="F100" i="15"/>
  <c r="D100" i="15"/>
  <c r="E100" i="15"/>
  <c r="B100" i="15"/>
  <c r="L100" i="15"/>
  <c r="K100" i="15"/>
  <c r="J100" i="15"/>
  <c r="I100" i="15"/>
  <c r="H100" i="15"/>
  <c r="G100" i="15"/>
  <c r="C100" i="15"/>
  <c r="D61" i="6"/>
  <c r="C61" i="6"/>
  <c r="N61" i="6"/>
  <c r="B61" i="6"/>
  <c r="M61" i="6"/>
  <c r="L61" i="6"/>
  <c r="K61" i="6"/>
  <c r="H61" i="6"/>
  <c r="J61" i="6"/>
  <c r="I61" i="6"/>
  <c r="G61" i="6"/>
  <c r="F61" i="6"/>
  <c r="E61" i="6"/>
  <c r="H173" i="15"/>
  <c r="G173" i="15"/>
  <c r="E173" i="15"/>
  <c r="D173" i="15"/>
  <c r="C173" i="15"/>
  <c r="L173" i="15"/>
  <c r="K173" i="15"/>
  <c r="J173" i="15"/>
  <c r="F173" i="15"/>
  <c r="I173" i="15"/>
  <c r="B173" i="15"/>
  <c r="G137" i="15"/>
  <c r="F137" i="15"/>
  <c r="E137" i="15"/>
  <c r="C137" i="15"/>
  <c r="K137" i="15"/>
  <c r="B137" i="15"/>
  <c r="L137" i="15"/>
  <c r="J137" i="15"/>
  <c r="I137" i="15"/>
  <c r="H137" i="15"/>
  <c r="D137" i="15"/>
  <c r="D138" i="5"/>
  <c r="O138" i="5"/>
  <c r="C138" i="5"/>
  <c r="N138" i="5"/>
  <c r="B138" i="5"/>
  <c r="M138" i="5"/>
  <c r="L138" i="5"/>
  <c r="I138" i="5"/>
  <c r="H138" i="5"/>
  <c r="G138" i="5"/>
  <c r="E138" i="5"/>
  <c r="F138" i="5" s="1"/>
  <c r="K138" i="5"/>
  <c r="J138" i="5"/>
  <c r="G108" i="6"/>
  <c r="F108" i="6"/>
  <c r="E108" i="6"/>
  <c r="D108" i="6"/>
  <c r="C108" i="6"/>
  <c r="N108" i="6"/>
  <c r="B108" i="6"/>
  <c r="K108" i="6"/>
  <c r="I108" i="6"/>
  <c r="H108" i="6"/>
  <c r="M108" i="6"/>
  <c r="L108" i="6"/>
  <c r="J108" i="6"/>
  <c r="N223" i="5"/>
  <c r="B223" i="5"/>
  <c r="L223" i="5"/>
  <c r="K223" i="5"/>
  <c r="J223" i="5"/>
  <c r="I223" i="5"/>
  <c r="H223" i="5"/>
  <c r="G223" i="5"/>
  <c r="E223" i="5"/>
  <c r="F223" i="5" s="1"/>
  <c r="D223" i="5"/>
  <c r="C223" i="5"/>
  <c r="O223" i="5"/>
  <c r="M223" i="5"/>
  <c r="K109" i="15"/>
  <c r="I109" i="15"/>
  <c r="G109" i="15"/>
  <c r="E109" i="15"/>
  <c r="C109" i="15"/>
  <c r="J109" i="15"/>
  <c r="H109" i="15"/>
  <c r="F109" i="15"/>
  <c r="D109" i="15"/>
  <c r="L109" i="15"/>
  <c r="B109" i="15"/>
  <c r="F142" i="6"/>
  <c r="N142" i="6"/>
  <c r="B142" i="6"/>
  <c r="C142" i="6"/>
  <c r="M142" i="6"/>
  <c r="L142" i="6"/>
  <c r="K142" i="6"/>
  <c r="H142" i="6"/>
  <c r="J142" i="6"/>
  <c r="I142" i="6"/>
  <c r="G142" i="6"/>
  <c r="E142" i="6"/>
  <c r="D142" i="6"/>
  <c r="F175" i="15"/>
  <c r="E175" i="15"/>
  <c r="C175" i="15"/>
  <c r="B175" i="15"/>
  <c r="K175" i="15"/>
  <c r="L175" i="15"/>
  <c r="J175" i="15"/>
  <c r="I175" i="15"/>
  <c r="H175" i="15"/>
  <c r="G175" i="15"/>
  <c r="D175" i="15"/>
  <c r="D192" i="5"/>
  <c r="O192" i="5"/>
  <c r="C192" i="5"/>
  <c r="N192" i="5"/>
  <c r="B192" i="5"/>
  <c r="M192" i="5"/>
  <c r="L192" i="5"/>
  <c r="K192" i="5"/>
  <c r="H192" i="5"/>
  <c r="G192" i="5"/>
  <c r="E192" i="5"/>
  <c r="F192" i="5" s="1"/>
  <c r="J192" i="5"/>
  <c r="I192" i="5"/>
  <c r="N142" i="5"/>
  <c r="B142" i="5"/>
  <c r="L142" i="5"/>
  <c r="K142" i="5"/>
  <c r="J142" i="5"/>
  <c r="I142" i="5"/>
  <c r="H142" i="5"/>
  <c r="O142" i="5"/>
  <c r="M142" i="5"/>
  <c r="G142" i="5"/>
  <c r="D142" i="5"/>
  <c r="C142" i="5"/>
  <c r="E142" i="5"/>
  <c r="F142" i="5" s="1"/>
  <c r="F223" i="15"/>
  <c r="E223" i="15"/>
  <c r="C223" i="15"/>
  <c r="B223" i="15"/>
  <c r="K223" i="15"/>
  <c r="L223" i="15"/>
  <c r="J223" i="15"/>
  <c r="I223" i="15"/>
  <c r="H223" i="15"/>
  <c r="G223" i="15"/>
  <c r="D223" i="15"/>
  <c r="L132" i="6"/>
  <c r="H132" i="6"/>
  <c r="I132" i="6"/>
  <c r="G132" i="6"/>
  <c r="F132" i="6"/>
  <c r="E132" i="6"/>
  <c r="D132" i="6"/>
  <c r="C132" i="6"/>
  <c r="N132" i="6"/>
  <c r="M132" i="6"/>
  <c r="K132" i="6"/>
  <c r="J132" i="6"/>
  <c r="B132" i="6"/>
  <c r="H68" i="15"/>
  <c r="F68" i="15"/>
  <c r="B68" i="15"/>
  <c r="L68" i="15"/>
  <c r="C68" i="15"/>
  <c r="K68" i="15"/>
  <c r="J68" i="15"/>
  <c r="I68" i="15"/>
  <c r="G68" i="15"/>
  <c r="E68" i="15"/>
  <c r="D68" i="15"/>
  <c r="D114" i="5"/>
  <c r="O114" i="5"/>
  <c r="C114" i="5"/>
  <c r="N114" i="5"/>
  <c r="B114" i="5"/>
  <c r="M114" i="5"/>
  <c r="L114" i="5"/>
  <c r="K114" i="5"/>
  <c r="J114" i="5"/>
  <c r="I114" i="5"/>
  <c r="H114" i="5"/>
  <c r="G114" i="5"/>
  <c r="E114" i="5"/>
  <c r="F114" i="5" s="1"/>
  <c r="K16" i="6"/>
  <c r="J16" i="6"/>
  <c r="I16" i="6"/>
  <c r="H16" i="6"/>
  <c r="G16" i="6"/>
  <c r="F16" i="6"/>
  <c r="E16" i="6"/>
  <c r="D16" i="6"/>
  <c r="L16" i="6"/>
  <c r="C16" i="6"/>
  <c r="B16" i="6"/>
  <c r="N16" i="6"/>
  <c r="M16" i="6"/>
  <c r="J161" i="5"/>
  <c r="H161" i="5"/>
  <c r="G161" i="5"/>
  <c r="E161" i="5"/>
  <c r="F161" i="5" s="1"/>
  <c r="D161" i="5"/>
  <c r="L161" i="5"/>
  <c r="K161" i="5"/>
  <c r="I161" i="5"/>
  <c r="C161" i="5"/>
  <c r="O161" i="5"/>
  <c r="N161" i="5"/>
  <c r="M161" i="5"/>
  <c r="B161" i="5"/>
  <c r="J98" i="5"/>
  <c r="H98" i="5"/>
  <c r="G98" i="5"/>
  <c r="E98" i="5"/>
  <c r="F98" i="5" s="1"/>
  <c r="D98" i="5"/>
  <c r="C98" i="5"/>
  <c r="B98" i="5"/>
  <c r="O98" i="5"/>
  <c r="N98" i="5"/>
  <c r="M98" i="5"/>
  <c r="L98" i="5"/>
  <c r="K98" i="5"/>
  <c r="I98" i="5"/>
  <c r="C129" i="15"/>
  <c r="B129" i="15"/>
  <c r="K129" i="15"/>
  <c r="I129" i="15"/>
  <c r="G129" i="15"/>
  <c r="H129" i="15"/>
  <c r="F129" i="15"/>
  <c r="E129" i="15"/>
  <c r="D129" i="15"/>
  <c r="L129" i="15"/>
  <c r="J129" i="15"/>
  <c r="D116" i="15"/>
  <c r="C116" i="15"/>
  <c r="B116" i="15"/>
  <c r="L116" i="15"/>
  <c r="J116" i="15"/>
  <c r="H116" i="15"/>
  <c r="I116" i="15"/>
  <c r="F116" i="15"/>
  <c r="K116" i="15"/>
  <c r="G116" i="15"/>
  <c r="E116" i="15"/>
  <c r="D128" i="15"/>
  <c r="C128" i="15"/>
  <c r="B128" i="15"/>
  <c r="L128" i="15"/>
  <c r="J128" i="15"/>
  <c r="H128" i="15"/>
  <c r="I128" i="15"/>
  <c r="F128" i="15"/>
  <c r="K128" i="15"/>
  <c r="G128" i="15"/>
  <c r="E128" i="15"/>
  <c r="J167" i="5"/>
  <c r="H167" i="5"/>
  <c r="G167" i="5"/>
  <c r="E167" i="5"/>
  <c r="F167" i="5" s="1"/>
  <c r="D167" i="5"/>
  <c r="I167" i="5"/>
  <c r="C167" i="5"/>
  <c r="B167" i="5"/>
  <c r="O167" i="5"/>
  <c r="N167" i="5"/>
  <c r="M167" i="5"/>
  <c r="L167" i="5"/>
  <c r="K167" i="5"/>
  <c r="E72" i="5"/>
  <c r="F72" i="5" s="1"/>
  <c r="D72" i="5"/>
  <c r="O72" i="5"/>
  <c r="C72" i="5"/>
  <c r="L72" i="5"/>
  <c r="K72" i="5"/>
  <c r="J72" i="5"/>
  <c r="I72" i="5"/>
  <c r="N72" i="5"/>
  <c r="M72" i="5"/>
  <c r="H72" i="5"/>
  <c r="G72" i="5"/>
  <c r="B72" i="5"/>
  <c r="N21" i="6"/>
  <c r="B21" i="6"/>
  <c r="H21" i="6"/>
  <c r="M21" i="6"/>
  <c r="L21" i="6"/>
  <c r="K21" i="6"/>
  <c r="J21" i="6"/>
  <c r="I21" i="6"/>
  <c r="G21" i="6"/>
  <c r="F21" i="6"/>
  <c r="E21" i="6"/>
  <c r="D21" i="6"/>
  <c r="C21" i="6"/>
  <c r="D81" i="5"/>
  <c r="O81" i="5"/>
  <c r="C81" i="5"/>
  <c r="N81" i="5"/>
  <c r="B81" i="5"/>
  <c r="M81" i="5"/>
  <c r="L81" i="5"/>
  <c r="J81" i="5"/>
  <c r="I81" i="5"/>
  <c r="H81" i="5"/>
  <c r="G81" i="5"/>
  <c r="K81" i="5"/>
  <c r="E81" i="5"/>
  <c r="F81" i="5" s="1"/>
  <c r="L32" i="1"/>
  <c r="I32" i="1"/>
  <c r="H32" i="1"/>
  <c r="G32" i="1"/>
  <c r="E32" i="1"/>
  <c r="F32" i="1" s="1"/>
  <c r="D32" i="1"/>
  <c r="B32" i="1"/>
  <c r="C32" i="1"/>
  <c r="E103" i="1"/>
  <c r="F103" i="1" s="1"/>
  <c r="I103" i="1"/>
  <c r="H103" i="1"/>
  <c r="G103" i="1"/>
  <c r="D103" i="1"/>
  <c r="C103" i="1"/>
  <c r="B103" i="1"/>
  <c r="L103" i="1"/>
  <c r="N220" i="5"/>
  <c r="B220" i="5"/>
  <c r="L220" i="5"/>
  <c r="K220" i="5"/>
  <c r="J220" i="5"/>
  <c r="I220" i="5"/>
  <c r="H220" i="5"/>
  <c r="G220" i="5"/>
  <c r="O220" i="5"/>
  <c r="M220" i="5"/>
  <c r="E220" i="5"/>
  <c r="F220" i="5" s="1"/>
  <c r="D220" i="5"/>
  <c r="C220" i="5"/>
  <c r="H17" i="1"/>
  <c r="G17" i="1"/>
  <c r="C17" i="1"/>
  <c r="E17" i="1"/>
  <c r="F17" i="1" s="1"/>
  <c r="D17" i="1"/>
  <c r="B17" i="1"/>
  <c r="L17" i="1"/>
  <c r="I17" i="1"/>
  <c r="N148" i="5"/>
  <c r="B148" i="5"/>
  <c r="L148" i="5"/>
  <c r="K148" i="5"/>
  <c r="J148" i="5"/>
  <c r="I148" i="5"/>
  <c r="H148" i="5"/>
  <c r="M148" i="5"/>
  <c r="G148" i="5"/>
  <c r="E148" i="5"/>
  <c r="F148" i="5" s="1"/>
  <c r="C148" i="5"/>
  <c r="D148" i="5"/>
  <c r="O148" i="5"/>
  <c r="G16" i="1"/>
  <c r="E16" i="1"/>
  <c r="F16" i="1" s="1"/>
  <c r="D16" i="1"/>
  <c r="C16" i="1"/>
  <c r="B16" i="1"/>
  <c r="L16" i="1"/>
  <c r="I16" i="1"/>
  <c r="H16" i="1"/>
  <c r="N145" i="5"/>
  <c r="B145" i="5"/>
  <c r="L145" i="5"/>
  <c r="K145" i="5"/>
  <c r="J145" i="5"/>
  <c r="I145" i="5"/>
  <c r="H145" i="5"/>
  <c r="O145" i="5"/>
  <c r="M145" i="5"/>
  <c r="G145" i="5"/>
  <c r="C145" i="5"/>
  <c r="E145" i="5"/>
  <c r="F145" i="5" s="1"/>
  <c r="D145" i="5"/>
  <c r="E129" i="1"/>
  <c r="F129" i="1" s="1"/>
  <c r="C129" i="1"/>
  <c r="L129" i="1"/>
  <c r="I129" i="1"/>
  <c r="D129" i="1"/>
  <c r="H129" i="1"/>
  <c r="G129" i="1"/>
  <c r="B129" i="1"/>
  <c r="N55" i="5"/>
  <c r="B55" i="5"/>
  <c r="M55" i="5"/>
  <c r="L55" i="5"/>
  <c r="K55" i="5"/>
  <c r="H55" i="5"/>
  <c r="G55" i="5"/>
  <c r="E55" i="5"/>
  <c r="F55" i="5" s="1"/>
  <c r="D55" i="5"/>
  <c r="O55" i="5"/>
  <c r="J55" i="5"/>
  <c r="C55" i="5"/>
  <c r="I55" i="5"/>
  <c r="I181" i="1"/>
  <c r="H181" i="1"/>
  <c r="G181" i="1"/>
  <c r="C181" i="1"/>
  <c r="B181" i="1"/>
  <c r="L181" i="1"/>
  <c r="E181" i="1"/>
  <c r="F181" i="1" s="1"/>
  <c r="D181" i="1"/>
  <c r="D85" i="1"/>
  <c r="L85" i="1"/>
  <c r="C85" i="1"/>
  <c r="B85" i="1"/>
  <c r="I85" i="1"/>
  <c r="G85" i="1"/>
  <c r="H85" i="1"/>
  <c r="E85" i="1"/>
  <c r="F85" i="1" s="1"/>
  <c r="C12" i="1"/>
  <c r="B12" i="1"/>
  <c r="L12" i="1"/>
  <c r="E12" i="1"/>
  <c r="F12" i="1" s="1"/>
  <c r="I12" i="1"/>
  <c r="H12" i="1"/>
  <c r="G12" i="1"/>
  <c r="D12" i="1"/>
  <c r="E177" i="1"/>
  <c r="F177" i="1" s="1"/>
  <c r="D177" i="1"/>
  <c r="C177" i="1"/>
  <c r="L177" i="1"/>
  <c r="H177" i="1"/>
  <c r="I177" i="1"/>
  <c r="G177" i="1"/>
  <c r="B177" i="1"/>
  <c r="B95" i="1"/>
  <c r="L95" i="1"/>
  <c r="I95" i="1"/>
  <c r="H95" i="1"/>
  <c r="G95" i="1"/>
  <c r="E95" i="1"/>
  <c r="F95" i="1" s="1"/>
  <c r="D95" i="1"/>
  <c r="C95" i="1"/>
  <c r="L70" i="1"/>
  <c r="I70" i="1"/>
  <c r="H70" i="1"/>
  <c r="G70" i="1"/>
  <c r="D70" i="1"/>
  <c r="E70" i="1"/>
  <c r="F70" i="1" s="1"/>
  <c r="C70" i="1"/>
  <c r="B70" i="1"/>
  <c r="E62" i="1"/>
  <c r="F62" i="1" s="1"/>
  <c r="D62" i="1"/>
  <c r="C62" i="1"/>
  <c r="B62" i="1"/>
  <c r="G62" i="1"/>
  <c r="L62" i="1"/>
  <c r="H62" i="1"/>
  <c r="I62" i="1"/>
  <c r="L105" i="1"/>
  <c r="I105" i="1"/>
  <c r="H105" i="1"/>
  <c r="G105" i="1"/>
  <c r="E105" i="1"/>
  <c r="F105" i="1" s="1"/>
  <c r="D105" i="1"/>
  <c r="B105" i="1"/>
  <c r="C105" i="1"/>
  <c r="N34" i="5"/>
  <c r="B34" i="5"/>
  <c r="M34" i="5"/>
  <c r="L34" i="5"/>
  <c r="K34" i="5"/>
  <c r="H34" i="5"/>
  <c r="G34" i="5"/>
  <c r="E34" i="5"/>
  <c r="F34" i="5" s="1"/>
  <c r="O34" i="5"/>
  <c r="J34" i="5"/>
  <c r="I34" i="5"/>
  <c r="D34" i="5"/>
  <c r="C34" i="5"/>
  <c r="H143" i="1"/>
  <c r="G143" i="1"/>
  <c r="E143" i="1"/>
  <c r="F143" i="1" s="1"/>
  <c r="I143" i="1"/>
  <c r="D143" i="1"/>
  <c r="C143" i="1"/>
  <c r="B143" i="1"/>
  <c r="L143" i="1"/>
  <c r="G154" i="1"/>
  <c r="E154" i="1"/>
  <c r="F154" i="1" s="1"/>
  <c r="D154" i="1"/>
  <c r="L154" i="1"/>
  <c r="H154" i="1"/>
  <c r="C154" i="1"/>
  <c r="B154" i="1"/>
  <c r="I154" i="1"/>
  <c r="E213" i="1"/>
  <c r="F213" i="1" s="1"/>
  <c r="D213" i="1"/>
  <c r="C213" i="1"/>
  <c r="L213" i="1"/>
  <c r="I213" i="1"/>
  <c r="H213" i="1"/>
  <c r="G213" i="1"/>
  <c r="B213" i="1"/>
  <c r="C186" i="1"/>
  <c r="B186" i="1"/>
  <c r="H186" i="1"/>
  <c r="G186" i="1"/>
  <c r="L186" i="1"/>
  <c r="I186" i="1"/>
  <c r="E186" i="1"/>
  <c r="F186" i="1" s="1"/>
  <c r="D186" i="1"/>
  <c r="B197" i="1"/>
  <c r="L197" i="1"/>
  <c r="G197" i="1"/>
  <c r="I197" i="1"/>
  <c r="H197" i="1"/>
  <c r="E197" i="1"/>
  <c r="F197" i="1" s="1"/>
  <c r="D197" i="1"/>
  <c r="C197" i="1"/>
  <c r="L196" i="1"/>
  <c r="E196" i="1"/>
  <c r="F196" i="1" s="1"/>
  <c r="B196" i="1"/>
  <c r="I196" i="1"/>
  <c r="D196" i="1"/>
  <c r="H196" i="1"/>
  <c r="G196" i="1"/>
  <c r="C196" i="1"/>
  <c r="L159" i="1"/>
  <c r="I159" i="1"/>
  <c r="E159" i="1"/>
  <c r="F159" i="1" s="1"/>
  <c r="D159" i="1"/>
  <c r="C159" i="1"/>
  <c r="H159" i="1"/>
  <c r="G159" i="1"/>
  <c r="B159" i="1"/>
  <c r="M94" i="6"/>
  <c r="L94" i="6"/>
  <c r="K94" i="6"/>
  <c r="J94" i="6"/>
  <c r="I94" i="6"/>
  <c r="H94" i="6"/>
  <c r="E94" i="6"/>
  <c r="C94" i="6"/>
  <c r="B94" i="6"/>
  <c r="N94" i="6"/>
  <c r="G94" i="6"/>
  <c r="F94" i="6"/>
  <c r="D94" i="6"/>
  <c r="L175" i="6"/>
  <c r="K175" i="6"/>
  <c r="G175" i="6"/>
  <c r="E175" i="6"/>
  <c r="D175" i="6"/>
  <c r="B175" i="6"/>
  <c r="N175" i="6"/>
  <c r="J175" i="6"/>
  <c r="I175" i="6"/>
  <c r="H175" i="6"/>
  <c r="F175" i="6"/>
  <c r="C175" i="6"/>
  <c r="M175" i="6"/>
  <c r="M86" i="6"/>
  <c r="L86" i="6"/>
  <c r="K86" i="6"/>
  <c r="J86" i="6"/>
  <c r="I86" i="6"/>
  <c r="H86" i="6"/>
  <c r="E86" i="6"/>
  <c r="N86" i="6"/>
  <c r="G86" i="6"/>
  <c r="F86" i="6"/>
  <c r="D86" i="6"/>
  <c r="C86" i="6"/>
  <c r="B86" i="6"/>
  <c r="I188" i="6"/>
  <c r="H188" i="6"/>
  <c r="D188" i="6"/>
  <c r="N188" i="6"/>
  <c r="M188" i="6"/>
  <c r="L188" i="6"/>
  <c r="K188" i="6"/>
  <c r="J188" i="6"/>
  <c r="F188" i="6"/>
  <c r="C188" i="6"/>
  <c r="G188" i="6"/>
  <c r="E188" i="6"/>
  <c r="B188" i="6"/>
  <c r="B42" i="14"/>
  <c r="Z3" i="13"/>
  <c r="B36" i="14"/>
  <c r="Z215" i="13"/>
  <c r="K213" i="1" s="1"/>
  <c r="Z187" i="13"/>
  <c r="Z202" i="13"/>
  <c r="Z190" i="13"/>
  <c r="Z193" i="13"/>
  <c r="Z210" i="13"/>
  <c r="Z205" i="13"/>
  <c r="K203" i="1" s="1"/>
  <c r="Z207" i="13"/>
  <c r="Z189" i="13"/>
  <c r="Z198" i="13"/>
  <c r="K137" i="1" s="1"/>
  <c r="Z192" i="13"/>
  <c r="Z188" i="13"/>
  <c r="Z214" i="13"/>
  <c r="Z224" i="13"/>
  <c r="Z206" i="13"/>
  <c r="Z200" i="13"/>
  <c r="Z197" i="13"/>
  <c r="Z219" i="13"/>
  <c r="Z208" i="13"/>
  <c r="Z203" i="13"/>
  <c r="K142" i="1" s="1"/>
  <c r="Z222" i="13"/>
  <c r="Z225" i="13"/>
  <c r="Z217" i="13"/>
  <c r="Z184" i="13"/>
  <c r="Z182" i="13"/>
  <c r="K143" i="1" s="1"/>
  <c r="Z209" i="13"/>
  <c r="Z212" i="13"/>
  <c r="Z191" i="13"/>
  <c r="Z185" i="13"/>
  <c r="Z221" i="13"/>
  <c r="Z211" i="13"/>
  <c r="K209" i="1" s="1"/>
  <c r="Z216" i="13"/>
  <c r="Z194" i="13"/>
  <c r="Z218" i="13"/>
  <c r="Z201" i="13"/>
  <c r="Z195" i="13"/>
  <c r="Z196" i="13"/>
  <c r="Z213" i="13"/>
  <c r="K211" i="1" s="1"/>
  <c r="Z223" i="13"/>
  <c r="Z220" i="13"/>
  <c r="Z183" i="13"/>
  <c r="Z186" i="13"/>
  <c r="K147" i="1" s="1"/>
  <c r="Z204" i="13"/>
  <c r="K202" i="1" s="1"/>
  <c r="Z199" i="13"/>
  <c r="L52" i="15"/>
  <c r="J52" i="15"/>
  <c r="F52" i="15"/>
  <c r="I52" i="15"/>
  <c r="H52" i="15"/>
  <c r="G52" i="15"/>
  <c r="E52" i="15"/>
  <c r="B52" i="15"/>
  <c r="C52" i="15"/>
  <c r="K52" i="15"/>
  <c r="D52" i="15"/>
  <c r="D104" i="15"/>
  <c r="B104" i="15"/>
  <c r="L104" i="15"/>
  <c r="K104" i="15"/>
  <c r="H104" i="15"/>
  <c r="G104" i="15"/>
  <c r="F104" i="15"/>
  <c r="E104" i="15"/>
  <c r="C104" i="15"/>
  <c r="I104" i="15"/>
  <c r="J104" i="15"/>
  <c r="B74" i="15"/>
  <c r="L74" i="15"/>
  <c r="H74" i="15"/>
  <c r="G74" i="15"/>
  <c r="F74" i="15"/>
  <c r="C74" i="15"/>
  <c r="K74" i="15"/>
  <c r="J74" i="15"/>
  <c r="I74" i="15"/>
  <c r="D74" i="15"/>
  <c r="E74" i="15"/>
  <c r="L120" i="15"/>
  <c r="K120" i="15"/>
  <c r="J120" i="15"/>
  <c r="H120" i="15"/>
  <c r="F120" i="15"/>
  <c r="D120" i="15"/>
  <c r="I120" i="15"/>
  <c r="G120" i="15"/>
  <c r="E120" i="15"/>
  <c r="C120" i="15"/>
  <c r="B120" i="15"/>
  <c r="L157" i="15"/>
  <c r="K157" i="15"/>
  <c r="I157" i="15"/>
  <c r="H157" i="15"/>
  <c r="G157" i="15"/>
  <c r="E157" i="15"/>
  <c r="C157" i="15"/>
  <c r="B157" i="15"/>
  <c r="J157" i="15"/>
  <c r="F157" i="15"/>
  <c r="D157" i="15"/>
  <c r="B28" i="14"/>
  <c r="D165" i="5"/>
  <c r="O165" i="5"/>
  <c r="C165" i="5"/>
  <c r="N165" i="5"/>
  <c r="B165" i="5"/>
  <c r="M165" i="5"/>
  <c r="L165" i="5"/>
  <c r="K165" i="5"/>
  <c r="J165" i="5"/>
  <c r="I165" i="5"/>
  <c r="E165" i="5"/>
  <c r="F165" i="5" s="1"/>
  <c r="G165" i="5"/>
  <c r="H165" i="5"/>
  <c r="J207" i="15"/>
  <c r="I207" i="15"/>
  <c r="G207" i="15"/>
  <c r="F207" i="15"/>
  <c r="E207" i="15"/>
  <c r="C207" i="15"/>
  <c r="L207" i="15"/>
  <c r="K207" i="15"/>
  <c r="B207" i="15"/>
  <c r="H207" i="15"/>
  <c r="D207" i="15"/>
  <c r="J56" i="5"/>
  <c r="I56" i="5"/>
  <c r="H56" i="5"/>
  <c r="G56" i="5"/>
  <c r="D56" i="5"/>
  <c r="O56" i="5"/>
  <c r="C56" i="5"/>
  <c r="N56" i="5"/>
  <c r="B56" i="5"/>
  <c r="M56" i="5"/>
  <c r="L56" i="5"/>
  <c r="K56" i="5"/>
  <c r="E56" i="5"/>
  <c r="F56" i="5" s="1"/>
  <c r="K22" i="6"/>
  <c r="E22" i="6"/>
  <c r="N22" i="6"/>
  <c r="M22" i="6"/>
  <c r="L22" i="6"/>
  <c r="J22" i="6"/>
  <c r="I22" i="6"/>
  <c r="H22" i="6"/>
  <c r="G22" i="6"/>
  <c r="F22" i="6"/>
  <c r="C22" i="6"/>
  <c r="B22" i="6"/>
  <c r="D22" i="6"/>
  <c r="E139" i="15"/>
  <c r="D139" i="15"/>
  <c r="C139" i="15"/>
  <c r="K139" i="15"/>
  <c r="I139" i="15"/>
  <c r="L139" i="15"/>
  <c r="J139" i="15"/>
  <c r="H139" i="15"/>
  <c r="G139" i="15"/>
  <c r="B139" i="15"/>
  <c r="F139" i="15"/>
  <c r="E42" i="5"/>
  <c r="F42" i="5" s="1"/>
  <c r="D42" i="5"/>
  <c r="O42" i="5"/>
  <c r="C42" i="5"/>
  <c r="L42" i="5"/>
  <c r="K42" i="5"/>
  <c r="J42" i="5"/>
  <c r="I42" i="5"/>
  <c r="N42" i="5"/>
  <c r="M42" i="5"/>
  <c r="H42" i="5"/>
  <c r="G42" i="5"/>
  <c r="B42" i="5"/>
  <c r="E30" i="5"/>
  <c r="F30" i="5" s="1"/>
  <c r="D30" i="5"/>
  <c r="O30" i="5"/>
  <c r="C30" i="5"/>
  <c r="L30" i="5"/>
  <c r="K30" i="5"/>
  <c r="J30" i="5"/>
  <c r="I30" i="5"/>
  <c r="N30" i="5"/>
  <c r="M30" i="5"/>
  <c r="H30" i="5"/>
  <c r="G30" i="5"/>
  <c r="B30" i="5"/>
  <c r="I33" i="15"/>
  <c r="H33" i="15"/>
  <c r="G33" i="15"/>
  <c r="F33" i="15"/>
  <c r="L33" i="15"/>
  <c r="J33" i="15"/>
  <c r="E33" i="15"/>
  <c r="D33" i="15"/>
  <c r="C33" i="15"/>
  <c r="K33" i="15"/>
  <c r="B33" i="15"/>
  <c r="J164" i="5"/>
  <c r="H164" i="5"/>
  <c r="G164" i="5"/>
  <c r="E164" i="5"/>
  <c r="F164" i="5" s="1"/>
  <c r="D164" i="5"/>
  <c r="K164" i="5"/>
  <c r="I164" i="5"/>
  <c r="C164" i="5"/>
  <c r="B164" i="5"/>
  <c r="O164" i="5"/>
  <c r="N164" i="5"/>
  <c r="M164" i="5"/>
  <c r="L164" i="5"/>
  <c r="H209" i="15"/>
  <c r="G209" i="15"/>
  <c r="E209" i="15"/>
  <c r="D209" i="15"/>
  <c r="C209" i="15"/>
  <c r="L209" i="15"/>
  <c r="K209" i="15"/>
  <c r="J209" i="15"/>
  <c r="I209" i="15"/>
  <c r="F209" i="15"/>
  <c r="B209" i="15"/>
  <c r="C141" i="15"/>
  <c r="B141" i="15"/>
  <c r="L141" i="15"/>
  <c r="K141" i="15"/>
  <c r="I141" i="15"/>
  <c r="G141" i="15"/>
  <c r="J141" i="15"/>
  <c r="H141" i="15"/>
  <c r="F141" i="15"/>
  <c r="E141" i="15"/>
  <c r="D141" i="15"/>
  <c r="J63" i="6"/>
  <c r="I63" i="6"/>
  <c r="H63" i="6"/>
  <c r="G63" i="6"/>
  <c r="F63" i="6"/>
  <c r="E63" i="6"/>
  <c r="N63" i="6"/>
  <c r="B63" i="6"/>
  <c r="M63" i="6"/>
  <c r="L63" i="6"/>
  <c r="K63" i="6"/>
  <c r="D63" i="6"/>
  <c r="C63" i="6"/>
  <c r="K218" i="15"/>
  <c r="J218" i="15"/>
  <c r="H218" i="15"/>
  <c r="G218" i="15"/>
  <c r="F218" i="15"/>
  <c r="D218" i="15"/>
  <c r="L218" i="15"/>
  <c r="I218" i="15"/>
  <c r="E218" i="15"/>
  <c r="C218" i="15"/>
  <c r="B218" i="15"/>
  <c r="N106" i="5"/>
  <c r="B106" i="5"/>
  <c r="L106" i="5"/>
  <c r="K106" i="5"/>
  <c r="J106" i="5"/>
  <c r="I106" i="5"/>
  <c r="H106" i="5"/>
  <c r="O106" i="5"/>
  <c r="M106" i="5"/>
  <c r="G106" i="5"/>
  <c r="D106" i="5"/>
  <c r="C106" i="5"/>
  <c r="E106" i="5"/>
  <c r="F106" i="5" s="1"/>
  <c r="K158" i="15"/>
  <c r="J158" i="15"/>
  <c r="H158" i="15"/>
  <c r="G158" i="15"/>
  <c r="F158" i="15"/>
  <c r="D158" i="15"/>
  <c r="L158" i="15"/>
  <c r="I158" i="15"/>
  <c r="E158" i="15"/>
  <c r="B158" i="15"/>
  <c r="C158" i="15"/>
  <c r="E14" i="6"/>
  <c r="D14" i="6"/>
  <c r="C14" i="6"/>
  <c r="N14" i="6"/>
  <c r="B14" i="6"/>
  <c r="M14" i="6"/>
  <c r="L14" i="6"/>
  <c r="K14" i="6"/>
  <c r="J14" i="6"/>
  <c r="G14" i="6"/>
  <c r="F14" i="6"/>
  <c r="I14" i="6"/>
  <c r="H14" i="6"/>
  <c r="J50" i="5"/>
  <c r="I50" i="5"/>
  <c r="H50" i="5"/>
  <c r="G50" i="5"/>
  <c r="D50" i="5"/>
  <c r="O50" i="5"/>
  <c r="C50" i="5"/>
  <c r="N50" i="5"/>
  <c r="B50" i="5"/>
  <c r="M50" i="5"/>
  <c r="L50" i="5"/>
  <c r="K50" i="5"/>
  <c r="E50" i="5"/>
  <c r="F50" i="5" s="1"/>
  <c r="N193" i="5"/>
  <c r="B193" i="5"/>
  <c r="L193" i="5"/>
  <c r="K193" i="5"/>
  <c r="J193" i="5"/>
  <c r="I193" i="5"/>
  <c r="H193" i="5"/>
  <c r="G193" i="5"/>
  <c r="O193" i="5"/>
  <c r="E193" i="5"/>
  <c r="F193" i="5" s="1"/>
  <c r="D193" i="5"/>
  <c r="C193" i="5"/>
  <c r="M193" i="5"/>
  <c r="L44" i="1"/>
  <c r="I44" i="1"/>
  <c r="H44" i="1"/>
  <c r="G44" i="1"/>
  <c r="E44" i="1"/>
  <c r="F44" i="1" s="1"/>
  <c r="D44" i="1"/>
  <c r="B44" i="1"/>
  <c r="C44" i="1"/>
  <c r="L92" i="1"/>
  <c r="I92" i="1"/>
  <c r="H92" i="1"/>
  <c r="G92" i="1"/>
  <c r="E92" i="1"/>
  <c r="F92" i="1" s="1"/>
  <c r="D92" i="1"/>
  <c r="C92" i="1"/>
  <c r="B92" i="1"/>
  <c r="H5" i="1"/>
  <c r="G5" i="1"/>
  <c r="E5" i="1"/>
  <c r="F5" i="1" s="1"/>
  <c r="D5" i="1"/>
  <c r="C5" i="1"/>
  <c r="B5" i="1"/>
  <c r="L5" i="1"/>
  <c r="I5" i="1"/>
  <c r="N109" i="5"/>
  <c r="B109" i="5"/>
  <c r="L109" i="5"/>
  <c r="K109" i="5"/>
  <c r="J109" i="5"/>
  <c r="I109" i="5"/>
  <c r="H109" i="5"/>
  <c r="O109" i="5"/>
  <c r="M109" i="5"/>
  <c r="G109" i="5"/>
  <c r="C109" i="5"/>
  <c r="E109" i="5"/>
  <c r="F109" i="5" s="1"/>
  <c r="D109" i="5"/>
  <c r="C163" i="6"/>
  <c r="N163" i="6"/>
  <c r="B163" i="6"/>
  <c r="L163" i="6"/>
  <c r="K163" i="6"/>
  <c r="G163" i="6"/>
  <c r="M163" i="6"/>
  <c r="J163" i="6"/>
  <c r="I163" i="6"/>
  <c r="E163" i="6"/>
  <c r="H163" i="6"/>
  <c r="F163" i="6"/>
  <c r="D163" i="6"/>
  <c r="E15" i="5"/>
  <c r="F15" i="5" s="1"/>
  <c r="D15" i="5"/>
  <c r="O15" i="5"/>
  <c r="C15" i="5"/>
  <c r="L15" i="5"/>
  <c r="K15" i="5"/>
  <c r="J15" i="5"/>
  <c r="I15" i="5"/>
  <c r="N15" i="5"/>
  <c r="M15" i="5"/>
  <c r="G15" i="5"/>
  <c r="H15" i="5"/>
  <c r="B15" i="5"/>
  <c r="D165" i="15"/>
  <c r="C165" i="15"/>
  <c r="L165" i="15"/>
  <c r="K165" i="15"/>
  <c r="I165" i="15"/>
  <c r="J165" i="15"/>
  <c r="H165" i="15"/>
  <c r="G165" i="15"/>
  <c r="F165" i="15"/>
  <c r="E165" i="15"/>
  <c r="B165" i="15"/>
  <c r="E6" i="15"/>
  <c r="D6" i="15"/>
  <c r="C6" i="15"/>
  <c r="B6" i="15"/>
  <c r="K6" i="15"/>
  <c r="J6" i="15"/>
  <c r="I6" i="15"/>
  <c r="H6" i="15"/>
  <c r="G6" i="15"/>
  <c r="F6" i="15"/>
  <c r="L6" i="15"/>
  <c r="D121" i="6"/>
  <c r="C121" i="6"/>
  <c r="N121" i="6"/>
  <c r="B121" i="6"/>
  <c r="M121" i="6"/>
  <c r="L121" i="6"/>
  <c r="K121" i="6"/>
  <c r="H121" i="6"/>
  <c r="J121" i="6"/>
  <c r="I121" i="6"/>
  <c r="G121" i="6"/>
  <c r="F121" i="6"/>
  <c r="E121" i="6"/>
  <c r="J26" i="5"/>
  <c r="I26" i="5"/>
  <c r="H26" i="5"/>
  <c r="G26" i="5"/>
  <c r="D26" i="5"/>
  <c r="O26" i="5"/>
  <c r="C26" i="5"/>
  <c r="N26" i="5"/>
  <c r="B26" i="5"/>
  <c r="M26" i="5"/>
  <c r="L26" i="5"/>
  <c r="K26" i="5"/>
  <c r="E26" i="5"/>
  <c r="F26" i="5" s="1"/>
  <c r="F150" i="6"/>
  <c r="E150" i="6"/>
  <c r="C150" i="6"/>
  <c r="N150" i="6"/>
  <c r="B150" i="6"/>
  <c r="J150" i="6"/>
  <c r="L150" i="6"/>
  <c r="K150" i="6"/>
  <c r="I150" i="6"/>
  <c r="H150" i="6"/>
  <c r="G150" i="6"/>
  <c r="D150" i="6"/>
  <c r="M150" i="6"/>
  <c r="C131" i="6"/>
  <c r="K131" i="6"/>
  <c r="I131" i="6"/>
  <c r="H131" i="6"/>
  <c r="G131" i="6"/>
  <c r="F131" i="6"/>
  <c r="E131" i="6"/>
  <c r="D131" i="6"/>
  <c r="N131" i="6"/>
  <c r="L131" i="6"/>
  <c r="J131" i="6"/>
  <c r="B131" i="6"/>
  <c r="M131" i="6"/>
  <c r="J113" i="5"/>
  <c r="H113" i="5"/>
  <c r="G113" i="5"/>
  <c r="E113" i="5"/>
  <c r="F113" i="5" s="1"/>
  <c r="D113" i="5"/>
  <c r="O113" i="5"/>
  <c r="N113" i="5"/>
  <c r="M113" i="5"/>
  <c r="I113" i="5"/>
  <c r="C113" i="5"/>
  <c r="B113" i="5"/>
  <c r="L113" i="5"/>
  <c r="K113" i="5"/>
  <c r="E188" i="15"/>
  <c r="D188" i="15"/>
  <c r="B188" i="15"/>
  <c r="L188" i="15"/>
  <c r="J188" i="15"/>
  <c r="C188" i="15"/>
  <c r="K188" i="15"/>
  <c r="I188" i="15"/>
  <c r="H188" i="15"/>
  <c r="G188" i="15"/>
  <c r="F188" i="15"/>
  <c r="G101" i="15"/>
  <c r="E101" i="15"/>
  <c r="C101" i="15"/>
  <c r="H101" i="15"/>
  <c r="D101" i="15"/>
  <c r="L101" i="15"/>
  <c r="K101" i="15"/>
  <c r="J101" i="15"/>
  <c r="B101" i="15"/>
  <c r="I101" i="15"/>
  <c r="F101" i="15"/>
  <c r="C61" i="15"/>
  <c r="I61" i="15"/>
  <c r="H61" i="15"/>
  <c r="G61" i="15"/>
  <c r="L61" i="15"/>
  <c r="K61" i="15"/>
  <c r="E61" i="15"/>
  <c r="D61" i="15"/>
  <c r="B61" i="15"/>
  <c r="J61" i="15"/>
  <c r="F61" i="15"/>
  <c r="I196" i="6"/>
  <c r="H196" i="6"/>
  <c r="G196" i="6"/>
  <c r="D196" i="6"/>
  <c r="K196" i="6"/>
  <c r="J196" i="6"/>
  <c r="F196" i="6"/>
  <c r="E196" i="6"/>
  <c r="C196" i="6"/>
  <c r="L196" i="6"/>
  <c r="B196" i="6"/>
  <c r="N196" i="6"/>
  <c r="M196" i="6"/>
  <c r="J83" i="5"/>
  <c r="H83" i="5"/>
  <c r="G83" i="5"/>
  <c r="E83" i="5"/>
  <c r="F83" i="5" s="1"/>
  <c r="D83" i="5"/>
  <c r="N83" i="5"/>
  <c r="M83" i="5"/>
  <c r="L83" i="5"/>
  <c r="K83" i="5"/>
  <c r="B83" i="5"/>
  <c r="O83" i="5"/>
  <c r="I83" i="5"/>
  <c r="C83" i="5"/>
  <c r="K51" i="15"/>
  <c r="G51" i="15"/>
  <c r="F51" i="15"/>
  <c r="E51" i="15"/>
  <c r="D51" i="15"/>
  <c r="C51" i="15"/>
  <c r="L51" i="15"/>
  <c r="J51" i="15"/>
  <c r="I51" i="15"/>
  <c r="H51" i="15"/>
  <c r="B51" i="15"/>
  <c r="K41" i="15"/>
  <c r="C41" i="15"/>
  <c r="B41" i="15"/>
  <c r="I41" i="15"/>
  <c r="G41" i="15"/>
  <c r="F41" i="15"/>
  <c r="L41" i="15"/>
  <c r="J41" i="15"/>
  <c r="H41" i="15"/>
  <c r="E41" i="15"/>
  <c r="D41" i="15"/>
  <c r="D201" i="15"/>
  <c r="C201" i="15"/>
  <c r="L201" i="15"/>
  <c r="K201" i="15"/>
  <c r="I201" i="15"/>
  <c r="J201" i="15"/>
  <c r="H201" i="15"/>
  <c r="G201" i="15"/>
  <c r="F201" i="15"/>
  <c r="E201" i="15"/>
  <c r="B201" i="15"/>
  <c r="G104" i="6"/>
  <c r="F104" i="6"/>
  <c r="E104" i="6"/>
  <c r="D104" i="6"/>
  <c r="C104" i="6"/>
  <c r="N104" i="6"/>
  <c r="B104" i="6"/>
  <c r="K104" i="6"/>
  <c r="M104" i="6"/>
  <c r="L104" i="6"/>
  <c r="J104" i="6"/>
  <c r="I104" i="6"/>
  <c r="H104" i="6"/>
  <c r="G68" i="6"/>
  <c r="F68" i="6"/>
  <c r="E68" i="6"/>
  <c r="D68" i="6"/>
  <c r="C68" i="6"/>
  <c r="N68" i="6"/>
  <c r="B68" i="6"/>
  <c r="K68" i="6"/>
  <c r="M68" i="6"/>
  <c r="L68" i="6"/>
  <c r="J68" i="6"/>
  <c r="I68" i="6"/>
  <c r="H68" i="6"/>
  <c r="C105" i="15"/>
  <c r="K105" i="15"/>
  <c r="I105" i="15"/>
  <c r="H105" i="15"/>
  <c r="G105" i="15"/>
  <c r="F105" i="15"/>
  <c r="L105" i="15"/>
  <c r="D105" i="15"/>
  <c r="B105" i="15"/>
  <c r="J105" i="15"/>
  <c r="E105" i="15"/>
  <c r="J80" i="5"/>
  <c r="H80" i="5"/>
  <c r="G80" i="5"/>
  <c r="E80" i="5"/>
  <c r="F80" i="5" s="1"/>
  <c r="D80" i="5"/>
  <c r="O80" i="5"/>
  <c r="N80" i="5"/>
  <c r="M80" i="5"/>
  <c r="L80" i="5"/>
  <c r="C80" i="5"/>
  <c r="B80" i="5"/>
  <c r="K80" i="5"/>
  <c r="I80" i="5"/>
  <c r="D90" i="15"/>
  <c r="B90" i="15"/>
  <c r="H90" i="15"/>
  <c r="F90" i="15"/>
  <c r="L90" i="15"/>
  <c r="C90" i="15"/>
  <c r="K90" i="15"/>
  <c r="J90" i="15"/>
  <c r="I90" i="15"/>
  <c r="G90" i="15"/>
  <c r="E90" i="15"/>
  <c r="H35" i="6"/>
  <c r="N35" i="6"/>
  <c r="B35" i="6"/>
  <c r="F35" i="6"/>
  <c r="E35" i="6"/>
  <c r="D35" i="6"/>
  <c r="C35" i="6"/>
  <c r="M35" i="6"/>
  <c r="L35" i="6"/>
  <c r="K35" i="6"/>
  <c r="J35" i="6"/>
  <c r="I35" i="6"/>
  <c r="G35" i="6"/>
  <c r="J65" i="5"/>
  <c r="I65" i="5"/>
  <c r="H65" i="5"/>
  <c r="G65" i="5"/>
  <c r="D65" i="5"/>
  <c r="O65" i="5"/>
  <c r="C65" i="5"/>
  <c r="N65" i="5"/>
  <c r="B65" i="5"/>
  <c r="M65" i="5"/>
  <c r="L65" i="5"/>
  <c r="K65" i="5"/>
  <c r="E65" i="5"/>
  <c r="F65" i="5" s="1"/>
  <c r="B16" i="15"/>
  <c r="L16" i="15"/>
  <c r="K16" i="15"/>
  <c r="J16" i="15"/>
  <c r="I16" i="15"/>
  <c r="F16" i="15"/>
  <c r="E16" i="15"/>
  <c r="D16" i="15"/>
  <c r="C16" i="15"/>
  <c r="G16" i="15"/>
  <c r="H16" i="15"/>
  <c r="J86" i="5"/>
  <c r="H86" i="5"/>
  <c r="G86" i="5"/>
  <c r="E86" i="5"/>
  <c r="F86" i="5" s="1"/>
  <c r="D86" i="5"/>
  <c r="M86" i="5"/>
  <c r="L86" i="5"/>
  <c r="K86" i="5"/>
  <c r="I86" i="5"/>
  <c r="O86" i="5"/>
  <c r="N86" i="5"/>
  <c r="C86" i="5"/>
  <c r="B86" i="5"/>
  <c r="L143" i="15"/>
  <c r="K143" i="15"/>
  <c r="J143" i="15"/>
  <c r="I143" i="15"/>
  <c r="G143" i="15"/>
  <c r="E143" i="15"/>
  <c r="H143" i="15"/>
  <c r="F143" i="15"/>
  <c r="D143" i="15"/>
  <c r="C143" i="15"/>
  <c r="B143" i="15"/>
  <c r="J194" i="5"/>
  <c r="H194" i="5"/>
  <c r="G194" i="5"/>
  <c r="E194" i="5"/>
  <c r="F194" i="5" s="1"/>
  <c r="D194" i="5"/>
  <c r="O194" i="5"/>
  <c r="C194" i="5"/>
  <c r="B194" i="5"/>
  <c r="N194" i="5"/>
  <c r="M194" i="5"/>
  <c r="L194" i="5"/>
  <c r="K194" i="5"/>
  <c r="I194" i="5"/>
  <c r="J47" i="5"/>
  <c r="I47" i="5"/>
  <c r="H47" i="5"/>
  <c r="G47" i="5"/>
  <c r="D47" i="5"/>
  <c r="O47" i="5"/>
  <c r="C47" i="5"/>
  <c r="N47" i="5"/>
  <c r="B47" i="5"/>
  <c r="M47" i="5"/>
  <c r="L47" i="5"/>
  <c r="K47" i="5"/>
  <c r="E47" i="5"/>
  <c r="F47" i="5" s="1"/>
  <c r="N205" i="5"/>
  <c r="B205" i="5"/>
  <c r="L205" i="5"/>
  <c r="K205" i="5"/>
  <c r="J205" i="5"/>
  <c r="I205" i="5"/>
  <c r="H205" i="5"/>
  <c r="G205" i="5"/>
  <c r="O205" i="5"/>
  <c r="E205" i="5"/>
  <c r="F205" i="5" s="1"/>
  <c r="D205" i="5"/>
  <c r="C205" i="5"/>
  <c r="M205" i="5"/>
  <c r="J59" i="6"/>
  <c r="I59" i="6"/>
  <c r="H59" i="6"/>
  <c r="F59" i="6"/>
  <c r="E59" i="6"/>
  <c r="N59" i="6"/>
  <c r="B59" i="6"/>
  <c r="M59" i="6"/>
  <c r="L59" i="6"/>
  <c r="K59" i="6"/>
  <c r="G59" i="6"/>
  <c r="D59" i="6"/>
  <c r="C59" i="6"/>
  <c r="G44" i="6"/>
  <c r="E44" i="6"/>
  <c r="C44" i="6"/>
  <c r="K44" i="6"/>
  <c r="F44" i="6"/>
  <c r="D44" i="6"/>
  <c r="B44" i="6"/>
  <c r="N44" i="6"/>
  <c r="M44" i="6"/>
  <c r="J44" i="6"/>
  <c r="I44" i="6"/>
  <c r="H44" i="6"/>
  <c r="L44" i="6"/>
  <c r="F70" i="15"/>
  <c r="D70" i="15"/>
  <c r="L70" i="15"/>
  <c r="K70" i="15"/>
  <c r="J70" i="15"/>
  <c r="I70" i="15"/>
  <c r="E70" i="15"/>
  <c r="C70" i="15"/>
  <c r="B70" i="15"/>
  <c r="H70" i="15"/>
  <c r="G70" i="15"/>
  <c r="K53" i="15"/>
  <c r="I53" i="15"/>
  <c r="E53" i="15"/>
  <c r="L53" i="15"/>
  <c r="J53" i="15"/>
  <c r="H53" i="15"/>
  <c r="D53" i="15"/>
  <c r="B53" i="15"/>
  <c r="F53" i="15"/>
  <c r="C53" i="15"/>
  <c r="G53" i="15"/>
  <c r="D219" i="5"/>
  <c r="O219" i="5"/>
  <c r="C219" i="5"/>
  <c r="N219" i="5"/>
  <c r="B219" i="5"/>
  <c r="M219" i="5"/>
  <c r="L219" i="5"/>
  <c r="K219" i="5"/>
  <c r="J219" i="5"/>
  <c r="I219" i="5"/>
  <c r="H219" i="5"/>
  <c r="G219" i="5"/>
  <c r="E219" i="5"/>
  <c r="F219" i="5" s="1"/>
  <c r="N82" i="5"/>
  <c r="B82" i="5"/>
  <c r="L82" i="5"/>
  <c r="K82" i="5"/>
  <c r="J82" i="5"/>
  <c r="I82" i="5"/>
  <c r="H82" i="5"/>
  <c r="E82" i="5"/>
  <c r="F82" i="5" s="1"/>
  <c r="D82" i="5"/>
  <c r="C82" i="5"/>
  <c r="O82" i="5"/>
  <c r="G82" i="5"/>
  <c r="M82" i="5"/>
  <c r="D78" i="5"/>
  <c r="O78" i="5"/>
  <c r="C78" i="5"/>
  <c r="N78" i="5"/>
  <c r="B78" i="5"/>
  <c r="M78" i="5"/>
  <c r="L78" i="5"/>
  <c r="K78" i="5"/>
  <c r="J78" i="5"/>
  <c r="I78" i="5"/>
  <c r="H78" i="5"/>
  <c r="E78" i="5"/>
  <c r="F78" i="5" s="1"/>
  <c r="G78" i="5"/>
  <c r="J215" i="5"/>
  <c r="H215" i="5"/>
  <c r="G215" i="5"/>
  <c r="E215" i="5"/>
  <c r="F215" i="5" s="1"/>
  <c r="D215" i="5"/>
  <c r="O215" i="5"/>
  <c r="C215" i="5"/>
  <c r="L215" i="5"/>
  <c r="K215" i="5"/>
  <c r="I215" i="5"/>
  <c r="B215" i="5"/>
  <c r="N215" i="5"/>
  <c r="M215" i="5"/>
  <c r="L20" i="1"/>
  <c r="I20" i="1"/>
  <c r="H20" i="1"/>
  <c r="G20" i="1"/>
  <c r="E20" i="1"/>
  <c r="F20" i="1" s="1"/>
  <c r="D20" i="1"/>
  <c r="B20" i="1"/>
  <c r="C20" i="1"/>
  <c r="I18" i="1"/>
  <c r="H18" i="1"/>
  <c r="G18" i="1"/>
  <c r="E18" i="1"/>
  <c r="F18" i="1" s="1"/>
  <c r="D18" i="1"/>
  <c r="L18" i="1"/>
  <c r="C18" i="1"/>
  <c r="B18" i="1"/>
  <c r="M50" i="6"/>
  <c r="L50" i="6"/>
  <c r="K50" i="6"/>
  <c r="I50" i="6"/>
  <c r="E50" i="6"/>
  <c r="G50" i="6"/>
  <c r="F50" i="6"/>
  <c r="D50" i="6"/>
  <c r="C50" i="6"/>
  <c r="B50" i="6"/>
  <c r="N50" i="6"/>
  <c r="J50" i="6"/>
  <c r="H50" i="6"/>
  <c r="H29" i="1"/>
  <c r="G29" i="1"/>
  <c r="E29" i="1"/>
  <c r="F29" i="1" s="1"/>
  <c r="D29" i="1"/>
  <c r="C29" i="1"/>
  <c r="B29" i="1"/>
  <c r="L29" i="1"/>
  <c r="I29" i="1"/>
  <c r="N190" i="5"/>
  <c r="B190" i="5"/>
  <c r="L190" i="5"/>
  <c r="K190" i="5"/>
  <c r="J190" i="5"/>
  <c r="I190" i="5"/>
  <c r="H190" i="5"/>
  <c r="G190" i="5"/>
  <c r="O190" i="5"/>
  <c r="M190" i="5"/>
  <c r="E190" i="5"/>
  <c r="F190" i="5" s="1"/>
  <c r="D190" i="5"/>
  <c r="C190" i="5"/>
  <c r="G28" i="1"/>
  <c r="E28" i="1"/>
  <c r="F28" i="1" s="1"/>
  <c r="B28" i="1"/>
  <c r="D28" i="1"/>
  <c r="C28" i="1"/>
  <c r="I28" i="1"/>
  <c r="L28" i="1"/>
  <c r="H28" i="1"/>
  <c r="N208" i="5"/>
  <c r="B208" i="5"/>
  <c r="L208" i="5"/>
  <c r="K208" i="5"/>
  <c r="J208" i="5"/>
  <c r="I208" i="5"/>
  <c r="H208" i="5"/>
  <c r="G208" i="5"/>
  <c r="O208" i="5"/>
  <c r="M208" i="5"/>
  <c r="E208" i="5"/>
  <c r="F208" i="5" s="1"/>
  <c r="D208" i="5"/>
  <c r="C208" i="5"/>
  <c r="L146" i="1"/>
  <c r="K146" i="1"/>
  <c r="I146" i="1"/>
  <c r="H146" i="1"/>
  <c r="D146" i="1"/>
  <c r="C146" i="1"/>
  <c r="G146" i="1"/>
  <c r="B146" i="1"/>
  <c r="E146" i="1"/>
  <c r="F146" i="1" s="1"/>
  <c r="N61" i="5"/>
  <c r="B61" i="5"/>
  <c r="M61" i="5"/>
  <c r="L61" i="5"/>
  <c r="K61" i="5"/>
  <c r="H61" i="5"/>
  <c r="G61" i="5"/>
  <c r="E61" i="5"/>
  <c r="F61" i="5" s="1"/>
  <c r="C61" i="5"/>
  <c r="O61" i="5"/>
  <c r="D61" i="5"/>
  <c r="J61" i="5"/>
  <c r="I61" i="5"/>
  <c r="N163" i="5"/>
  <c r="B163" i="5"/>
  <c r="L163" i="5"/>
  <c r="K163" i="5"/>
  <c r="J163" i="5"/>
  <c r="I163" i="5"/>
  <c r="H163" i="5"/>
  <c r="C163" i="5"/>
  <c r="O163" i="5"/>
  <c r="M163" i="5"/>
  <c r="G163" i="5"/>
  <c r="E163" i="5"/>
  <c r="F163" i="5" s="1"/>
  <c r="D163" i="5"/>
  <c r="D97" i="1"/>
  <c r="C97" i="1"/>
  <c r="B97" i="1"/>
  <c r="L97" i="1"/>
  <c r="I97" i="1"/>
  <c r="H97" i="1"/>
  <c r="G97" i="1"/>
  <c r="E97" i="1"/>
  <c r="F97" i="1" s="1"/>
  <c r="C24" i="1"/>
  <c r="B24" i="1"/>
  <c r="E24" i="1"/>
  <c r="F24" i="1" s="1"/>
  <c r="L24" i="1"/>
  <c r="I24" i="1"/>
  <c r="H24" i="1"/>
  <c r="G24" i="1"/>
  <c r="D24" i="1"/>
  <c r="D199" i="1"/>
  <c r="C199" i="1"/>
  <c r="B199" i="1"/>
  <c r="I199" i="1"/>
  <c r="H199" i="1"/>
  <c r="G199" i="1"/>
  <c r="L199" i="1"/>
  <c r="E199" i="1"/>
  <c r="F199" i="1" s="1"/>
  <c r="B107" i="1"/>
  <c r="L107" i="1"/>
  <c r="I107" i="1"/>
  <c r="H107" i="1"/>
  <c r="G107" i="1"/>
  <c r="E107" i="1"/>
  <c r="F107" i="1" s="1"/>
  <c r="D107" i="1"/>
  <c r="C107" i="1"/>
  <c r="H82" i="1"/>
  <c r="L82" i="1"/>
  <c r="I82" i="1"/>
  <c r="G82" i="1"/>
  <c r="D82" i="1"/>
  <c r="C82" i="1"/>
  <c r="E82" i="1"/>
  <c r="F82" i="1" s="1"/>
  <c r="B82" i="1"/>
  <c r="K133" i="1"/>
  <c r="I133" i="1"/>
  <c r="H133" i="1"/>
  <c r="G133" i="1"/>
  <c r="C133" i="1"/>
  <c r="B133" i="1"/>
  <c r="L133" i="1"/>
  <c r="E133" i="1"/>
  <c r="F133" i="1" s="1"/>
  <c r="D133" i="1"/>
  <c r="B113" i="1"/>
  <c r="L113" i="1"/>
  <c r="G113" i="1"/>
  <c r="I113" i="1"/>
  <c r="H113" i="1"/>
  <c r="D113" i="1"/>
  <c r="E113" i="1"/>
  <c r="F113" i="1" s="1"/>
  <c r="C113" i="1"/>
  <c r="N40" i="5"/>
  <c r="B40" i="5"/>
  <c r="M40" i="5"/>
  <c r="L40" i="5"/>
  <c r="K40" i="5"/>
  <c r="H40" i="5"/>
  <c r="G40" i="5"/>
  <c r="E40" i="5"/>
  <c r="F40" i="5" s="1"/>
  <c r="O40" i="5"/>
  <c r="J40" i="5"/>
  <c r="I40" i="5"/>
  <c r="D40" i="5"/>
  <c r="C40" i="5"/>
  <c r="H155" i="1"/>
  <c r="G155" i="1"/>
  <c r="E155" i="1"/>
  <c r="F155" i="1" s="1"/>
  <c r="L155" i="1"/>
  <c r="I155" i="1"/>
  <c r="D155" i="1"/>
  <c r="C155" i="1"/>
  <c r="B155" i="1"/>
  <c r="G166" i="1"/>
  <c r="E166" i="1"/>
  <c r="F166" i="1" s="1"/>
  <c r="D166" i="1"/>
  <c r="L166" i="1"/>
  <c r="I166" i="1"/>
  <c r="H166" i="1"/>
  <c r="C166" i="1"/>
  <c r="B166" i="1"/>
  <c r="E225" i="1"/>
  <c r="F225" i="1" s="1"/>
  <c r="D225" i="1"/>
  <c r="C225" i="1"/>
  <c r="L225" i="1"/>
  <c r="K225" i="1"/>
  <c r="I225" i="1"/>
  <c r="H225" i="1"/>
  <c r="G225" i="1"/>
  <c r="B225" i="1"/>
  <c r="C198" i="1"/>
  <c r="B198" i="1"/>
  <c r="I198" i="1"/>
  <c r="H198" i="1"/>
  <c r="G198" i="1"/>
  <c r="D198" i="1"/>
  <c r="L198" i="1"/>
  <c r="E198" i="1"/>
  <c r="F198" i="1" s="1"/>
  <c r="B209" i="1"/>
  <c r="L209" i="1"/>
  <c r="H209" i="1"/>
  <c r="G209" i="1"/>
  <c r="I209" i="1"/>
  <c r="C209" i="1"/>
  <c r="E209" i="1"/>
  <c r="F209" i="1" s="1"/>
  <c r="D209" i="1"/>
  <c r="L208" i="1"/>
  <c r="K208" i="1"/>
  <c r="G208" i="1"/>
  <c r="E208" i="1"/>
  <c r="F208" i="1" s="1"/>
  <c r="H208" i="1"/>
  <c r="D208" i="1"/>
  <c r="C208" i="1"/>
  <c r="B208" i="1"/>
  <c r="I208" i="1"/>
  <c r="L171" i="1"/>
  <c r="I171" i="1"/>
  <c r="E171" i="1"/>
  <c r="F171" i="1" s="1"/>
  <c r="D171" i="1"/>
  <c r="B171" i="1"/>
  <c r="H171" i="1"/>
  <c r="G171" i="1"/>
  <c r="C171" i="1"/>
  <c r="M110" i="6"/>
  <c r="L110" i="6"/>
  <c r="K110" i="6"/>
  <c r="J110" i="6"/>
  <c r="I110" i="6"/>
  <c r="H110" i="6"/>
  <c r="E110" i="6"/>
  <c r="C110" i="6"/>
  <c r="B110" i="6"/>
  <c r="N110" i="6"/>
  <c r="G110" i="6"/>
  <c r="D110" i="6"/>
  <c r="F110" i="6"/>
  <c r="N37" i="6"/>
  <c r="B37" i="6"/>
  <c r="H37" i="6"/>
  <c r="E37" i="6"/>
  <c r="D37" i="6"/>
  <c r="C37" i="6"/>
  <c r="M37" i="6"/>
  <c r="L37" i="6"/>
  <c r="K37" i="6"/>
  <c r="G37" i="6"/>
  <c r="F37" i="6"/>
  <c r="J37" i="6"/>
  <c r="I37" i="6"/>
  <c r="M102" i="6"/>
  <c r="L102" i="6"/>
  <c r="K102" i="6"/>
  <c r="J102" i="6"/>
  <c r="I102" i="6"/>
  <c r="H102" i="6"/>
  <c r="E102" i="6"/>
  <c r="N102" i="6"/>
  <c r="G102" i="6"/>
  <c r="F102" i="6"/>
  <c r="D102" i="6"/>
  <c r="C102" i="6"/>
  <c r="B102" i="6"/>
  <c r="I176" i="6"/>
  <c r="H176" i="6"/>
  <c r="D176" i="6"/>
  <c r="F176" i="6"/>
  <c r="E176" i="6"/>
  <c r="B176" i="6"/>
  <c r="N176" i="6"/>
  <c r="L176" i="6"/>
  <c r="M176" i="6"/>
  <c r="K176" i="6"/>
  <c r="C176" i="6"/>
  <c r="J176" i="6"/>
  <c r="G176" i="6"/>
  <c r="L11" i="15"/>
  <c r="K11" i="15"/>
  <c r="J11" i="15"/>
  <c r="I11" i="15"/>
  <c r="F11" i="15"/>
  <c r="E11" i="15"/>
  <c r="D11" i="15"/>
  <c r="C11" i="15"/>
  <c r="H11" i="15"/>
  <c r="B11" i="15"/>
  <c r="G11" i="15"/>
  <c r="G162" i="15"/>
  <c r="F162" i="15"/>
  <c r="D162" i="15"/>
  <c r="C162" i="15"/>
  <c r="B162" i="15"/>
  <c r="L162" i="15"/>
  <c r="I162" i="15"/>
  <c r="H162" i="15"/>
  <c r="E162" i="15"/>
  <c r="J162" i="15"/>
  <c r="K162" i="15"/>
  <c r="K77" i="15"/>
  <c r="I77" i="15"/>
  <c r="E77" i="15"/>
  <c r="D77" i="15"/>
  <c r="C77" i="15"/>
  <c r="B77" i="15"/>
  <c r="L77" i="15"/>
  <c r="J77" i="15"/>
  <c r="H77" i="15"/>
  <c r="G77" i="15"/>
  <c r="F77" i="15"/>
  <c r="L132" i="15"/>
  <c r="K132" i="15"/>
  <c r="J132" i="15"/>
  <c r="H132" i="15"/>
  <c r="F132" i="15"/>
  <c r="D132" i="15"/>
  <c r="I132" i="15"/>
  <c r="G132" i="15"/>
  <c r="E132" i="15"/>
  <c r="C132" i="15"/>
  <c r="B132" i="15"/>
  <c r="L169" i="15"/>
  <c r="K169" i="15"/>
  <c r="I169" i="15"/>
  <c r="H169" i="15"/>
  <c r="G169" i="15"/>
  <c r="E169" i="15"/>
  <c r="C169" i="15"/>
  <c r="B169" i="15"/>
  <c r="F169" i="15"/>
  <c r="J169" i="15"/>
  <c r="D169" i="15"/>
  <c r="C28" i="14"/>
  <c r="Z97" i="13"/>
  <c r="B29" i="14"/>
  <c r="Z109" i="13"/>
  <c r="K82" i="1" s="1"/>
  <c r="Z23" i="13"/>
  <c r="E48" i="5"/>
  <c r="F48" i="5" s="1"/>
  <c r="D48" i="5"/>
  <c r="O48" i="5"/>
  <c r="C48" i="5"/>
  <c r="L48" i="5"/>
  <c r="K48" i="5"/>
  <c r="J48" i="5"/>
  <c r="I48" i="5"/>
  <c r="N48" i="5"/>
  <c r="M48" i="5"/>
  <c r="H48" i="5"/>
  <c r="G48" i="5"/>
  <c r="B48" i="5"/>
  <c r="J68" i="5"/>
  <c r="I68" i="5"/>
  <c r="H68" i="5"/>
  <c r="G68" i="5"/>
  <c r="D68" i="5"/>
  <c r="O68" i="5"/>
  <c r="C68" i="5"/>
  <c r="N68" i="5"/>
  <c r="B68" i="5"/>
  <c r="M68" i="5"/>
  <c r="L68" i="5"/>
  <c r="K68" i="5"/>
  <c r="E68" i="5"/>
  <c r="F68" i="5" s="1"/>
  <c r="D89" i="6"/>
  <c r="C89" i="6"/>
  <c r="N89" i="6"/>
  <c r="B89" i="6"/>
  <c r="M89" i="6"/>
  <c r="L89" i="6"/>
  <c r="K89" i="6"/>
  <c r="H89" i="6"/>
  <c r="J89" i="6"/>
  <c r="I89" i="6"/>
  <c r="G89" i="6"/>
  <c r="F89" i="6"/>
  <c r="E89" i="6"/>
  <c r="J128" i="5"/>
  <c r="H128" i="5"/>
  <c r="G128" i="5"/>
  <c r="E128" i="5"/>
  <c r="F128" i="5" s="1"/>
  <c r="D128" i="5"/>
  <c r="K128" i="5"/>
  <c r="I128" i="5"/>
  <c r="C128" i="5"/>
  <c r="B128" i="5"/>
  <c r="O128" i="5"/>
  <c r="N128" i="5"/>
  <c r="M128" i="5"/>
  <c r="L128" i="5"/>
  <c r="E3" i="1"/>
  <c r="F3" i="1" s="1"/>
  <c r="D3" i="1"/>
  <c r="C3" i="1"/>
  <c r="H3" i="1"/>
  <c r="B3" i="1"/>
  <c r="L3" i="1"/>
  <c r="I3" i="1"/>
  <c r="G3" i="1"/>
  <c r="N67" i="5"/>
  <c r="B67" i="5"/>
  <c r="M67" i="5"/>
  <c r="L67" i="5"/>
  <c r="K67" i="5"/>
  <c r="H67" i="5"/>
  <c r="G67" i="5"/>
  <c r="E67" i="5"/>
  <c r="F67" i="5" s="1"/>
  <c r="C67" i="5"/>
  <c r="O67" i="5"/>
  <c r="D67" i="5"/>
  <c r="J67" i="5"/>
  <c r="I67" i="5"/>
  <c r="E140" i="1"/>
  <c r="F140" i="1" s="1"/>
  <c r="D140" i="1"/>
  <c r="C140" i="1"/>
  <c r="B140" i="1"/>
  <c r="K140" i="1"/>
  <c r="I140" i="1"/>
  <c r="G140" i="1"/>
  <c r="L140" i="1"/>
  <c r="H140" i="1"/>
  <c r="E128" i="1"/>
  <c r="F128" i="1" s="1"/>
  <c r="D128" i="1"/>
  <c r="B128" i="1"/>
  <c r="I128" i="1"/>
  <c r="L128" i="1"/>
  <c r="H128" i="1"/>
  <c r="G128" i="1"/>
  <c r="C128" i="1"/>
  <c r="H167" i="1"/>
  <c r="G167" i="1"/>
  <c r="E167" i="1"/>
  <c r="F167" i="1" s="1"/>
  <c r="I167" i="1"/>
  <c r="D167" i="1"/>
  <c r="C167" i="1"/>
  <c r="B167" i="1"/>
  <c r="L167" i="1"/>
  <c r="N160" i="5"/>
  <c r="B160" i="5"/>
  <c r="L160" i="5"/>
  <c r="K160" i="5"/>
  <c r="J160" i="5"/>
  <c r="I160" i="5"/>
  <c r="H160" i="5"/>
  <c r="D160" i="5"/>
  <c r="C160" i="5"/>
  <c r="O160" i="5"/>
  <c r="M160" i="5"/>
  <c r="G160" i="5"/>
  <c r="E160" i="5"/>
  <c r="F160" i="5" s="1"/>
  <c r="L220" i="1"/>
  <c r="K220" i="1"/>
  <c r="G220" i="1"/>
  <c r="E220" i="1"/>
  <c r="F220" i="1" s="1"/>
  <c r="I220" i="1"/>
  <c r="H220" i="1"/>
  <c r="D220" i="1"/>
  <c r="C220" i="1"/>
  <c r="B220" i="1"/>
  <c r="I125" i="6"/>
  <c r="E125" i="6"/>
  <c r="M125" i="6"/>
  <c r="L125" i="6"/>
  <c r="K125" i="6"/>
  <c r="J125" i="6"/>
  <c r="H125" i="6"/>
  <c r="G125" i="6"/>
  <c r="C125" i="6"/>
  <c r="N125" i="6"/>
  <c r="B125" i="6"/>
  <c r="D125" i="6"/>
  <c r="F125" i="6"/>
  <c r="M66" i="6"/>
  <c r="L66" i="6"/>
  <c r="K66" i="6"/>
  <c r="J66" i="6"/>
  <c r="I66" i="6"/>
  <c r="H66" i="6"/>
  <c r="E66" i="6"/>
  <c r="N66" i="6"/>
  <c r="G66" i="6"/>
  <c r="F66" i="6"/>
  <c r="B66" i="6"/>
  <c r="D66" i="6"/>
  <c r="C66" i="6"/>
  <c r="I180" i="6"/>
  <c r="H180" i="6"/>
  <c r="D180" i="6"/>
  <c r="J180" i="6"/>
  <c r="G180" i="6"/>
  <c r="E180" i="6"/>
  <c r="C180" i="6"/>
  <c r="N180" i="6"/>
  <c r="M180" i="6"/>
  <c r="L180" i="6"/>
  <c r="K180" i="6"/>
  <c r="F180" i="6"/>
  <c r="B180" i="6"/>
  <c r="F24" i="15"/>
  <c r="E24" i="15"/>
  <c r="D24" i="15"/>
  <c r="C24" i="15"/>
  <c r="J24" i="15"/>
  <c r="I24" i="15"/>
  <c r="G24" i="15"/>
  <c r="B24" i="15"/>
  <c r="L24" i="15"/>
  <c r="K24" i="15"/>
  <c r="H24" i="15"/>
  <c r="J84" i="15"/>
  <c r="H84" i="15"/>
  <c r="L84" i="15"/>
  <c r="G84" i="15"/>
  <c r="F84" i="15"/>
  <c r="E84" i="15"/>
  <c r="D84" i="15"/>
  <c r="K84" i="15"/>
  <c r="I84" i="15"/>
  <c r="C84" i="15"/>
  <c r="B84" i="15"/>
  <c r="L80" i="15"/>
  <c r="I80" i="15"/>
  <c r="G80" i="15"/>
  <c r="C80" i="15"/>
  <c r="B80" i="15"/>
  <c r="D80" i="15"/>
  <c r="K80" i="15"/>
  <c r="J80" i="15"/>
  <c r="H80" i="15"/>
  <c r="F80" i="15"/>
  <c r="E80" i="15"/>
  <c r="L181" i="15"/>
  <c r="K181" i="15"/>
  <c r="I181" i="15"/>
  <c r="H181" i="15"/>
  <c r="G181" i="15"/>
  <c r="E181" i="15"/>
  <c r="C181" i="15"/>
  <c r="B181" i="15"/>
  <c r="D181" i="15"/>
  <c r="J181" i="15"/>
  <c r="F181" i="15"/>
  <c r="Z166" i="13"/>
  <c r="Z74" i="13"/>
  <c r="K127" i="1" s="1"/>
  <c r="Z48" i="13"/>
  <c r="Z80" i="13"/>
  <c r="Z144" i="13"/>
  <c r="Z106" i="13"/>
  <c r="Z172" i="13"/>
  <c r="Z24" i="13"/>
  <c r="Z49" i="13"/>
  <c r="Z11" i="13"/>
  <c r="N154" i="5"/>
  <c r="B154" i="5"/>
  <c r="L154" i="5"/>
  <c r="K154" i="5"/>
  <c r="J154" i="5"/>
  <c r="I154" i="5"/>
  <c r="H154" i="5"/>
  <c r="E154" i="5"/>
  <c r="F154" i="5" s="1"/>
  <c r="D154" i="5"/>
  <c r="C154" i="5"/>
  <c r="O154" i="5"/>
  <c r="M154" i="5"/>
  <c r="G154" i="5"/>
  <c r="J195" i="15"/>
  <c r="I195" i="15"/>
  <c r="G195" i="15"/>
  <c r="F195" i="15"/>
  <c r="E195" i="15"/>
  <c r="C195" i="15"/>
  <c r="L195" i="15"/>
  <c r="K195" i="15"/>
  <c r="D195" i="15"/>
  <c r="B195" i="15"/>
  <c r="H195" i="15"/>
  <c r="B9" i="15"/>
  <c r="L9" i="15"/>
  <c r="K9" i="15"/>
  <c r="H9" i="15"/>
  <c r="G9" i="15"/>
  <c r="F9" i="15"/>
  <c r="E9" i="15"/>
  <c r="J9" i="15"/>
  <c r="I9" i="15"/>
  <c r="C9" i="15"/>
  <c r="D9" i="15"/>
  <c r="J158" i="5"/>
  <c r="H158" i="5"/>
  <c r="G158" i="5"/>
  <c r="E158" i="5"/>
  <c r="F158" i="5" s="1"/>
  <c r="D158" i="5"/>
  <c r="M158" i="5"/>
  <c r="L158" i="5"/>
  <c r="K158" i="5"/>
  <c r="I158" i="5"/>
  <c r="C158" i="5"/>
  <c r="B158" i="5"/>
  <c r="N158" i="5"/>
  <c r="O158" i="5"/>
  <c r="J125" i="5"/>
  <c r="H125" i="5"/>
  <c r="G125" i="5"/>
  <c r="E125" i="5"/>
  <c r="F125" i="5" s="1"/>
  <c r="D125" i="5"/>
  <c r="L125" i="5"/>
  <c r="K125" i="5"/>
  <c r="I125" i="5"/>
  <c r="C125" i="5"/>
  <c r="O125" i="5"/>
  <c r="N125" i="5"/>
  <c r="M125" i="5"/>
  <c r="B125" i="5"/>
  <c r="E21" i="5"/>
  <c r="F21" i="5" s="1"/>
  <c r="D21" i="5"/>
  <c r="O21" i="5"/>
  <c r="C21" i="5"/>
  <c r="L21" i="5"/>
  <c r="K21" i="5"/>
  <c r="J21" i="5"/>
  <c r="I21" i="5"/>
  <c r="N21" i="5"/>
  <c r="M21" i="5"/>
  <c r="H21" i="5"/>
  <c r="G21" i="5"/>
  <c r="B21" i="5"/>
  <c r="D93" i="6"/>
  <c r="C93" i="6"/>
  <c r="N93" i="6"/>
  <c r="B93" i="6"/>
  <c r="M93" i="6"/>
  <c r="L93" i="6"/>
  <c r="K93" i="6"/>
  <c r="H93" i="6"/>
  <c r="J93" i="6"/>
  <c r="I93" i="6"/>
  <c r="G93" i="6"/>
  <c r="F93" i="6"/>
  <c r="E93" i="6"/>
  <c r="E3" i="5"/>
  <c r="F3" i="5" s="1"/>
  <c r="D3" i="5"/>
  <c r="O3" i="5"/>
  <c r="C3" i="5"/>
  <c r="L3" i="5"/>
  <c r="K3" i="5"/>
  <c r="J3" i="5"/>
  <c r="I3" i="5"/>
  <c r="N3" i="5"/>
  <c r="G3" i="5"/>
  <c r="M3" i="5"/>
  <c r="H3" i="5"/>
  <c r="B3" i="5"/>
  <c r="J78" i="15"/>
  <c r="H78" i="15"/>
  <c r="D78" i="15"/>
  <c r="C78" i="15"/>
  <c r="B78" i="15"/>
  <c r="K78" i="15"/>
  <c r="I78" i="15"/>
  <c r="G78" i="15"/>
  <c r="F78" i="15"/>
  <c r="E78" i="15"/>
  <c r="L78" i="15"/>
  <c r="N136" i="5"/>
  <c r="B136" i="5"/>
  <c r="L136" i="5"/>
  <c r="K136" i="5"/>
  <c r="J136" i="5"/>
  <c r="I136" i="5"/>
  <c r="H136" i="5"/>
  <c r="O136" i="5"/>
  <c r="E136" i="5"/>
  <c r="F136" i="5" s="1"/>
  <c r="D136" i="5"/>
  <c r="C136" i="5"/>
  <c r="M136" i="5"/>
  <c r="G136" i="5"/>
  <c r="L30" i="15"/>
  <c r="K30" i="15"/>
  <c r="J30" i="15"/>
  <c r="I30" i="15"/>
  <c r="D30" i="15"/>
  <c r="C30" i="15"/>
  <c r="H30" i="15"/>
  <c r="E30" i="15"/>
  <c r="B30" i="15"/>
  <c r="G30" i="15"/>
  <c r="F30" i="15"/>
  <c r="D57" i="6"/>
  <c r="C57" i="6"/>
  <c r="N57" i="6"/>
  <c r="B57" i="6"/>
  <c r="L57" i="6"/>
  <c r="K57" i="6"/>
  <c r="H57" i="6"/>
  <c r="G57" i="6"/>
  <c r="F57" i="6"/>
  <c r="E57" i="6"/>
  <c r="J57" i="6"/>
  <c r="I57" i="6"/>
  <c r="M57" i="6"/>
  <c r="E63" i="5"/>
  <c r="F63" i="5" s="1"/>
  <c r="D63" i="5"/>
  <c r="O63" i="5"/>
  <c r="C63" i="5"/>
  <c r="L63" i="5"/>
  <c r="K63" i="5"/>
  <c r="J63" i="5"/>
  <c r="I63" i="5"/>
  <c r="B63" i="5"/>
  <c r="N63" i="5"/>
  <c r="M63" i="5"/>
  <c r="H63" i="5"/>
  <c r="G63" i="5"/>
  <c r="J38" i="5"/>
  <c r="I38" i="5"/>
  <c r="H38" i="5"/>
  <c r="G38" i="5"/>
  <c r="D38" i="5"/>
  <c r="O38" i="5"/>
  <c r="C38" i="5"/>
  <c r="N38" i="5"/>
  <c r="B38" i="5"/>
  <c r="M38" i="5"/>
  <c r="L38" i="5"/>
  <c r="K38" i="5"/>
  <c r="E38" i="5"/>
  <c r="F38" i="5" s="1"/>
  <c r="F211" i="15"/>
  <c r="E211" i="15"/>
  <c r="C211" i="15"/>
  <c r="B211" i="15"/>
  <c r="K211" i="15"/>
  <c r="L211" i="15"/>
  <c r="J211" i="15"/>
  <c r="I211" i="15"/>
  <c r="H211" i="15"/>
  <c r="G211" i="15"/>
  <c r="D211" i="15"/>
  <c r="H124" i="15"/>
  <c r="G124" i="15"/>
  <c r="F124" i="15"/>
  <c r="D124" i="15"/>
  <c r="B124" i="15"/>
  <c r="L124" i="15"/>
  <c r="I124" i="15"/>
  <c r="E124" i="15"/>
  <c r="C124" i="15"/>
  <c r="K124" i="15"/>
  <c r="J124" i="15"/>
  <c r="D150" i="5"/>
  <c r="O150" i="5"/>
  <c r="C150" i="5"/>
  <c r="N150" i="5"/>
  <c r="B150" i="5"/>
  <c r="M150" i="5"/>
  <c r="L150" i="5"/>
  <c r="K150" i="5"/>
  <c r="J150" i="5"/>
  <c r="I150" i="5"/>
  <c r="H150" i="5"/>
  <c r="G150" i="5"/>
  <c r="E150" i="5"/>
  <c r="F150" i="5" s="1"/>
  <c r="D174" i="5"/>
  <c r="O174" i="5"/>
  <c r="C174" i="5"/>
  <c r="N174" i="5"/>
  <c r="B174" i="5"/>
  <c r="M174" i="5"/>
  <c r="L174" i="5"/>
  <c r="I174" i="5"/>
  <c r="H174" i="5"/>
  <c r="G174" i="5"/>
  <c r="E174" i="5"/>
  <c r="F174" i="5" s="1"/>
  <c r="K174" i="5"/>
  <c r="J174" i="5"/>
  <c r="C117" i="15"/>
  <c r="B117" i="15"/>
  <c r="K117" i="15"/>
  <c r="I117" i="15"/>
  <c r="G117" i="15"/>
  <c r="H117" i="15"/>
  <c r="F117" i="15"/>
  <c r="E117" i="15"/>
  <c r="D117" i="15"/>
  <c r="L117" i="15"/>
  <c r="J117" i="15"/>
  <c r="K146" i="15"/>
  <c r="J146" i="15"/>
  <c r="H146" i="15"/>
  <c r="G146" i="15"/>
  <c r="F146" i="15"/>
  <c r="D146" i="15"/>
  <c r="L146" i="15"/>
  <c r="I146" i="15"/>
  <c r="E146" i="15"/>
  <c r="B146" i="15"/>
  <c r="C146" i="15"/>
  <c r="C154" i="15"/>
  <c r="B154" i="15"/>
  <c r="L154" i="15"/>
  <c r="K154" i="15"/>
  <c r="J154" i="15"/>
  <c r="H154" i="15"/>
  <c r="I154" i="15"/>
  <c r="F154" i="15"/>
  <c r="E154" i="15"/>
  <c r="G154" i="15"/>
  <c r="D154" i="15"/>
  <c r="J79" i="6"/>
  <c r="I79" i="6"/>
  <c r="H79" i="6"/>
  <c r="G79" i="6"/>
  <c r="F79" i="6"/>
  <c r="E79" i="6"/>
  <c r="N79" i="6"/>
  <c r="B79" i="6"/>
  <c r="M79" i="6"/>
  <c r="L79" i="6"/>
  <c r="K79" i="6"/>
  <c r="D79" i="6"/>
  <c r="C79" i="6"/>
  <c r="L64" i="15"/>
  <c r="J64" i="15"/>
  <c r="F64" i="15"/>
  <c r="E64" i="15"/>
  <c r="D64" i="15"/>
  <c r="K64" i="15"/>
  <c r="G64" i="15"/>
  <c r="C64" i="15"/>
  <c r="B64" i="15"/>
  <c r="I64" i="15"/>
  <c r="H64" i="15"/>
  <c r="F122" i="6"/>
  <c r="N122" i="6"/>
  <c r="M122" i="6"/>
  <c r="L122" i="6"/>
  <c r="K122" i="6"/>
  <c r="J122" i="6"/>
  <c r="I122" i="6"/>
  <c r="E122" i="6"/>
  <c r="H122" i="6"/>
  <c r="G122" i="6"/>
  <c r="D122" i="6"/>
  <c r="C122" i="6"/>
  <c r="B122" i="6"/>
  <c r="L168" i="15"/>
  <c r="J168" i="15"/>
  <c r="I168" i="15"/>
  <c r="H168" i="15"/>
  <c r="F168" i="15"/>
  <c r="K168" i="15"/>
  <c r="G168" i="15"/>
  <c r="E168" i="15"/>
  <c r="D168" i="15"/>
  <c r="B168" i="15"/>
  <c r="C168" i="15"/>
  <c r="C178" i="15"/>
  <c r="B178" i="15"/>
  <c r="L178" i="15"/>
  <c r="K178" i="15"/>
  <c r="J178" i="15"/>
  <c r="H178" i="15"/>
  <c r="I178" i="15"/>
  <c r="G178" i="15"/>
  <c r="F178" i="15"/>
  <c r="D178" i="15"/>
  <c r="E178" i="15"/>
  <c r="D177" i="5"/>
  <c r="O177" i="5"/>
  <c r="C177" i="5"/>
  <c r="N177" i="5"/>
  <c r="B177" i="5"/>
  <c r="M177" i="5"/>
  <c r="L177" i="5"/>
  <c r="H177" i="5"/>
  <c r="G177" i="5"/>
  <c r="E177" i="5"/>
  <c r="F177" i="5" s="1"/>
  <c r="K177" i="5"/>
  <c r="J177" i="5"/>
  <c r="I177" i="5"/>
  <c r="J146" i="5"/>
  <c r="H146" i="5"/>
  <c r="G146" i="5"/>
  <c r="E146" i="5"/>
  <c r="F146" i="5" s="1"/>
  <c r="D146" i="5"/>
  <c r="O146" i="5"/>
  <c r="N146" i="5"/>
  <c r="K146" i="5"/>
  <c r="I146" i="5"/>
  <c r="C146" i="5"/>
  <c r="B146" i="5"/>
  <c r="M146" i="5"/>
  <c r="L146" i="5"/>
  <c r="E37" i="15"/>
  <c r="D37" i="15"/>
  <c r="C37" i="15"/>
  <c r="B37" i="15"/>
  <c r="I37" i="15"/>
  <c r="H37" i="15"/>
  <c r="L37" i="15"/>
  <c r="K37" i="15"/>
  <c r="F37" i="15"/>
  <c r="J37" i="15"/>
  <c r="G37" i="15"/>
  <c r="B191" i="15"/>
  <c r="K191" i="15"/>
  <c r="J191" i="15"/>
  <c r="I191" i="15"/>
  <c r="G191" i="15"/>
  <c r="F191" i="15"/>
  <c r="E191" i="15"/>
  <c r="D191" i="15"/>
  <c r="C191" i="15"/>
  <c r="L191" i="15"/>
  <c r="H191" i="15"/>
  <c r="C159" i="6"/>
  <c r="N159" i="6"/>
  <c r="B159" i="6"/>
  <c r="L159" i="6"/>
  <c r="K159" i="6"/>
  <c r="G159" i="6"/>
  <c r="M159" i="6"/>
  <c r="J159" i="6"/>
  <c r="I159" i="6"/>
  <c r="E159" i="6"/>
  <c r="H159" i="6"/>
  <c r="F159" i="6"/>
  <c r="D159" i="6"/>
  <c r="E200" i="15"/>
  <c r="D200" i="15"/>
  <c r="B200" i="15"/>
  <c r="L200" i="15"/>
  <c r="J200" i="15"/>
  <c r="C200" i="15"/>
  <c r="K200" i="15"/>
  <c r="I200" i="15"/>
  <c r="F200" i="15"/>
  <c r="H200" i="15"/>
  <c r="G200" i="15"/>
  <c r="J188" i="5"/>
  <c r="H188" i="5"/>
  <c r="G188" i="5"/>
  <c r="E188" i="5"/>
  <c r="F188" i="5" s="1"/>
  <c r="D188" i="5"/>
  <c r="O188" i="5"/>
  <c r="N188" i="5"/>
  <c r="M188" i="5"/>
  <c r="L188" i="5"/>
  <c r="C188" i="5"/>
  <c r="B188" i="5"/>
  <c r="K188" i="5"/>
  <c r="I188" i="5"/>
  <c r="H39" i="6"/>
  <c r="N39" i="6"/>
  <c r="B39" i="6"/>
  <c r="D39" i="6"/>
  <c r="C39" i="6"/>
  <c r="M39" i="6"/>
  <c r="L39" i="6"/>
  <c r="K39" i="6"/>
  <c r="J39" i="6"/>
  <c r="I39" i="6"/>
  <c r="G39" i="6"/>
  <c r="F39" i="6"/>
  <c r="E39" i="6"/>
  <c r="D180" i="5"/>
  <c r="O180" i="5"/>
  <c r="C180" i="5"/>
  <c r="N180" i="5"/>
  <c r="B180" i="5"/>
  <c r="M180" i="5"/>
  <c r="L180" i="5"/>
  <c r="G180" i="5"/>
  <c r="E180" i="5"/>
  <c r="F180" i="5" s="1"/>
  <c r="K180" i="5"/>
  <c r="J180" i="5"/>
  <c r="I180" i="5"/>
  <c r="H180" i="5"/>
  <c r="J44" i="5"/>
  <c r="I44" i="5"/>
  <c r="H44" i="5"/>
  <c r="G44" i="5"/>
  <c r="D44" i="5"/>
  <c r="O44" i="5"/>
  <c r="C44" i="5"/>
  <c r="N44" i="5"/>
  <c r="B44" i="5"/>
  <c r="M44" i="5"/>
  <c r="L44" i="5"/>
  <c r="K44" i="5"/>
  <c r="E44" i="5"/>
  <c r="F44" i="5" s="1"/>
  <c r="D115" i="1"/>
  <c r="C115" i="1"/>
  <c r="I115" i="1"/>
  <c r="H115" i="1"/>
  <c r="L115" i="1"/>
  <c r="G115" i="1"/>
  <c r="B115" i="1"/>
  <c r="E115" i="1"/>
  <c r="F115" i="1" s="1"/>
  <c r="I102" i="1"/>
  <c r="H102" i="1"/>
  <c r="G102" i="1"/>
  <c r="E102" i="1"/>
  <c r="F102" i="1" s="1"/>
  <c r="D102" i="1"/>
  <c r="C102" i="1"/>
  <c r="B102" i="1"/>
  <c r="L102" i="1"/>
  <c r="F189" i="6"/>
  <c r="E189" i="6"/>
  <c r="M189" i="6"/>
  <c r="N189" i="6"/>
  <c r="L189" i="6"/>
  <c r="K189" i="6"/>
  <c r="J189" i="6"/>
  <c r="I189" i="6"/>
  <c r="G189" i="6"/>
  <c r="C189" i="6"/>
  <c r="H189" i="6"/>
  <c r="D189" i="6"/>
  <c r="B189" i="6"/>
  <c r="H53" i="1"/>
  <c r="G53" i="1"/>
  <c r="E53" i="1"/>
  <c r="F53" i="1" s="1"/>
  <c r="D53" i="1"/>
  <c r="C53" i="1"/>
  <c r="B53" i="1"/>
  <c r="L53" i="1"/>
  <c r="I53" i="1"/>
  <c r="I7" i="1"/>
  <c r="E7" i="1"/>
  <c r="F7" i="1" s="1"/>
  <c r="H7" i="1"/>
  <c r="G7" i="1"/>
  <c r="D7" i="1"/>
  <c r="C7" i="1"/>
  <c r="B7" i="1"/>
  <c r="L7" i="1"/>
  <c r="G52" i="1"/>
  <c r="E52" i="1"/>
  <c r="F52" i="1" s="1"/>
  <c r="D52" i="1"/>
  <c r="C52" i="1"/>
  <c r="B52" i="1"/>
  <c r="L52" i="1"/>
  <c r="I52" i="1"/>
  <c r="H52" i="1"/>
  <c r="E15" i="1"/>
  <c r="F15" i="1" s="1"/>
  <c r="D15" i="1"/>
  <c r="C15" i="1"/>
  <c r="B15" i="1"/>
  <c r="L15" i="1"/>
  <c r="I15" i="1"/>
  <c r="H15" i="1"/>
  <c r="G15" i="1"/>
  <c r="L194" i="1"/>
  <c r="I194" i="1"/>
  <c r="H194" i="1"/>
  <c r="D194" i="1"/>
  <c r="C194" i="1"/>
  <c r="G194" i="1"/>
  <c r="E194" i="1"/>
  <c r="F194" i="1" s="1"/>
  <c r="B194" i="1"/>
  <c r="N73" i="5"/>
  <c r="B73" i="5"/>
  <c r="M73" i="5"/>
  <c r="L73" i="5"/>
  <c r="K73" i="5"/>
  <c r="H73" i="5"/>
  <c r="G73" i="5"/>
  <c r="E73" i="5"/>
  <c r="F73" i="5" s="1"/>
  <c r="C73" i="5"/>
  <c r="O73" i="5"/>
  <c r="D73" i="5"/>
  <c r="J73" i="5"/>
  <c r="I73" i="5"/>
  <c r="E74" i="1"/>
  <c r="F74" i="1" s="1"/>
  <c r="D74" i="1"/>
  <c r="C74" i="1"/>
  <c r="B74" i="1"/>
  <c r="L74" i="1"/>
  <c r="H74" i="1"/>
  <c r="I74" i="1"/>
  <c r="G74" i="1"/>
  <c r="I168" i="1"/>
  <c r="H168" i="1"/>
  <c r="G168" i="1"/>
  <c r="B168" i="1"/>
  <c r="L168" i="1"/>
  <c r="E168" i="1"/>
  <c r="F168" i="1" s="1"/>
  <c r="D168" i="1"/>
  <c r="C168" i="1"/>
  <c r="C48" i="1"/>
  <c r="E48" i="1"/>
  <c r="F48" i="1" s="1"/>
  <c r="B48" i="1"/>
  <c r="L48" i="1"/>
  <c r="I48" i="1"/>
  <c r="H48" i="1"/>
  <c r="G48" i="1"/>
  <c r="D48" i="1"/>
  <c r="M90" i="6"/>
  <c r="L90" i="6"/>
  <c r="K90" i="6"/>
  <c r="J90" i="6"/>
  <c r="I90" i="6"/>
  <c r="H90" i="6"/>
  <c r="E90" i="6"/>
  <c r="G90" i="6"/>
  <c r="F90" i="6"/>
  <c r="D90" i="6"/>
  <c r="C90" i="6"/>
  <c r="B90" i="6"/>
  <c r="N90" i="6"/>
  <c r="E164" i="1"/>
  <c r="F164" i="1" s="1"/>
  <c r="D164" i="1"/>
  <c r="C164" i="1"/>
  <c r="B164" i="1"/>
  <c r="I164" i="1"/>
  <c r="L164" i="1"/>
  <c r="G164" i="1"/>
  <c r="H164" i="1"/>
  <c r="H106" i="1"/>
  <c r="L106" i="1"/>
  <c r="I106" i="1"/>
  <c r="G106" i="1"/>
  <c r="C106" i="1"/>
  <c r="E106" i="1"/>
  <c r="F106" i="1" s="1"/>
  <c r="D106" i="1"/>
  <c r="B106" i="1"/>
  <c r="L22" i="1"/>
  <c r="H22" i="1"/>
  <c r="I22" i="1"/>
  <c r="G22" i="1"/>
  <c r="D22" i="1"/>
  <c r="C22" i="1"/>
  <c r="E22" i="1"/>
  <c r="F22" i="1" s="1"/>
  <c r="B22" i="1"/>
  <c r="L134" i="1"/>
  <c r="K134" i="1"/>
  <c r="I134" i="1"/>
  <c r="H134" i="1"/>
  <c r="D134" i="1"/>
  <c r="C134" i="1"/>
  <c r="G134" i="1"/>
  <c r="E134" i="1"/>
  <c r="F134" i="1" s="1"/>
  <c r="B134" i="1"/>
  <c r="N52" i="5"/>
  <c r="B52" i="5"/>
  <c r="M52" i="5"/>
  <c r="L52" i="5"/>
  <c r="K52" i="5"/>
  <c r="H52" i="5"/>
  <c r="G52" i="5"/>
  <c r="E52" i="5"/>
  <c r="F52" i="5" s="1"/>
  <c r="O52" i="5"/>
  <c r="J52" i="5"/>
  <c r="I52" i="5"/>
  <c r="D52" i="5"/>
  <c r="C52" i="5"/>
  <c r="H179" i="1"/>
  <c r="G179" i="1"/>
  <c r="E179" i="1"/>
  <c r="F179" i="1" s="1"/>
  <c r="L179" i="1"/>
  <c r="I179" i="1"/>
  <c r="D179" i="1"/>
  <c r="C179" i="1"/>
  <c r="B179" i="1"/>
  <c r="G190" i="1"/>
  <c r="E190" i="1"/>
  <c r="F190" i="1" s="1"/>
  <c r="D190" i="1"/>
  <c r="L190" i="1"/>
  <c r="I190" i="1"/>
  <c r="H190" i="1"/>
  <c r="C190" i="1"/>
  <c r="B190" i="1"/>
  <c r="K4" i="6"/>
  <c r="J4" i="6"/>
  <c r="I4" i="6"/>
  <c r="H4" i="6"/>
  <c r="G4" i="6"/>
  <c r="F4" i="6"/>
  <c r="E4" i="6"/>
  <c r="D4" i="6"/>
  <c r="N4" i="6"/>
  <c r="M4" i="6"/>
  <c r="L4" i="6"/>
  <c r="C4" i="6"/>
  <c r="B4" i="6"/>
  <c r="C222" i="1"/>
  <c r="B222" i="1"/>
  <c r="I222" i="1"/>
  <c r="H222" i="1"/>
  <c r="G222" i="1"/>
  <c r="L222" i="1"/>
  <c r="K222" i="1"/>
  <c r="E222" i="1"/>
  <c r="F222" i="1" s="1"/>
  <c r="D222" i="1"/>
  <c r="N7" i="6"/>
  <c r="B7" i="6"/>
  <c r="M7" i="6"/>
  <c r="L7" i="6"/>
  <c r="K7" i="6"/>
  <c r="J7" i="6"/>
  <c r="I7" i="6"/>
  <c r="H7" i="6"/>
  <c r="G7" i="6"/>
  <c r="F7" i="6"/>
  <c r="C7" i="6"/>
  <c r="E7" i="6"/>
  <c r="D7" i="6"/>
  <c r="N103" i="5"/>
  <c r="B103" i="5"/>
  <c r="L103" i="5"/>
  <c r="K103" i="5"/>
  <c r="J103" i="5"/>
  <c r="I103" i="5"/>
  <c r="H103" i="5"/>
  <c r="O103" i="5"/>
  <c r="M103" i="5"/>
  <c r="E103" i="5"/>
  <c r="F103" i="5" s="1"/>
  <c r="D103" i="5"/>
  <c r="C103" i="5"/>
  <c r="G103" i="5"/>
  <c r="L195" i="1"/>
  <c r="I195" i="1"/>
  <c r="E195" i="1"/>
  <c r="F195" i="1" s="1"/>
  <c r="D195" i="1"/>
  <c r="H195" i="1"/>
  <c r="G195" i="1"/>
  <c r="C195" i="1"/>
  <c r="B195" i="1"/>
  <c r="I153" i="6"/>
  <c r="H153" i="6"/>
  <c r="F153" i="6"/>
  <c r="E153" i="6"/>
  <c r="M153" i="6"/>
  <c r="G153" i="6"/>
  <c r="D153" i="6"/>
  <c r="C153" i="6"/>
  <c r="B153" i="6"/>
  <c r="N153" i="6"/>
  <c r="L153" i="6"/>
  <c r="K153" i="6"/>
  <c r="J153" i="6"/>
  <c r="M82" i="6"/>
  <c r="L82" i="6"/>
  <c r="K82" i="6"/>
  <c r="J82" i="6"/>
  <c r="I82" i="6"/>
  <c r="H82" i="6"/>
  <c r="E82" i="6"/>
  <c r="N82" i="6"/>
  <c r="G82" i="6"/>
  <c r="F82" i="6"/>
  <c r="D82" i="6"/>
  <c r="C82" i="6"/>
  <c r="B82" i="6"/>
  <c r="M58" i="6"/>
  <c r="L58" i="6"/>
  <c r="K58" i="6"/>
  <c r="I58" i="6"/>
  <c r="H58" i="6"/>
  <c r="E58" i="6"/>
  <c r="N58" i="6"/>
  <c r="J58" i="6"/>
  <c r="G58" i="6"/>
  <c r="F58" i="6"/>
  <c r="D58" i="6"/>
  <c r="C58" i="6"/>
  <c r="B58" i="6"/>
  <c r="I184" i="6"/>
  <c r="H184" i="6"/>
  <c r="D184" i="6"/>
  <c r="L184" i="6"/>
  <c r="K184" i="6"/>
  <c r="J184" i="6"/>
  <c r="G184" i="6"/>
  <c r="F184" i="6"/>
  <c r="C184" i="6"/>
  <c r="N184" i="6"/>
  <c r="M184" i="6"/>
  <c r="E184" i="6"/>
  <c r="B184" i="6"/>
  <c r="C15" i="15"/>
  <c r="L15" i="15"/>
  <c r="K15" i="15"/>
  <c r="J15" i="15"/>
  <c r="I15" i="15"/>
  <c r="H15" i="15"/>
  <c r="E15" i="15"/>
  <c r="D15" i="15"/>
  <c r="B15" i="15"/>
  <c r="F15" i="15"/>
  <c r="G15" i="15"/>
  <c r="F36" i="15"/>
  <c r="E36" i="15"/>
  <c r="D36" i="15"/>
  <c r="C36" i="15"/>
  <c r="J36" i="15"/>
  <c r="I36" i="15"/>
  <c r="G36" i="15"/>
  <c r="B36" i="15"/>
  <c r="L36" i="15"/>
  <c r="K36" i="15"/>
  <c r="H36" i="15"/>
  <c r="H86" i="15"/>
  <c r="F86" i="15"/>
  <c r="B86" i="15"/>
  <c r="K86" i="15"/>
  <c r="J86" i="15"/>
  <c r="I86" i="15"/>
  <c r="G86" i="15"/>
  <c r="L86" i="15"/>
  <c r="E86" i="15"/>
  <c r="D86" i="15"/>
  <c r="C86" i="15"/>
  <c r="K121" i="15"/>
  <c r="J121" i="15"/>
  <c r="I121" i="15"/>
  <c r="G121" i="15"/>
  <c r="E121" i="15"/>
  <c r="C121" i="15"/>
  <c r="L121" i="15"/>
  <c r="F121" i="15"/>
  <c r="B121" i="15"/>
  <c r="H121" i="15"/>
  <c r="D121" i="15"/>
  <c r="I160" i="15"/>
  <c r="H160" i="15"/>
  <c r="F160" i="15"/>
  <c r="E160" i="15"/>
  <c r="D160" i="15"/>
  <c r="B160" i="15"/>
  <c r="L160" i="15"/>
  <c r="K160" i="15"/>
  <c r="J160" i="15"/>
  <c r="G160" i="15"/>
  <c r="C160" i="15"/>
  <c r="L193" i="15"/>
  <c r="K193" i="15"/>
  <c r="I193" i="15"/>
  <c r="H193" i="15"/>
  <c r="G193" i="15"/>
  <c r="E193" i="15"/>
  <c r="C193" i="15"/>
  <c r="B193" i="15"/>
  <c r="D193" i="15"/>
  <c r="J193" i="15"/>
  <c r="F193" i="15"/>
  <c r="C29" i="16"/>
  <c r="J95" i="5"/>
  <c r="H95" i="5"/>
  <c r="G95" i="5"/>
  <c r="E95" i="5"/>
  <c r="F95" i="5" s="1"/>
  <c r="D95" i="5"/>
  <c r="I95" i="5"/>
  <c r="C95" i="5"/>
  <c r="B95" i="5"/>
  <c r="O95" i="5"/>
  <c r="N95" i="5"/>
  <c r="M95" i="5"/>
  <c r="K95" i="5"/>
  <c r="L95" i="5"/>
  <c r="J107" i="6"/>
  <c r="I107" i="6"/>
  <c r="H107" i="6"/>
  <c r="G107" i="6"/>
  <c r="F107" i="6"/>
  <c r="E107" i="6"/>
  <c r="N107" i="6"/>
  <c r="B107" i="6"/>
  <c r="M107" i="6"/>
  <c r="L107" i="6"/>
  <c r="K107" i="6"/>
  <c r="D107" i="6"/>
  <c r="C107" i="6"/>
  <c r="H43" i="6"/>
  <c r="F43" i="6"/>
  <c r="N43" i="6"/>
  <c r="B43" i="6"/>
  <c r="D43" i="6"/>
  <c r="C43" i="6"/>
  <c r="M43" i="6"/>
  <c r="L43" i="6"/>
  <c r="K43" i="6"/>
  <c r="G43" i="6"/>
  <c r="E43" i="6"/>
  <c r="I43" i="6"/>
  <c r="J43" i="6"/>
  <c r="G45" i="15"/>
  <c r="E45" i="15"/>
  <c r="H45" i="15"/>
  <c r="F45" i="15"/>
  <c r="D45" i="15"/>
  <c r="C45" i="15"/>
  <c r="L45" i="15"/>
  <c r="K45" i="15"/>
  <c r="J45" i="15"/>
  <c r="I45" i="15"/>
  <c r="B45" i="15"/>
  <c r="L8" i="1"/>
  <c r="I8" i="1"/>
  <c r="H8" i="1"/>
  <c r="G8" i="1"/>
  <c r="E8" i="1"/>
  <c r="F8" i="1" s="1"/>
  <c r="D8" i="1"/>
  <c r="C8" i="1"/>
  <c r="B8" i="1"/>
  <c r="C36" i="1"/>
  <c r="B36" i="1"/>
  <c r="K36" i="1"/>
  <c r="L36" i="1"/>
  <c r="E36" i="1"/>
  <c r="F36" i="1" s="1"/>
  <c r="I36" i="1"/>
  <c r="H36" i="1"/>
  <c r="G36" i="1"/>
  <c r="D36" i="1"/>
  <c r="Z46" i="13"/>
  <c r="K27" i="1" s="1"/>
  <c r="D29" i="14"/>
  <c r="Z105" i="13"/>
  <c r="Z95" i="13"/>
  <c r="Z148" i="13"/>
  <c r="Z146" i="13"/>
  <c r="Z83" i="13"/>
  <c r="Z12" i="13"/>
  <c r="K73" i="1" s="1"/>
  <c r="Z14" i="13"/>
  <c r="K80" i="1" s="1"/>
  <c r="Z96" i="13"/>
  <c r="K15" i="1" s="1"/>
  <c r="D171" i="5"/>
  <c r="O171" i="5"/>
  <c r="C171" i="5"/>
  <c r="N171" i="5"/>
  <c r="B171" i="5"/>
  <c r="M171" i="5"/>
  <c r="L171" i="5"/>
  <c r="J171" i="5"/>
  <c r="I171" i="5"/>
  <c r="H171" i="5"/>
  <c r="G171" i="5"/>
  <c r="K171" i="5"/>
  <c r="E171" i="5"/>
  <c r="F171" i="5" s="1"/>
  <c r="F146" i="6"/>
  <c r="C146" i="6"/>
  <c r="N146" i="6"/>
  <c r="B146" i="6"/>
  <c r="D146" i="6"/>
  <c r="M146" i="6"/>
  <c r="L146" i="6"/>
  <c r="I146" i="6"/>
  <c r="K146" i="6"/>
  <c r="J146" i="6"/>
  <c r="H146" i="6"/>
  <c r="G146" i="6"/>
  <c r="E146" i="6"/>
  <c r="J110" i="5"/>
  <c r="H110" i="5"/>
  <c r="G110" i="5"/>
  <c r="E110" i="5"/>
  <c r="F110" i="5" s="1"/>
  <c r="D110" i="5"/>
  <c r="O110" i="5"/>
  <c r="N110" i="5"/>
  <c r="K110" i="5"/>
  <c r="I110" i="5"/>
  <c r="C110" i="5"/>
  <c r="B110" i="5"/>
  <c r="M110" i="5"/>
  <c r="L110" i="5"/>
  <c r="D201" i="5"/>
  <c r="O201" i="5"/>
  <c r="C201" i="5"/>
  <c r="N201" i="5"/>
  <c r="B201" i="5"/>
  <c r="M201" i="5"/>
  <c r="L201" i="5"/>
  <c r="K201" i="5"/>
  <c r="J201" i="5"/>
  <c r="I201" i="5"/>
  <c r="H201" i="5"/>
  <c r="E201" i="5"/>
  <c r="F201" i="5" s="1"/>
  <c r="G201" i="5"/>
  <c r="D159" i="5"/>
  <c r="O159" i="5"/>
  <c r="C159" i="5"/>
  <c r="N159" i="5"/>
  <c r="B159" i="5"/>
  <c r="M159" i="5"/>
  <c r="L159" i="5"/>
  <c r="K159" i="5"/>
  <c r="H159" i="5"/>
  <c r="G159" i="5"/>
  <c r="E159" i="5"/>
  <c r="F159" i="5" s="1"/>
  <c r="J159" i="5"/>
  <c r="I159" i="5"/>
  <c r="J14" i="5"/>
  <c r="I14" i="5"/>
  <c r="H14" i="5"/>
  <c r="G14" i="5"/>
  <c r="D14" i="5"/>
  <c r="O14" i="5"/>
  <c r="C14" i="5"/>
  <c r="N14" i="5"/>
  <c r="B14" i="5"/>
  <c r="M14" i="5"/>
  <c r="L14" i="5"/>
  <c r="K14" i="5"/>
  <c r="E14" i="5"/>
  <c r="F14" i="5" s="1"/>
  <c r="J144" i="15"/>
  <c r="I144" i="15"/>
  <c r="H144" i="15"/>
  <c r="F144" i="15"/>
  <c r="L144" i="15"/>
  <c r="G144" i="15"/>
  <c r="D144" i="15"/>
  <c r="K144" i="15"/>
  <c r="C144" i="15"/>
  <c r="E144" i="15"/>
  <c r="B144" i="15"/>
  <c r="G120" i="6"/>
  <c r="F120" i="6"/>
  <c r="E120" i="6"/>
  <c r="D120" i="6"/>
  <c r="C120" i="6"/>
  <c r="N120" i="6"/>
  <c r="B120" i="6"/>
  <c r="K120" i="6"/>
  <c r="M120" i="6"/>
  <c r="L120" i="6"/>
  <c r="J120" i="6"/>
  <c r="I120" i="6"/>
  <c r="H120" i="6"/>
  <c r="L140" i="6"/>
  <c r="H140" i="6"/>
  <c r="D140" i="6"/>
  <c r="C140" i="6"/>
  <c r="B140" i="6"/>
  <c r="N140" i="6"/>
  <c r="M140" i="6"/>
  <c r="I140" i="6"/>
  <c r="K140" i="6"/>
  <c r="J140" i="6"/>
  <c r="G140" i="6"/>
  <c r="F140" i="6"/>
  <c r="E140" i="6"/>
  <c r="L76" i="15"/>
  <c r="J76" i="15"/>
  <c r="F76" i="15"/>
  <c r="E76" i="15"/>
  <c r="D76" i="15"/>
  <c r="K76" i="15"/>
  <c r="G76" i="15"/>
  <c r="C76" i="15"/>
  <c r="B76" i="15"/>
  <c r="I76" i="15"/>
  <c r="H76" i="15"/>
  <c r="L82" i="15"/>
  <c r="J82" i="15"/>
  <c r="K82" i="15"/>
  <c r="H82" i="15"/>
  <c r="E82" i="15"/>
  <c r="D82" i="15"/>
  <c r="C82" i="15"/>
  <c r="B82" i="15"/>
  <c r="I82" i="15"/>
  <c r="G82" i="15"/>
  <c r="F82" i="15"/>
  <c r="L29" i="15"/>
  <c r="K29" i="15"/>
  <c r="J29" i="15"/>
  <c r="E29" i="15"/>
  <c r="D29" i="15"/>
  <c r="F29" i="15"/>
  <c r="C29" i="15"/>
  <c r="B29" i="15"/>
  <c r="I29" i="15"/>
  <c r="H29" i="15"/>
  <c r="G29" i="15"/>
  <c r="J218" i="5"/>
  <c r="H218" i="5"/>
  <c r="G218" i="5"/>
  <c r="E218" i="5"/>
  <c r="F218" i="5" s="1"/>
  <c r="D218" i="5"/>
  <c r="O218" i="5"/>
  <c r="C218" i="5"/>
  <c r="B218" i="5"/>
  <c r="N218" i="5"/>
  <c r="M218" i="5"/>
  <c r="L218" i="5"/>
  <c r="K218" i="5"/>
  <c r="I218" i="5"/>
  <c r="E18" i="5"/>
  <c r="F18" i="5" s="1"/>
  <c r="D18" i="5"/>
  <c r="O18" i="5"/>
  <c r="C18" i="5"/>
  <c r="L18" i="5"/>
  <c r="K18" i="5"/>
  <c r="J18" i="5"/>
  <c r="I18" i="5"/>
  <c r="N18" i="5"/>
  <c r="M18" i="5"/>
  <c r="H18" i="5"/>
  <c r="G18" i="5"/>
  <c r="B18" i="5"/>
  <c r="D60" i="15"/>
  <c r="B60" i="15"/>
  <c r="J60" i="15"/>
  <c r="I60" i="15"/>
  <c r="H60" i="15"/>
  <c r="K60" i="15"/>
  <c r="G60" i="15"/>
  <c r="F60" i="15"/>
  <c r="E60" i="15"/>
  <c r="C60" i="15"/>
  <c r="L60" i="15"/>
  <c r="D38" i="15"/>
  <c r="C38" i="15"/>
  <c r="B38" i="15"/>
  <c r="J38" i="15"/>
  <c r="H38" i="15"/>
  <c r="G38" i="15"/>
  <c r="L38" i="15"/>
  <c r="K38" i="15"/>
  <c r="I38" i="15"/>
  <c r="F38" i="15"/>
  <c r="E38" i="15"/>
  <c r="C139" i="6"/>
  <c r="K139" i="6"/>
  <c r="E139" i="6"/>
  <c r="D139" i="6"/>
  <c r="B139" i="6"/>
  <c r="N139" i="6"/>
  <c r="M139" i="6"/>
  <c r="I139" i="6"/>
  <c r="J139" i="6"/>
  <c r="H139" i="6"/>
  <c r="G139" i="6"/>
  <c r="F139" i="6"/>
  <c r="L139" i="6"/>
  <c r="D222" i="5"/>
  <c r="O222" i="5"/>
  <c r="C222" i="5"/>
  <c r="N222" i="5"/>
  <c r="B222" i="5"/>
  <c r="M222" i="5"/>
  <c r="L222" i="5"/>
  <c r="K222" i="5"/>
  <c r="H222" i="5"/>
  <c r="G222" i="5"/>
  <c r="E222" i="5"/>
  <c r="F222" i="5" s="1"/>
  <c r="J222" i="5"/>
  <c r="I222" i="5"/>
  <c r="D147" i="5"/>
  <c r="O147" i="5"/>
  <c r="C147" i="5"/>
  <c r="N147" i="5"/>
  <c r="B147" i="5"/>
  <c r="M147" i="5"/>
  <c r="L147" i="5"/>
  <c r="E147" i="5"/>
  <c r="F147" i="5" s="1"/>
  <c r="K147" i="5"/>
  <c r="J147" i="5"/>
  <c r="I147" i="5"/>
  <c r="H147" i="5"/>
  <c r="G147" i="5"/>
  <c r="L144" i="6"/>
  <c r="I144" i="6"/>
  <c r="H144" i="6"/>
  <c r="B144" i="6"/>
  <c r="N144" i="6"/>
  <c r="M144" i="6"/>
  <c r="K144" i="6"/>
  <c r="F144" i="6"/>
  <c r="J144" i="6"/>
  <c r="G144" i="6"/>
  <c r="E144" i="6"/>
  <c r="D144" i="6"/>
  <c r="C144" i="6"/>
  <c r="C202" i="15"/>
  <c r="B202" i="15"/>
  <c r="L202" i="15"/>
  <c r="K202" i="15"/>
  <c r="J202" i="15"/>
  <c r="H202" i="15"/>
  <c r="I202" i="15"/>
  <c r="G202" i="15"/>
  <c r="F202" i="15"/>
  <c r="D202" i="15"/>
  <c r="E202" i="15"/>
  <c r="J134" i="15"/>
  <c r="I134" i="15"/>
  <c r="H134" i="15"/>
  <c r="F134" i="15"/>
  <c r="D134" i="15"/>
  <c r="B134" i="15"/>
  <c r="L134" i="15"/>
  <c r="K134" i="15"/>
  <c r="G134" i="15"/>
  <c r="E134" i="15"/>
  <c r="C134" i="15"/>
  <c r="H9" i="6"/>
  <c r="G9" i="6"/>
  <c r="F9" i="6"/>
  <c r="E9" i="6"/>
  <c r="D9" i="6"/>
  <c r="C9" i="6"/>
  <c r="N9" i="6"/>
  <c r="B9" i="6"/>
  <c r="M9" i="6"/>
  <c r="L9" i="6"/>
  <c r="K9" i="6"/>
  <c r="I9" i="6"/>
  <c r="J9" i="6"/>
  <c r="E6" i="5"/>
  <c r="F6" i="5" s="1"/>
  <c r="D6" i="5"/>
  <c r="O6" i="5"/>
  <c r="C6" i="5"/>
  <c r="L6" i="5"/>
  <c r="K6" i="5"/>
  <c r="J6" i="5"/>
  <c r="I6" i="5"/>
  <c r="N6" i="5"/>
  <c r="M6" i="5"/>
  <c r="H6" i="5"/>
  <c r="G6" i="5"/>
  <c r="B6" i="5"/>
  <c r="K83" i="15"/>
  <c r="I83" i="15"/>
  <c r="J83" i="15"/>
  <c r="F83" i="15"/>
  <c r="E83" i="15"/>
  <c r="D83" i="15"/>
  <c r="C83" i="15"/>
  <c r="L83" i="15"/>
  <c r="H83" i="15"/>
  <c r="G83" i="15"/>
  <c r="B83" i="15"/>
  <c r="B118" i="15"/>
  <c r="L118" i="15"/>
  <c r="J118" i="15"/>
  <c r="H118" i="15"/>
  <c r="F118" i="15"/>
  <c r="D118" i="15"/>
  <c r="K118" i="15"/>
  <c r="E118" i="15"/>
  <c r="C118" i="15"/>
  <c r="I118" i="15"/>
  <c r="G118" i="15"/>
  <c r="E10" i="6"/>
  <c r="D10" i="6"/>
  <c r="C10" i="6"/>
  <c r="N10" i="6"/>
  <c r="B10" i="6"/>
  <c r="M10" i="6"/>
  <c r="L10" i="6"/>
  <c r="K10" i="6"/>
  <c r="J10" i="6"/>
  <c r="F10" i="6"/>
  <c r="I10" i="6"/>
  <c r="H10" i="6"/>
  <c r="G10" i="6"/>
  <c r="D213" i="15"/>
  <c r="C213" i="15"/>
  <c r="L213" i="15"/>
  <c r="K213" i="15"/>
  <c r="I213" i="15"/>
  <c r="J213" i="15"/>
  <c r="H213" i="15"/>
  <c r="G213" i="15"/>
  <c r="F213" i="15"/>
  <c r="E213" i="15"/>
  <c r="B213" i="15"/>
  <c r="D85" i="6"/>
  <c r="C85" i="6"/>
  <c r="N85" i="6"/>
  <c r="B85" i="6"/>
  <c r="M85" i="6"/>
  <c r="L85" i="6"/>
  <c r="K85" i="6"/>
  <c r="H85" i="6"/>
  <c r="F85" i="6"/>
  <c r="E85" i="6"/>
  <c r="G85" i="6"/>
  <c r="I85" i="6"/>
  <c r="J85" i="6"/>
  <c r="D198" i="5"/>
  <c r="O198" i="5"/>
  <c r="C198" i="5"/>
  <c r="N198" i="5"/>
  <c r="B198" i="5"/>
  <c r="M198" i="5"/>
  <c r="L198" i="5"/>
  <c r="K198" i="5"/>
  <c r="H198" i="5"/>
  <c r="G198" i="5"/>
  <c r="E198" i="5"/>
  <c r="F198" i="5" s="1"/>
  <c r="J198" i="5"/>
  <c r="I198" i="5"/>
  <c r="J29" i="5"/>
  <c r="I29" i="5"/>
  <c r="H29" i="5"/>
  <c r="G29" i="5"/>
  <c r="D29" i="5"/>
  <c r="O29" i="5"/>
  <c r="C29" i="5"/>
  <c r="N29" i="5"/>
  <c r="B29" i="5"/>
  <c r="M29" i="5"/>
  <c r="L29" i="5"/>
  <c r="K29" i="5"/>
  <c r="E29" i="5"/>
  <c r="F29" i="5" s="1"/>
  <c r="D141" i="5"/>
  <c r="O141" i="5"/>
  <c r="C141" i="5"/>
  <c r="N141" i="5"/>
  <c r="B141" i="5"/>
  <c r="M141" i="5"/>
  <c r="L141" i="5"/>
  <c r="H141" i="5"/>
  <c r="G141" i="5"/>
  <c r="E141" i="5"/>
  <c r="F141" i="5" s="1"/>
  <c r="K141" i="5"/>
  <c r="I141" i="5"/>
  <c r="J141" i="5"/>
  <c r="E66" i="5"/>
  <c r="F66" i="5" s="1"/>
  <c r="D66" i="5"/>
  <c r="O66" i="5"/>
  <c r="C66" i="5"/>
  <c r="L66" i="5"/>
  <c r="K66" i="5"/>
  <c r="J66" i="5"/>
  <c r="I66" i="5"/>
  <c r="N66" i="5"/>
  <c r="M66" i="5"/>
  <c r="H66" i="5"/>
  <c r="G66" i="5"/>
  <c r="B66" i="5"/>
  <c r="E117" i="1"/>
  <c r="F117" i="1" s="1"/>
  <c r="C117" i="1"/>
  <c r="L117" i="1"/>
  <c r="I117" i="1"/>
  <c r="H117" i="1"/>
  <c r="G117" i="1"/>
  <c r="D117" i="1"/>
  <c r="B117" i="1"/>
  <c r="L110" i="1"/>
  <c r="H110" i="1"/>
  <c r="C110" i="1"/>
  <c r="G110" i="1"/>
  <c r="E110" i="1"/>
  <c r="F110" i="1" s="1"/>
  <c r="D110" i="1"/>
  <c r="B110" i="1"/>
  <c r="I110" i="1"/>
  <c r="E19" i="1"/>
  <c r="F19" i="1" s="1"/>
  <c r="I19" i="1"/>
  <c r="H19" i="1"/>
  <c r="G19" i="1"/>
  <c r="D19" i="1"/>
  <c r="C19" i="1"/>
  <c r="B19" i="1"/>
  <c r="L19" i="1"/>
  <c r="H65" i="1"/>
  <c r="G65" i="1"/>
  <c r="E65" i="1"/>
  <c r="F65" i="1" s="1"/>
  <c r="D65" i="1"/>
  <c r="C65" i="1"/>
  <c r="B65" i="1"/>
  <c r="L65" i="1"/>
  <c r="I65" i="1"/>
  <c r="I55" i="1"/>
  <c r="H55" i="1"/>
  <c r="G55" i="1"/>
  <c r="E55" i="1"/>
  <c r="F55" i="1" s="1"/>
  <c r="D55" i="1"/>
  <c r="C55" i="1"/>
  <c r="B55" i="1"/>
  <c r="L55" i="1"/>
  <c r="G64" i="1"/>
  <c r="E64" i="1"/>
  <c r="F64" i="1" s="1"/>
  <c r="D64" i="1"/>
  <c r="C64" i="1"/>
  <c r="B64" i="1"/>
  <c r="L64" i="1"/>
  <c r="I64" i="1"/>
  <c r="H64" i="1"/>
  <c r="E27" i="1"/>
  <c r="F27" i="1" s="1"/>
  <c r="D27" i="1"/>
  <c r="C27" i="1"/>
  <c r="B27" i="1"/>
  <c r="L27" i="1"/>
  <c r="I27" i="1"/>
  <c r="H27" i="1"/>
  <c r="G27" i="1"/>
  <c r="N7" i="5"/>
  <c r="B7" i="5"/>
  <c r="M7" i="5"/>
  <c r="L7" i="5"/>
  <c r="K7" i="5"/>
  <c r="H7" i="5"/>
  <c r="G7" i="5"/>
  <c r="E7" i="5"/>
  <c r="F7" i="5" s="1"/>
  <c r="O7" i="5"/>
  <c r="J7" i="5"/>
  <c r="I7" i="5"/>
  <c r="D7" i="5"/>
  <c r="C7" i="5"/>
  <c r="N166" i="5"/>
  <c r="B166" i="5"/>
  <c r="L166" i="5"/>
  <c r="K166" i="5"/>
  <c r="J166" i="5"/>
  <c r="I166" i="5"/>
  <c r="H166" i="5"/>
  <c r="M166" i="5"/>
  <c r="G166" i="5"/>
  <c r="E166" i="5"/>
  <c r="F166" i="5" s="1"/>
  <c r="O166" i="5"/>
  <c r="D166" i="5"/>
  <c r="C166" i="5"/>
  <c r="G109" i="1"/>
  <c r="D109" i="1"/>
  <c r="C109" i="1"/>
  <c r="B109" i="1"/>
  <c r="L109" i="1"/>
  <c r="K109" i="1"/>
  <c r="I109" i="1"/>
  <c r="H109" i="1"/>
  <c r="E109" i="1"/>
  <c r="F109" i="1" s="1"/>
  <c r="I192" i="1"/>
  <c r="H192" i="1"/>
  <c r="G192" i="1"/>
  <c r="B192" i="1"/>
  <c r="L192" i="1"/>
  <c r="E192" i="1"/>
  <c r="F192" i="1" s="1"/>
  <c r="D192" i="1"/>
  <c r="C192" i="1"/>
  <c r="C60" i="1"/>
  <c r="B60" i="1"/>
  <c r="L60" i="1"/>
  <c r="I60" i="1"/>
  <c r="H60" i="1"/>
  <c r="G60" i="1"/>
  <c r="E60" i="1"/>
  <c r="F60" i="1" s="1"/>
  <c r="D60" i="1"/>
  <c r="I132" i="1"/>
  <c r="H132" i="1"/>
  <c r="B132" i="1"/>
  <c r="G132" i="1"/>
  <c r="E132" i="1"/>
  <c r="F132" i="1" s="1"/>
  <c r="D132" i="1"/>
  <c r="C132" i="1"/>
  <c r="L132" i="1"/>
  <c r="E188" i="1"/>
  <c r="F188" i="1" s="1"/>
  <c r="D188" i="1"/>
  <c r="C188" i="1"/>
  <c r="B188" i="1"/>
  <c r="I188" i="1"/>
  <c r="L188" i="1"/>
  <c r="H188" i="1"/>
  <c r="G188" i="1"/>
  <c r="D151" i="1"/>
  <c r="C151" i="1"/>
  <c r="B151" i="1"/>
  <c r="I151" i="1"/>
  <c r="H151" i="1"/>
  <c r="L151" i="1"/>
  <c r="K151" i="1"/>
  <c r="G151" i="1"/>
  <c r="E151" i="1"/>
  <c r="F151" i="1" s="1"/>
  <c r="L9" i="1"/>
  <c r="B9" i="1"/>
  <c r="G9" i="1"/>
  <c r="I9" i="1"/>
  <c r="H9" i="1"/>
  <c r="E9" i="1"/>
  <c r="F9" i="1" s="1"/>
  <c r="C9" i="1"/>
  <c r="D9" i="1"/>
  <c r="L158" i="1"/>
  <c r="I158" i="1"/>
  <c r="H158" i="1"/>
  <c r="D158" i="1"/>
  <c r="C158" i="1"/>
  <c r="G158" i="1"/>
  <c r="E158" i="1"/>
  <c r="F158" i="1" s="1"/>
  <c r="B158" i="1"/>
  <c r="N58" i="5"/>
  <c r="B58" i="5"/>
  <c r="M58" i="5"/>
  <c r="L58" i="5"/>
  <c r="K58" i="5"/>
  <c r="H58" i="5"/>
  <c r="G58" i="5"/>
  <c r="E58" i="5"/>
  <c r="F58" i="5" s="1"/>
  <c r="O58" i="5"/>
  <c r="J58" i="5"/>
  <c r="I58" i="5"/>
  <c r="D58" i="5"/>
  <c r="C58" i="5"/>
  <c r="H191" i="1"/>
  <c r="G191" i="1"/>
  <c r="E191" i="1"/>
  <c r="F191" i="1" s="1"/>
  <c r="I191" i="1"/>
  <c r="D191" i="1"/>
  <c r="C191" i="1"/>
  <c r="B191" i="1"/>
  <c r="L191" i="1"/>
  <c r="G202" i="1"/>
  <c r="E202" i="1"/>
  <c r="F202" i="1" s="1"/>
  <c r="D202" i="1"/>
  <c r="L202" i="1"/>
  <c r="I202" i="1"/>
  <c r="H202" i="1"/>
  <c r="C202" i="1"/>
  <c r="B202" i="1"/>
  <c r="H27" i="6"/>
  <c r="N27" i="6"/>
  <c r="B27" i="6"/>
  <c r="K27" i="6"/>
  <c r="J27" i="6"/>
  <c r="I27" i="6"/>
  <c r="G27" i="6"/>
  <c r="F27" i="6"/>
  <c r="E27" i="6"/>
  <c r="D27" i="6"/>
  <c r="C27" i="6"/>
  <c r="M27" i="6"/>
  <c r="L27" i="6"/>
  <c r="N11" i="6"/>
  <c r="B11" i="6"/>
  <c r="M11" i="6"/>
  <c r="L11" i="6"/>
  <c r="K11" i="6"/>
  <c r="J11" i="6"/>
  <c r="I11" i="6"/>
  <c r="H11" i="6"/>
  <c r="G11" i="6"/>
  <c r="D11" i="6"/>
  <c r="C11" i="6"/>
  <c r="F11" i="6"/>
  <c r="E11" i="6"/>
  <c r="M54" i="6"/>
  <c r="L54" i="6"/>
  <c r="K54" i="6"/>
  <c r="I54" i="6"/>
  <c r="E54" i="6"/>
  <c r="G54" i="6"/>
  <c r="F54" i="6"/>
  <c r="D54" i="6"/>
  <c r="C54" i="6"/>
  <c r="B54" i="6"/>
  <c r="N54" i="6"/>
  <c r="J54" i="6"/>
  <c r="H54" i="6"/>
  <c r="N139" i="5"/>
  <c r="B139" i="5"/>
  <c r="L139" i="5"/>
  <c r="K139" i="5"/>
  <c r="J139" i="5"/>
  <c r="I139" i="5"/>
  <c r="H139" i="5"/>
  <c r="O139" i="5"/>
  <c r="M139" i="5"/>
  <c r="E139" i="5"/>
  <c r="F139" i="5" s="1"/>
  <c r="D139" i="5"/>
  <c r="C139" i="5"/>
  <c r="G139" i="5"/>
  <c r="L207" i="1"/>
  <c r="K207" i="1"/>
  <c r="I207" i="1"/>
  <c r="E207" i="1"/>
  <c r="F207" i="1" s="1"/>
  <c r="D207" i="1"/>
  <c r="G207" i="1"/>
  <c r="H207" i="1"/>
  <c r="C207" i="1"/>
  <c r="B207" i="1"/>
  <c r="N33" i="6"/>
  <c r="B33" i="6"/>
  <c r="H33" i="6"/>
  <c r="G33" i="6"/>
  <c r="F33" i="6"/>
  <c r="E33" i="6"/>
  <c r="D33" i="6"/>
  <c r="C33" i="6"/>
  <c r="M33" i="6"/>
  <c r="L33" i="6"/>
  <c r="K33" i="6"/>
  <c r="J33" i="6"/>
  <c r="I33" i="6"/>
  <c r="M98" i="6"/>
  <c r="L98" i="6"/>
  <c r="K98" i="6"/>
  <c r="J98" i="6"/>
  <c r="I98" i="6"/>
  <c r="H98" i="6"/>
  <c r="E98" i="6"/>
  <c r="N98" i="6"/>
  <c r="G98" i="6"/>
  <c r="F98" i="6"/>
  <c r="D98" i="6"/>
  <c r="C98" i="6"/>
  <c r="B98" i="6"/>
  <c r="I149" i="6"/>
  <c r="H149" i="6"/>
  <c r="F149" i="6"/>
  <c r="E149" i="6"/>
  <c r="J149" i="6"/>
  <c r="G149" i="6"/>
  <c r="D149" i="6"/>
  <c r="C149" i="6"/>
  <c r="B149" i="6"/>
  <c r="N149" i="6"/>
  <c r="M149" i="6"/>
  <c r="L149" i="6"/>
  <c r="K149" i="6"/>
  <c r="I165" i="6"/>
  <c r="H165" i="6"/>
  <c r="F165" i="6"/>
  <c r="E165" i="6"/>
  <c r="M165" i="6"/>
  <c r="G165" i="6"/>
  <c r="D165" i="6"/>
  <c r="C165" i="6"/>
  <c r="B165" i="6"/>
  <c r="N165" i="6"/>
  <c r="L165" i="6"/>
  <c r="K165" i="6"/>
  <c r="J165" i="6"/>
  <c r="F5" i="15"/>
  <c r="E5" i="15"/>
  <c r="D5" i="15"/>
  <c r="C5" i="15"/>
  <c r="L5" i="15"/>
  <c r="K5" i="15"/>
  <c r="J5" i="15"/>
  <c r="I5" i="15"/>
  <c r="H5" i="15"/>
  <c r="G5" i="15"/>
  <c r="B5" i="15"/>
  <c r="I55" i="15"/>
  <c r="G55" i="15"/>
  <c r="C55" i="15"/>
  <c r="B55" i="15"/>
  <c r="D55" i="15"/>
  <c r="L55" i="15"/>
  <c r="K55" i="15"/>
  <c r="J55" i="15"/>
  <c r="H55" i="15"/>
  <c r="F55" i="15"/>
  <c r="E55" i="15"/>
  <c r="J96" i="15"/>
  <c r="H96" i="15"/>
  <c r="L96" i="15"/>
  <c r="G96" i="15"/>
  <c r="F96" i="15"/>
  <c r="E96" i="15"/>
  <c r="D96" i="15"/>
  <c r="K96" i="15"/>
  <c r="I96" i="15"/>
  <c r="C96" i="15"/>
  <c r="B96" i="15"/>
  <c r="K133" i="15"/>
  <c r="J133" i="15"/>
  <c r="I133" i="15"/>
  <c r="G133" i="15"/>
  <c r="E133" i="15"/>
  <c r="C133" i="15"/>
  <c r="L133" i="15"/>
  <c r="F133" i="15"/>
  <c r="B133" i="15"/>
  <c r="H133" i="15"/>
  <c r="D133" i="15"/>
  <c r="I172" i="15"/>
  <c r="H172" i="15"/>
  <c r="F172" i="15"/>
  <c r="E172" i="15"/>
  <c r="D172" i="15"/>
  <c r="B172" i="15"/>
  <c r="L172" i="15"/>
  <c r="K172" i="15"/>
  <c r="J172" i="15"/>
  <c r="G172" i="15"/>
  <c r="C172" i="15"/>
  <c r="L205" i="15"/>
  <c r="K205" i="15"/>
  <c r="I205" i="15"/>
  <c r="H205" i="15"/>
  <c r="G205" i="15"/>
  <c r="E205" i="15"/>
  <c r="C205" i="15"/>
  <c r="B205" i="15"/>
  <c r="D205" i="15"/>
  <c r="J205" i="15"/>
  <c r="F205" i="15"/>
  <c r="Z113" i="13"/>
  <c r="K105" i="1" s="1"/>
  <c r="Z77" i="13"/>
  <c r="K155" i="1" s="1"/>
  <c r="C28" i="16"/>
  <c r="L192" i="15"/>
  <c r="J192" i="15"/>
  <c r="I192" i="15"/>
  <c r="H192" i="15"/>
  <c r="F192" i="15"/>
  <c r="K192" i="15"/>
  <c r="G192" i="15"/>
  <c r="E192" i="15"/>
  <c r="D192" i="15"/>
  <c r="C192" i="15"/>
  <c r="B192" i="15"/>
  <c r="G80" i="6"/>
  <c r="F80" i="6"/>
  <c r="E80" i="6"/>
  <c r="D80" i="6"/>
  <c r="C80" i="6"/>
  <c r="N80" i="6"/>
  <c r="B80" i="6"/>
  <c r="K80" i="6"/>
  <c r="M80" i="6"/>
  <c r="L80" i="6"/>
  <c r="J80" i="6"/>
  <c r="H80" i="6"/>
  <c r="I80" i="6"/>
  <c r="K107" i="15"/>
  <c r="I107" i="15"/>
  <c r="E107" i="15"/>
  <c r="F107" i="15"/>
  <c r="C107" i="15"/>
  <c r="L107" i="15"/>
  <c r="G107" i="15"/>
  <c r="D107" i="15"/>
  <c r="B107" i="15"/>
  <c r="J107" i="15"/>
  <c r="H107" i="15"/>
  <c r="N211" i="5"/>
  <c r="B211" i="5"/>
  <c r="L211" i="5"/>
  <c r="K211" i="5"/>
  <c r="J211" i="5"/>
  <c r="I211" i="5"/>
  <c r="H211" i="5"/>
  <c r="G211" i="5"/>
  <c r="E211" i="5"/>
  <c r="F211" i="5" s="1"/>
  <c r="D211" i="5"/>
  <c r="C211" i="5"/>
  <c r="O211" i="5"/>
  <c r="M211" i="5"/>
  <c r="L170" i="1"/>
  <c r="I170" i="1"/>
  <c r="H170" i="1"/>
  <c r="D170" i="1"/>
  <c r="C170" i="1"/>
  <c r="G170" i="1"/>
  <c r="B170" i="1"/>
  <c r="E170" i="1"/>
  <c r="F170" i="1" s="1"/>
  <c r="N181" i="5"/>
  <c r="B181" i="5"/>
  <c r="L181" i="5"/>
  <c r="K181" i="5"/>
  <c r="J181" i="5"/>
  <c r="I181" i="5"/>
  <c r="H181" i="5"/>
  <c r="O181" i="5"/>
  <c r="M181" i="5"/>
  <c r="G181" i="5"/>
  <c r="C181" i="5"/>
  <c r="E181" i="5"/>
  <c r="F181" i="5" s="1"/>
  <c r="D181" i="5"/>
  <c r="L94" i="1"/>
  <c r="H94" i="1"/>
  <c r="I94" i="1"/>
  <c r="G94" i="1"/>
  <c r="E94" i="1"/>
  <c r="F94" i="1" s="1"/>
  <c r="D94" i="1"/>
  <c r="C94" i="1"/>
  <c r="B94" i="1"/>
  <c r="C210" i="1"/>
  <c r="B210" i="1"/>
  <c r="I210" i="1"/>
  <c r="H210" i="1"/>
  <c r="G210" i="1"/>
  <c r="D210" i="1"/>
  <c r="L210" i="1"/>
  <c r="K210" i="1"/>
  <c r="E210" i="1"/>
  <c r="F210" i="1" s="1"/>
  <c r="Z89" i="13"/>
  <c r="Z176" i="13"/>
  <c r="Z20" i="13"/>
  <c r="K116" i="1" s="1"/>
  <c r="Z21" i="13"/>
  <c r="K119" i="1" s="1"/>
  <c r="Z137" i="13"/>
  <c r="Z173" i="13"/>
  <c r="K113" i="1" s="1"/>
  <c r="Z79" i="13"/>
  <c r="Z88" i="13"/>
  <c r="K9" i="1" s="1"/>
  <c r="Z4" i="13"/>
  <c r="K32" i="1" s="1"/>
  <c r="Z159" i="13"/>
  <c r="Z71" i="13"/>
  <c r="K115" i="1" s="1"/>
  <c r="Z52" i="13"/>
  <c r="Z181" i="13"/>
  <c r="Z143" i="13"/>
  <c r="K185" i="1" s="1"/>
  <c r="D225" i="5"/>
  <c r="O225" i="5"/>
  <c r="C225" i="5"/>
  <c r="N225" i="5"/>
  <c r="B225" i="5"/>
  <c r="M225" i="5"/>
  <c r="L225" i="5"/>
  <c r="K225" i="5"/>
  <c r="J225" i="5"/>
  <c r="I225" i="5"/>
  <c r="H225" i="5"/>
  <c r="G225" i="5"/>
  <c r="E225" i="5"/>
  <c r="F225" i="5" s="1"/>
  <c r="J137" i="5"/>
  <c r="H137" i="5"/>
  <c r="G137" i="5"/>
  <c r="E137" i="5"/>
  <c r="F137" i="5" s="1"/>
  <c r="D137" i="5"/>
  <c r="B137" i="5"/>
  <c r="N137" i="5"/>
  <c r="M137" i="5"/>
  <c r="L137" i="5"/>
  <c r="K137" i="5"/>
  <c r="I137" i="5"/>
  <c r="C137" i="5"/>
  <c r="O137" i="5"/>
  <c r="K81" i="15"/>
  <c r="I81" i="15"/>
  <c r="G81" i="15"/>
  <c r="C81" i="15"/>
  <c r="B81" i="15"/>
  <c r="J81" i="15"/>
  <c r="H81" i="15"/>
  <c r="F81" i="15"/>
  <c r="E81" i="15"/>
  <c r="L81" i="15"/>
  <c r="D81" i="15"/>
  <c r="D129" i="5"/>
  <c r="O129" i="5"/>
  <c r="C129" i="5"/>
  <c r="N129" i="5"/>
  <c r="B129" i="5"/>
  <c r="M129" i="5"/>
  <c r="L129" i="5"/>
  <c r="K129" i="5"/>
  <c r="J129" i="5"/>
  <c r="I129" i="5"/>
  <c r="E129" i="5"/>
  <c r="F129" i="5" s="1"/>
  <c r="H129" i="5"/>
  <c r="G129" i="5"/>
  <c r="J179" i="5"/>
  <c r="H179" i="5"/>
  <c r="G179" i="5"/>
  <c r="E179" i="5"/>
  <c r="F179" i="5" s="1"/>
  <c r="D179" i="5"/>
  <c r="O179" i="5"/>
  <c r="L179" i="5"/>
  <c r="K179" i="5"/>
  <c r="I179" i="5"/>
  <c r="C179" i="5"/>
  <c r="B179" i="5"/>
  <c r="M179" i="5"/>
  <c r="N179" i="5"/>
  <c r="N169" i="5"/>
  <c r="B169" i="5"/>
  <c r="L169" i="5"/>
  <c r="K169" i="5"/>
  <c r="J169" i="5"/>
  <c r="I169" i="5"/>
  <c r="H169" i="5"/>
  <c r="G169" i="5"/>
  <c r="E169" i="5"/>
  <c r="F169" i="5" s="1"/>
  <c r="D169" i="5"/>
  <c r="O169" i="5"/>
  <c r="M169" i="5"/>
  <c r="C169" i="5"/>
  <c r="D144" i="5"/>
  <c r="O144" i="5"/>
  <c r="C144" i="5"/>
  <c r="N144" i="5"/>
  <c r="B144" i="5"/>
  <c r="M144" i="5"/>
  <c r="L144" i="5"/>
  <c r="G144" i="5"/>
  <c r="E144" i="5"/>
  <c r="F144" i="5" s="1"/>
  <c r="K144" i="5"/>
  <c r="J144" i="5"/>
  <c r="H144" i="5"/>
  <c r="I144" i="5"/>
  <c r="J53" i="5"/>
  <c r="I53" i="5"/>
  <c r="H53" i="5"/>
  <c r="G53" i="5"/>
  <c r="D53" i="5"/>
  <c r="O53" i="5"/>
  <c r="C53" i="5"/>
  <c r="N53" i="5"/>
  <c r="B53" i="5"/>
  <c r="M53" i="5"/>
  <c r="L53" i="5"/>
  <c r="K53" i="5"/>
  <c r="E53" i="5"/>
  <c r="F53" i="5" s="1"/>
  <c r="C166" i="15"/>
  <c r="B166" i="15"/>
  <c r="L166" i="15"/>
  <c r="K166" i="15"/>
  <c r="J166" i="15"/>
  <c r="H166" i="15"/>
  <c r="I166" i="15"/>
  <c r="F166" i="15"/>
  <c r="D166" i="15"/>
  <c r="G166" i="15"/>
  <c r="E166" i="15"/>
  <c r="L171" i="6"/>
  <c r="G171" i="6"/>
  <c r="D171" i="6"/>
  <c r="C171" i="6"/>
  <c r="N171" i="6"/>
  <c r="K171" i="6"/>
  <c r="I171" i="6"/>
  <c r="J171" i="6"/>
  <c r="H171" i="6"/>
  <c r="F171" i="6"/>
  <c r="E171" i="6"/>
  <c r="B171" i="6"/>
  <c r="M171" i="6"/>
  <c r="J116" i="5"/>
  <c r="H116" i="5"/>
  <c r="G116" i="5"/>
  <c r="E116" i="5"/>
  <c r="F116" i="5" s="1"/>
  <c r="D116" i="5"/>
  <c r="O116" i="5"/>
  <c r="N116" i="5"/>
  <c r="M116" i="5"/>
  <c r="L116" i="5"/>
  <c r="C116" i="5"/>
  <c r="B116" i="5"/>
  <c r="I116" i="5"/>
  <c r="K116" i="5"/>
  <c r="J107" i="5"/>
  <c r="H107" i="5"/>
  <c r="G107" i="5"/>
  <c r="E107" i="5"/>
  <c r="F107" i="5" s="1"/>
  <c r="D107" i="5"/>
  <c r="O107" i="5"/>
  <c r="L107" i="5"/>
  <c r="K107" i="5"/>
  <c r="I107" i="5"/>
  <c r="C107" i="5"/>
  <c r="N107" i="5"/>
  <c r="M107" i="5"/>
  <c r="B107" i="5"/>
  <c r="E60" i="5"/>
  <c r="F60" i="5" s="1"/>
  <c r="D60" i="5"/>
  <c r="O60" i="5"/>
  <c r="C60" i="5"/>
  <c r="L60" i="5"/>
  <c r="K60" i="5"/>
  <c r="J60" i="5"/>
  <c r="I60" i="5"/>
  <c r="N60" i="5"/>
  <c r="M60" i="5"/>
  <c r="H60" i="5"/>
  <c r="G60" i="5"/>
  <c r="B60" i="5"/>
  <c r="G112" i="6"/>
  <c r="F112" i="6"/>
  <c r="E112" i="6"/>
  <c r="D112" i="6"/>
  <c r="C112" i="6"/>
  <c r="N112" i="6"/>
  <c r="B112" i="6"/>
  <c r="K112" i="6"/>
  <c r="M112" i="6"/>
  <c r="L112" i="6"/>
  <c r="J112" i="6"/>
  <c r="H112" i="6"/>
  <c r="I112" i="6"/>
  <c r="D84" i="5"/>
  <c r="O84" i="5"/>
  <c r="C84" i="5"/>
  <c r="N84" i="5"/>
  <c r="B84" i="5"/>
  <c r="M84" i="5"/>
  <c r="L84" i="5"/>
  <c r="I84" i="5"/>
  <c r="H84" i="5"/>
  <c r="G84" i="5"/>
  <c r="E84" i="5"/>
  <c r="F84" i="5" s="1"/>
  <c r="K84" i="5"/>
  <c r="J84" i="5"/>
  <c r="H19" i="6"/>
  <c r="N19" i="6"/>
  <c r="B19" i="6"/>
  <c r="M19" i="6"/>
  <c r="L19" i="6"/>
  <c r="K19" i="6"/>
  <c r="J19" i="6"/>
  <c r="I19" i="6"/>
  <c r="G19" i="6"/>
  <c r="F19" i="6"/>
  <c r="E19" i="6"/>
  <c r="D19" i="6"/>
  <c r="C19" i="6"/>
  <c r="L128" i="6"/>
  <c r="H128" i="6"/>
  <c r="K128" i="6"/>
  <c r="J128" i="6"/>
  <c r="I128" i="6"/>
  <c r="G128" i="6"/>
  <c r="F128" i="6"/>
  <c r="E128" i="6"/>
  <c r="B128" i="6"/>
  <c r="N128" i="6"/>
  <c r="M128" i="6"/>
  <c r="D128" i="6"/>
  <c r="C128" i="6"/>
  <c r="C127" i="6"/>
  <c r="K127" i="6"/>
  <c r="L127" i="6"/>
  <c r="J127" i="6"/>
  <c r="I127" i="6"/>
  <c r="H127" i="6"/>
  <c r="G127" i="6"/>
  <c r="F127" i="6"/>
  <c r="B127" i="6"/>
  <c r="D127" i="6"/>
  <c r="M127" i="6"/>
  <c r="E127" i="6"/>
  <c r="N127" i="6"/>
  <c r="D77" i="6"/>
  <c r="C77" i="6"/>
  <c r="N77" i="6"/>
  <c r="B77" i="6"/>
  <c r="M77" i="6"/>
  <c r="L77" i="6"/>
  <c r="K77" i="6"/>
  <c r="H77" i="6"/>
  <c r="J77" i="6"/>
  <c r="I77" i="6"/>
  <c r="G77" i="6"/>
  <c r="F77" i="6"/>
  <c r="E77" i="6"/>
  <c r="N115" i="5"/>
  <c r="B115" i="5"/>
  <c r="L115" i="5"/>
  <c r="K115" i="5"/>
  <c r="J115" i="5"/>
  <c r="I115" i="5"/>
  <c r="H115" i="5"/>
  <c r="G115" i="5"/>
  <c r="E115" i="5"/>
  <c r="F115" i="5" s="1"/>
  <c r="D115" i="5"/>
  <c r="O115" i="5"/>
  <c r="M115" i="5"/>
  <c r="C115" i="5"/>
  <c r="C190" i="15"/>
  <c r="B190" i="15"/>
  <c r="L190" i="15"/>
  <c r="K190" i="15"/>
  <c r="J190" i="15"/>
  <c r="H190" i="15"/>
  <c r="I190" i="15"/>
  <c r="G190" i="15"/>
  <c r="F190" i="15"/>
  <c r="E190" i="15"/>
  <c r="D190" i="15"/>
  <c r="J176" i="5"/>
  <c r="H176" i="5"/>
  <c r="G176" i="5"/>
  <c r="E176" i="5"/>
  <c r="F176" i="5" s="1"/>
  <c r="D176" i="5"/>
  <c r="M176" i="5"/>
  <c r="L176" i="5"/>
  <c r="K176" i="5"/>
  <c r="I176" i="5"/>
  <c r="C176" i="5"/>
  <c r="O176" i="5"/>
  <c r="B176" i="5"/>
  <c r="N176" i="5"/>
  <c r="D140" i="15"/>
  <c r="C140" i="15"/>
  <c r="B140" i="15"/>
  <c r="L140" i="15"/>
  <c r="J140" i="15"/>
  <c r="H140" i="15"/>
  <c r="I140" i="15"/>
  <c r="F140" i="15"/>
  <c r="K140" i="15"/>
  <c r="G140" i="15"/>
  <c r="E140" i="15"/>
  <c r="J111" i="6"/>
  <c r="I111" i="6"/>
  <c r="H111" i="6"/>
  <c r="G111" i="6"/>
  <c r="F111" i="6"/>
  <c r="E111" i="6"/>
  <c r="N111" i="6"/>
  <c r="B111" i="6"/>
  <c r="M111" i="6"/>
  <c r="L111" i="6"/>
  <c r="K111" i="6"/>
  <c r="D111" i="6"/>
  <c r="C111" i="6"/>
  <c r="D156" i="5"/>
  <c r="O156" i="5"/>
  <c r="C156" i="5"/>
  <c r="N156" i="5"/>
  <c r="B156" i="5"/>
  <c r="M156" i="5"/>
  <c r="L156" i="5"/>
  <c r="I156" i="5"/>
  <c r="H156" i="5"/>
  <c r="G156" i="5"/>
  <c r="E156" i="5"/>
  <c r="F156" i="5" s="1"/>
  <c r="K156" i="5"/>
  <c r="J156" i="5"/>
  <c r="C194" i="6"/>
  <c r="N194" i="6"/>
  <c r="B194" i="6"/>
  <c r="M194" i="6"/>
  <c r="J194" i="6"/>
  <c r="E194" i="6"/>
  <c r="D194" i="6"/>
  <c r="L194" i="6"/>
  <c r="I194" i="6"/>
  <c r="K194" i="6"/>
  <c r="H194" i="6"/>
  <c r="G194" i="6"/>
  <c r="F194" i="6"/>
  <c r="K75" i="15"/>
  <c r="G75" i="15"/>
  <c r="F75" i="15"/>
  <c r="E75" i="15"/>
  <c r="I75" i="15"/>
  <c r="H75" i="15"/>
  <c r="D75" i="15"/>
  <c r="C75" i="15"/>
  <c r="L75" i="15"/>
  <c r="J75" i="15"/>
  <c r="B75" i="15"/>
  <c r="D101" i="6"/>
  <c r="C101" i="6"/>
  <c r="N101" i="6"/>
  <c r="B101" i="6"/>
  <c r="M101" i="6"/>
  <c r="L101" i="6"/>
  <c r="K101" i="6"/>
  <c r="H101" i="6"/>
  <c r="F101" i="6"/>
  <c r="E101" i="6"/>
  <c r="J101" i="6"/>
  <c r="I101" i="6"/>
  <c r="G101" i="6"/>
  <c r="G56" i="6"/>
  <c r="F56" i="6"/>
  <c r="E56" i="6"/>
  <c r="C56" i="6"/>
  <c r="N56" i="6"/>
  <c r="B56" i="6"/>
  <c r="K56" i="6"/>
  <c r="M56" i="6"/>
  <c r="L56" i="6"/>
  <c r="J56" i="6"/>
  <c r="I56" i="6"/>
  <c r="H56" i="6"/>
  <c r="D56" i="6"/>
  <c r="J152" i="5"/>
  <c r="H152" i="5"/>
  <c r="G152" i="5"/>
  <c r="E152" i="5"/>
  <c r="F152" i="5" s="1"/>
  <c r="D152" i="5"/>
  <c r="O152" i="5"/>
  <c r="N152" i="5"/>
  <c r="M152" i="5"/>
  <c r="L152" i="5"/>
  <c r="C152" i="5"/>
  <c r="B152" i="5"/>
  <c r="K152" i="5"/>
  <c r="I152" i="5"/>
  <c r="J122" i="5"/>
  <c r="H122" i="5"/>
  <c r="G122" i="5"/>
  <c r="E122" i="5"/>
  <c r="F122" i="5" s="1"/>
  <c r="D122" i="5"/>
  <c r="M122" i="5"/>
  <c r="L122" i="5"/>
  <c r="K122" i="5"/>
  <c r="I122" i="5"/>
  <c r="O122" i="5"/>
  <c r="N122" i="5"/>
  <c r="C122" i="5"/>
  <c r="B122" i="5"/>
  <c r="B155" i="15"/>
  <c r="K155" i="15"/>
  <c r="J155" i="15"/>
  <c r="I155" i="15"/>
  <c r="G155" i="15"/>
  <c r="F155" i="15"/>
  <c r="E155" i="15"/>
  <c r="D155" i="15"/>
  <c r="C155" i="15"/>
  <c r="H155" i="15"/>
  <c r="L155" i="15"/>
  <c r="K63" i="15"/>
  <c r="G63" i="15"/>
  <c r="F63" i="15"/>
  <c r="E63" i="15"/>
  <c r="I63" i="15"/>
  <c r="H63" i="15"/>
  <c r="D63" i="15"/>
  <c r="C63" i="15"/>
  <c r="J63" i="15"/>
  <c r="B63" i="15"/>
  <c r="L63" i="15"/>
  <c r="J224" i="5"/>
  <c r="H224" i="5"/>
  <c r="G224" i="5"/>
  <c r="E224" i="5"/>
  <c r="F224" i="5" s="1"/>
  <c r="D224" i="5"/>
  <c r="O224" i="5"/>
  <c r="C224" i="5"/>
  <c r="N224" i="5"/>
  <c r="M224" i="5"/>
  <c r="L224" i="5"/>
  <c r="B224" i="5"/>
  <c r="I224" i="5"/>
  <c r="K224" i="5"/>
  <c r="D135" i="5"/>
  <c r="O135" i="5"/>
  <c r="C135" i="5"/>
  <c r="N135" i="5"/>
  <c r="B135" i="5"/>
  <c r="M135" i="5"/>
  <c r="L135" i="5"/>
  <c r="J135" i="5"/>
  <c r="I135" i="5"/>
  <c r="H135" i="5"/>
  <c r="G135" i="5"/>
  <c r="K135" i="5"/>
  <c r="E135" i="5"/>
  <c r="F135" i="5" s="1"/>
  <c r="E25" i="15"/>
  <c r="D25" i="15"/>
  <c r="C25" i="15"/>
  <c r="B25" i="15"/>
  <c r="I25" i="15"/>
  <c r="H25" i="15"/>
  <c r="L25" i="15"/>
  <c r="K25" i="15"/>
  <c r="F25" i="15"/>
  <c r="J25" i="15"/>
  <c r="G25" i="15"/>
  <c r="L180" i="15"/>
  <c r="J180" i="15"/>
  <c r="I180" i="15"/>
  <c r="H180" i="15"/>
  <c r="F180" i="15"/>
  <c r="K180" i="15"/>
  <c r="G180" i="15"/>
  <c r="E180" i="15"/>
  <c r="D180" i="15"/>
  <c r="C180" i="15"/>
  <c r="B180" i="15"/>
  <c r="D216" i="5"/>
  <c r="O216" i="5"/>
  <c r="C216" i="5"/>
  <c r="N216" i="5"/>
  <c r="B216" i="5"/>
  <c r="M216" i="5"/>
  <c r="L216" i="5"/>
  <c r="K216" i="5"/>
  <c r="H216" i="5"/>
  <c r="G216" i="5"/>
  <c r="E216" i="5"/>
  <c r="F216" i="5" s="1"/>
  <c r="I216" i="5"/>
  <c r="J216" i="5"/>
  <c r="F151" i="15"/>
  <c r="E151" i="15"/>
  <c r="C151" i="15"/>
  <c r="B151" i="15"/>
  <c r="K151" i="15"/>
  <c r="L151" i="15"/>
  <c r="J151" i="15"/>
  <c r="I151" i="15"/>
  <c r="G151" i="15"/>
  <c r="H151" i="15"/>
  <c r="D151" i="15"/>
  <c r="I145" i="6"/>
  <c r="F145" i="6"/>
  <c r="E145" i="6"/>
  <c r="B145" i="6"/>
  <c r="N145" i="6"/>
  <c r="M145" i="6"/>
  <c r="L145" i="6"/>
  <c r="H145" i="6"/>
  <c r="J145" i="6"/>
  <c r="G145" i="6"/>
  <c r="D145" i="6"/>
  <c r="C145" i="6"/>
  <c r="K145" i="6"/>
  <c r="J197" i="5"/>
  <c r="H197" i="5"/>
  <c r="G197" i="5"/>
  <c r="E197" i="5"/>
  <c r="F197" i="5" s="1"/>
  <c r="D197" i="5"/>
  <c r="O197" i="5"/>
  <c r="C197" i="5"/>
  <c r="L197" i="5"/>
  <c r="K197" i="5"/>
  <c r="I197" i="5"/>
  <c r="B197" i="5"/>
  <c r="N197" i="5"/>
  <c r="M197" i="5"/>
  <c r="C202" i="6"/>
  <c r="N202" i="6"/>
  <c r="B202" i="6"/>
  <c r="M202" i="6"/>
  <c r="J202" i="6"/>
  <c r="E202" i="6"/>
  <c r="D202" i="6"/>
  <c r="L202" i="6"/>
  <c r="I202" i="6"/>
  <c r="K202" i="6"/>
  <c r="H202" i="6"/>
  <c r="G202" i="6"/>
  <c r="F202" i="6"/>
  <c r="D207" i="5"/>
  <c r="O207" i="5"/>
  <c r="C207" i="5"/>
  <c r="N207" i="5"/>
  <c r="B207" i="5"/>
  <c r="M207" i="5"/>
  <c r="L207" i="5"/>
  <c r="K207" i="5"/>
  <c r="J207" i="5"/>
  <c r="I207" i="5"/>
  <c r="H207" i="5"/>
  <c r="G207" i="5"/>
  <c r="E207" i="5"/>
  <c r="F207" i="5" s="1"/>
  <c r="N25" i="6"/>
  <c r="B25" i="6"/>
  <c r="H25" i="6"/>
  <c r="L25" i="6"/>
  <c r="K25" i="6"/>
  <c r="J25" i="6"/>
  <c r="I25" i="6"/>
  <c r="G25" i="6"/>
  <c r="F25" i="6"/>
  <c r="E25" i="6"/>
  <c r="D25" i="6"/>
  <c r="M25" i="6"/>
  <c r="C25" i="6"/>
  <c r="I193" i="1"/>
  <c r="H193" i="1"/>
  <c r="G193" i="1"/>
  <c r="C193" i="1"/>
  <c r="B193" i="1"/>
  <c r="L193" i="1"/>
  <c r="E193" i="1"/>
  <c r="F193" i="1" s="1"/>
  <c r="D193" i="1"/>
  <c r="I121" i="1"/>
  <c r="G121" i="1"/>
  <c r="C121" i="1"/>
  <c r="B121" i="1"/>
  <c r="E121" i="1"/>
  <c r="F121" i="1" s="1"/>
  <c r="D121" i="1"/>
  <c r="L121" i="1"/>
  <c r="H121" i="1"/>
  <c r="K31" i="1"/>
  <c r="I31" i="1"/>
  <c r="H31" i="1"/>
  <c r="G31" i="1"/>
  <c r="E31" i="1"/>
  <c r="F31" i="1" s="1"/>
  <c r="D31" i="1"/>
  <c r="C31" i="1"/>
  <c r="B31" i="1"/>
  <c r="L31" i="1"/>
  <c r="H77" i="1"/>
  <c r="C77" i="1"/>
  <c r="G77" i="1"/>
  <c r="E77" i="1"/>
  <c r="F77" i="1" s="1"/>
  <c r="D77" i="1"/>
  <c r="B77" i="1"/>
  <c r="L77" i="1"/>
  <c r="I77" i="1"/>
  <c r="I67" i="1"/>
  <c r="H67" i="1"/>
  <c r="E67" i="1"/>
  <c r="F67" i="1" s="1"/>
  <c r="G67" i="1"/>
  <c r="D67" i="1"/>
  <c r="C67" i="1"/>
  <c r="B67" i="1"/>
  <c r="L67" i="1"/>
  <c r="G76" i="1"/>
  <c r="E76" i="1"/>
  <c r="F76" i="1" s="1"/>
  <c r="D76" i="1"/>
  <c r="C76" i="1"/>
  <c r="B76" i="1"/>
  <c r="L76" i="1"/>
  <c r="K76" i="1"/>
  <c r="I76" i="1"/>
  <c r="H76" i="1"/>
  <c r="E39" i="1"/>
  <c r="F39" i="1" s="1"/>
  <c r="D39" i="1"/>
  <c r="C39" i="1"/>
  <c r="H39" i="1"/>
  <c r="B39" i="1"/>
  <c r="L39" i="1"/>
  <c r="I39" i="1"/>
  <c r="G39" i="1"/>
  <c r="N13" i="5"/>
  <c r="B13" i="5"/>
  <c r="M13" i="5"/>
  <c r="L13" i="5"/>
  <c r="K13" i="5"/>
  <c r="H13" i="5"/>
  <c r="G13" i="5"/>
  <c r="E13" i="5"/>
  <c r="F13" i="5" s="1"/>
  <c r="O13" i="5"/>
  <c r="J13" i="5"/>
  <c r="I13" i="5"/>
  <c r="D13" i="5"/>
  <c r="C13" i="5"/>
  <c r="N202" i="5"/>
  <c r="B202" i="5"/>
  <c r="L202" i="5"/>
  <c r="K202" i="5"/>
  <c r="J202" i="5"/>
  <c r="I202" i="5"/>
  <c r="H202" i="5"/>
  <c r="G202" i="5"/>
  <c r="O202" i="5"/>
  <c r="M202" i="5"/>
  <c r="E202" i="5"/>
  <c r="F202" i="5" s="1"/>
  <c r="D202" i="5"/>
  <c r="C202" i="5"/>
  <c r="K157" i="1"/>
  <c r="I157" i="1"/>
  <c r="H157" i="1"/>
  <c r="G157" i="1"/>
  <c r="C157" i="1"/>
  <c r="B157" i="1"/>
  <c r="L157" i="1"/>
  <c r="E157" i="1"/>
  <c r="F157" i="1" s="1"/>
  <c r="D157" i="1"/>
  <c r="I204" i="1"/>
  <c r="H204" i="1"/>
  <c r="G204" i="1"/>
  <c r="C204" i="1"/>
  <c r="B204" i="1"/>
  <c r="L204" i="1"/>
  <c r="K204" i="1"/>
  <c r="E204" i="1"/>
  <c r="F204" i="1" s="1"/>
  <c r="D204" i="1"/>
  <c r="C72" i="1"/>
  <c r="B72" i="1"/>
  <c r="L72" i="1"/>
  <c r="I72" i="1"/>
  <c r="H72" i="1"/>
  <c r="E72" i="1"/>
  <c r="F72" i="1" s="1"/>
  <c r="G72" i="1"/>
  <c r="D72" i="1"/>
  <c r="B11" i="1"/>
  <c r="L11" i="1"/>
  <c r="I11" i="1"/>
  <c r="H11" i="1"/>
  <c r="G11" i="1"/>
  <c r="E11" i="1"/>
  <c r="F11" i="1" s="1"/>
  <c r="D11" i="1"/>
  <c r="C11" i="1"/>
  <c r="N94" i="5"/>
  <c r="B94" i="5"/>
  <c r="L94" i="5"/>
  <c r="K94" i="5"/>
  <c r="J94" i="5"/>
  <c r="I94" i="5"/>
  <c r="H94" i="5"/>
  <c r="M94" i="5"/>
  <c r="G94" i="5"/>
  <c r="E94" i="5"/>
  <c r="F94" i="5" s="1"/>
  <c r="O94" i="5"/>
  <c r="D94" i="5"/>
  <c r="C94" i="5"/>
  <c r="D175" i="1"/>
  <c r="C175" i="1"/>
  <c r="B175" i="1"/>
  <c r="I175" i="1"/>
  <c r="H175" i="1"/>
  <c r="L175" i="1"/>
  <c r="G175" i="1"/>
  <c r="E175" i="1"/>
  <c r="F175" i="1" s="1"/>
  <c r="L21" i="1"/>
  <c r="I21" i="1"/>
  <c r="H21" i="1"/>
  <c r="G21" i="1"/>
  <c r="B21" i="1"/>
  <c r="E21" i="1"/>
  <c r="F21" i="1" s="1"/>
  <c r="D21" i="1"/>
  <c r="C21" i="1"/>
  <c r="L182" i="1"/>
  <c r="I182" i="1"/>
  <c r="H182" i="1"/>
  <c r="D182" i="1"/>
  <c r="C182" i="1"/>
  <c r="G182" i="1"/>
  <c r="E182" i="1"/>
  <c r="F182" i="1" s="1"/>
  <c r="B182" i="1"/>
  <c r="N64" i="5"/>
  <c r="B64" i="5"/>
  <c r="M64" i="5"/>
  <c r="L64" i="5"/>
  <c r="K64" i="5"/>
  <c r="H64" i="5"/>
  <c r="G64" i="5"/>
  <c r="E64" i="5"/>
  <c r="F64" i="5" s="1"/>
  <c r="O64" i="5"/>
  <c r="J64" i="5"/>
  <c r="I64" i="5"/>
  <c r="D64" i="5"/>
  <c r="C64" i="5"/>
  <c r="H203" i="1"/>
  <c r="G203" i="1"/>
  <c r="E203" i="1"/>
  <c r="F203" i="1" s="1"/>
  <c r="B203" i="1"/>
  <c r="D203" i="1"/>
  <c r="C203" i="1"/>
  <c r="L203" i="1"/>
  <c r="I203" i="1"/>
  <c r="G214" i="1"/>
  <c r="E214" i="1"/>
  <c r="F214" i="1" s="1"/>
  <c r="D214" i="1"/>
  <c r="L214" i="1"/>
  <c r="K214" i="1"/>
  <c r="I214" i="1"/>
  <c r="C214" i="1"/>
  <c r="H214" i="1"/>
  <c r="B214" i="1"/>
  <c r="J99" i="6"/>
  <c r="I99" i="6"/>
  <c r="H99" i="6"/>
  <c r="G99" i="6"/>
  <c r="F99" i="6"/>
  <c r="E99" i="6"/>
  <c r="N99" i="6"/>
  <c r="B99" i="6"/>
  <c r="K99" i="6"/>
  <c r="D99" i="6"/>
  <c r="C99" i="6"/>
  <c r="M99" i="6"/>
  <c r="L99" i="6"/>
  <c r="J51" i="6"/>
  <c r="I51" i="6"/>
  <c r="H51" i="6"/>
  <c r="F51" i="6"/>
  <c r="N51" i="6"/>
  <c r="B51" i="6"/>
  <c r="M51" i="6"/>
  <c r="L51" i="6"/>
  <c r="K51" i="6"/>
  <c r="G51" i="6"/>
  <c r="E51" i="6"/>
  <c r="D51" i="6"/>
  <c r="C51" i="6"/>
  <c r="E112" i="1"/>
  <c r="F112" i="1" s="1"/>
  <c r="C112" i="1"/>
  <c r="B112" i="1"/>
  <c r="L112" i="1"/>
  <c r="G112" i="1"/>
  <c r="I112" i="1"/>
  <c r="H112" i="1"/>
  <c r="D112" i="1"/>
  <c r="N175" i="5"/>
  <c r="B175" i="5"/>
  <c r="L175" i="5"/>
  <c r="K175" i="5"/>
  <c r="J175" i="5"/>
  <c r="I175" i="5"/>
  <c r="H175" i="5"/>
  <c r="O175" i="5"/>
  <c r="M175" i="5"/>
  <c r="E175" i="5"/>
  <c r="F175" i="5" s="1"/>
  <c r="D175" i="5"/>
  <c r="C175" i="5"/>
  <c r="G175" i="5"/>
  <c r="L219" i="1"/>
  <c r="K219" i="1"/>
  <c r="I219" i="1"/>
  <c r="E219" i="1"/>
  <c r="F219" i="1" s="1"/>
  <c r="D219" i="1"/>
  <c r="B219" i="1"/>
  <c r="G219" i="1"/>
  <c r="H219" i="1"/>
  <c r="C219" i="1"/>
  <c r="J71" i="6"/>
  <c r="I71" i="6"/>
  <c r="H71" i="6"/>
  <c r="G71" i="6"/>
  <c r="F71" i="6"/>
  <c r="E71" i="6"/>
  <c r="N71" i="6"/>
  <c r="B71" i="6"/>
  <c r="M71" i="6"/>
  <c r="L71" i="6"/>
  <c r="K71" i="6"/>
  <c r="D71" i="6"/>
  <c r="C71" i="6"/>
  <c r="M114" i="6"/>
  <c r="L114" i="6"/>
  <c r="K114" i="6"/>
  <c r="J114" i="6"/>
  <c r="I114" i="6"/>
  <c r="H114" i="6"/>
  <c r="E114" i="6"/>
  <c r="N114" i="6"/>
  <c r="G114" i="6"/>
  <c r="F114" i="6"/>
  <c r="D114" i="6"/>
  <c r="C114" i="6"/>
  <c r="B114" i="6"/>
  <c r="F177" i="6"/>
  <c r="E177" i="6"/>
  <c r="M177" i="6"/>
  <c r="G177" i="6"/>
  <c r="D177" i="6"/>
  <c r="B177" i="6"/>
  <c r="N177" i="6"/>
  <c r="K177" i="6"/>
  <c r="H177" i="6"/>
  <c r="C177" i="6"/>
  <c r="I177" i="6"/>
  <c r="L177" i="6"/>
  <c r="J177" i="6"/>
  <c r="I169" i="6"/>
  <c r="H169" i="6"/>
  <c r="F169" i="6"/>
  <c r="E169" i="6"/>
  <c r="C169" i="6"/>
  <c r="M169" i="6"/>
  <c r="N169" i="6"/>
  <c r="L169" i="6"/>
  <c r="K169" i="6"/>
  <c r="J169" i="6"/>
  <c r="G169" i="6"/>
  <c r="D169" i="6"/>
  <c r="B169" i="6"/>
  <c r="H22" i="15"/>
  <c r="G22" i="15"/>
  <c r="F22" i="15"/>
  <c r="E22" i="15"/>
  <c r="L22" i="15"/>
  <c r="J22" i="15"/>
  <c r="I22" i="15"/>
  <c r="D22" i="15"/>
  <c r="C22" i="15"/>
  <c r="B22" i="15"/>
  <c r="K22" i="15"/>
  <c r="H112" i="15"/>
  <c r="F112" i="15"/>
  <c r="D112" i="15"/>
  <c r="B112" i="15"/>
  <c r="L112" i="15"/>
  <c r="J112" i="15"/>
  <c r="I112" i="15"/>
  <c r="G112" i="15"/>
  <c r="E112" i="15"/>
  <c r="K112" i="15"/>
  <c r="C112" i="15"/>
  <c r="H98" i="15"/>
  <c r="F98" i="15"/>
  <c r="B98" i="15"/>
  <c r="K98" i="15"/>
  <c r="J98" i="15"/>
  <c r="I98" i="15"/>
  <c r="G98" i="15"/>
  <c r="L98" i="15"/>
  <c r="E98" i="15"/>
  <c r="C98" i="15"/>
  <c r="D98" i="15"/>
  <c r="G87" i="15"/>
  <c r="E87" i="15"/>
  <c r="C87" i="15"/>
  <c r="L87" i="15"/>
  <c r="K87" i="15"/>
  <c r="J87" i="15"/>
  <c r="I87" i="15"/>
  <c r="H87" i="15"/>
  <c r="F87" i="15"/>
  <c r="D87" i="15"/>
  <c r="B87" i="15"/>
  <c r="I85" i="15"/>
  <c r="G85" i="15"/>
  <c r="J85" i="15"/>
  <c r="H85" i="15"/>
  <c r="F85" i="15"/>
  <c r="E85" i="15"/>
  <c r="L85" i="15"/>
  <c r="K85" i="15"/>
  <c r="D85" i="15"/>
  <c r="C85" i="15"/>
  <c r="B85" i="15"/>
  <c r="L217" i="15"/>
  <c r="K217" i="15"/>
  <c r="I217" i="15"/>
  <c r="H217" i="15"/>
  <c r="G217" i="15"/>
  <c r="E217" i="15"/>
  <c r="C217" i="15"/>
  <c r="B217" i="15"/>
  <c r="J217" i="15"/>
  <c r="F217" i="15"/>
  <c r="D217" i="15"/>
  <c r="Z47" i="13"/>
  <c r="K29" i="1" s="1"/>
  <c r="Z102" i="13"/>
  <c r="K53" i="1" s="1"/>
  <c r="Z61" i="13"/>
  <c r="K79" i="1" s="1"/>
  <c r="Z22" i="13"/>
  <c r="Z50" i="13"/>
  <c r="K38" i="1" s="1"/>
  <c r="Z94" i="13"/>
  <c r="K11" i="1" s="1"/>
  <c r="Z31" i="13"/>
  <c r="K181" i="1" s="1"/>
  <c r="Z112" i="13"/>
  <c r="K72" i="1" s="1"/>
  <c r="Z98" i="13"/>
  <c r="K33" i="1" s="1"/>
  <c r="Z167" i="13"/>
  <c r="K85" i="1" s="1"/>
  <c r="Z92" i="13"/>
  <c r="Z122" i="13"/>
  <c r="K90" i="1" s="1"/>
  <c r="Z131" i="13"/>
  <c r="Z161" i="13"/>
  <c r="Z130" i="13"/>
  <c r="Z91" i="13"/>
  <c r="Z35" i="13"/>
  <c r="K4" i="1" s="1"/>
  <c r="B37" i="14"/>
  <c r="Z64" i="13"/>
  <c r="Z177" i="13"/>
  <c r="K129" i="1" s="1"/>
  <c r="Z26" i="13"/>
  <c r="Z141" i="13"/>
  <c r="K182" i="1" s="1"/>
  <c r="Z150" i="13"/>
  <c r="Z38" i="13"/>
  <c r="K10" i="1" s="1"/>
  <c r="Z110" i="13"/>
  <c r="Z135" i="13"/>
  <c r="Z72" i="13"/>
  <c r="K117" i="1" s="1"/>
  <c r="Z158" i="13"/>
  <c r="Z69" i="13"/>
  <c r="K104" i="1" s="1"/>
  <c r="Z19" i="13"/>
  <c r="Z70" i="13"/>
  <c r="Z27" i="13"/>
  <c r="Z86" i="13"/>
  <c r="K3" i="1" s="1"/>
  <c r="Z67" i="13"/>
  <c r="Z168" i="13"/>
  <c r="Z170" i="13"/>
  <c r="K99" i="1" s="1"/>
  <c r="Z84" i="13"/>
  <c r="Z54" i="13"/>
  <c r="K55" i="1" s="1"/>
  <c r="Z13" i="13"/>
  <c r="K77" i="1" s="1"/>
  <c r="Z33" i="13"/>
  <c r="K192" i="1" s="1"/>
  <c r="Z81" i="13"/>
  <c r="Z100" i="13"/>
  <c r="K21" i="1" s="1"/>
  <c r="Z123" i="13"/>
  <c r="K97" i="1" s="1"/>
  <c r="Z107" i="13"/>
  <c r="J66" i="15"/>
  <c r="H66" i="15"/>
  <c r="D66" i="15"/>
  <c r="C66" i="15"/>
  <c r="B66" i="15"/>
  <c r="K66" i="15"/>
  <c r="I66" i="15"/>
  <c r="G66" i="15"/>
  <c r="F66" i="15"/>
  <c r="L66" i="15"/>
  <c r="E66" i="15"/>
  <c r="C214" i="15"/>
  <c r="B214" i="15"/>
  <c r="L214" i="15"/>
  <c r="K214" i="15"/>
  <c r="J214" i="15"/>
  <c r="H214" i="15"/>
  <c r="I214" i="15"/>
  <c r="G214" i="15"/>
  <c r="F214" i="15"/>
  <c r="E214" i="15"/>
  <c r="D214" i="15"/>
  <c r="J20" i="15"/>
  <c r="I20" i="15"/>
  <c r="H20" i="15"/>
  <c r="G20" i="15"/>
  <c r="L20" i="15"/>
  <c r="E20" i="15"/>
  <c r="D20" i="15"/>
  <c r="C20" i="15"/>
  <c r="B20" i="15"/>
  <c r="F20" i="15"/>
  <c r="K20" i="15"/>
  <c r="J212" i="5"/>
  <c r="H212" i="5"/>
  <c r="G212" i="5"/>
  <c r="E212" i="5"/>
  <c r="F212" i="5" s="1"/>
  <c r="D212" i="5"/>
  <c r="O212" i="5"/>
  <c r="C212" i="5"/>
  <c r="N212" i="5"/>
  <c r="M212" i="5"/>
  <c r="L212" i="5"/>
  <c r="B212" i="5"/>
  <c r="I212" i="5"/>
  <c r="K212" i="5"/>
  <c r="I42" i="1"/>
  <c r="D42" i="1"/>
  <c r="H42" i="1"/>
  <c r="G42" i="1"/>
  <c r="E42" i="1"/>
  <c r="F42" i="1" s="1"/>
  <c r="C42" i="1"/>
  <c r="B42" i="1"/>
  <c r="L42" i="1"/>
  <c r="K42" i="1"/>
  <c r="G40" i="1"/>
  <c r="E40" i="1"/>
  <c r="F40" i="1" s="1"/>
  <c r="D40" i="1"/>
  <c r="C40" i="1"/>
  <c r="B40" i="1"/>
  <c r="I40" i="1"/>
  <c r="L40" i="1"/>
  <c r="H40" i="1"/>
  <c r="I144" i="1"/>
  <c r="H144" i="1"/>
  <c r="G144" i="1"/>
  <c r="B144" i="1"/>
  <c r="L144" i="1"/>
  <c r="K144" i="1"/>
  <c r="E144" i="1"/>
  <c r="F144" i="1" s="1"/>
  <c r="D144" i="1"/>
  <c r="C144" i="1"/>
  <c r="K217" i="1"/>
  <c r="I217" i="1"/>
  <c r="H217" i="1"/>
  <c r="G217" i="1"/>
  <c r="D217" i="1"/>
  <c r="C217" i="1"/>
  <c r="B217" i="1"/>
  <c r="L217" i="1"/>
  <c r="E217" i="1"/>
  <c r="F217" i="1" s="1"/>
  <c r="N46" i="5"/>
  <c r="B46" i="5"/>
  <c r="M46" i="5"/>
  <c r="L46" i="5"/>
  <c r="K46" i="5"/>
  <c r="H46" i="5"/>
  <c r="G46" i="5"/>
  <c r="E46" i="5"/>
  <c r="F46" i="5" s="1"/>
  <c r="O46" i="5"/>
  <c r="J46" i="5"/>
  <c r="I46" i="5"/>
  <c r="D46" i="5"/>
  <c r="C46" i="5"/>
  <c r="G178" i="1"/>
  <c r="E178" i="1"/>
  <c r="F178" i="1" s="1"/>
  <c r="D178" i="1"/>
  <c r="L178" i="1"/>
  <c r="H178" i="1"/>
  <c r="C178" i="1"/>
  <c r="B178" i="1"/>
  <c r="I178" i="1"/>
  <c r="B221" i="1"/>
  <c r="L221" i="1"/>
  <c r="H221" i="1"/>
  <c r="G221" i="1"/>
  <c r="I221" i="1"/>
  <c r="E221" i="1"/>
  <c r="F221" i="1" s="1"/>
  <c r="D221" i="1"/>
  <c r="C221" i="1"/>
  <c r="K221" i="1"/>
  <c r="L183" i="1"/>
  <c r="I183" i="1"/>
  <c r="E183" i="1"/>
  <c r="F183" i="1" s="1"/>
  <c r="D183" i="1"/>
  <c r="H183" i="1"/>
  <c r="G183" i="1"/>
  <c r="C183" i="1"/>
  <c r="B183" i="1"/>
  <c r="M118" i="6"/>
  <c r="L118" i="6"/>
  <c r="K118" i="6"/>
  <c r="J118" i="6"/>
  <c r="I118" i="6"/>
  <c r="H118" i="6"/>
  <c r="E118" i="6"/>
  <c r="N118" i="6"/>
  <c r="G118" i="6"/>
  <c r="F118" i="6"/>
  <c r="D118" i="6"/>
  <c r="C118" i="6"/>
  <c r="B118" i="6"/>
  <c r="L108" i="15"/>
  <c r="J108" i="15"/>
  <c r="H108" i="15"/>
  <c r="D108" i="15"/>
  <c r="K108" i="15"/>
  <c r="G108" i="15"/>
  <c r="C108" i="15"/>
  <c r="B108" i="15"/>
  <c r="I108" i="15"/>
  <c r="F108" i="15"/>
  <c r="E108" i="15"/>
  <c r="B106" i="15"/>
  <c r="L106" i="15"/>
  <c r="J106" i="15"/>
  <c r="D106" i="15"/>
  <c r="K106" i="15"/>
  <c r="I106" i="15"/>
  <c r="H106" i="15"/>
  <c r="E106" i="15"/>
  <c r="C106" i="15"/>
  <c r="G106" i="15"/>
  <c r="F106" i="15"/>
  <c r="Z9" i="13"/>
  <c r="F126" i="6"/>
  <c r="N126" i="6"/>
  <c r="B126" i="6"/>
  <c r="L126" i="6"/>
  <c r="K126" i="6"/>
  <c r="J126" i="6"/>
  <c r="I126" i="6"/>
  <c r="H126" i="6"/>
  <c r="G126" i="6"/>
  <c r="C126" i="6"/>
  <c r="M126" i="6"/>
  <c r="E126" i="6"/>
  <c r="D126" i="6"/>
  <c r="J32" i="5"/>
  <c r="I32" i="5"/>
  <c r="H32" i="5"/>
  <c r="G32" i="5"/>
  <c r="D32" i="5"/>
  <c r="O32" i="5"/>
  <c r="C32" i="5"/>
  <c r="N32" i="5"/>
  <c r="B32" i="5"/>
  <c r="M32" i="5"/>
  <c r="L32" i="5"/>
  <c r="K32" i="5"/>
  <c r="E32" i="5"/>
  <c r="F32" i="5" s="1"/>
  <c r="E127" i="15"/>
  <c r="D127" i="15"/>
  <c r="C127" i="15"/>
  <c r="K127" i="15"/>
  <c r="I127" i="15"/>
  <c r="L127" i="15"/>
  <c r="J127" i="15"/>
  <c r="H127" i="15"/>
  <c r="G127" i="15"/>
  <c r="B127" i="15"/>
  <c r="F127" i="15"/>
  <c r="D49" i="6"/>
  <c r="C49" i="6"/>
  <c r="N49" i="6"/>
  <c r="B49" i="6"/>
  <c r="L49" i="6"/>
  <c r="H49" i="6"/>
  <c r="E49" i="6"/>
  <c r="M49" i="6"/>
  <c r="K49" i="6"/>
  <c r="G49" i="6"/>
  <c r="F49" i="6"/>
  <c r="I49" i="6"/>
  <c r="J49" i="6"/>
  <c r="D123" i="5"/>
  <c r="O123" i="5"/>
  <c r="C123" i="5"/>
  <c r="N123" i="5"/>
  <c r="B123" i="5"/>
  <c r="M123" i="5"/>
  <c r="L123" i="5"/>
  <c r="K123" i="5"/>
  <c r="H123" i="5"/>
  <c r="G123" i="5"/>
  <c r="E123" i="5"/>
  <c r="F123" i="5" s="1"/>
  <c r="I123" i="5"/>
  <c r="J123" i="5"/>
  <c r="J23" i="5"/>
  <c r="I23" i="5"/>
  <c r="H23" i="5"/>
  <c r="G23" i="5"/>
  <c r="D23" i="5"/>
  <c r="O23" i="5"/>
  <c r="C23" i="5"/>
  <c r="N23" i="5"/>
  <c r="B23" i="5"/>
  <c r="M23" i="5"/>
  <c r="L23" i="5"/>
  <c r="K23" i="5"/>
  <c r="E23" i="5"/>
  <c r="F23" i="5" s="1"/>
  <c r="N217" i="5"/>
  <c r="B217" i="5"/>
  <c r="L217" i="5"/>
  <c r="K217" i="5"/>
  <c r="J217" i="5"/>
  <c r="I217" i="5"/>
  <c r="H217" i="5"/>
  <c r="G217" i="5"/>
  <c r="O217" i="5"/>
  <c r="E217" i="5"/>
  <c r="F217" i="5" s="1"/>
  <c r="D217" i="5"/>
  <c r="C217" i="5"/>
  <c r="M217" i="5"/>
  <c r="J101" i="5"/>
  <c r="H101" i="5"/>
  <c r="G101" i="5"/>
  <c r="E101" i="5"/>
  <c r="F101" i="5" s="1"/>
  <c r="D101" i="5"/>
  <c r="B101" i="5"/>
  <c r="N101" i="5"/>
  <c r="M101" i="5"/>
  <c r="L101" i="5"/>
  <c r="K101" i="5"/>
  <c r="O101" i="5"/>
  <c r="I101" i="5"/>
  <c r="C101" i="5"/>
  <c r="J143" i="5"/>
  <c r="H143" i="5"/>
  <c r="G143" i="5"/>
  <c r="E143" i="5"/>
  <c r="F143" i="5" s="1"/>
  <c r="D143" i="5"/>
  <c r="O143" i="5"/>
  <c r="L143" i="5"/>
  <c r="K143" i="5"/>
  <c r="I143" i="5"/>
  <c r="C143" i="5"/>
  <c r="N143" i="5"/>
  <c r="M143" i="5"/>
  <c r="B143" i="5"/>
  <c r="F46" i="15"/>
  <c r="D46" i="15"/>
  <c r="L46" i="15"/>
  <c r="J46" i="15"/>
  <c r="I46" i="15"/>
  <c r="H46" i="15"/>
  <c r="G46" i="15"/>
  <c r="B46" i="15"/>
  <c r="K46" i="15"/>
  <c r="E46" i="15"/>
  <c r="C46" i="15"/>
  <c r="E36" i="5"/>
  <c r="F36" i="5" s="1"/>
  <c r="D36" i="5"/>
  <c r="O36" i="5"/>
  <c r="C36" i="5"/>
  <c r="L36" i="5"/>
  <c r="K36" i="5"/>
  <c r="J36" i="5"/>
  <c r="I36" i="5"/>
  <c r="N36" i="5"/>
  <c r="M36" i="5"/>
  <c r="H36" i="5"/>
  <c r="G36" i="5"/>
  <c r="B36" i="5"/>
  <c r="D153" i="15"/>
  <c r="C153" i="15"/>
  <c r="L153" i="15"/>
  <c r="K153" i="15"/>
  <c r="I153" i="15"/>
  <c r="J153" i="15"/>
  <c r="H153" i="15"/>
  <c r="G153" i="15"/>
  <c r="F153" i="15"/>
  <c r="E153" i="15"/>
  <c r="B153" i="15"/>
  <c r="D186" i="5"/>
  <c r="O186" i="5"/>
  <c r="C186" i="5"/>
  <c r="N186" i="5"/>
  <c r="B186" i="5"/>
  <c r="M186" i="5"/>
  <c r="L186" i="5"/>
  <c r="K186" i="5"/>
  <c r="J186" i="5"/>
  <c r="I186" i="5"/>
  <c r="H186" i="5"/>
  <c r="G186" i="5"/>
  <c r="E186" i="5"/>
  <c r="F186" i="5" s="1"/>
  <c r="J8" i="5"/>
  <c r="I8" i="5"/>
  <c r="H8" i="5"/>
  <c r="G8" i="5"/>
  <c r="D8" i="5"/>
  <c r="O8" i="5"/>
  <c r="C8" i="5"/>
  <c r="N8" i="5"/>
  <c r="B8" i="5"/>
  <c r="M8" i="5"/>
  <c r="L8" i="5"/>
  <c r="K8" i="5"/>
  <c r="E8" i="5"/>
  <c r="F8" i="5" s="1"/>
  <c r="F58" i="15"/>
  <c r="D58" i="15"/>
  <c r="L58" i="15"/>
  <c r="K58" i="15"/>
  <c r="J58" i="15"/>
  <c r="G58" i="15"/>
  <c r="E58" i="15"/>
  <c r="C58" i="15"/>
  <c r="B58" i="15"/>
  <c r="H58" i="15"/>
  <c r="I58" i="15"/>
  <c r="E57" i="5"/>
  <c r="F57" i="5" s="1"/>
  <c r="D57" i="5"/>
  <c r="O57" i="5"/>
  <c r="C57" i="5"/>
  <c r="L57" i="5"/>
  <c r="K57" i="5"/>
  <c r="J57" i="5"/>
  <c r="I57" i="5"/>
  <c r="G57" i="5"/>
  <c r="B57" i="5"/>
  <c r="N57" i="5"/>
  <c r="M57" i="5"/>
  <c r="H57" i="5"/>
  <c r="G4" i="15"/>
  <c r="F4" i="15"/>
  <c r="E4" i="15"/>
  <c r="D4" i="15"/>
  <c r="L4" i="15"/>
  <c r="K4" i="15"/>
  <c r="J4" i="15"/>
  <c r="I4" i="15"/>
  <c r="C4" i="15"/>
  <c r="H4" i="15"/>
  <c r="B4" i="15"/>
  <c r="D204" i="5"/>
  <c r="O204" i="5"/>
  <c r="C204" i="5"/>
  <c r="N204" i="5"/>
  <c r="B204" i="5"/>
  <c r="M204" i="5"/>
  <c r="L204" i="5"/>
  <c r="K204" i="5"/>
  <c r="H204" i="5"/>
  <c r="G204" i="5"/>
  <c r="E204" i="5"/>
  <c r="F204" i="5" s="1"/>
  <c r="J204" i="5"/>
  <c r="I204" i="5"/>
  <c r="N124" i="5"/>
  <c r="B124" i="5"/>
  <c r="L124" i="5"/>
  <c r="K124" i="5"/>
  <c r="J124" i="5"/>
  <c r="I124" i="5"/>
  <c r="H124" i="5"/>
  <c r="D124" i="5"/>
  <c r="C124" i="5"/>
  <c r="O124" i="5"/>
  <c r="M124" i="5"/>
  <c r="G124" i="5"/>
  <c r="E124" i="5"/>
  <c r="F124" i="5" s="1"/>
  <c r="G116" i="6"/>
  <c r="F116" i="6"/>
  <c r="E116" i="6"/>
  <c r="D116" i="6"/>
  <c r="C116" i="6"/>
  <c r="N116" i="6"/>
  <c r="B116" i="6"/>
  <c r="K116" i="6"/>
  <c r="M116" i="6"/>
  <c r="L116" i="6"/>
  <c r="J116" i="6"/>
  <c r="I116" i="6"/>
  <c r="H116" i="6"/>
  <c r="B167" i="15"/>
  <c r="K167" i="15"/>
  <c r="J167" i="15"/>
  <c r="I167" i="15"/>
  <c r="G167" i="15"/>
  <c r="F167" i="15"/>
  <c r="E167" i="15"/>
  <c r="D167" i="15"/>
  <c r="C167" i="15"/>
  <c r="L167" i="15"/>
  <c r="H167" i="15"/>
  <c r="F166" i="6"/>
  <c r="E166" i="6"/>
  <c r="C166" i="6"/>
  <c r="N166" i="6"/>
  <c r="B166" i="6"/>
  <c r="L166" i="6"/>
  <c r="J166" i="6"/>
  <c r="M166" i="6"/>
  <c r="K166" i="6"/>
  <c r="I166" i="6"/>
  <c r="H166" i="6"/>
  <c r="G166" i="6"/>
  <c r="D166" i="6"/>
  <c r="E45" i="5"/>
  <c r="F45" i="5" s="1"/>
  <c r="D45" i="5"/>
  <c r="O45" i="5"/>
  <c r="C45" i="5"/>
  <c r="L45" i="5"/>
  <c r="K45" i="5"/>
  <c r="J45" i="5"/>
  <c r="I45" i="5"/>
  <c r="G45" i="5"/>
  <c r="B45" i="5"/>
  <c r="N45" i="5"/>
  <c r="M45" i="5"/>
  <c r="H45" i="5"/>
  <c r="N178" i="5"/>
  <c r="B178" i="5"/>
  <c r="L178" i="5"/>
  <c r="K178" i="5"/>
  <c r="J178" i="5"/>
  <c r="I178" i="5"/>
  <c r="H178" i="5"/>
  <c r="O178" i="5"/>
  <c r="M178" i="5"/>
  <c r="G178" i="5"/>
  <c r="D178" i="5"/>
  <c r="C178" i="5"/>
  <c r="E178" i="5"/>
  <c r="F178" i="5" s="1"/>
  <c r="D93" i="5"/>
  <c r="O93" i="5"/>
  <c r="C93" i="5"/>
  <c r="N93" i="5"/>
  <c r="B93" i="5"/>
  <c r="M93" i="5"/>
  <c r="L93" i="5"/>
  <c r="K93" i="5"/>
  <c r="J93" i="5"/>
  <c r="I93" i="5"/>
  <c r="E93" i="5"/>
  <c r="F93" i="5" s="1"/>
  <c r="H93" i="5"/>
  <c r="G93" i="5"/>
  <c r="L119" i="15"/>
  <c r="K119" i="15"/>
  <c r="I119" i="15"/>
  <c r="G119" i="15"/>
  <c r="E119" i="15"/>
  <c r="H119" i="15"/>
  <c r="C119" i="15"/>
  <c r="B119" i="15"/>
  <c r="J119" i="15"/>
  <c r="F119" i="15"/>
  <c r="D119" i="15"/>
  <c r="L94" i="15"/>
  <c r="J94" i="15"/>
  <c r="K94" i="15"/>
  <c r="H94" i="15"/>
  <c r="E94" i="15"/>
  <c r="D94" i="15"/>
  <c r="C94" i="15"/>
  <c r="B94" i="15"/>
  <c r="I94" i="15"/>
  <c r="G94" i="15"/>
  <c r="F94" i="15"/>
  <c r="H17" i="6"/>
  <c r="G17" i="6"/>
  <c r="F17" i="6"/>
  <c r="E17" i="6"/>
  <c r="D17" i="6"/>
  <c r="C17" i="6"/>
  <c r="N17" i="6"/>
  <c r="B17" i="6"/>
  <c r="M17" i="6"/>
  <c r="J17" i="6"/>
  <c r="I17" i="6"/>
  <c r="K17" i="6"/>
  <c r="L17" i="6"/>
  <c r="J95" i="6"/>
  <c r="I95" i="6"/>
  <c r="H95" i="6"/>
  <c r="G95" i="6"/>
  <c r="F95" i="6"/>
  <c r="E95" i="6"/>
  <c r="N95" i="6"/>
  <c r="B95" i="6"/>
  <c r="M95" i="6"/>
  <c r="L95" i="6"/>
  <c r="K95" i="6"/>
  <c r="D95" i="6"/>
  <c r="C95" i="6"/>
  <c r="J54" i="15"/>
  <c r="H54" i="15"/>
  <c r="D54" i="15"/>
  <c r="L54" i="15"/>
  <c r="G54" i="15"/>
  <c r="E54" i="15"/>
  <c r="C54" i="15"/>
  <c r="K54" i="15"/>
  <c r="I54" i="15"/>
  <c r="F54" i="15"/>
  <c r="B54" i="15"/>
  <c r="E89" i="15"/>
  <c r="C89" i="15"/>
  <c r="G89" i="15"/>
  <c r="D89" i="15"/>
  <c r="L89" i="15"/>
  <c r="K89" i="15"/>
  <c r="J89" i="15"/>
  <c r="I89" i="15"/>
  <c r="B89" i="15"/>
  <c r="H89" i="15"/>
  <c r="F89" i="15"/>
  <c r="K42" i="6"/>
  <c r="I42" i="6"/>
  <c r="E42" i="6"/>
  <c r="C42" i="6"/>
  <c r="B42" i="6"/>
  <c r="N42" i="6"/>
  <c r="M42" i="6"/>
  <c r="L42" i="6"/>
  <c r="J42" i="6"/>
  <c r="H42" i="6"/>
  <c r="D42" i="6"/>
  <c r="G42" i="6"/>
  <c r="F42" i="6"/>
  <c r="J219" i="15"/>
  <c r="I219" i="15"/>
  <c r="G219" i="15"/>
  <c r="F219" i="15"/>
  <c r="E219" i="15"/>
  <c r="C219" i="15"/>
  <c r="L219" i="15"/>
  <c r="K219" i="15"/>
  <c r="D219" i="15"/>
  <c r="B219" i="15"/>
  <c r="H219" i="15"/>
  <c r="D81" i="6"/>
  <c r="C81" i="6"/>
  <c r="N81" i="6"/>
  <c r="B81" i="6"/>
  <c r="M81" i="6"/>
  <c r="L81" i="6"/>
  <c r="K81" i="6"/>
  <c r="H81" i="6"/>
  <c r="J81" i="6"/>
  <c r="I81" i="6"/>
  <c r="G81" i="6"/>
  <c r="F81" i="6"/>
  <c r="E81" i="6"/>
  <c r="E33" i="5"/>
  <c r="F33" i="5" s="1"/>
  <c r="D33" i="5"/>
  <c r="O33" i="5"/>
  <c r="C33" i="5"/>
  <c r="L33" i="5"/>
  <c r="K33" i="5"/>
  <c r="J33" i="5"/>
  <c r="I33" i="5"/>
  <c r="N33" i="5"/>
  <c r="G33" i="5"/>
  <c r="M33" i="5"/>
  <c r="H33" i="5"/>
  <c r="B33" i="5"/>
  <c r="F170" i="6"/>
  <c r="E170" i="6"/>
  <c r="C170" i="6"/>
  <c r="N170" i="6"/>
  <c r="B170" i="6"/>
  <c r="L170" i="6"/>
  <c r="J170" i="6"/>
  <c r="I170" i="6"/>
  <c r="D170" i="6"/>
  <c r="M170" i="6"/>
  <c r="H170" i="6"/>
  <c r="G170" i="6"/>
  <c r="K170" i="6"/>
  <c r="J200" i="5"/>
  <c r="H200" i="5"/>
  <c r="G200" i="5"/>
  <c r="E200" i="5"/>
  <c r="F200" i="5" s="1"/>
  <c r="D200" i="5"/>
  <c r="O200" i="5"/>
  <c r="C200" i="5"/>
  <c r="N200" i="5"/>
  <c r="M200" i="5"/>
  <c r="L200" i="5"/>
  <c r="B200" i="5"/>
  <c r="K200" i="5"/>
  <c r="I200" i="5"/>
  <c r="H23" i="6"/>
  <c r="N23" i="6"/>
  <c r="B23" i="6"/>
  <c r="M23" i="6"/>
  <c r="L23" i="6"/>
  <c r="K23" i="6"/>
  <c r="J23" i="6"/>
  <c r="I23" i="6"/>
  <c r="G23" i="6"/>
  <c r="F23" i="6"/>
  <c r="E23" i="6"/>
  <c r="D23" i="6"/>
  <c r="C23" i="6"/>
  <c r="L80" i="1"/>
  <c r="I80" i="1"/>
  <c r="H80" i="1"/>
  <c r="G80" i="1"/>
  <c r="E80" i="1"/>
  <c r="F80" i="1" s="1"/>
  <c r="D80" i="1"/>
  <c r="C80" i="1"/>
  <c r="B80" i="1"/>
  <c r="E141" i="1"/>
  <c r="F141" i="1" s="1"/>
  <c r="D141" i="1"/>
  <c r="C141" i="1"/>
  <c r="L141" i="1"/>
  <c r="K141" i="1"/>
  <c r="G141" i="1"/>
  <c r="B141" i="1"/>
  <c r="I141" i="1"/>
  <c r="H141" i="1"/>
  <c r="I79" i="1"/>
  <c r="H79" i="1"/>
  <c r="G79" i="1"/>
  <c r="E79" i="1"/>
  <c r="F79" i="1" s="1"/>
  <c r="D79" i="1"/>
  <c r="C79" i="1"/>
  <c r="B79" i="1"/>
  <c r="L79" i="1"/>
  <c r="H89" i="1"/>
  <c r="G89" i="1"/>
  <c r="E89" i="1"/>
  <c r="F89" i="1" s="1"/>
  <c r="D89" i="1"/>
  <c r="C89" i="1"/>
  <c r="B89" i="1"/>
  <c r="L89" i="1"/>
  <c r="I89" i="1"/>
  <c r="K91" i="1"/>
  <c r="E91" i="1"/>
  <c r="F91" i="1" s="1"/>
  <c r="I91" i="1"/>
  <c r="H91" i="1"/>
  <c r="G91" i="1"/>
  <c r="D91" i="1"/>
  <c r="C91" i="1"/>
  <c r="B91" i="1"/>
  <c r="L91" i="1"/>
  <c r="G88" i="1"/>
  <c r="B88" i="1"/>
  <c r="E88" i="1"/>
  <c r="F88" i="1" s="1"/>
  <c r="D88" i="1"/>
  <c r="C88" i="1"/>
  <c r="K88" i="1"/>
  <c r="L88" i="1"/>
  <c r="I88" i="1"/>
  <c r="H88" i="1"/>
  <c r="E51" i="1"/>
  <c r="F51" i="1" s="1"/>
  <c r="D51" i="1"/>
  <c r="H51" i="1"/>
  <c r="C51" i="1"/>
  <c r="B51" i="1"/>
  <c r="L51" i="1"/>
  <c r="I51" i="1"/>
  <c r="G51" i="1"/>
  <c r="N19" i="5"/>
  <c r="B19" i="5"/>
  <c r="M19" i="5"/>
  <c r="L19" i="5"/>
  <c r="K19" i="5"/>
  <c r="H19" i="5"/>
  <c r="G19" i="5"/>
  <c r="E19" i="5"/>
  <c r="F19" i="5" s="1"/>
  <c r="O19" i="5"/>
  <c r="D19" i="5"/>
  <c r="J19" i="5"/>
  <c r="I19" i="5"/>
  <c r="C19" i="5"/>
  <c r="K43" i="1"/>
  <c r="I43" i="1"/>
  <c r="H43" i="1"/>
  <c r="E43" i="1"/>
  <c r="F43" i="1" s="1"/>
  <c r="G43" i="1"/>
  <c r="D43" i="1"/>
  <c r="C43" i="1"/>
  <c r="B43" i="1"/>
  <c r="L43" i="1"/>
  <c r="D13" i="1"/>
  <c r="L13" i="1"/>
  <c r="C13" i="1"/>
  <c r="B13" i="1"/>
  <c r="I13" i="1"/>
  <c r="G13" i="1"/>
  <c r="H13" i="1"/>
  <c r="E13" i="1"/>
  <c r="F13" i="1" s="1"/>
  <c r="E212" i="1"/>
  <c r="F212" i="1" s="1"/>
  <c r="D212" i="1"/>
  <c r="C212" i="1"/>
  <c r="B212" i="1"/>
  <c r="L212" i="1"/>
  <c r="K212" i="1"/>
  <c r="I212" i="1"/>
  <c r="H212" i="1"/>
  <c r="G212" i="1"/>
  <c r="C84" i="1"/>
  <c r="B84" i="1"/>
  <c r="L84" i="1"/>
  <c r="I84" i="1"/>
  <c r="H84" i="1"/>
  <c r="G84" i="1"/>
  <c r="E84" i="1"/>
  <c r="F84" i="1" s="1"/>
  <c r="D84" i="1"/>
  <c r="B23" i="1"/>
  <c r="L23" i="1"/>
  <c r="I23" i="1"/>
  <c r="K23" i="1"/>
  <c r="H23" i="1"/>
  <c r="G23" i="1"/>
  <c r="E23" i="1"/>
  <c r="F23" i="1" s="1"/>
  <c r="D23" i="1"/>
  <c r="C23" i="1"/>
  <c r="K26" i="6"/>
  <c r="E26" i="6"/>
  <c r="L26" i="6"/>
  <c r="J26" i="6"/>
  <c r="I26" i="6"/>
  <c r="H26" i="6"/>
  <c r="G26" i="6"/>
  <c r="F26" i="6"/>
  <c r="D26" i="6"/>
  <c r="C26" i="6"/>
  <c r="M26" i="6"/>
  <c r="B26" i="6"/>
  <c r="N26" i="6"/>
  <c r="L218" i="1"/>
  <c r="K218" i="1"/>
  <c r="I218" i="1"/>
  <c r="H218" i="1"/>
  <c r="E218" i="1"/>
  <c r="F218" i="1" s="1"/>
  <c r="D218" i="1"/>
  <c r="C218" i="1"/>
  <c r="G218" i="1"/>
  <c r="B218" i="1"/>
  <c r="L33" i="1"/>
  <c r="I33" i="1"/>
  <c r="H33" i="1"/>
  <c r="G33" i="1"/>
  <c r="E33" i="1"/>
  <c r="F33" i="1" s="1"/>
  <c r="B33" i="1"/>
  <c r="D33" i="1"/>
  <c r="C33" i="1"/>
  <c r="K205" i="1"/>
  <c r="I205" i="1"/>
  <c r="H205" i="1"/>
  <c r="G205" i="1"/>
  <c r="D205" i="1"/>
  <c r="C205" i="1"/>
  <c r="B205" i="1"/>
  <c r="L205" i="1"/>
  <c r="E205" i="1"/>
  <c r="F205" i="1" s="1"/>
  <c r="N70" i="5"/>
  <c r="B70" i="5"/>
  <c r="M70" i="5"/>
  <c r="L70" i="5"/>
  <c r="K70" i="5"/>
  <c r="H70" i="5"/>
  <c r="G70" i="5"/>
  <c r="E70" i="5"/>
  <c r="F70" i="5" s="1"/>
  <c r="O70" i="5"/>
  <c r="J70" i="5"/>
  <c r="I70" i="5"/>
  <c r="D70" i="5"/>
  <c r="C70" i="5"/>
  <c r="H215" i="1"/>
  <c r="G215" i="1"/>
  <c r="E215" i="1"/>
  <c r="F215" i="1" s="1"/>
  <c r="B215" i="1"/>
  <c r="L215" i="1"/>
  <c r="K215" i="1"/>
  <c r="I215" i="1"/>
  <c r="D215" i="1"/>
  <c r="C215" i="1"/>
  <c r="N85" i="5"/>
  <c r="B85" i="5"/>
  <c r="L85" i="5"/>
  <c r="K85" i="5"/>
  <c r="J85" i="5"/>
  <c r="I85" i="5"/>
  <c r="H85" i="5"/>
  <c r="E85" i="5"/>
  <c r="F85" i="5" s="1"/>
  <c r="D85" i="5"/>
  <c r="C85" i="5"/>
  <c r="O85" i="5"/>
  <c r="M85" i="5"/>
  <c r="G85" i="5"/>
  <c r="C114" i="1"/>
  <c r="B114" i="1"/>
  <c r="H114" i="1"/>
  <c r="G114" i="1"/>
  <c r="L114" i="1"/>
  <c r="I114" i="1"/>
  <c r="E114" i="1"/>
  <c r="F114" i="1" s="1"/>
  <c r="D114" i="1"/>
  <c r="J115" i="6"/>
  <c r="I115" i="6"/>
  <c r="H115" i="6"/>
  <c r="G115" i="6"/>
  <c r="F115" i="6"/>
  <c r="E115" i="6"/>
  <c r="N115" i="6"/>
  <c r="B115" i="6"/>
  <c r="K115" i="6"/>
  <c r="D115" i="6"/>
  <c r="C115" i="6"/>
  <c r="M115" i="6"/>
  <c r="L115" i="6"/>
  <c r="E124" i="1"/>
  <c r="F124" i="1" s="1"/>
  <c r="G124" i="1"/>
  <c r="L124" i="1"/>
  <c r="I124" i="1"/>
  <c r="H124" i="1"/>
  <c r="D124" i="1"/>
  <c r="C124" i="1"/>
  <c r="B124" i="1"/>
  <c r="N3" i="6"/>
  <c r="B3" i="6"/>
  <c r="M3" i="6"/>
  <c r="L3" i="6"/>
  <c r="K3" i="6"/>
  <c r="J3" i="6"/>
  <c r="I3" i="6"/>
  <c r="H3" i="6"/>
  <c r="G3" i="6"/>
  <c r="F3" i="6"/>
  <c r="E3" i="6"/>
  <c r="D3" i="6"/>
  <c r="C3" i="6"/>
  <c r="D45" i="6"/>
  <c r="N45" i="6"/>
  <c r="B45" i="6"/>
  <c r="L45" i="6"/>
  <c r="H45" i="6"/>
  <c r="I45" i="6"/>
  <c r="G45" i="6"/>
  <c r="F45" i="6"/>
  <c r="E45" i="6"/>
  <c r="C45" i="6"/>
  <c r="M45" i="6"/>
  <c r="K45" i="6"/>
  <c r="J45" i="6"/>
  <c r="J87" i="6"/>
  <c r="I87" i="6"/>
  <c r="H87" i="6"/>
  <c r="G87" i="6"/>
  <c r="F87" i="6"/>
  <c r="E87" i="6"/>
  <c r="N87" i="6"/>
  <c r="B87" i="6"/>
  <c r="M87" i="6"/>
  <c r="L87" i="6"/>
  <c r="D87" i="6"/>
  <c r="C87" i="6"/>
  <c r="K87" i="6"/>
  <c r="L187" i="6"/>
  <c r="K187" i="6"/>
  <c r="G187" i="6"/>
  <c r="N187" i="6"/>
  <c r="M187" i="6"/>
  <c r="J187" i="6"/>
  <c r="I187" i="6"/>
  <c r="H187" i="6"/>
  <c r="E187" i="6"/>
  <c r="C187" i="6"/>
  <c r="B187" i="6"/>
  <c r="F187" i="6"/>
  <c r="D187" i="6"/>
  <c r="L152" i="6"/>
  <c r="K152" i="6"/>
  <c r="I152" i="6"/>
  <c r="H152" i="6"/>
  <c r="D152" i="6"/>
  <c r="C152" i="6"/>
  <c r="B152" i="6"/>
  <c r="J152" i="6"/>
  <c r="N152" i="6"/>
  <c r="M152" i="6"/>
  <c r="G152" i="6"/>
  <c r="F152" i="6"/>
  <c r="E152" i="6"/>
  <c r="F173" i="6"/>
  <c r="E173" i="6"/>
  <c r="M173" i="6"/>
  <c r="C173" i="6"/>
  <c r="B173" i="6"/>
  <c r="N173" i="6"/>
  <c r="K173" i="6"/>
  <c r="I173" i="6"/>
  <c r="J173" i="6"/>
  <c r="H173" i="6"/>
  <c r="G173" i="6"/>
  <c r="D173" i="6"/>
  <c r="L173" i="6"/>
  <c r="H34" i="15"/>
  <c r="G34" i="15"/>
  <c r="F34" i="15"/>
  <c r="E34" i="15"/>
  <c r="L34" i="15"/>
  <c r="K34" i="15"/>
  <c r="I34" i="15"/>
  <c r="D34" i="15"/>
  <c r="C34" i="15"/>
  <c r="B34" i="15"/>
  <c r="J34" i="15"/>
  <c r="K31" i="15"/>
  <c r="J31" i="15"/>
  <c r="I31" i="15"/>
  <c r="H31" i="15"/>
  <c r="C31" i="15"/>
  <c r="B31" i="15"/>
  <c r="D31" i="15"/>
  <c r="L31" i="15"/>
  <c r="G31" i="15"/>
  <c r="E31" i="15"/>
  <c r="F31" i="15"/>
  <c r="F102" i="15"/>
  <c r="D102" i="15"/>
  <c r="B102" i="15"/>
  <c r="J102" i="15"/>
  <c r="H102" i="15"/>
  <c r="C102" i="15"/>
  <c r="E102" i="15"/>
  <c r="L102" i="15"/>
  <c r="K102" i="15"/>
  <c r="I102" i="15"/>
  <c r="G102" i="15"/>
  <c r="G99" i="15"/>
  <c r="E99" i="15"/>
  <c r="C99" i="15"/>
  <c r="L99" i="15"/>
  <c r="K99" i="15"/>
  <c r="J99" i="15"/>
  <c r="I99" i="15"/>
  <c r="H99" i="15"/>
  <c r="F99" i="15"/>
  <c r="D99" i="15"/>
  <c r="B99" i="15"/>
  <c r="I97" i="15"/>
  <c r="G97" i="15"/>
  <c r="J97" i="15"/>
  <c r="H97" i="15"/>
  <c r="F97" i="15"/>
  <c r="E97" i="15"/>
  <c r="L97" i="15"/>
  <c r="K97" i="15"/>
  <c r="D97" i="15"/>
  <c r="C97" i="15"/>
  <c r="B97" i="15"/>
  <c r="J147" i="15"/>
  <c r="I147" i="15"/>
  <c r="G147" i="15"/>
  <c r="F147" i="15"/>
  <c r="E147" i="15"/>
  <c r="C147" i="15"/>
  <c r="K147" i="15"/>
  <c r="H147" i="15"/>
  <c r="L147" i="15"/>
  <c r="D147" i="15"/>
  <c r="B147" i="15"/>
  <c r="B27" i="14"/>
  <c r="N172" i="5"/>
  <c r="B172" i="5"/>
  <c r="L172" i="5"/>
  <c r="K172" i="5"/>
  <c r="J172" i="5"/>
  <c r="I172" i="5"/>
  <c r="H172" i="5"/>
  <c r="O172" i="5"/>
  <c r="E172" i="5"/>
  <c r="F172" i="5" s="1"/>
  <c r="D172" i="5"/>
  <c r="C172" i="5"/>
  <c r="G172" i="5"/>
  <c r="M172" i="5"/>
  <c r="O75" i="5"/>
  <c r="N75" i="5"/>
  <c r="M75" i="5"/>
  <c r="L75" i="5"/>
  <c r="E75" i="5"/>
  <c r="F75" i="5" s="1"/>
  <c r="D75" i="5"/>
  <c r="C75" i="5"/>
  <c r="K75" i="5"/>
  <c r="J75" i="5"/>
  <c r="I75" i="5"/>
  <c r="B75" i="5"/>
  <c r="H75" i="5"/>
  <c r="G75" i="5"/>
  <c r="D65" i="6"/>
  <c r="C65" i="6"/>
  <c r="N65" i="6"/>
  <c r="B65" i="6"/>
  <c r="M65" i="6"/>
  <c r="L65" i="6"/>
  <c r="K65" i="6"/>
  <c r="H65" i="6"/>
  <c r="J65" i="6"/>
  <c r="I65" i="6"/>
  <c r="G65" i="6"/>
  <c r="F65" i="6"/>
  <c r="E65" i="6"/>
  <c r="H13" i="6"/>
  <c r="G13" i="6"/>
  <c r="F13" i="6"/>
  <c r="E13" i="6"/>
  <c r="D13" i="6"/>
  <c r="C13" i="6"/>
  <c r="N13" i="6"/>
  <c r="B13" i="6"/>
  <c r="M13" i="6"/>
  <c r="L13" i="6"/>
  <c r="I13" i="6"/>
  <c r="K13" i="6"/>
  <c r="J13" i="6"/>
  <c r="D113" i="6"/>
  <c r="C113" i="6"/>
  <c r="N113" i="6"/>
  <c r="B113" i="6"/>
  <c r="M113" i="6"/>
  <c r="L113" i="6"/>
  <c r="K113" i="6"/>
  <c r="H113" i="6"/>
  <c r="J113" i="6"/>
  <c r="I113" i="6"/>
  <c r="G113" i="6"/>
  <c r="F113" i="6"/>
  <c r="E113" i="6"/>
  <c r="I161" i="6"/>
  <c r="H161" i="6"/>
  <c r="F161" i="6"/>
  <c r="E161" i="6"/>
  <c r="M161" i="6"/>
  <c r="G161" i="6"/>
  <c r="D161" i="6"/>
  <c r="C161" i="6"/>
  <c r="B161" i="6"/>
  <c r="N161" i="6"/>
  <c r="J161" i="6"/>
  <c r="L161" i="6"/>
  <c r="K161" i="6"/>
  <c r="E38" i="1"/>
  <c r="F38" i="1" s="1"/>
  <c r="D38" i="1"/>
  <c r="C38" i="1"/>
  <c r="B38" i="1"/>
  <c r="L38" i="1"/>
  <c r="H38" i="1"/>
  <c r="I38" i="1"/>
  <c r="G38" i="1"/>
  <c r="Z78" i="13"/>
  <c r="Z45" i="13"/>
  <c r="Z149" i="13"/>
  <c r="K194" i="1" s="1"/>
  <c r="Z17" i="13"/>
  <c r="K98" i="1" s="1"/>
  <c r="D105" i="5"/>
  <c r="O105" i="5"/>
  <c r="C105" i="5"/>
  <c r="N105" i="5"/>
  <c r="B105" i="5"/>
  <c r="M105" i="5"/>
  <c r="L105" i="5"/>
  <c r="H105" i="5"/>
  <c r="G105" i="5"/>
  <c r="E105" i="5"/>
  <c r="F105" i="5" s="1"/>
  <c r="K105" i="5"/>
  <c r="J105" i="5"/>
  <c r="I105" i="5"/>
  <c r="E54" i="5"/>
  <c r="F54" i="5" s="1"/>
  <c r="D54" i="5"/>
  <c r="O54" i="5"/>
  <c r="C54" i="5"/>
  <c r="L54" i="5"/>
  <c r="K54" i="5"/>
  <c r="J54" i="5"/>
  <c r="I54" i="5"/>
  <c r="N54" i="5"/>
  <c r="M54" i="5"/>
  <c r="H54" i="5"/>
  <c r="G54" i="5"/>
  <c r="B54" i="5"/>
  <c r="G69" i="15"/>
  <c r="E69" i="15"/>
  <c r="L69" i="15"/>
  <c r="K69" i="15"/>
  <c r="H69" i="15"/>
  <c r="F69" i="15"/>
  <c r="D69" i="15"/>
  <c r="C69" i="15"/>
  <c r="J69" i="15"/>
  <c r="I69" i="15"/>
  <c r="B69" i="15"/>
  <c r="F154" i="6"/>
  <c r="E154" i="6"/>
  <c r="C154" i="6"/>
  <c r="N154" i="6"/>
  <c r="B154" i="6"/>
  <c r="J154" i="6"/>
  <c r="L154" i="6"/>
  <c r="K154" i="6"/>
  <c r="I154" i="6"/>
  <c r="H154" i="6"/>
  <c r="G154" i="6"/>
  <c r="D154" i="6"/>
  <c r="M154" i="6"/>
  <c r="J92" i="5"/>
  <c r="H92" i="5"/>
  <c r="G92" i="5"/>
  <c r="E92" i="5"/>
  <c r="F92" i="5" s="1"/>
  <c r="D92" i="5"/>
  <c r="K92" i="5"/>
  <c r="I92" i="5"/>
  <c r="C92" i="5"/>
  <c r="B92" i="5"/>
  <c r="O92" i="5"/>
  <c r="N92" i="5"/>
  <c r="L92" i="5"/>
  <c r="M92" i="5"/>
  <c r="D7" i="15"/>
  <c r="C7" i="15"/>
  <c r="B7" i="15"/>
  <c r="J7" i="15"/>
  <c r="I7" i="15"/>
  <c r="H7" i="15"/>
  <c r="G7" i="15"/>
  <c r="L7" i="15"/>
  <c r="K7" i="15"/>
  <c r="F7" i="15"/>
  <c r="E7" i="15"/>
  <c r="E164" i="15"/>
  <c r="D164" i="15"/>
  <c r="B164" i="15"/>
  <c r="L164" i="15"/>
  <c r="J164" i="15"/>
  <c r="C164" i="15"/>
  <c r="I164" i="15"/>
  <c r="G164" i="15"/>
  <c r="F164" i="15"/>
  <c r="H164" i="15"/>
  <c r="K164" i="15"/>
  <c r="D108" i="5"/>
  <c r="O108" i="5"/>
  <c r="C108" i="5"/>
  <c r="N108" i="5"/>
  <c r="B108" i="5"/>
  <c r="M108" i="5"/>
  <c r="L108" i="5"/>
  <c r="G108" i="5"/>
  <c r="E108" i="5"/>
  <c r="F108" i="5" s="1"/>
  <c r="K108" i="5"/>
  <c r="J108" i="5"/>
  <c r="I108" i="5"/>
  <c r="H108" i="5"/>
  <c r="J20" i="5"/>
  <c r="I20" i="5"/>
  <c r="H20" i="5"/>
  <c r="G20" i="5"/>
  <c r="D20" i="5"/>
  <c r="O20" i="5"/>
  <c r="C20" i="5"/>
  <c r="N20" i="5"/>
  <c r="B20" i="5"/>
  <c r="M20" i="5"/>
  <c r="L20" i="5"/>
  <c r="K20" i="5"/>
  <c r="E20" i="5"/>
  <c r="F20" i="5" s="1"/>
  <c r="B215" i="15"/>
  <c r="K215" i="15"/>
  <c r="J215" i="15"/>
  <c r="I215" i="15"/>
  <c r="G215" i="15"/>
  <c r="F215" i="15"/>
  <c r="E215" i="15"/>
  <c r="D215" i="15"/>
  <c r="C215" i="15"/>
  <c r="L215" i="15"/>
  <c r="H215" i="15"/>
  <c r="N97" i="5"/>
  <c r="B97" i="5"/>
  <c r="L97" i="5"/>
  <c r="K97" i="5"/>
  <c r="J97" i="5"/>
  <c r="I97" i="5"/>
  <c r="H97" i="5"/>
  <c r="G97" i="5"/>
  <c r="E97" i="5"/>
  <c r="F97" i="5" s="1"/>
  <c r="D97" i="5"/>
  <c r="O97" i="5"/>
  <c r="M97" i="5"/>
  <c r="C97" i="5"/>
  <c r="E115" i="15"/>
  <c r="D115" i="15"/>
  <c r="C115" i="15"/>
  <c r="K115" i="15"/>
  <c r="I115" i="15"/>
  <c r="L115" i="15"/>
  <c r="J115" i="15"/>
  <c r="H115" i="15"/>
  <c r="G115" i="15"/>
  <c r="B115" i="15"/>
  <c r="F115" i="15"/>
  <c r="E36" i="6"/>
  <c r="K36" i="6"/>
  <c r="F36" i="6"/>
  <c r="D36" i="6"/>
  <c r="C36" i="6"/>
  <c r="B36" i="6"/>
  <c r="N36" i="6"/>
  <c r="M36" i="6"/>
  <c r="L36" i="6"/>
  <c r="G36" i="6"/>
  <c r="J36" i="6"/>
  <c r="I36" i="6"/>
  <c r="H36" i="6"/>
  <c r="E20" i="6"/>
  <c r="K20" i="6"/>
  <c r="N20" i="6"/>
  <c r="M20" i="6"/>
  <c r="L20" i="6"/>
  <c r="J20" i="6"/>
  <c r="I20" i="6"/>
  <c r="H20" i="6"/>
  <c r="G20" i="6"/>
  <c r="F20" i="6"/>
  <c r="D20" i="6"/>
  <c r="C20" i="6"/>
  <c r="B20" i="6"/>
  <c r="L10" i="15"/>
  <c r="K10" i="15"/>
  <c r="J10" i="15"/>
  <c r="G10" i="15"/>
  <c r="F10" i="15"/>
  <c r="E10" i="15"/>
  <c r="D10" i="15"/>
  <c r="C10" i="15"/>
  <c r="B10" i="15"/>
  <c r="I10" i="15"/>
  <c r="H10" i="15"/>
  <c r="C123" i="6"/>
  <c r="K123" i="6"/>
  <c r="N123" i="6"/>
  <c r="M123" i="6"/>
  <c r="L123" i="6"/>
  <c r="J123" i="6"/>
  <c r="I123" i="6"/>
  <c r="H123" i="6"/>
  <c r="E123" i="6"/>
  <c r="G123" i="6"/>
  <c r="F123" i="6"/>
  <c r="D123" i="6"/>
  <c r="B123" i="6"/>
  <c r="G113" i="15"/>
  <c r="E113" i="15"/>
  <c r="C113" i="15"/>
  <c r="K113" i="15"/>
  <c r="D113" i="15"/>
  <c r="L113" i="15"/>
  <c r="J113" i="15"/>
  <c r="I113" i="15"/>
  <c r="H113" i="15"/>
  <c r="F113" i="15"/>
  <c r="B113" i="15"/>
  <c r="J75" i="6"/>
  <c r="I75" i="6"/>
  <c r="H75" i="6"/>
  <c r="G75" i="6"/>
  <c r="F75" i="6"/>
  <c r="E75" i="6"/>
  <c r="N75" i="6"/>
  <c r="B75" i="6"/>
  <c r="M75" i="6"/>
  <c r="L75" i="6"/>
  <c r="K75" i="6"/>
  <c r="D75" i="6"/>
  <c r="C75" i="6"/>
  <c r="K170" i="15"/>
  <c r="J170" i="15"/>
  <c r="H170" i="15"/>
  <c r="G170" i="15"/>
  <c r="F170" i="15"/>
  <c r="D170" i="15"/>
  <c r="L170" i="15"/>
  <c r="I170" i="15"/>
  <c r="E170" i="15"/>
  <c r="C170" i="15"/>
  <c r="B170" i="15"/>
  <c r="D195" i="5"/>
  <c r="O195" i="5"/>
  <c r="C195" i="5"/>
  <c r="N195" i="5"/>
  <c r="B195" i="5"/>
  <c r="M195" i="5"/>
  <c r="L195" i="5"/>
  <c r="K195" i="5"/>
  <c r="J195" i="5"/>
  <c r="I195" i="5"/>
  <c r="H195" i="5"/>
  <c r="G195" i="5"/>
  <c r="E195" i="5"/>
  <c r="F195" i="5" s="1"/>
  <c r="L131" i="15"/>
  <c r="K131" i="15"/>
  <c r="I131" i="15"/>
  <c r="G131" i="15"/>
  <c r="E131" i="15"/>
  <c r="H131" i="15"/>
  <c r="C131" i="15"/>
  <c r="B131" i="15"/>
  <c r="J131" i="15"/>
  <c r="F131" i="15"/>
  <c r="D131" i="15"/>
  <c r="D97" i="6"/>
  <c r="C97" i="6"/>
  <c r="N97" i="6"/>
  <c r="B97" i="6"/>
  <c r="M97" i="6"/>
  <c r="L97" i="6"/>
  <c r="K97" i="6"/>
  <c r="H97" i="6"/>
  <c r="J97" i="6"/>
  <c r="I97" i="6"/>
  <c r="G97" i="6"/>
  <c r="F97" i="6"/>
  <c r="E97" i="6"/>
  <c r="J182" i="5"/>
  <c r="H182" i="5"/>
  <c r="G182" i="5"/>
  <c r="E182" i="5"/>
  <c r="F182" i="5" s="1"/>
  <c r="D182" i="5"/>
  <c r="O182" i="5"/>
  <c r="N182" i="5"/>
  <c r="K182" i="5"/>
  <c r="I182" i="5"/>
  <c r="C182" i="5"/>
  <c r="B182" i="5"/>
  <c r="M182" i="5"/>
  <c r="L182" i="5"/>
  <c r="J209" i="5"/>
  <c r="H209" i="5"/>
  <c r="G209" i="5"/>
  <c r="E209" i="5"/>
  <c r="F209" i="5" s="1"/>
  <c r="D209" i="5"/>
  <c r="O209" i="5"/>
  <c r="C209" i="5"/>
  <c r="L209" i="5"/>
  <c r="K209" i="5"/>
  <c r="I209" i="5"/>
  <c r="B209" i="5"/>
  <c r="N209" i="5"/>
  <c r="M209" i="5"/>
  <c r="K12" i="15"/>
  <c r="J12" i="15"/>
  <c r="I12" i="15"/>
  <c r="H12" i="15"/>
  <c r="E12" i="15"/>
  <c r="D12" i="15"/>
  <c r="C12" i="15"/>
  <c r="B12" i="15"/>
  <c r="L12" i="15"/>
  <c r="G12" i="15"/>
  <c r="F12" i="15"/>
  <c r="H221" i="15"/>
  <c r="G221" i="15"/>
  <c r="E221" i="15"/>
  <c r="D221" i="15"/>
  <c r="C221" i="15"/>
  <c r="L221" i="15"/>
  <c r="K221" i="15"/>
  <c r="J221" i="15"/>
  <c r="I221" i="15"/>
  <c r="F221" i="15"/>
  <c r="B221" i="15"/>
  <c r="G92" i="6"/>
  <c r="F92" i="6"/>
  <c r="E92" i="6"/>
  <c r="D92" i="6"/>
  <c r="C92" i="6"/>
  <c r="N92" i="6"/>
  <c r="B92" i="6"/>
  <c r="K92" i="6"/>
  <c r="I92" i="6"/>
  <c r="H92" i="6"/>
  <c r="L92" i="6"/>
  <c r="J92" i="6"/>
  <c r="M92" i="6"/>
  <c r="D210" i="5"/>
  <c r="O210" i="5"/>
  <c r="C210" i="5"/>
  <c r="N210" i="5"/>
  <c r="B210" i="5"/>
  <c r="M210" i="5"/>
  <c r="L210" i="5"/>
  <c r="K210" i="5"/>
  <c r="H210" i="5"/>
  <c r="G210" i="5"/>
  <c r="E210" i="5"/>
  <c r="F210" i="5" s="1"/>
  <c r="J210" i="5"/>
  <c r="I210" i="5"/>
  <c r="J11" i="5"/>
  <c r="I11" i="5"/>
  <c r="H11" i="5"/>
  <c r="G11" i="5"/>
  <c r="D11" i="5"/>
  <c r="O11" i="5"/>
  <c r="C11" i="5"/>
  <c r="N11" i="5"/>
  <c r="B11" i="5"/>
  <c r="M11" i="5"/>
  <c r="L11" i="5"/>
  <c r="E11" i="5"/>
  <c r="F11" i="5" s="1"/>
  <c r="K11" i="5"/>
  <c r="H185" i="15"/>
  <c r="G185" i="15"/>
  <c r="E185" i="15"/>
  <c r="D185" i="15"/>
  <c r="C185" i="15"/>
  <c r="L185" i="15"/>
  <c r="K185" i="15"/>
  <c r="J185" i="15"/>
  <c r="I185" i="15"/>
  <c r="F185" i="15"/>
  <c r="B185" i="15"/>
  <c r="L40" i="15"/>
  <c r="C40" i="15"/>
  <c r="B40" i="15"/>
  <c r="I40" i="15"/>
  <c r="G40" i="15"/>
  <c r="F40" i="15"/>
  <c r="K40" i="15"/>
  <c r="J40" i="15"/>
  <c r="H40" i="15"/>
  <c r="E40" i="15"/>
  <c r="D40" i="15"/>
  <c r="F187" i="15"/>
  <c r="E187" i="15"/>
  <c r="C187" i="15"/>
  <c r="B187" i="15"/>
  <c r="K187" i="15"/>
  <c r="L187" i="15"/>
  <c r="J187" i="15"/>
  <c r="I187" i="15"/>
  <c r="H187" i="15"/>
  <c r="G187" i="15"/>
  <c r="D187" i="15"/>
  <c r="K194" i="15"/>
  <c r="J194" i="15"/>
  <c r="H194" i="15"/>
  <c r="G194" i="15"/>
  <c r="F194" i="15"/>
  <c r="D194" i="15"/>
  <c r="L194" i="15"/>
  <c r="I194" i="15"/>
  <c r="E194" i="15"/>
  <c r="C194" i="15"/>
  <c r="B194" i="15"/>
  <c r="F162" i="6"/>
  <c r="E162" i="6"/>
  <c r="C162" i="6"/>
  <c r="N162" i="6"/>
  <c r="B162" i="6"/>
  <c r="J162" i="6"/>
  <c r="L162" i="6"/>
  <c r="K162" i="6"/>
  <c r="I162" i="6"/>
  <c r="H162" i="6"/>
  <c r="G162" i="6"/>
  <c r="D162" i="6"/>
  <c r="M162" i="6"/>
  <c r="J89" i="5"/>
  <c r="H89" i="5"/>
  <c r="G89" i="5"/>
  <c r="E89" i="5"/>
  <c r="F89" i="5" s="1"/>
  <c r="D89" i="5"/>
  <c r="L89" i="5"/>
  <c r="K89" i="5"/>
  <c r="I89" i="5"/>
  <c r="C89" i="5"/>
  <c r="O89" i="5"/>
  <c r="N89" i="5"/>
  <c r="M89" i="5"/>
  <c r="B89" i="5"/>
  <c r="F158" i="6"/>
  <c r="E158" i="6"/>
  <c r="C158" i="6"/>
  <c r="N158" i="6"/>
  <c r="B158" i="6"/>
  <c r="J158" i="6"/>
  <c r="L158" i="6"/>
  <c r="K158" i="6"/>
  <c r="I158" i="6"/>
  <c r="H158" i="6"/>
  <c r="G158" i="6"/>
  <c r="D158" i="6"/>
  <c r="M158" i="6"/>
  <c r="D162" i="5"/>
  <c r="O162" i="5"/>
  <c r="C162" i="5"/>
  <c r="N162" i="5"/>
  <c r="B162" i="5"/>
  <c r="M162" i="5"/>
  <c r="L162" i="5"/>
  <c r="K162" i="5"/>
  <c r="J162" i="5"/>
  <c r="G162" i="5"/>
  <c r="E162" i="5"/>
  <c r="F162" i="5" s="1"/>
  <c r="H162" i="5"/>
  <c r="I162" i="5"/>
  <c r="E24" i="6"/>
  <c r="K24" i="6"/>
  <c r="M24" i="6"/>
  <c r="L24" i="6"/>
  <c r="J24" i="6"/>
  <c r="I24" i="6"/>
  <c r="H24" i="6"/>
  <c r="G24" i="6"/>
  <c r="F24" i="6"/>
  <c r="D24" i="6"/>
  <c r="N24" i="6"/>
  <c r="C24" i="6"/>
  <c r="B24" i="6"/>
  <c r="K169" i="1"/>
  <c r="I169" i="1"/>
  <c r="H169" i="1"/>
  <c r="G169" i="1"/>
  <c r="C169" i="1"/>
  <c r="B169" i="1"/>
  <c r="L169" i="1"/>
  <c r="E169" i="1"/>
  <c r="F169" i="1" s="1"/>
  <c r="D169" i="1"/>
  <c r="E165" i="1"/>
  <c r="F165" i="1" s="1"/>
  <c r="D165" i="1"/>
  <c r="C165" i="1"/>
  <c r="L165" i="1"/>
  <c r="G165" i="1"/>
  <c r="B165" i="1"/>
  <c r="I165" i="1"/>
  <c r="H165" i="1"/>
  <c r="I30" i="1"/>
  <c r="L30" i="1"/>
  <c r="H30" i="1"/>
  <c r="G30" i="1"/>
  <c r="E30" i="1"/>
  <c r="F30" i="1" s="1"/>
  <c r="D30" i="1"/>
  <c r="C30" i="1"/>
  <c r="B30" i="1"/>
  <c r="K30" i="1"/>
  <c r="H101" i="1"/>
  <c r="G101" i="1"/>
  <c r="E101" i="1"/>
  <c r="F101" i="1" s="1"/>
  <c r="D101" i="1"/>
  <c r="C101" i="1"/>
  <c r="B101" i="1"/>
  <c r="L101" i="1"/>
  <c r="I101" i="1"/>
  <c r="I180" i="1"/>
  <c r="H180" i="1"/>
  <c r="G180" i="1"/>
  <c r="B180" i="1"/>
  <c r="E180" i="1"/>
  <c r="F180" i="1" s="1"/>
  <c r="D180" i="1"/>
  <c r="C180" i="1"/>
  <c r="L180" i="1"/>
  <c r="G100" i="1"/>
  <c r="B100" i="1"/>
  <c r="E100" i="1"/>
  <c r="F100" i="1" s="1"/>
  <c r="D100" i="1"/>
  <c r="C100" i="1"/>
  <c r="I100" i="1"/>
  <c r="L100" i="1"/>
  <c r="K100" i="1"/>
  <c r="H100" i="1"/>
  <c r="E63" i="1"/>
  <c r="F63" i="1" s="1"/>
  <c r="D63" i="1"/>
  <c r="C63" i="1"/>
  <c r="B63" i="1"/>
  <c r="H63" i="1"/>
  <c r="L63" i="1"/>
  <c r="I63" i="1"/>
  <c r="G63" i="1"/>
  <c r="N25" i="5"/>
  <c r="B25" i="5"/>
  <c r="M25" i="5"/>
  <c r="L25" i="5"/>
  <c r="K25" i="5"/>
  <c r="H25" i="5"/>
  <c r="G25" i="5"/>
  <c r="E25" i="5"/>
  <c r="F25" i="5" s="1"/>
  <c r="O25" i="5"/>
  <c r="J25" i="5"/>
  <c r="I25" i="5"/>
  <c r="D25" i="5"/>
  <c r="C25" i="5"/>
  <c r="I156" i="1"/>
  <c r="H156" i="1"/>
  <c r="G156" i="1"/>
  <c r="B156" i="1"/>
  <c r="E156" i="1"/>
  <c r="F156" i="1" s="1"/>
  <c r="D156" i="1"/>
  <c r="C156" i="1"/>
  <c r="L156" i="1"/>
  <c r="D25" i="1"/>
  <c r="C25" i="1"/>
  <c r="B25" i="1"/>
  <c r="L25" i="1"/>
  <c r="I25" i="1"/>
  <c r="H25" i="1"/>
  <c r="G25" i="1"/>
  <c r="E25" i="1"/>
  <c r="F25" i="1" s="1"/>
  <c r="N76" i="5"/>
  <c r="B76" i="5"/>
  <c r="L76" i="5"/>
  <c r="K76" i="5"/>
  <c r="J76" i="5"/>
  <c r="I76" i="5"/>
  <c r="H76" i="5"/>
  <c r="M76" i="5"/>
  <c r="G76" i="5"/>
  <c r="E76" i="5"/>
  <c r="F76" i="5" s="1"/>
  <c r="O76" i="5"/>
  <c r="D76" i="5"/>
  <c r="C76" i="5"/>
  <c r="C96" i="1"/>
  <c r="B96" i="1"/>
  <c r="L96" i="1"/>
  <c r="I96" i="1"/>
  <c r="H96" i="1"/>
  <c r="G96" i="1"/>
  <c r="E96" i="1"/>
  <c r="F96" i="1" s="1"/>
  <c r="D96" i="1"/>
  <c r="B35" i="1"/>
  <c r="I35" i="1"/>
  <c r="L35" i="1"/>
  <c r="K35" i="1"/>
  <c r="H35" i="1"/>
  <c r="G35" i="1"/>
  <c r="E35" i="1"/>
  <c r="F35" i="1" s="1"/>
  <c r="D35" i="1"/>
  <c r="C35" i="1"/>
  <c r="F185" i="6"/>
  <c r="E185" i="6"/>
  <c r="M185" i="6"/>
  <c r="K185" i="6"/>
  <c r="J185" i="6"/>
  <c r="I185" i="6"/>
  <c r="H185" i="6"/>
  <c r="G185" i="6"/>
  <c r="C185" i="6"/>
  <c r="L185" i="6"/>
  <c r="B185" i="6"/>
  <c r="D185" i="6"/>
  <c r="N185" i="6"/>
  <c r="D223" i="1"/>
  <c r="C223" i="1"/>
  <c r="B223" i="1"/>
  <c r="I223" i="1"/>
  <c r="H223" i="1"/>
  <c r="L223" i="1"/>
  <c r="E223" i="1"/>
  <c r="F223" i="1" s="1"/>
  <c r="G223" i="1"/>
  <c r="L45" i="1"/>
  <c r="K45" i="1"/>
  <c r="I45" i="1"/>
  <c r="H45" i="1"/>
  <c r="G45" i="1"/>
  <c r="E45" i="1"/>
  <c r="F45" i="1" s="1"/>
  <c r="D45" i="1"/>
  <c r="C45" i="1"/>
  <c r="B45" i="1"/>
  <c r="N4" i="5"/>
  <c r="B4" i="5"/>
  <c r="M4" i="5"/>
  <c r="L4" i="5"/>
  <c r="K4" i="5"/>
  <c r="H4" i="5"/>
  <c r="G4" i="5"/>
  <c r="E4" i="5"/>
  <c r="F4" i="5" s="1"/>
  <c r="O4" i="5"/>
  <c r="J4" i="5"/>
  <c r="I4" i="5"/>
  <c r="D4" i="5"/>
  <c r="C4" i="5"/>
  <c r="N112" i="5"/>
  <c r="B112" i="5"/>
  <c r="L112" i="5"/>
  <c r="K112" i="5"/>
  <c r="J112" i="5"/>
  <c r="I112" i="5"/>
  <c r="H112" i="5"/>
  <c r="M112" i="5"/>
  <c r="G112" i="5"/>
  <c r="E112" i="5"/>
  <c r="F112" i="5" s="1"/>
  <c r="O112" i="5"/>
  <c r="D112" i="5"/>
  <c r="C112" i="5"/>
  <c r="N29" i="6"/>
  <c r="B29" i="6"/>
  <c r="H29" i="6"/>
  <c r="J29" i="6"/>
  <c r="I29" i="6"/>
  <c r="G29" i="6"/>
  <c r="F29" i="6"/>
  <c r="E29" i="6"/>
  <c r="D29" i="6"/>
  <c r="C29" i="6"/>
  <c r="M29" i="6"/>
  <c r="L29" i="6"/>
  <c r="K29" i="6"/>
  <c r="N121" i="5"/>
  <c r="B121" i="5"/>
  <c r="L121" i="5"/>
  <c r="K121" i="5"/>
  <c r="J121" i="5"/>
  <c r="I121" i="5"/>
  <c r="H121" i="5"/>
  <c r="E121" i="5"/>
  <c r="F121" i="5" s="1"/>
  <c r="D121" i="5"/>
  <c r="C121" i="5"/>
  <c r="O121" i="5"/>
  <c r="M121" i="5"/>
  <c r="G121" i="5"/>
  <c r="C126" i="1"/>
  <c r="B126" i="1"/>
  <c r="H126" i="1"/>
  <c r="G126" i="1"/>
  <c r="L126" i="1"/>
  <c r="K126" i="1"/>
  <c r="I126" i="1"/>
  <c r="E126" i="1"/>
  <c r="F126" i="1" s="1"/>
  <c r="D126" i="1"/>
  <c r="B137" i="1"/>
  <c r="L137" i="1"/>
  <c r="G137" i="1"/>
  <c r="C137" i="1"/>
  <c r="I137" i="1"/>
  <c r="H137" i="1"/>
  <c r="E137" i="1"/>
  <c r="F137" i="1" s="1"/>
  <c r="D137" i="1"/>
  <c r="L136" i="1"/>
  <c r="K136" i="1"/>
  <c r="E136" i="1"/>
  <c r="F136" i="1" s="1"/>
  <c r="I136" i="1"/>
  <c r="H136" i="1"/>
  <c r="G136" i="1"/>
  <c r="D136" i="1"/>
  <c r="C136" i="1"/>
  <c r="B136" i="1"/>
  <c r="M106" i="6"/>
  <c r="L106" i="6"/>
  <c r="K106" i="6"/>
  <c r="J106" i="6"/>
  <c r="I106" i="6"/>
  <c r="H106" i="6"/>
  <c r="E106" i="6"/>
  <c r="G106" i="6"/>
  <c r="F106" i="6"/>
  <c r="D106" i="6"/>
  <c r="C106" i="6"/>
  <c r="B106" i="6"/>
  <c r="N106" i="6"/>
  <c r="J55" i="6"/>
  <c r="I55" i="6"/>
  <c r="H55" i="6"/>
  <c r="F55" i="6"/>
  <c r="N55" i="6"/>
  <c r="B55" i="6"/>
  <c r="M55" i="6"/>
  <c r="L55" i="6"/>
  <c r="K55" i="6"/>
  <c r="G55" i="6"/>
  <c r="E55" i="6"/>
  <c r="D55" i="6"/>
  <c r="C55" i="6"/>
  <c r="J103" i="6"/>
  <c r="I103" i="6"/>
  <c r="H103" i="6"/>
  <c r="G103" i="6"/>
  <c r="F103" i="6"/>
  <c r="E103" i="6"/>
  <c r="N103" i="6"/>
  <c r="B103" i="6"/>
  <c r="M103" i="6"/>
  <c r="L103" i="6"/>
  <c r="K103" i="6"/>
  <c r="D103" i="6"/>
  <c r="C103" i="6"/>
  <c r="L179" i="6"/>
  <c r="K179" i="6"/>
  <c r="G179" i="6"/>
  <c r="H179" i="6"/>
  <c r="F179" i="6"/>
  <c r="D179" i="6"/>
  <c r="C179" i="6"/>
  <c r="N179" i="6"/>
  <c r="B179" i="6"/>
  <c r="M179" i="6"/>
  <c r="J179" i="6"/>
  <c r="I179" i="6"/>
  <c r="E179" i="6"/>
  <c r="L156" i="6"/>
  <c r="K156" i="6"/>
  <c r="I156" i="6"/>
  <c r="H156" i="6"/>
  <c r="D156" i="6"/>
  <c r="C156" i="6"/>
  <c r="B156" i="6"/>
  <c r="J156" i="6"/>
  <c r="N156" i="6"/>
  <c r="M156" i="6"/>
  <c r="G156" i="6"/>
  <c r="F156" i="6"/>
  <c r="E156" i="6"/>
  <c r="F193" i="6"/>
  <c r="E193" i="6"/>
  <c r="D193" i="6"/>
  <c r="M193" i="6"/>
  <c r="B193" i="6"/>
  <c r="N193" i="6"/>
  <c r="K193" i="6"/>
  <c r="I193" i="6"/>
  <c r="L193" i="6"/>
  <c r="J193" i="6"/>
  <c r="H193" i="6"/>
  <c r="G193" i="6"/>
  <c r="C193" i="6"/>
  <c r="D72" i="15"/>
  <c r="B72" i="15"/>
  <c r="J72" i="15"/>
  <c r="I72" i="15"/>
  <c r="H72" i="15"/>
  <c r="K72" i="15"/>
  <c r="G72" i="15"/>
  <c r="F72" i="15"/>
  <c r="E72" i="15"/>
  <c r="L72" i="15"/>
  <c r="C72" i="15"/>
  <c r="J42" i="15"/>
  <c r="H42" i="15"/>
  <c r="C42" i="15"/>
  <c r="B42" i="15"/>
  <c r="K42" i="15"/>
  <c r="G42" i="15"/>
  <c r="F42" i="15"/>
  <c r="L42" i="15"/>
  <c r="I42" i="15"/>
  <c r="E42" i="15"/>
  <c r="D42" i="15"/>
  <c r="B50" i="15"/>
  <c r="L50" i="15"/>
  <c r="H50" i="15"/>
  <c r="E50" i="15"/>
  <c r="D50" i="15"/>
  <c r="C50" i="15"/>
  <c r="J50" i="15"/>
  <c r="I50" i="15"/>
  <c r="K50" i="15"/>
  <c r="G50" i="15"/>
  <c r="F50" i="15"/>
  <c r="I184" i="15"/>
  <c r="H184" i="15"/>
  <c r="F184" i="15"/>
  <c r="E184" i="15"/>
  <c r="D184" i="15"/>
  <c r="B184" i="15"/>
  <c r="L184" i="15"/>
  <c r="K184" i="15"/>
  <c r="J184" i="15"/>
  <c r="G184" i="15"/>
  <c r="C184" i="15"/>
  <c r="G186" i="15"/>
  <c r="F186" i="15"/>
  <c r="D186" i="15"/>
  <c r="C186" i="15"/>
  <c r="B186" i="15"/>
  <c r="L186" i="15"/>
  <c r="I186" i="15"/>
  <c r="H186" i="15"/>
  <c r="E186" i="15"/>
  <c r="K186" i="15"/>
  <c r="J186" i="15"/>
  <c r="J159" i="15"/>
  <c r="I159" i="15"/>
  <c r="G159" i="15"/>
  <c r="F159" i="15"/>
  <c r="E159" i="15"/>
  <c r="C159" i="15"/>
  <c r="K159" i="15"/>
  <c r="L159" i="15"/>
  <c r="H159" i="15"/>
  <c r="D159" i="15"/>
  <c r="B159" i="15"/>
  <c r="Z145" i="13"/>
  <c r="Z62" i="13"/>
  <c r="K83" i="1" s="1"/>
  <c r="Z115" i="13"/>
  <c r="K112" i="1" s="1"/>
  <c r="Z154" i="13"/>
  <c r="K201" i="1" s="1"/>
  <c r="Z139" i="13"/>
  <c r="K175" i="1" s="1"/>
  <c r="Z58" i="13"/>
  <c r="K67" i="1" s="1"/>
  <c r="Z114" i="13"/>
  <c r="K93" i="1" s="1"/>
  <c r="Z41" i="13"/>
  <c r="K18" i="1" s="1"/>
  <c r="Z18" i="13"/>
  <c r="K101" i="1" s="1"/>
  <c r="Z171" i="13"/>
  <c r="K107" i="1" s="1"/>
  <c r="Z66" i="13"/>
  <c r="K94" i="1" s="1"/>
  <c r="Z90" i="13"/>
  <c r="K28" i="1" s="1"/>
  <c r="Z136" i="13"/>
  <c r="K165" i="1" s="1"/>
  <c r="Z162" i="13"/>
  <c r="K60" i="1" s="1"/>
  <c r="Z163" i="13"/>
  <c r="K62" i="1" s="1"/>
  <c r="Z126" i="13"/>
  <c r="K106" i="1" s="1"/>
  <c r="Z179" i="13"/>
  <c r="Z76" i="13"/>
  <c r="K153" i="1" s="1"/>
  <c r="Z59" i="13"/>
  <c r="K70" i="1" s="1"/>
  <c r="D27" i="14"/>
  <c r="Z125" i="13"/>
  <c r="Z180" i="13"/>
  <c r="K168" i="1" s="1"/>
  <c r="Z65" i="13"/>
  <c r="K89" i="1" s="1"/>
  <c r="Z63" i="13"/>
  <c r="K86" i="1" s="1"/>
  <c r="Z15" i="13"/>
  <c r="K84" i="1" s="1"/>
  <c r="Z60" i="13"/>
  <c r="K75" i="1" s="1"/>
  <c r="Z68" i="13"/>
  <c r="K102" i="1" s="1"/>
  <c r="Z104" i="13"/>
  <c r="Z87" i="13"/>
  <c r="K8" i="1" s="1"/>
  <c r="Z43" i="13"/>
  <c r="K22" i="1" s="1"/>
  <c r="Z129" i="13"/>
  <c r="Z40" i="13"/>
  <c r="K16" i="1" s="1"/>
  <c r="Z164" i="13"/>
  <c r="K68" i="1" s="1"/>
  <c r="Z82" i="13"/>
  <c r="K184" i="1" s="1"/>
  <c r="Z53" i="13"/>
  <c r="K48" i="1" s="1"/>
  <c r="Z8" i="13"/>
  <c r="K54" i="1" s="1"/>
  <c r="Z118" i="13"/>
  <c r="K128" i="1" s="1"/>
  <c r="Z57" i="13"/>
  <c r="K65" i="1" s="1"/>
  <c r="Z120" i="13"/>
  <c r="Z36" i="13"/>
  <c r="K6" i="1" s="1"/>
  <c r="Z30" i="13"/>
  <c r="K180" i="1" s="1"/>
  <c r="Z132" i="13"/>
  <c r="K154" i="1" s="1"/>
  <c r="Z128" i="13"/>
  <c r="K114" i="1" s="1"/>
  <c r="Z32" i="13"/>
  <c r="K189" i="1" s="1"/>
  <c r="Z73" i="13"/>
  <c r="K120" i="1" s="1"/>
  <c r="I172" i="6"/>
  <c r="H172" i="6"/>
  <c r="D172" i="6"/>
  <c r="C172" i="6"/>
  <c r="B172" i="6"/>
  <c r="N172" i="6"/>
  <c r="L172" i="6"/>
  <c r="J172" i="6"/>
  <c r="M172" i="6"/>
  <c r="F172" i="6"/>
  <c r="K172" i="6"/>
  <c r="G172" i="6"/>
  <c r="E172" i="6"/>
  <c r="D14" i="15"/>
  <c r="J14" i="15"/>
  <c r="I14" i="15"/>
  <c r="H14" i="15"/>
  <c r="G14" i="15"/>
  <c r="C14" i="15"/>
  <c r="B14" i="15"/>
  <c r="L14" i="15"/>
  <c r="K14" i="15"/>
  <c r="F14" i="15"/>
  <c r="E14" i="15"/>
  <c r="J77" i="5"/>
  <c r="H77" i="5"/>
  <c r="G77" i="5"/>
  <c r="E77" i="5"/>
  <c r="F77" i="5" s="1"/>
  <c r="D77" i="5"/>
  <c r="O77" i="5"/>
  <c r="N77" i="5"/>
  <c r="M77" i="5"/>
  <c r="I77" i="5"/>
  <c r="C77" i="5"/>
  <c r="B77" i="5"/>
  <c r="L77" i="5"/>
  <c r="K77" i="5"/>
  <c r="J71" i="5"/>
  <c r="I71" i="5"/>
  <c r="H71" i="5"/>
  <c r="G71" i="5"/>
  <c r="D71" i="5"/>
  <c r="O71" i="5"/>
  <c r="C71" i="5"/>
  <c r="N71" i="5"/>
  <c r="B71" i="5"/>
  <c r="M71" i="5"/>
  <c r="L71" i="5"/>
  <c r="K71" i="5"/>
  <c r="E71" i="5"/>
  <c r="F71" i="5" s="1"/>
  <c r="E69" i="5"/>
  <c r="F69" i="5" s="1"/>
  <c r="D69" i="5"/>
  <c r="O69" i="5"/>
  <c r="C69" i="5"/>
  <c r="L69" i="5"/>
  <c r="K69" i="5"/>
  <c r="J69" i="5"/>
  <c r="I69" i="5"/>
  <c r="N69" i="5"/>
  <c r="M69" i="5"/>
  <c r="H69" i="5"/>
  <c r="G69" i="5"/>
  <c r="B69" i="5"/>
  <c r="H41" i="1"/>
  <c r="G41" i="1"/>
  <c r="E41" i="1"/>
  <c r="F41" i="1" s="1"/>
  <c r="D41" i="1"/>
  <c r="C41" i="1"/>
  <c r="B41" i="1"/>
  <c r="L41" i="1"/>
  <c r="K41" i="1"/>
  <c r="I41" i="1"/>
  <c r="I21" i="15"/>
  <c r="H21" i="15"/>
  <c r="G21" i="15"/>
  <c r="F21" i="15"/>
  <c r="B21" i="15"/>
  <c r="L21" i="15"/>
  <c r="K21" i="15"/>
  <c r="J21" i="15"/>
  <c r="E21" i="15"/>
  <c r="D21" i="15"/>
  <c r="C21" i="15"/>
  <c r="J91" i="6"/>
  <c r="I91" i="6"/>
  <c r="H91" i="6"/>
  <c r="G91" i="6"/>
  <c r="F91" i="6"/>
  <c r="E91" i="6"/>
  <c r="N91" i="6"/>
  <c r="B91" i="6"/>
  <c r="M91" i="6"/>
  <c r="L91" i="6"/>
  <c r="K91" i="6"/>
  <c r="D91" i="6"/>
  <c r="C91" i="6"/>
  <c r="G23" i="15"/>
  <c r="F23" i="15"/>
  <c r="E23" i="15"/>
  <c r="D23" i="15"/>
  <c r="K23" i="15"/>
  <c r="J23" i="15"/>
  <c r="H23" i="15"/>
  <c r="C23" i="15"/>
  <c r="B23" i="15"/>
  <c r="I23" i="15"/>
  <c r="L23" i="15"/>
  <c r="J74" i="5"/>
  <c r="I74" i="5"/>
  <c r="H74" i="5"/>
  <c r="G74" i="5"/>
  <c r="D74" i="5"/>
  <c r="O74" i="5"/>
  <c r="C74" i="5"/>
  <c r="N74" i="5"/>
  <c r="B74" i="5"/>
  <c r="M74" i="5"/>
  <c r="L74" i="5"/>
  <c r="K74" i="5"/>
  <c r="E74" i="5"/>
  <c r="F74" i="5" s="1"/>
  <c r="K30" i="6"/>
  <c r="E30" i="6"/>
  <c r="I30" i="6"/>
  <c r="H30" i="6"/>
  <c r="G30" i="6"/>
  <c r="F30" i="6"/>
  <c r="D30" i="6"/>
  <c r="C30" i="6"/>
  <c r="B30" i="6"/>
  <c r="N30" i="6"/>
  <c r="J30" i="6"/>
  <c r="M30" i="6"/>
  <c r="L30" i="6"/>
  <c r="J17" i="5"/>
  <c r="I17" i="5"/>
  <c r="H17" i="5"/>
  <c r="G17" i="5"/>
  <c r="D17" i="5"/>
  <c r="O17" i="5"/>
  <c r="C17" i="5"/>
  <c r="N17" i="5"/>
  <c r="B17" i="5"/>
  <c r="M17" i="5"/>
  <c r="L17" i="5"/>
  <c r="K17" i="5"/>
  <c r="E17" i="5"/>
  <c r="F17" i="5" s="1"/>
  <c r="G48" i="6"/>
  <c r="F48" i="6"/>
  <c r="E48" i="6"/>
  <c r="C48" i="6"/>
  <c r="K48" i="6"/>
  <c r="N48" i="6"/>
  <c r="M48" i="6"/>
  <c r="L48" i="6"/>
  <c r="J48" i="6"/>
  <c r="I48" i="6"/>
  <c r="H48" i="6"/>
  <c r="D48" i="6"/>
  <c r="B48" i="6"/>
  <c r="E212" i="15"/>
  <c r="D212" i="15"/>
  <c r="B212" i="15"/>
  <c r="L212" i="15"/>
  <c r="J212" i="15"/>
  <c r="C212" i="15"/>
  <c r="K212" i="15"/>
  <c r="I212" i="15"/>
  <c r="G212" i="15"/>
  <c r="F212" i="15"/>
  <c r="H212" i="15"/>
  <c r="E28" i="6"/>
  <c r="K28" i="6"/>
  <c r="J28" i="6"/>
  <c r="I28" i="6"/>
  <c r="H28" i="6"/>
  <c r="G28" i="6"/>
  <c r="F28" i="6"/>
  <c r="D28" i="6"/>
  <c r="C28" i="6"/>
  <c r="B28" i="6"/>
  <c r="N28" i="6"/>
  <c r="M28" i="6"/>
  <c r="L28" i="6"/>
  <c r="E47" i="15"/>
  <c r="C47" i="15"/>
  <c r="K47" i="15"/>
  <c r="L47" i="15"/>
  <c r="J47" i="15"/>
  <c r="I47" i="15"/>
  <c r="F47" i="15"/>
  <c r="B47" i="15"/>
  <c r="H47" i="15"/>
  <c r="G47" i="15"/>
  <c r="D47" i="15"/>
  <c r="J171" i="15"/>
  <c r="I171" i="15"/>
  <c r="G171" i="15"/>
  <c r="F171" i="15"/>
  <c r="E171" i="15"/>
  <c r="C171" i="15"/>
  <c r="K171" i="15"/>
  <c r="L171" i="15"/>
  <c r="H171" i="15"/>
  <c r="D171" i="15"/>
  <c r="B171" i="15"/>
  <c r="N41" i="6"/>
  <c r="B41" i="6"/>
  <c r="L41" i="6"/>
  <c r="H41" i="6"/>
  <c r="C41" i="6"/>
  <c r="M41" i="6"/>
  <c r="K41" i="6"/>
  <c r="J41" i="6"/>
  <c r="I41" i="6"/>
  <c r="G41" i="6"/>
  <c r="F41" i="6"/>
  <c r="E41" i="6"/>
  <c r="D41" i="6"/>
  <c r="G76" i="6"/>
  <c r="F76" i="6"/>
  <c r="E76" i="6"/>
  <c r="D76" i="6"/>
  <c r="C76" i="6"/>
  <c r="N76" i="6"/>
  <c r="B76" i="6"/>
  <c r="K76" i="6"/>
  <c r="I76" i="6"/>
  <c r="H76" i="6"/>
  <c r="M76" i="6"/>
  <c r="L76" i="6"/>
  <c r="J76" i="6"/>
  <c r="K145" i="1"/>
  <c r="I145" i="1"/>
  <c r="H145" i="1"/>
  <c r="G145" i="1"/>
  <c r="C145" i="1"/>
  <c r="B145" i="1"/>
  <c r="L145" i="1"/>
  <c r="E145" i="1"/>
  <c r="F145" i="1" s="1"/>
  <c r="D145" i="1"/>
  <c r="E189" i="1"/>
  <c r="F189" i="1" s="1"/>
  <c r="D189" i="1"/>
  <c r="C189" i="1"/>
  <c r="L189" i="1"/>
  <c r="G189" i="1"/>
  <c r="B189" i="1"/>
  <c r="I189" i="1"/>
  <c r="H189" i="1"/>
  <c r="I54" i="1"/>
  <c r="H54" i="1"/>
  <c r="G54" i="1"/>
  <c r="D54" i="1"/>
  <c r="E54" i="1"/>
  <c r="F54" i="1" s="1"/>
  <c r="C54" i="1"/>
  <c r="B54" i="1"/>
  <c r="L54" i="1"/>
  <c r="N130" i="5"/>
  <c r="B130" i="5"/>
  <c r="L130" i="5"/>
  <c r="K130" i="5"/>
  <c r="J130" i="5"/>
  <c r="I130" i="5"/>
  <c r="H130" i="5"/>
  <c r="M130" i="5"/>
  <c r="G130" i="5"/>
  <c r="E130" i="5"/>
  <c r="F130" i="5" s="1"/>
  <c r="D130" i="5"/>
  <c r="C130" i="5"/>
  <c r="O130" i="5"/>
  <c r="E75" i="1"/>
  <c r="F75" i="1" s="1"/>
  <c r="D75" i="1"/>
  <c r="C75" i="1"/>
  <c r="B75" i="1"/>
  <c r="L75" i="1"/>
  <c r="I75" i="1"/>
  <c r="H75" i="1"/>
  <c r="G75" i="1"/>
  <c r="E14" i="1"/>
  <c r="F14" i="1" s="1"/>
  <c r="D14" i="1"/>
  <c r="C14" i="1"/>
  <c r="G14" i="1"/>
  <c r="B14" i="1"/>
  <c r="L14" i="1"/>
  <c r="K14" i="1"/>
  <c r="I14" i="1"/>
  <c r="H14" i="1"/>
  <c r="N184" i="5"/>
  <c r="B184" i="5"/>
  <c r="L184" i="5"/>
  <c r="K184" i="5"/>
  <c r="J184" i="5"/>
  <c r="I184" i="5"/>
  <c r="H184" i="5"/>
  <c r="M184" i="5"/>
  <c r="G184" i="5"/>
  <c r="E184" i="5"/>
  <c r="F184" i="5" s="1"/>
  <c r="O184" i="5"/>
  <c r="D184" i="5"/>
  <c r="C184" i="5"/>
  <c r="C108" i="1"/>
  <c r="B108" i="1"/>
  <c r="K108" i="1"/>
  <c r="L108" i="1"/>
  <c r="I108" i="1"/>
  <c r="H108" i="1"/>
  <c r="G108" i="1"/>
  <c r="E108" i="1"/>
  <c r="F108" i="1" s="1"/>
  <c r="D108" i="1"/>
  <c r="N91" i="5"/>
  <c r="B91" i="5"/>
  <c r="L91" i="5"/>
  <c r="K91" i="5"/>
  <c r="J91" i="5"/>
  <c r="I91" i="5"/>
  <c r="H91" i="5"/>
  <c r="C91" i="5"/>
  <c r="O91" i="5"/>
  <c r="M91" i="5"/>
  <c r="G91" i="5"/>
  <c r="E91" i="5"/>
  <c r="F91" i="5" s="1"/>
  <c r="D91" i="5"/>
  <c r="I133" i="6"/>
  <c r="E133" i="6"/>
  <c r="H133" i="6"/>
  <c r="G133" i="6"/>
  <c r="F133" i="6"/>
  <c r="D133" i="6"/>
  <c r="C133" i="6"/>
  <c r="B133" i="6"/>
  <c r="M133" i="6"/>
  <c r="N133" i="6"/>
  <c r="L133" i="6"/>
  <c r="K133" i="6"/>
  <c r="J133" i="6"/>
  <c r="N157" i="5"/>
  <c r="B157" i="5"/>
  <c r="L157" i="5"/>
  <c r="K157" i="5"/>
  <c r="J157" i="5"/>
  <c r="I157" i="5"/>
  <c r="H157" i="5"/>
  <c r="E157" i="5"/>
  <c r="F157" i="5" s="1"/>
  <c r="D157" i="5"/>
  <c r="C157" i="5"/>
  <c r="O157" i="5"/>
  <c r="M157" i="5"/>
  <c r="G157" i="5"/>
  <c r="B149" i="1"/>
  <c r="L149" i="1"/>
  <c r="G149" i="1"/>
  <c r="D149" i="1"/>
  <c r="K149" i="1"/>
  <c r="I149" i="1"/>
  <c r="H149" i="1"/>
  <c r="E149" i="1"/>
  <c r="F149" i="1" s="1"/>
  <c r="C149" i="1"/>
  <c r="L160" i="6"/>
  <c r="K160" i="6"/>
  <c r="I160" i="6"/>
  <c r="H160" i="6"/>
  <c r="D160" i="6"/>
  <c r="C160" i="6"/>
  <c r="B160" i="6"/>
  <c r="J160" i="6"/>
  <c r="N160" i="6"/>
  <c r="M160" i="6"/>
  <c r="G160" i="6"/>
  <c r="F160" i="6"/>
  <c r="E160" i="6"/>
  <c r="J155" i="5"/>
  <c r="H155" i="5"/>
  <c r="G155" i="5"/>
  <c r="E155" i="5"/>
  <c r="F155" i="5" s="1"/>
  <c r="D155" i="5"/>
  <c r="N155" i="5"/>
  <c r="M155" i="5"/>
  <c r="L155" i="5"/>
  <c r="K155" i="5"/>
  <c r="B155" i="5"/>
  <c r="C155" i="5"/>
  <c r="I155" i="5"/>
  <c r="O155" i="5"/>
  <c r="D117" i="5"/>
  <c r="O117" i="5"/>
  <c r="C117" i="5"/>
  <c r="N117" i="5"/>
  <c r="B117" i="5"/>
  <c r="M117" i="5"/>
  <c r="L117" i="5"/>
  <c r="J117" i="5"/>
  <c r="I117" i="5"/>
  <c r="H117" i="5"/>
  <c r="G117" i="5"/>
  <c r="K117" i="5"/>
  <c r="E117" i="5"/>
  <c r="F117" i="5" s="1"/>
  <c r="F126" i="15"/>
  <c r="E126" i="15"/>
  <c r="D126" i="15"/>
  <c r="B126" i="15"/>
  <c r="L126" i="15"/>
  <c r="J126" i="15"/>
  <c r="I126" i="15"/>
  <c r="C126" i="15"/>
  <c r="K126" i="15"/>
  <c r="H126" i="15"/>
  <c r="G126" i="15"/>
  <c r="D213" i="5"/>
  <c r="O213" i="5"/>
  <c r="C213" i="5"/>
  <c r="N213" i="5"/>
  <c r="B213" i="5"/>
  <c r="M213" i="5"/>
  <c r="L213" i="5"/>
  <c r="K213" i="5"/>
  <c r="J213" i="5"/>
  <c r="I213" i="5"/>
  <c r="H213" i="5"/>
  <c r="G213" i="5"/>
  <c r="E213" i="5"/>
  <c r="F213" i="5" s="1"/>
  <c r="N151" i="5"/>
  <c r="B151" i="5"/>
  <c r="L151" i="5"/>
  <c r="K151" i="5"/>
  <c r="J151" i="5"/>
  <c r="I151" i="5"/>
  <c r="H151" i="5"/>
  <c r="G151" i="5"/>
  <c r="E151" i="5"/>
  <c r="F151" i="5" s="1"/>
  <c r="D151" i="5"/>
  <c r="C151" i="5"/>
  <c r="M151" i="5"/>
  <c r="O151" i="5"/>
  <c r="C167" i="6"/>
  <c r="N167" i="6"/>
  <c r="B167" i="6"/>
  <c r="L167" i="6"/>
  <c r="K167" i="6"/>
  <c r="I167" i="6"/>
  <c r="G167" i="6"/>
  <c r="H167" i="6"/>
  <c r="E167" i="6"/>
  <c r="D167" i="6"/>
  <c r="J167" i="6"/>
  <c r="F167" i="6"/>
  <c r="M167" i="6"/>
  <c r="F114" i="15"/>
  <c r="E114" i="15"/>
  <c r="D114" i="15"/>
  <c r="B114" i="15"/>
  <c r="L114" i="15"/>
  <c r="J114" i="15"/>
  <c r="I114" i="15"/>
  <c r="C114" i="15"/>
  <c r="K114" i="15"/>
  <c r="H114" i="15"/>
  <c r="G114" i="15"/>
  <c r="D132" i="5"/>
  <c r="O132" i="5"/>
  <c r="C132" i="5"/>
  <c r="N132" i="5"/>
  <c r="B132" i="5"/>
  <c r="M132" i="5"/>
  <c r="L132" i="5"/>
  <c r="K132" i="5"/>
  <c r="J132" i="5"/>
  <c r="I132" i="5"/>
  <c r="H132" i="5"/>
  <c r="G132" i="5"/>
  <c r="E132" i="5"/>
  <c r="F132" i="5" s="1"/>
  <c r="N118" i="5"/>
  <c r="B118" i="5"/>
  <c r="L118" i="5"/>
  <c r="K118" i="5"/>
  <c r="J118" i="5"/>
  <c r="I118" i="5"/>
  <c r="H118" i="5"/>
  <c r="E118" i="5"/>
  <c r="F118" i="5" s="1"/>
  <c r="D118" i="5"/>
  <c r="C118" i="5"/>
  <c r="O118" i="5"/>
  <c r="M118" i="5"/>
  <c r="G118" i="5"/>
  <c r="I79" i="15"/>
  <c r="G79" i="15"/>
  <c r="C79" i="15"/>
  <c r="B79" i="15"/>
  <c r="L79" i="15"/>
  <c r="K79" i="15"/>
  <c r="F79" i="15"/>
  <c r="E79" i="15"/>
  <c r="D79" i="15"/>
  <c r="J79" i="15"/>
  <c r="H79" i="15"/>
  <c r="N79" i="5"/>
  <c r="B79" i="5"/>
  <c r="L79" i="5"/>
  <c r="K79" i="5"/>
  <c r="J79" i="5"/>
  <c r="I79" i="5"/>
  <c r="H79" i="5"/>
  <c r="G79" i="5"/>
  <c r="E79" i="5"/>
  <c r="F79" i="5" s="1"/>
  <c r="D79" i="5"/>
  <c r="O79" i="5"/>
  <c r="M79" i="5"/>
  <c r="C79" i="5"/>
  <c r="H197" i="15"/>
  <c r="G197" i="15"/>
  <c r="E197" i="15"/>
  <c r="D197" i="15"/>
  <c r="C197" i="15"/>
  <c r="L197" i="15"/>
  <c r="K197" i="15"/>
  <c r="J197" i="15"/>
  <c r="I197" i="15"/>
  <c r="F197" i="15"/>
  <c r="B197" i="15"/>
  <c r="K38" i="6"/>
  <c r="E38" i="6"/>
  <c r="D38" i="6"/>
  <c r="C38" i="6"/>
  <c r="B38" i="6"/>
  <c r="N38" i="6"/>
  <c r="M38" i="6"/>
  <c r="L38" i="6"/>
  <c r="J38" i="6"/>
  <c r="H38" i="6"/>
  <c r="G38" i="6"/>
  <c r="F38" i="6"/>
  <c r="I38" i="6"/>
  <c r="E40" i="6"/>
  <c r="K40" i="6"/>
  <c r="C40" i="6"/>
  <c r="B40" i="6"/>
  <c r="N40" i="6"/>
  <c r="M40" i="6"/>
  <c r="L40" i="6"/>
  <c r="J40" i="6"/>
  <c r="I40" i="6"/>
  <c r="H40" i="6"/>
  <c r="G40" i="6"/>
  <c r="F40" i="6"/>
  <c r="D40" i="6"/>
  <c r="B203" i="15"/>
  <c r="K203" i="15"/>
  <c r="J203" i="15"/>
  <c r="I203" i="15"/>
  <c r="G203" i="15"/>
  <c r="F203" i="15"/>
  <c r="E203" i="15"/>
  <c r="D203" i="15"/>
  <c r="C203" i="15"/>
  <c r="L203" i="15"/>
  <c r="H203" i="15"/>
  <c r="N199" i="5"/>
  <c r="B199" i="5"/>
  <c r="L199" i="5"/>
  <c r="K199" i="5"/>
  <c r="J199" i="5"/>
  <c r="I199" i="5"/>
  <c r="H199" i="5"/>
  <c r="G199" i="5"/>
  <c r="E199" i="5"/>
  <c r="F199" i="5" s="1"/>
  <c r="D199" i="5"/>
  <c r="C199" i="5"/>
  <c r="O199" i="5"/>
  <c r="M199" i="5"/>
  <c r="D105" i="6"/>
  <c r="C105" i="6"/>
  <c r="N105" i="6"/>
  <c r="B105" i="6"/>
  <c r="M105" i="6"/>
  <c r="L105" i="6"/>
  <c r="K105" i="6"/>
  <c r="H105" i="6"/>
  <c r="J105" i="6"/>
  <c r="I105" i="6"/>
  <c r="G105" i="6"/>
  <c r="F105" i="6"/>
  <c r="E105" i="6"/>
  <c r="L124" i="6"/>
  <c r="H124" i="6"/>
  <c r="N124" i="6"/>
  <c r="M124" i="6"/>
  <c r="K124" i="6"/>
  <c r="J124" i="6"/>
  <c r="I124" i="6"/>
  <c r="G124" i="6"/>
  <c r="D124" i="6"/>
  <c r="F124" i="6"/>
  <c r="E124" i="6"/>
  <c r="C124" i="6"/>
  <c r="B124" i="6"/>
  <c r="I67" i="15"/>
  <c r="G67" i="15"/>
  <c r="C67" i="15"/>
  <c r="B67" i="15"/>
  <c r="L67" i="15"/>
  <c r="K67" i="15"/>
  <c r="F67" i="15"/>
  <c r="E67" i="15"/>
  <c r="D67" i="15"/>
  <c r="H67" i="15"/>
  <c r="J67" i="15"/>
  <c r="D177" i="15"/>
  <c r="C177" i="15"/>
  <c r="L177" i="15"/>
  <c r="K177" i="15"/>
  <c r="I177" i="15"/>
  <c r="J177" i="15"/>
  <c r="H177" i="15"/>
  <c r="G177" i="15"/>
  <c r="F177" i="15"/>
  <c r="E177" i="15"/>
  <c r="B177" i="15"/>
  <c r="D26" i="15"/>
  <c r="C26" i="15"/>
  <c r="B26" i="15"/>
  <c r="H26" i="15"/>
  <c r="G26" i="15"/>
  <c r="L26" i="15"/>
  <c r="K26" i="15"/>
  <c r="J26" i="15"/>
  <c r="I26" i="15"/>
  <c r="F26" i="15"/>
  <c r="E26" i="15"/>
  <c r="J140" i="5"/>
  <c r="H140" i="5"/>
  <c r="G140" i="5"/>
  <c r="E140" i="5"/>
  <c r="F140" i="5" s="1"/>
  <c r="D140" i="5"/>
  <c r="M140" i="5"/>
  <c r="L140" i="5"/>
  <c r="K140" i="5"/>
  <c r="I140" i="5"/>
  <c r="O140" i="5"/>
  <c r="N140" i="5"/>
  <c r="C140" i="5"/>
  <c r="B140" i="5"/>
  <c r="J62" i="5"/>
  <c r="I62" i="5"/>
  <c r="H62" i="5"/>
  <c r="G62" i="5"/>
  <c r="D62" i="5"/>
  <c r="O62" i="5"/>
  <c r="C62" i="5"/>
  <c r="N62" i="5"/>
  <c r="B62" i="5"/>
  <c r="M62" i="5"/>
  <c r="L62" i="5"/>
  <c r="K62" i="5"/>
  <c r="E62" i="5"/>
  <c r="F62" i="5" s="1"/>
  <c r="H44" i="15"/>
  <c r="F44" i="15"/>
  <c r="E44" i="15"/>
  <c r="D44" i="15"/>
  <c r="C44" i="15"/>
  <c r="B44" i="15"/>
  <c r="K44" i="15"/>
  <c r="J44" i="15"/>
  <c r="G44" i="15"/>
  <c r="L44" i="15"/>
  <c r="I44" i="15"/>
  <c r="L216" i="15"/>
  <c r="J216" i="15"/>
  <c r="I216" i="15"/>
  <c r="H216" i="15"/>
  <c r="F216" i="15"/>
  <c r="K216" i="15"/>
  <c r="G216" i="15"/>
  <c r="E216" i="15"/>
  <c r="D216" i="15"/>
  <c r="C216" i="15"/>
  <c r="B216" i="15"/>
  <c r="F163" i="15"/>
  <c r="E163" i="15"/>
  <c r="C163" i="15"/>
  <c r="B163" i="15"/>
  <c r="K163" i="15"/>
  <c r="L163" i="15"/>
  <c r="J163" i="15"/>
  <c r="I163" i="15"/>
  <c r="H163" i="15"/>
  <c r="G163" i="15"/>
  <c r="D163" i="15"/>
  <c r="G88" i="6"/>
  <c r="F88" i="6"/>
  <c r="E88" i="6"/>
  <c r="D88" i="6"/>
  <c r="C88" i="6"/>
  <c r="N88" i="6"/>
  <c r="B88" i="6"/>
  <c r="K88" i="6"/>
  <c r="M88" i="6"/>
  <c r="L88" i="6"/>
  <c r="J88" i="6"/>
  <c r="I88" i="6"/>
  <c r="H88" i="6"/>
  <c r="E39" i="5"/>
  <c r="F39" i="5" s="1"/>
  <c r="D39" i="5"/>
  <c r="O39" i="5"/>
  <c r="C39" i="5"/>
  <c r="L39" i="5"/>
  <c r="K39" i="5"/>
  <c r="J39" i="5"/>
  <c r="I39" i="5"/>
  <c r="G39" i="5"/>
  <c r="N39" i="5"/>
  <c r="M39" i="5"/>
  <c r="H39" i="5"/>
  <c r="B39" i="5"/>
  <c r="I137" i="6"/>
  <c r="E137" i="6"/>
  <c r="F137" i="6"/>
  <c r="D137" i="6"/>
  <c r="C137" i="6"/>
  <c r="B137" i="6"/>
  <c r="N137" i="6"/>
  <c r="K137" i="6"/>
  <c r="L137" i="6"/>
  <c r="J137" i="6"/>
  <c r="H137" i="6"/>
  <c r="G137" i="6"/>
  <c r="M137" i="6"/>
  <c r="H3" i="15"/>
  <c r="G3" i="15"/>
  <c r="F3" i="15"/>
  <c r="E3" i="15"/>
  <c r="B3" i="15"/>
  <c r="L3" i="15"/>
  <c r="K3" i="15"/>
  <c r="C3" i="15"/>
  <c r="J3" i="15"/>
  <c r="I3" i="15"/>
  <c r="D3" i="15"/>
  <c r="J32" i="15"/>
  <c r="I32" i="15"/>
  <c r="H32" i="15"/>
  <c r="G32" i="15"/>
  <c r="B32" i="15"/>
  <c r="L32" i="15"/>
  <c r="K32" i="15"/>
  <c r="F32" i="15"/>
  <c r="E32" i="15"/>
  <c r="D32" i="15"/>
  <c r="C32" i="15"/>
  <c r="E224" i="15"/>
  <c r="D224" i="15"/>
  <c r="B224" i="15"/>
  <c r="L224" i="15"/>
  <c r="J224" i="15"/>
  <c r="C224" i="15"/>
  <c r="K224" i="15"/>
  <c r="I224" i="15"/>
  <c r="F224" i="15"/>
  <c r="H224" i="15"/>
  <c r="G224" i="15"/>
  <c r="H136" i="15"/>
  <c r="G136" i="15"/>
  <c r="F136" i="15"/>
  <c r="D136" i="15"/>
  <c r="B136" i="15"/>
  <c r="L136" i="15"/>
  <c r="I136" i="15"/>
  <c r="E136" i="15"/>
  <c r="C136" i="15"/>
  <c r="J136" i="15"/>
  <c r="K136" i="15"/>
  <c r="J104" i="5"/>
  <c r="H104" i="5"/>
  <c r="G104" i="5"/>
  <c r="E104" i="5"/>
  <c r="F104" i="5" s="1"/>
  <c r="D104" i="5"/>
  <c r="M104" i="5"/>
  <c r="L104" i="5"/>
  <c r="K104" i="5"/>
  <c r="I104" i="5"/>
  <c r="O104" i="5"/>
  <c r="N104" i="5"/>
  <c r="C104" i="5"/>
  <c r="B104" i="5"/>
  <c r="K12" i="6"/>
  <c r="J12" i="6"/>
  <c r="I12" i="6"/>
  <c r="H12" i="6"/>
  <c r="G12" i="6"/>
  <c r="F12" i="6"/>
  <c r="E12" i="6"/>
  <c r="D12" i="6"/>
  <c r="C12" i="6"/>
  <c r="B12" i="6"/>
  <c r="N12" i="6"/>
  <c r="M12" i="6"/>
  <c r="L12" i="6"/>
  <c r="I141" i="6"/>
  <c r="E141" i="6"/>
  <c r="C141" i="6"/>
  <c r="B141" i="6"/>
  <c r="N141" i="6"/>
  <c r="M141" i="6"/>
  <c r="L141" i="6"/>
  <c r="H141" i="6"/>
  <c r="J141" i="6"/>
  <c r="G141" i="6"/>
  <c r="F141" i="6"/>
  <c r="D141" i="6"/>
  <c r="K141" i="6"/>
  <c r="D120" i="5"/>
  <c r="O120" i="5"/>
  <c r="C120" i="5"/>
  <c r="N120" i="5"/>
  <c r="B120" i="5"/>
  <c r="M120" i="5"/>
  <c r="L120" i="5"/>
  <c r="I120" i="5"/>
  <c r="H120" i="5"/>
  <c r="G120" i="5"/>
  <c r="E120" i="5"/>
  <c r="F120" i="5" s="1"/>
  <c r="J120" i="5"/>
  <c r="K120" i="5"/>
  <c r="L68" i="1"/>
  <c r="I68" i="1"/>
  <c r="H68" i="1"/>
  <c r="G68" i="1"/>
  <c r="E68" i="1"/>
  <c r="F68" i="1" s="1"/>
  <c r="D68" i="1"/>
  <c r="B68" i="1"/>
  <c r="C68" i="1"/>
  <c r="E200" i="1"/>
  <c r="F200" i="1" s="1"/>
  <c r="D200" i="1"/>
  <c r="C200" i="1"/>
  <c r="B200" i="1"/>
  <c r="L200" i="1"/>
  <c r="I200" i="1"/>
  <c r="H200" i="1"/>
  <c r="G200" i="1"/>
  <c r="I216" i="1"/>
  <c r="H216" i="1"/>
  <c r="G216" i="1"/>
  <c r="C216" i="1"/>
  <c r="B216" i="1"/>
  <c r="E216" i="1"/>
  <c r="F216" i="1" s="1"/>
  <c r="D216" i="1"/>
  <c r="L216" i="1"/>
  <c r="K216" i="1"/>
  <c r="I78" i="1"/>
  <c r="L78" i="1"/>
  <c r="H78" i="1"/>
  <c r="G78" i="1"/>
  <c r="D78" i="1"/>
  <c r="E78" i="1"/>
  <c r="F78" i="1" s="1"/>
  <c r="C78" i="1"/>
  <c r="B78" i="1"/>
  <c r="K78" i="1"/>
  <c r="E176" i="1"/>
  <c r="F176" i="1" s="1"/>
  <c r="D176" i="1"/>
  <c r="C176" i="1"/>
  <c r="B176" i="1"/>
  <c r="K176" i="1"/>
  <c r="I176" i="1"/>
  <c r="H176" i="1"/>
  <c r="L176" i="1"/>
  <c r="G176" i="1"/>
  <c r="I6" i="1"/>
  <c r="H6" i="1"/>
  <c r="G6" i="1"/>
  <c r="E6" i="1"/>
  <c r="F6" i="1" s="1"/>
  <c r="D6" i="1"/>
  <c r="C6" i="1"/>
  <c r="L6" i="1"/>
  <c r="B6" i="1"/>
  <c r="D139" i="1"/>
  <c r="C139" i="1"/>
  <c r="B139" i="1"/>
  <c r="I139" i="1"/>
  <c r="H139" i="1"/>
  <c r="E139" i="1"/>
  <c r="F139" i="1" s="1"/>
  <c r="G139" i="1"/>
  <c r="L139" i="1"/>
  <c r="K139" i="1"/>
  <c r="E87" i="1"/>
  <c r="F87" i="1" s="1"/>
  <c r="D87" i="1"/>
  <c r="C87" i="1"/>
  <c r="B87" i="1"/>
  <c r="L87" i="1"/>
  <c r="H87" i="1"/>
  <c r="I87" i="1"/>
  <c r="G87" i="1"/>
  <c r="N37" i="5"/>
  <c r="B37" i="5"/>
  <c r="M37" i="5"/>
  <c r="L37" i="5"/>
  <c r="K37" i="5"/>
  <c r="H37" i="5"/>
  <c r="G37" i="5"/>
  <c r="E37" i="5"/>
  <c r="F37" i="5" s="1"/>
  <c r="O37" i="5"/>
  <c r="J37" i="5"/>
  <c r="D37" i="5"/>
  <c r="I37" i="5"/>
  <c r="C37" i="5"/>
  <c r="E86" i="1"/>
  <c r="F86" i="1" s="1"/>
  <c r="D86" i="1"/>
  <c r="C86" i="1"/>
  <c r="B86" i="1"/>
  <c r="L86" i="1"/>
  <c r="G86" i="1"/>
  <c r="I86" i="1"/>
  <c r="H86" i="1"/>
  <c r="D49" i="1"/>
  <c r="C49" i="1"/>
  <c r="B49" i="1"/>
  <c r="L49" i="1"/>
  <c r="K49" i="1"/>
  <c r="I49" i="1"/>
  <c r="H49" i="1"/>
  <c r="G49" i="1"/>
  <c r="E49" i="1"/>
  <c r="F49" i="1" s="1"/>
  <c r="N214" i="5"/>
  <c r="B214" i="5"/>
  <c r="L214" i="5"/>
  <c r="K214" i="5"/>
  <c r="J214" i="5"/>
  <c r="I214" i="5"/>
  <c r="H214" i="5"/>
  <c r="G214" i="5"/>
  <c r="O214" i="5"/>
  <c r="M214" i="5"/>
  <c r="E214" i="5"/>
  <c r="F214" i="5" s="1"/>
  <c r="D214" i="5"/>
  <c r="C214" i="5"/>
  <c r="I120" i="1"/>
  <c r="H120" i="1"/>
  <c r="B120" i="1"/>
  <c r="L120" i="1"/>
  <c r="G120" i="1"/>
  <c r="E120" i="1"/>
  <c r="F120" i="1" s="1"/>
  <c r="D120" i="1"/>
  <c r="C120" i="1"/>
  <c r="B59" i="1"/>
  <c r="I59" i="1"/>
  <c r="L59" i="1"/>
  <c r="K59" i="1"/>
  <c r="H59" i="1"/>
  <c r="G59" i="1"/>
  <c r="E59" i="1"/>
  <c r="F59" i="1" s="1"/>
  <c r="D59" i="1"/>
  <c r="C59" i="1"/>
  <c r="L34" i="1"/>
  <c r="K34" i="1"/>
  <c r="I34" i="1"/>
  <c r="H34" i="1"/>
  <c r="G34" i="1"/>
  <c r="D34" i="1"/>
  <c r="E34" i="1"/>
  <c r="F34" i="1" s="1"/>
  <c r="C34" i="1"/>
  <c r="B34" i="1"/>
  <c r="N196" i="5"/>
  <c r="B196" i="5"/>
  <c r="L196" i="5"/>
  <c r="K196" i="5"/>
  <c r="J196" i="5"/>
  <c r="I196" i="5"/>
  <c r="H196" i="5"/>
  <c r="G196" i="5"/>
  <c r="O196" i="5"/>
  <c r="M196" i="5"/>
  <c r="E196" i="5"/>
  <c r="F196" i="5" s="1"/>
  <c r="D196" i="5"/>
  <c r="C196" i="5"/>
  <c r="L69" i="1"/>
  <c r="K69" i="1"/>
  <c r="I69" i="1"/>
  <c r="H69" i="1"/>
  <c r="G69" i="1"/>
  <c r="E69" i="1"/>
  <c r="F69" i="1" s="1"/>
  <c r="B69" i="1"/>
  <c r="D69" i="1"/>
  <c r="C69" i="1"/>
  <c r="N16" i="5"/>
  <c r="B16" i="5"/>
  <c r="M16" i="5"/>
  <c r="L16" i="5"/>
  <c r="K16" i="5"/>
  <c r="H16" i="5"/>
  <c r="G16" i="5"/>
  <c r="E16" i="5"/>
  <c r="F16" i="5" s="1"/>
  <c r="O16" i="5"/>
  <c r="J16" i="5"/>
  <c r="I16" i="5"/>
  <c r="D16" i="5"/>
  <c r="C16" i="5"/>
  <c r="J83" i="6"/>
  <c r="I83" i="6"/>
  <c r="H83" i="6"/>
  <c r="G83" i="6"/>
  <c r="F83" i="6"/>
  <c r="E83" i="6"/>
  <c r="N83" i="6"/>
  <c r="B83" i="6"/>
  <c r="K83" i="6"/>
  <c r="D83" i="6"/>
  <c r="C83" i="6"/>
  <c r="M83" i="6"/>
  <c r="L83" i="6"/>
  <c r="G118" i="1"/>
  <c r="D118" i="1"/>
  <c r="L118" i="1"/>
  <c r="I118" i="1"/>
  <c r="H118" i="1"/>
  <c r="C118" i="1"/>
  <c r="E118" i="1"/>
  <c r="F118" i="1" s="1"/>
  <c r="B118" i="1"/>
  <c r="K8" i="6"/>
  <c r="J8" i="6"/>
  <c r="I8" i="6"/>
  <c r="H8" i="6"/>
  <c r="G8" i="6"/>
  <c r="F8" i="6"/>
  <c r="E8" i="6"/>
  <c r="D8" i="6"/>
  <c r="B8" i="6"/>
  <c r="N8" i="6"/>
  <c r="M8" i="6"/>
  <c r="L8" i="6"/>
  <c r="C8" i="6"/>
  <c r="C150" i="1"/>
  <c r="B150" i="1"/>
  <c r="H150" i="1"/>
  <c r="G150" i="1"/>
  <c r="D150" i="1"/>
  <c r="L150" i="1"/>
  <c r="K150" i="1"/>
  <c r="I150" i="1"/>
  <c r="E150" i="1"/>
  <c r="F150" i="1" s="1"/>
  <c r="B161" i="1"/>
  <c r="L161" i="1"/>
  <c r="G161" i="1"/>
  <c r="C161" i="1"/>
  <c r="I161" i="1"/>
  <c r="H161" i="1"/>
  <c r="E161" i="1"/>
  <c r="F161" i="1" s="1"/>
  <c r="D161" i="1"/>
  <c r="L160" i="1"/>
  <c r="K160" i="1"/>
  <c r="E160" i="1"/>
  <c r="F160" i="1" s="1"/>
  <c r="I160" i="1"/>
  <c r="H160" i="1"/>
  <c r="C160" i="1"/>
  <c r="G160" i="1"/>
  <c r="D160" i="1"/>
  <c r="B160" i="1"/>
  <c r="L123" i="1"/>
  <c r="I123" i="1"/>
  <c r="E123" i="1"/>
  <c r="F123" i="1" s="1"/>
  <c r="D123" i="1"/>
  <c r="C123" i="1"/>
  <c r="B123" i="1"/>
  <c r="H123" i="1"/>
  <c r="G123" i="1"/>
  <c r="H31" i="6"/>
  <c r="N31" i="6"/>
  <c r="B31" i="6"/>
  <c r="I31" i="6"/>
  <c r="G31" i="6"/>
  <c r="F31" i="6"/>
  <c r="E31" i="6"/>
  <c r="D31" i="6"/>
  <c r="C31" i="6"/>
  <c r="K31" i="6"/>
  <c r="J31" i="6"/>
  <c r="M31" i="6"/>
  <c r="L31" i="6"/>
  <c r="F134" i="6"/>
  <c r="N134" i="6"/>
  <c r="B134" i="6"/>
  <c r="H134" i="6"/>
  <c r="G134" i="6"/>
  <c r="E134" i="6"/>
  <c r="D134" i="6"/>
  <c r="C134" i="6"/>
  <c r="L134" i="6"/>
  <c r="M134" i="6"/>
  <c r="K134" i="6"/>
  <c r="J134" i="6"/>
  <c r="I134" i="6"/>
  <c r="E18" i="6"/>
  <c r="D18" i="6"/>
  <c r="C18" i="6"/>
  <c r="N18" i="6"/>
  <c r="B18" i="6"/>
  <c r="M18" i="6"/>
  <c r="L18" i="6"/>
  <c r="K18" i="6"/>
  <c r="J18" i="6"/>
  <c r="H18" i="6"/>
  <c r="G18" i="6"/>
  <c r="F18" i="6"/>
  <c r="I18" i="6"/>
  <c r="L164" i="6"/>
  <c r="K164" i="6"/>
  <c r="I164" i="6"/>
  <c r="H164" i="6"/>
  <c r="D164" i="6"/>
  <c r="C164" i="6"/>
  <c r="B164" i="6"/>
  <c r="J164" i="6"/>
  <c r="F164" i="6"/>
  <c r="E164" i="6"/>
  <c r="M164" i="6"/>
  <c r="G164" i="6"/>
  <c r="N164" i="6"/>
  <c r="I192" i="6"/>
  <c r="H192" i="6"/>
  <c r="G192" i="6"/>
  <c r="D192" i="6"/>
  <c r="N192" i="6"/>
  <c r="M192" i="6"/>
  <c r="K192" i="6"/>
  <c r="F192" i="6"/>
  <c r="J192" i="6"/>
  <c r="L192" i="6"/>
  <c r="E192" i="6"/>
  <c r="C192" i="6"/>
  <c r="B192" i="6"/>
  <c r="K19" i="15"/>
  <c r="J19" i="15"/>
  <c r="I19" i="15"/>
  <c r="H19" i="15"/>
  <c r="L19" i="15"/>
  <c r="G19" i="15"/>
  <c r="F19" i="15"/>
  <c r="E19" i="15"/>
  <c r="B19" i="15"/>
  <c r="D19" i="15"/>
  <c r="C19" i="15"/>
  <c r="I43" i="15"/>
  <c r="G43" i="15"/>
  <c r="D43" i="15"/>
  <c r="C43" i="15"/>
  <c r="B43" i="15"/>
  <c r="L43" i="15"/>
  <c r="J43" i="15"/>
  <c r="H43" i="15"/>
  <c r="K43" i="15"/>
  <c r="E43" i="15"/>
  <c r="F43" i="15"/>
  <c r="B62" i="15"/>
  <c r="L62" i="15"/>
  <c r="H62" i="15"/>
  <c r="G62" i="15"/>
  <c r="F62" i="15"/>
  <c r="C62" i="15"/>
  <c r="K62" i="15"/>
  <c r="J62" i="15"/>
  <c r="I62" i="15"/>
  <c r="E62" i="15"/>
  <c r="D62" i="15"/>
  <c r="I208" i="15"/>
  <c r="H208" i="15"/>
  <c r="F208" i="15"/>
  <c r="E208" i="15"/>
  <c r="D208" i="15"/>
  <c r="B208" i="15"/>
  <c r="L208" i="15"/>
  <c r="K208" i="15"/>
  <c r="J208" i="15"/>
  <c r="G208" i="15"/>
  <c r="C208" i="15"/>
  <c r="G210" i="15"/>
  <c r="F210" i="15"/>
  <c r="D210" i="15"/>
  <c r="C210" i="15"/>
  <c r="B210" i="15"/>
  <c r="L210" i="15"/>
  <c r="I210" i="15"/>
  <c r="H210" i="15"/>
  <c r="E210" i="15"/>
  <c r="K210" i="15"/>
  <c r="J210" i="15"/>
  <c r="C30" i="16"/>
  <c r="E9" i="5"/>
  <c r="F9" i="5" s="1"/>
  <c r="D9" i="5"/>
  <c r="O9" i="5"/>
  <c r="C9" i="5"/>
  <c r="L9" i="5"/>
  <c r="K9" i="5"/>
  <c r="J9" i="5"/>
  <c r="I9" i="5"/>
  <c r="N9" i="5"/>
  <c r="M9" i="5"/>
  <c r="G9" i="5"/>
  <c r="H9" i="5"/>
  <c r="B9" i="5"/>
  <c r="G96" i="6"/>
  <c r="F96" i="6"/>
  <c r="E96" i="6"/>
  <c r="D96" i="6"/>
  <c r="C96" i="6"/>
  <c r="N96" i="6"/>
  <c r="B96" i="6"/>
  <c r="K96" i="6"/>
  <c r="M96" i="6"/>
  <c r="L96" i="6"/>
  <c r="J96" i="6"/>
  <c r="I96" i="6"/>
  <c r="H96" i="6"/>
  <c r="J13" i="15"/>
  <c r="I13" i="15"/>
  <c r="H13" i="15"/>
  <c r="G13" i="15"/>
  <c r="D13" i="15"/>
  <c r="C13" i="15"/>
  <c r="B13" i="15"/>
  <c r="K13" i="15"/>
  <c r="F13" i="15"/>
  <c r="E13" i="15"/>
  <c r="L13" i="15"/>
  <c r="G57" i="15"/>
  <c r="E57" i="15"/>
  <c r="L57" i="15"/>
  <c r="J57" i="15"/>
  <c r="I57" i="15"/>
  <c r="H57" i="15"/>
  <c r="F57" i="15"/>
  <c r="B57" i="15"/>
  <c r="K57" i="15"/>
  <c r="D57" i="15"/>
  <c r="C57" i="15"/>
  <c r="L156" i="15"/>
  <c r="J156" i="15"/>
  <c r="I156" i="15"/>
  <c r="H156" i="15"/>
  <c r="F156" i="15"/>
  <c r="K156" i="15"/>
  <c r="G156" i="15"/>
  <c r="D156" i="15"/>
  <c r="B156" i="15"/>
  <c r="E156" i="15"/>
  <c r="C156" i="15"/>
  <c r="H161" i="15"/>
  <c r="G161" i="15"/>
  <c r="E161" i="15"/>
  <c r="D161" i="15"/>
  <c r="C161" i="15"/>
  <c r="L161" i="15"/>
  <c r="K161" i="15"/>
  <c r="J161" i="15"/>
  <c r="F161" i="15"/>
  <c r="I161" i="15"/>
  <c r="B161" i="15"/>
  <c r="D73" i="6"/>
  <c r="C73" i="6"/>
  <c r="N73" i="6"/>
  <c r="B73" i="6"/>
  <c r="M73" i="6"/>
  <c r="L73" i="6"/>
  <c r="K73" i="6"/>
  <c r="H73" i="6"/>
  <c r="J73" i="6"/>
  <c r="I73" i="6"/>
  <c r="G73" i="6"/>
  <c r="F73" i="6"/>
  <c r="E73" i="6"/>
  <c r="K93" i="15"/>
  <c r="I93" i="15"/>
  <c r="G93" i="15"/>
  <c r="D93" i="15"/>
  <c r="C93" i="15"/>
  <c r="B93" i="15"/>
  <c r="J93" i="15"/>
  <c r="H93" i="15"/>
  <c r="F93" i="15"/>
  <c r="E93" i="15"/>
  <c r="L93" i="15"/>
  <c r="B179" i="15"/>
  <c r="K179" i="15"/>
  <c r="J179" i="15"/>
  <c r="I179" i="15"/>
  <c r="G179" i="15"/>
  <c r="F179" i="15"/>
  <c r="E179" i="15"/>
  <c r="D179" i="15"/>
  <c r="C179" i="15"/>
  <c r="L179" i="15"/>
  <c r="H179" i="15"/>
  <c r="C155" i="6"/>
  <c r="N155" i="6"/>
  <c r="B155" i="6"/>
  <c r="L155" i="6"/>
  <c r="K155" i="6"/>
  <c r="G155" i="6"/>
  <c r="M155" i="6"/>
  <c r="J155" i="6"/>
  <c r="I155" i="6"/>
  <c r="E155" i="6"/>
  <c r="H155" i="6"/>
  <c r="F155" i="6"/>
  <c r="D155" i="6"/>
  <c r="C198" i="6"/>
  <c r="N198" i="6"/>
  <c r="B198" i="6"/>
  <c r="M198" i="6"/>
  <c r="J198" i="6"/>
  <c r="L198" i="6"/>
  <c r="K198" i="6"/>
  <c r="I198" i="6"/>
  <c r="H198" i="6"/>
  <c r="G198" i="6"/>
  <c r="E198" i="6"/>
  <c r="F198" i="6"/>
  <c r="D198" i="6"/>
  <c r="I135" i="15"/>
  <c r="H135" i="15"/>
  <c r="G135" i="15"/>
  <c r="E135" i="15"/>
  <c r="C135" i="15"/>
  <c r="F135" i="15"/>
  <c r="B135" i="15"/>
  <c r="L135" i="15"/>
  <c r="K135" i="15"/>
  <c r="J135" i="15"/>
  <c r="D135" i="15"/>
  <c r="C49" i="15"/>
  <c r="I49" i="15"/>
  <c r="B49" i="15"/>
  <c r="J49" i="15"/>
  <c r="G49" i="15"/>
  <c r="F49" i="15"/>
  <c r="H49" i="15"/>
  <c r="E49" i="15"/>
  <c r="D49" i="15"/>
  <c r="L49" i="15"/>
  <c r="K49" i="15"/>
  <c r="N88" i="5"/>
  <c r="B88" i="5"/>
  <c r="L88" i="5"/>
  <c r="K88" i="5"/>
  <c r="J88" i="5"/>
  <c r="I88" i="5"/>
  <c r="H88" i="5"/>
  <c r="D88" i="5"/>
  <c r="C88" i="5"/>
  <c r="O88" i="5"/>
  <c r="M88" i="5"/>
  <c r="G88" i="5"/>
  <c r="E88" i="5"/>
  <c r="F88" i="5" s="1"/>
  <c r="J185" i="5"/>
  <c r="H185" i="5"/>
  <c r="G185" i="5"/>
  <c r="E185" i="5"/>
  <c r="F185" i="5" s="1"/>
  <c r="D185" i="5"/>
  <c r="O185" i="5"/>
  <c r="N185" i="5"/>
  <c r="M185" i="5"/>
  <c r="I185" i="5"/>
  <c r="C185" i="5"/>
  <c r="B185" i="5"/>
  <c r="L185" i="5"/>
  <c r="K185" i="5"/>
  <c r="J35" i="5"/>
  <c r="I35" i="5"/>
  <c r="H35" i="5"/>
  <c r="G35" i="5"/>
  <c r="D35" i="5"/>
  <c r="O35" i="5"/>
  <c r="C35" i="5"/>
  <c r="N35" i="5"/>
  <c r="B35" i="5"/>
  <c r="M35" i="5"/>
  <c r="L35" i="5"/>
  <c r="K35" i="5"/>
  <c r="E35" i="5"/>
  <c r="F35" i="5" s="1"/>
  <c r="E152" i="1"/>
  <c r="F152" i="1" s="1"/>
  <c r="D152" i="1"/>
  <c r="C152" i="1"/>
  <c r="B152" i="1"/>
  <c r="K152" i="1"/>
  <c r="I152" i="1"/>
  <c r="H152" i="1"/>
  <c r="L152" i="1"/>
  <c r="G152" i="1"/>
  <c r="B125" i="1"/>
  <c r="L125" i="1"/>
  <c r="G125" i="1"/>
  <c r="D125" i="1"/>
  <c r="C125" i="1"/>
  <c r="K125" i="1"/>
  <c r="H125" i="1"/>
  <c r="I125" i="1"/>
  <c r="E125" i="1"/>
  <c r="F125" i="1" s="1"/>
  <c r="N31" i="5"/>
  <c r="B31" i="5"/>
  <c r="M31" i="5"/>
  <c r="L31" i="5"/>
  <c r="K31" i="5"/>
  <c r="H31" i="5"/>
  <c r="G31" i="5"/>
  <c r="E31" i="5"/>
  <c r="F31" i="5" s="1"/>
  <c r="D31" i="5"/>
  <c r="O31" i="5"/>
  <c r="J31" i="5"/>
  <c r="I31" i="5"/>
  <c r="C31" i="5"/>
  <c r="D37" i="1"/>
  <c r="C37" i="1"/>
  <c r="B37" i="1"/>
  <c r="L37" i="1"/>
  <c r="K37" i="1"/>
  <c r="I37" i="1"/>
  <c r="H37" i="1"/>
  <c r="G37" i="1"/>
  <c r="E37" i="1"/>
  <c r="F37" i="1" s="1"/>
  <c r="B47" i="1"/>
  <c r="L47" i="1"/>
  <c r="K47" i="1"/>
  <c r="I47" i="1"/>
  <c r="H47" i="1"/>
  <c r="G47" i="1"/>
  <c r="E47" i="1"/>
  <c r="F47" i="1" s="1"/>
  <c r="D47" i="1"/>
  <c r="C47" i="1"/>
  <c r="L10" i="1"/>
  <c r="I10" i="1"/>
  <c r="H10" i="1"/>
  <c r="G10" i="1"/>
  <c r="E10" i="1"/>
  <c r="F10" i="1" s="1"/>
  <c r="C10" i="1"/>
  <c r="D10" i="1"/>
  <c r="B10" i="1"/>
  <c r="L57" i="1"/>
  <c r="B57" i="1"/>
  <c r="K57" i="1"/>
  <c r="I57" i="1"/>
  <c r="H57" i="1"/>
  <c r="G57" i="1"/>
  <c r="E57" i="1"/>
  <c r="F57" i="1" s="1"/>
  <c r="D57" i="1"/>
  <c r="C57" i="1"/>
  <c r="N10" i="5"/>
  <c r="B10" i="5"/>
  <c r="M10" i="5"/>
  <c r="L10" i="5"/>
  <c r="K10" i="5"/>
  <c r="H10" i="5"/>
  <c r="G10" i="5"/>
  <c r="E10" i="5"/>
  <c r="F10" i="5" s="1"/>
  <c r="O10" i="5"/>
  <c r="J10" i="5"/>
  <c r="I10" i="5"/>
  <c r="D10" i="5"/>
  <c r="C10" i="5"/>
  <c r="M46" i="6"/>
  <c r="K46" i="6"/>
  <c r="I46" i="6"/>
  <c r="E46" i="6"/>
  <c r="J46" i="6"/>
  <c r="H46" i="6"/>
  <c r="G46" i="6"/>
  <c r="F46" i="6"/>
  <c r="D46" i="6"/>
  <c r="C46" i="6"/>
  <c r="B46" i="6"/>
  <c r="N46" i="6"/>
  <c r="L46" i="6"/>
  <c r="C138" i="1"/>
  <c r="B138" i="1"/>
  <c r="H138" i="1"/>
  <c r="G138" i="1"/>
  <c r="L138" i="1"/>
  <c r="K138" i="1"/>
  <c r="I138" i="1"/>
  <c r="E138" i="1"/>
  <c r="F138" i="1" s="1"/>
  <c r="D138" i="1"/>
  <c r="L148" i="1"/>
  <c r="K148" i="1"/>
  <c r="E148" i="1"/>
  <c r="F148" i="1" s="1"/>
  <c r="B148" i="1"/>
  <c r="D148" i="1"/>
  <c r="I148" i="1"/>
  <c r="H148" i="1"/>
  <c r="G148" i="1"/>
  <c r="C148" i="1"/>
  <c r="I111" i="1"/>
  <c r="E111" i="1"/>
  <c r="F111" i="1" s="1"/>
  <c r="D111" i="1"/>
  <c r="G111" i="1"/>
  <c r="L111" i="1"/>
  <c r="K111" i="1"/>
  <c r="H111" i="1"/>
  <c r="C111" i="1"/>
  <c r="B111" i="1"/>
  <c r="J67" i="6"/>
  <c r="I67" i="6"/>
  <c r="H67" i="6"/>
  <c r="G67" i="6"/>
  <c r="F67" i="6"/>
  <c r="E67" i="6"/>
  <c r="N67" i="6"/>
  <c r="B67" i="6"/>
  <c r="K67" i="6"/>
  <c r="D67" i="6"/>
  <c r="C67" i="6"/>
  <c r="M67" i="6"/>
  <c r="L67" i="6"/>
  <c r="J119" i="6"/>
  <c r="I119" i="6"/>
  <c r="H119" i="6"/>
  <c r="G119" i="6"/>
  <c r="F119" i="6"/>
  <c r="E119" i="6"/>
  <c r="N119" i="6"/>
  <c r="B119" i="6"/>
  <c r="M119" i="6"/>
  <c r="L119" i="6"/>
  <c r="D119" i="6"/>
  <c r="C119" i="6"/>
  <c r="K119" i="6"/>
  <c r="L183" i="6"/>
  <c r="K183" i="6"/>
  <c r="G183" i="6"/>
  <c r="J183" i="6"/>
  <c r="I183" i="6"/>
  <c r="H183" i="6"/>
  <c r="F183" i="6"/>
  <c r="E183" i="6"/>
  <c r="C183" i="6"/>
  <c r="M183" i="6"/>
  <c r="N183" i="6"/>
  <c r="D183" i="6"/>
  <c r="B183" i="6"/>
  <c r="F201" i="6"/>
  <c r="E201" i="6"/>
  <c r="D201" i="6"/>
  <c r="M201" i="6"/>
  <c r="B201" i="6"/>
  <c r="N201" i="6"/>
  <c r="K201" i="6"/>
  <c r="I201" i="6"/>
  <c r="G201" i="6"/>
  <c r="C201" i="6"/>
  <c r="L201" i="6"/>
  <c r="J201" i="6"/>
  <c r="H201" i="6"/>
  <c r="C26" i="14"/>
  <c r="D26" i="14"/>
  <c r="E59" i="15"/>
  <c r="C59" i="15"/>
  <c r="K59" i="15"/>
  <c r="J59" i="15"/>
  <c r="I59" i="15"/>
  <c r="B59" i="15"/>
  <c r="L59" i="15"/>
  <c r="H59" i="15"/>
  <c r="G59" i="15"/>
  <c r="F59" i="15"/>
  <c r="D59" i="15"/>
  <c r="G198" i="15"/>
  <c r="F198" i="15"/>
  <c r="D198" i="15"/>
  <c r="C198" i="15"/>
  <c r="B198" i="15"/>
  <c r="L198" i="15"/>
  <c r="I198" i="15"/>
  <c r="H198" i="15"/>
  <c r="E198" i="15"/>
  <c r="K198" i="15"/>
  <c r="J198" i="15"/>
  <c r="I196" i="15"/>
  <c r="H196" i="15"/>
  <c r="F196" i="15"/>
  <c r="E196" i="15"/>
  <c r="D196" i="15"/>
  <c r="B196" i="15"/>
  <c r="L196" i="15"/>
  <c r="K196" i="15"/>
  <c r="J196" i="15"/>
  <c r="G196" i="15"/>
  <c r="C196" i="15"/>
  <c r="C186" i="6"/>
  <c r="N186" i="6"/>
  <c r="B186" i="6"/>
  <c r="J186" i="6"/>
  <c r="L186" i="6"/>
  <c r="K186" i="6"/>
  <c r="I186" i="6"/>
  <c r="H186" i="6"/>
  <c r="G186" i="6"/>
  <c r="E186" i="6"/>
  <c r="M186" i="6"/>
  <c r="F186" i="6"/>
  <c r="D186" i="6"/>
  <c r="D126" i="5"/>
  <c r="O126" i="5"/>
  <c r="C126" i="5"/>
  <c r="N126" i="5"/>
  <c r="B126" i="5"/>
  <c r="M126" i="5"/>
  <c r="L126" i="5"/>
  <c r="K126" i="5"/>
  <c r="J126" i="5"/>
  <c r="G126" i="5"/>
  <c r="E126" i="5"/>
  <c r="F126" i="5" s="1"/>
  <c r="I126" i="5"/>
  <c r="H126" i="5"/>
  <c r="N187" i="5"/>
  <c r="B187" i="5"/>
  <c r="L187" i="5"/>
  <c r="K187" i="5"/>
  <c r="J187" i="5"/>
  <c r="I187" i="5"/>
  <c r="H187" i="5"/>
  <c r="G187" i="5"/>
  <c r="E187" i="5"/>
  <c r="F187" i="5" s="1"/>
  <c r="D187" i="5"/>
  <c r="O187" i="5"/>
  <c r="M187" i="5"/>
  <c r="C187" i="5"/>
  <c r="L18" i="15"/>
  <c r="K18" i="15"/>
  <c r="J18" i="15"/>
  <c r="I18" i="15"/>
  <c r="E18" i="15"/>
  <c r="D18" i="15"/>
  <c r="C18" i="15"/>
  <c r="B18" i="15"/>
  <c r="H18" i="15"/>
  <c r="G18" i="15"/>
  <c r="F18" i="15"/>
  <c r="C151" i="6"/>
  <c r="N151" i="6"/>
  <c r="B151" i="6"/>
  <c r="L151" i="6"/>
  <c r="K151" i="6"/>
  <c r="G151" i="6"/>
  <c r="M151" i="6"/>
  <c r="J151" i="6"/>
  <c r="I151" i="6"/>
  <c r="E151" i="6"/>
  <c r="H151" i="6"/>
  <c r="F151" i="6"/>
  <c r="D151" i="6"/>
  <c r="N133" i="5"/>
  <c r="B133" i="5"/>
  <c r="L133" i="5"/>
  <c r="K133" i="5"/>
  <c r="J133" i="5"/>
  <c r="I133" i="5"/>
  <c r="H133" i="5"/>
  <c r="G133" i="5"/>
  <c r="E133" i="5"/>
  <c r="F133" i="5" s="1"/>
  <c r="D133" i="5"/>
  <c r="O133" i="5"/>
  <c r="M133" i="5"/>
  <c r="C133" i="5"/>
  <c r="D69" i="6"/>
  <c r="C69" i="6"/>
  <c r="N69" i="6"/>
  <c r="B69" i="6"/>
  <c r="M69" i="6"/>
  <c r="L69" i="6"/>
  <c r="K69" i="6"/>
  <c r="H69" i="6"/>
  <c r="F69" i="6"/>
  <c r="E69" i="6"/>
  <c r="J69" i="6"/>
  <c r="I69" i="6"/>
  <c r="G69" i="6"/>
  <c r="C182" i="6"/>
  <c r="N182" i="6"/>
  <c r="B182" i="6"/>
  <c r="J182" i="6"/>
  <c r="I182" i="6"/>
  <c r="H182" i="6"/>
  <c r="G182" i="6"/>
  <c r="F182" i="6"/>
  <c r="E182" i="6"/>
  <c r="M182" i="6"/>
  <c r="L182" i="6"/>
  <c r="K182" i="6"/>
  <c r="D182" i="6"/>
  <c r="C174" i="6"/>
  <c r="N174" i="6"/>
  <c r="B174" i="6"/>
  <c r="J174" i="6"/>
  <c r="E174" i="6"/>
  <c r="D174" i="6"/>
  <c r="L174" i="6"/>
  <c r="I174" i="6"/>
  <c r="M174" i="6"/>
  <c r="G174" i="6"/>
  <c r="K174" i="6"/>
  <c r="F174" i="6"/>
  <c r="H174" i="6"/>
  <c r="C190" i="6"/>
  <c r="N190" i="6"/>
  <c r="B190" i="6"/>
  <c r="J190" i="6"/>
  <c r="M190" i="6"/>
  <c r="L190" i="6"/>
  <c r="K190" i="6"/>
  <c r="I190" i="6"/>
  <c r="G190" i="6"/>
  <c r="E190" i="6"/>
  <c r="F190" i="6"/>
  <c r="H190" i="6"/>
  <c r="D190" i="6"/>
  <c r="H149" i="15"/>
  <c r="G149" i="15"/>
  <c r="E149" i="15"/>
  <c r="D149" i="15"/>
  <c r="C149" i="15"/>
  <c r="L149" i="15"/>
  <c r="J149" i="15"/>
  <c r="F149" i="15"/>
  <c r="K149" i="15"/>
  <c r="I149" i="15"/>
  <c r="B149" i="15"/>
  <c r="D189" i="15"/>
  <c r="C189" i="15"/>
  <c r="L189" i="15"/>
  <c r="K189" i="15"/>
  <c r="I189" i="15"/>
  <c r="J189" i="15"/>
  <c r="H189" i="15"/>
  <c r="G189" i="15"/>
  <c r="F189" i="15"/>
  <c r="E189" i="15"/>
  <c r="B189" i="15"/>
  <c r="G60" i="6"/>
  <c r="F60" i="6"/>
  <c r="E60" i="6"/>
  <c r="C60" i="6"/>
  <c r="N60" i="6"/>
  <c r="B60" i="6"/>
  <c r="K60" i="6"/>
  <c r="I60" i="6"/>
  <c r="H60" i="6"/>
  <c r="D60" i="6"/>
  <c r="M60" i="6"/>
  <c r="L60" i="6"/>
  <c r="J60" i="6"/>
  <c r="L136" i="6"/>
  <c r="H136" i="6"/>
  <c r="F136" i="6"/>
  <c r="E136" i="6"/>
  <c r="D136" i="6"/>
  <c r="C136" i="6"/>
  <c r="B136" i="6"/>
  <c r="K136" i="6"/>
  <c r="N136" i="6"/>
  <c r="M136" i="6"/>
  <c r="J136" i="6"/>
  <c r="I136" i="6"/>
  <c r="G136" i="6"/>
  <c r="K34" i="6"/>
  <c r="E34" i="6"/>
  <c r="G34" i="6"/>
  <c r="F34" i="6"/>
  <c r="D34" i="6"/>
  <c r="C34" i="6"/>
  <c r="B34" i="6"/>
  <c r="N34" i="6"/>
  <c r="M34" i="6"/>
  <c r="L34" i="6"/>
  <c r="J34" i="6"/>
  <c r="I34" i="6"/>
  <c r="H34" i="6"/>
  <c r="B130" i="15"/>
  <c r="L130" i="15"/>
  <c r="J130" i="15"/>
  <c r="H130" i="15"/>
  <c r="F130" i="15"/>
  <c r="D130" i="15"/>
  <c r="K130" i="15"/>
  <c r="E130" i="15"/>
  <c r="C130" i="15"/>
  <c r="I130" i="15"/>
  <c r="G130" i="15"/>
  <c r="E24" i="5"/>
  <c r="F24" i="5" s="1"/>
  <c r="D24" i="5"/>
  <c r="O24" i="5"/>
  <c r="C24" i="5"/>
  <c r="L24" i="5"/>
  <c r="K24" i="5"/>
  <c r="J24" i="5"/>
  <c r="I24" i="5"/>
  <c r="N24" i="5"/>
  <c r="M24" i="5"/>
  <c r="H24" i="5"/>
  <c r="G24" i="5"/>
  <c r="B24" i="5"/>
  <c r="B28" i="15"/>
  <c r="L28" i="15"/>
  <c r="K28" i="15"/>
  <c r="F28" i="15"/>
  <c r="E28" i="15"/>
  <c r="H28" i="15"/>
  <c r="G28" i="15"/>
  <c r="D28" i="15"/>
  <c r="C28" i="15"/>
  <c r="J28" i="15"/>
  <c r="I28" i="15"/>
  <c r="E32" i="6"/>
  <c r="K32" i="6"/>
  <c r="H32" i="6"/>
  <c r="G32" i="6"/>
  <c r="F32" i="6"/>
  <c r="D32" i="6"/>
  <c r="C32" i="6"/>
  <c r="B32" i="6"/>
  <c r="N32" i="6"/>
  <c r="L32" i="6"/>
  <c r="J32" i="6"/>
  <c r="I32" i="6"/>
  <c r="M32" i="6"/>
  <c r="I123" i="15"/>
  <c r="H123" i="15"/>
  <c r="G123" i="15"/>
  <c r="E123" i="15"/>
  <c r="C123" i="15"/>
  <c r="F123" i="15"/>
  <c r="B123" i="15"/>
  <c r="L123" i="15"/>
  <c r="K123" i="15"/>
  <c r="J123" i="15"/>
  <c r="D123" i="15"/>
  <c r="C39" i="15"/>
  <c r="B39" i="15"/>
  <c r="L39" i="15"/>
  <c r="I39" i="15"/>
  <c r="G39" i="15"/>
  <c r="F39" i="15"/>
  <c r="K39" i="15"/>
  <c r="J39" i="15"/>
  <c r="H39" i="15"/>
  <c r="D39" i="15"/>
  <c r="E39" i="15"/>
  <c r="J122" i="15"/>
  <c r="I122" i="15"/>
  <c r="H122" i="15"/>
  <c r="F122" i="15"/>
  <c r="D122" i="15"/>
  <c r="B122" i="15"/>
  <c r="L122" i="15"/>
  <c r="K122" i="15"/>
  <c r="G122" i="15"/>
  <c r="E122" i="15"/>
  <c r="C122" i="15"/>
  <c r="J206" i="5"/>
  <c r="H206" i="5"/>
  <c r="G206" i="5"/>
  <c r="E206" i="5"/>
  <c r="F206" i="5" s="1"/>
  <c r="D206" i="5"/>
  <c r="O206" i="5"/>
  <c r="C206" i="5"/>
  <c r="B206" i="5"/>
  <c r="N206" i="5"/>
  <c r="M206" i="5"/>
  <c r="L206" i="5"/>
  <c r="K206" i="5"/>
  <c r="I206" i="5"/>
  <c r="D153" i="5"/>
  <c r="O153" i="5"/>
  <c r="C153" i="5"/>
  <c r="N153" i="5"/>
  <c r="B153" i="5"/>
  <c r="M153" i="5"/>
  <c r="L153" i="5"/>
  <c r="J153" i="5"/>
  <c r="I153" i="5"/>
  <c r="H153" i="5"/>
  <c r="G153" i="5"/>
  <c r="K153" i="5"/>
  <c r="E153" i="5"/>
  <c r="F153" i="5" s="1"/>
  <c r="C8" i="15"/>
  <c r="B8" i="15"/>
  <c r="L8" i="15"/>
  <c r="I8" i="15"/>
  <c r="H8" i="15"/>
  <c r="G8" i="15"/>
  <c r="F8" i="15"/>
  <c r="K8" i="15"/>
  <c r="J8" i="15"/>
  <c r="D8" i="15"/>
  <c r="E8" i="15"/>
  <c r="F138" i="15"/>
  <c r="E138" i="15"/>
  <c r="D138" i="15"/>
  <c r="B138" i="15"/>
  <c r="L138" i="15"/>
  <c r="J138" i="15"/>
  <c r="I138" i="15"/>
  <c r="C138" i="15"/>
  <c r="K138" i="15"/>
  <c r="H138" i="15"/>
  <c r="G138" i="15"/>
  <c r="C91" i="15"/>
  <c r="H91" i="15"/>
  <c r="F91" i="15"/>
  <c r="B91" i="15"/>
  <c r="L91" i="15"/>
  <c r="K91" i="15"/>
  <c r="J91" i="15"/>
  <c r="I91" i="15"/>
  <c r="G91" i="15"/>
  <c r="E91" i="15"/>
  <c r="D91" i="15"/>
  <c r="L195" i="6"/>
  <c r="K195" i="6"/>
  <c r="J195" i="6"/>
  <c r="G195" i="6"/>
  <c r="F195" i="6"/>
  <c r="E195" i="6"/>
  <c r="D195" i="6"/>
  <c r="C195" i="6"/>
  <c r="B195" i="6"/>
  <c r="N195" i="6"/>
  <c r="M195" i="6"/>
  <c r="I195" i="6"/>
  <c r="H195" i="6"/>
  <c r="H5" i="6"/>
  <c r="G5" i="6"/>
  <c r="F5" i="6"/>
  <c r="E5" i="6"/>
  <c r="D5" i="6"/>
  <c r="C5" i="6"/>
  <c r="N5" i="6"/>
  <c r="B5" i="6"/>
  <c r="M5" i="6"/>
  <c r="L5" i="6"/>
  <c r="K5" i="6"/>
  <c r="J5" i="6"/>
  <c r="I5" i="6"/>
  <c r="J131" i="5"/>
  <c r="H131" i="5"/>
  <c r="G131" i="5"/>
  <c r="E131" i="5"/>
  <c r="F131" i="5" s="1"/>
  <c r="D131" i="5"/>
  <c r="I131" i="5"/>
  <c r="C131" i="5"/>
  <c r="B131" i="5"/>
  <c r="O131" i="5"/>
  <c r="N131" i="5"/>
  <c r="M131" i="5"/>
  <c r="L131" i="5"/>
  <c r="K131" i="5"/>
  <c r="G84" i="6"/>
  <c r="F84" i="6"/>
  <c r="E84" i="6"/>
  <c r="D84" i="6"/>
  <c r="C84" i="6"/>
  <c r="N84" i="6"/>
  <c r="B84" i="6"/>
  <c r="K84" i="6"/>
  <c r="M84" i="6"/>
  <c r="L84" i="6"/>
  <c r="J84" i="6"/>
  <c r="I84" i="6"/>
  <c r="H84" i="6"/>
  <c r="F199" i="15"/>
  <c r="E199" i="15"/>
  <c r="C199" i="15"/>
  <c r="B199" i="15"/>
  <c r="K199" i="15"/>
  <c r="L199" i="15"/>
  <c r="J199" i="15"/>
  <c r="I199" i="15"/>
  <c r="H199" i="15"/>
  <c r="G199" i="15"/>
  <c r="D199" i="15"/>
  <c r="I111" i="15"/>
  <c r="G111" i="15"/>
  <c r="E111" i="15"/>
  <c r="C111" i="15"/>
  <c r="K111" i="15"/>
  <c r="H111" i="15"/>
  <c r="B111" i="15"/>
  <c r="D111" i="15"/>
  <c r="L111" i="15"/>
  <c r="F111" i="15"/>
  <c r="J111" i="15"/>
  <c r="C73" i="15"/>
  <c r="I73" i="15"/>
  <c r="H73" i="15"/>
  <c r="G73" i="15"/>
  <c r="L73" i="15"/>
  <c r="K73" i="15"/>
  <c r="E73" i="15"/>
  <c r="D73" i="15"/>
  <c r="B73" i="15"/>
  <c r="J73" i="15"/>
  <c r="F73" i="15"/>
  <c r="D183" i="5"/>
  <c r="O183" i="5"/>
  <c r="C183" i="5"/>
  <c r="N183" i="5"/>
  <c r="B183" i="5"/>
  <c r="M183" i="5"/>
  <c r="L183" i="5"/>
  <c r="E183" i="5"/>
  <c r="F183" i="5" s="1"/>
  <c r="K183" i="5"/>
  <c r="J183" i="5"/>
  <c r="I183" i="5"/>
  <c r="G183" i="5"/>
  <c r="H183" i="5"/>
  <c r="J47" i="6"/>
  <c r="H47" i="6"/>
  <c r="F47" i="6"/>
  <c r="N47" i="6"/>
  <c r="B47" i="6"/>
  <c r="M47" i="6"/>
  <c r="L47" i="6"/>
  <c r="K47" i="6"/>
  <c r="I47" i="6"/>
  <c r="G47" i="6"/>
  <c r="E47" i="6"/>
  <c r="D47" i="6"/>
  <c r="C47" i="6"/>
  <c r="G72" i="6"/>
  <c r="F72" i="6"/>
  <c r="E72" i="6"/>
  <c r="D72" i="6"/>
  <c r="C72" i="6"/>
  <c r="N72" i="6"/>
  <c r="B72" i="6"/>
  <c r="K72" i="6"/>
  <c r="M72" i="6"/>
  <c r="L72" i="6"/>
  <c r="J72" i="6"/>
  <c r="I72" i="6"/>
  <c r="H72" i="6"/>
  <c r="E27" i="5"/>
  <c r="F27" i="5" s="1"/>
  <c r="D27" i="5"/>
  <c r="O27" i="5"/>
  <c r="C27" i="5"/>
  <c r="L27" i="5"/>
  <c r="K27" i="5"/>
  <c r="J27" i="5"/>
  <c r="I27" i="5"/>
  <c r="N27" i="5"/>
  <c r="G27" i="5"/>
  <c r="M27" i="5"/>
  <c r="H27" i="5"/>
  <c r="B27" i="5"/>
  <c r="L56" i="1"/>
  <c r="I56" i="1"/>
  <c r="H56" i="1"/>
  <c r="G56" i="1"/>
  <c r="E56" i="1"/>
  <c r="F56" i="1" s="1"/>
  <c r="D56" i="1"/>
  <c r="B56" i="1"/>
  <c r="C56" i="1"/>
  <c r="L104" i="1"/>
  <c r="I104" i="1"/>
  <c r="H104" i="1"/>
  <c r="G104" i="1"/>
  <c r="E104" i="1"/>
  <c r="F104" i="1" s="1"/>
  <c r="D104" i="1"/>
  <c r="C104" i="1"/>
  <c r="B104" i="1"/>
  <c r="E224" i="1"/>
  <c r="F224" i="1" s="1"/>
  <c r="D224" i="1"/>
  <c r="C224" i="1"/>
  <c r="B224" i="1"/>
  <c r="L224" i="1"/>
  <c r="K224" i="1"/>
  <c r="I224" i="1"/>
  <c r="H224" i="1"/>
  <c r="G224" i="1"/>
  <c r="I90" i="1"/>
  <c r="H90" i="1"/>
  <c r="G90" i="1"/>
  <c r="D90" i="1"/>
  <c r="E90" i="1"/>
  <c r="F90" i="1" s="1"/>
  <c r="C90" i="1"/>
  <c r="B90" i="1"/>
  <c r="L90" i="1"/>
  <c r="L206" i="1"/>
  <c r="K206" i="1"/>
  <c r="I206" i="1"/>
  <c r="H206" i="1"/>
  <c r="E206" i="1"/>
  <c r="F206" i="1" s="1"/>
  <c r="D206" i="1"/>
  <c r="C206" i="1"/>
  <c r="G206" i="1"/>
  <c r="B206" i="1"/>
  <c r="I66" i="1"/>
  <c r="H66" i="1"/>
  <c r="G66" i="1"/>
  <c r="D66" i="1"/>
  <c r="L66" i="1"/>
  <c r="E66" i="1"/>
  <c r="F66" i="1" s="1"/>
  <c r="C66" i="1"/>
  <c r="B66" i="1"/>
  <c r="K66" i="1"/>
  <c r="D163" i="1"/>
  <c r="C163" i="1"/>
  <c r="B163" i="1"/>
  <c r="I163" i="1"/>
  <c r="H163" i="1"/>
  <c r="E163" i="1"/>
  <c r="F163" i="1" s="1"/>
  <c r="L163" i="1"/>
  <c r="G163" i="1"/>
  <c r="E99" i="1"/>
  <c r="F99" i="1" s="1"/>
  <c r="D99" i="1"/>
  <c r="C99" i="1"/>
  <c r="B99" i="1"/>
  <c r="L99" i="1"/>
  <c r="H99" i="1"/>
  <c r="I99" i="1"/>
  <c r="G99" i="1"/>
  <c r="N43" i="5"/>
  <c r="B43" i="5"/>
  <c r="M43" i="5"/>
  <c r="L43" i="5"/>
  <c r="K43" i="5"/>
  <c r="H43" i="5"/>
  <c r="G43" i="5"/>
  <c r="E43" i="5"/>
  <c r="F43" i="5" s="1"/>
  <c r="O43" i="5"/>
  <c r="D43" i="5"/>
  <c r="J43" i="5"/>
  <c r="I43" i="5"/>
  <c r="C43" i="5"/>
  <c r="E98" i="1"/>
  <c r="F98" i="1" s="1"/>
  <c r="D98" i="1"/>
  <c r="C98" i="1"/>
  <c r="B98" i="1"/>
  <c r="L98" i="1"/>
  <c r="I98" i="1"/>
  <c r="G98" i="1"/>
  <c r="H98" i="1"/>
  <c r="D61" i="1"/>
  <c r="C61" i="1"/>
  <c r="B61" i="1"/>
  <c r="L61" i="1"/>
  <c r="K61" i="1"/>
  <c r="I61" i="1"/>
  <c r="H61" i="1"/>
  <c r="G61" i="1"/>
  <c r="E61" i="1"/>
  <c r="F61" i="1" s="1"/>
  <c r="N15" i="6"/>
  <c r="B15" i="6"/>
  <c r="M15" i="6"/>
  <c r="L15" i="6"/>
  <c r="K15" i="6"/>
  <c r="J15" i="6"/>
  <c r="I15" i="6"/>
  <c r="H15" i="6"/>
  <c r="G15" i="6"/>
  <c r="E15" i="6"/>
  <c r="D15" i="6"/>
  <c r="C15" i="6"/>
  <c r="F15" i="6"/>
  <c r="L122" i="1"/>
  <c r="H122" i="1"/>
  <c r="D122" i="1"/>
  <c r="C122" i="1"/>
  <c r="I122" i="1"/>
  <c r="G122" i="1"/>
  <c r="E122" i="1"/>
  <c r="F122" i="1" s="1"/>
  <c r="B122" i="1"/>
  <c r="B71" i="1"/>
  <c r="L71" i="1"/>
  <c r="I71" i="1"/>
  <c r="D71" i="1"/>
  <c r="H71" i="1"/>
  <c r="G71" i="1"/>
  <c r="E71" i="1"/>
  <c r="F71" i="1" s="1"/>
  <c r="C71" i="1"/>
  <c r="L46" i="1"/>
  <c r="K46" i="1"/>
  <c r="H46" i="1"/>
  <c r="I46" i="1"/>
  <c r="G46" i="1"/>
  <c r="E46" i="1"/>
  <c r="F46" i="1" s="1"/>
  <c r="C46" i="1"/>
  <c r="D46" i="1"/>
  <c r="B46" i="1"/>
  <c r="E26" i="1"/>
  <c r="F26" i="1" s="1"/>
  <c r="D26" i="1"/>
  <c r="C26" i="1"/>
  <c r="B26" i="1"/>
  <c r="L26" i="1"/>
  <c r="K26" i="1"/>
  <c r="I26" i="1"/>
  <c r="H26" i="1"/>
  <c r="G26" i="1"/>
  <c r="L81" i="1"/>
  <c r="K81" i="1"/>
  <c r="I81" i="1"/>
  <c r="H81" i="1"/>
  <c r="G81" i="1"/>
  <c r="E81" i="1"/>
  <c r="F81" i="1" s="1"/>
  <c r="C81" i="1"/>
  <c r="D81" i="1"/>
  <c r="B81" i="1"/>
  <c r="N22" i="5"/>
  <c r="B22" i="5"/>
  <c r="M22" i="5"/>
  <c r="L22" i="5"/>
  <c r="K22" i="5"/>
  <c r="H22" i="5"/>
  <c r="G22" i="5"/>
  <c r="E22" i="5"/>
  <c r="F22" i="5" s="1"/>
  <c r="O22" i="5"/>
  <c r="J22" i="5"/>
  <c r="I22" i="5"/>
  <c r="D22" i="5"/>
  <c r="C22" i="5"/>
  <c r="H119" i="1"/>
  <c r="G119" i="1"/>
  <c r="E119" i="1"/>
  <c r="F119" i="1" s="1"/>
  <c r="I119" i="1"/>
  <c r="D119" i="1"/>
  <c r="C119" i="1"/>
  <c r="B119" i="1"/>
  <c r="L119" i="1"/>
  <c r="G130" i="1"/>
  <c r="D130" i="1"/>
  <c r="L130" i="1"/>
  <c r="K130" i="1"/>
  <c r="I130" i="1"/>
  <c r="H130" i="1"/>
  <c r="B130" i="1"/>
  <c r="E130" i="1"/>
  <c r="F130" i="1" s="1"/>
  <c r="C130" i="1"/>
  <c r="M74" i="6"/>
  <c r="L74" i="6"/>
  <c r="K74" i="6"/>
  <c r="J74" i="6"/>
  <c r="I74" i="6"/>
  <c r="H74" i="6"/>
  <c r="E74" i="6"/>
  <c r="G74" i="6"/>
  <c r="F74" i="6"/>
  <c r="D74" i="6"/>
  <c r="C74" i="6"/>
  <c r="B74" i="6"/>
  <c r="N74" i="6"/>
  <c r="C162" i="1"/>
  <c r="B162" i="1"/>
  <c r="H162" i="1"/>
  <c r="G162" i="1"/>
  <c r="E162" i="1"/>
  <c r="F162" i="1" s="1"/>
  <c r="L162" i="1"/>
  <c r="I162" i="1"/>
  <c r="D162" i="1"/>
  <c r="B173" i="1"/>
  <c r="L173" i="1"/>
  <c r="G173" i="1"/>
  <c r="K173" i="1"/>
  <c r="I173" i="1"/>
  <c r="H173" i="1"/>
  <c r="E173" i="1"/>
  <c r="F173" i="1" s="1"/>
  <c r="D173" i="1"/>
  <c r="C173" i="1"/>
  <c r="L172" i="1"/>
  <c r="E172" i="1"/>
  <c r="F172" i="1" s="1"/>
  <c r="B172" i="1"/>
  <c r="I172" i="1"/>
  <c r="H172" i="1"/>
  <c r="G172" i="1"/>
  <c r="D172" i="1"/>
  <c r="C172" i="1"/>
  <c r="L135" i="1"/>
  <c r="K135" i="1"/>
  <c r="I135" i="1"/>
  <c r="E135" i="1"/>
  <c r="F135" i="1" s="1"/>
  <c r="D135" i="1"/>
  <c r="H135" i="1"/>
  <c r="G135" i="1"/>
  <c r="C135" i="1"/>
  <c r="B135" i="1"/>
  <c r="M62" i="6"/>
  <c r="L62" i="6"/>
  <c r="K62" i="6"/>
  <c r="J62" i="6"/>
  <c r="I62" i="6"/>
  <c r="H62" i="6"/>
  <c r="E62" i="6"/>
  <c r="C62" i="6"/>
  <c r="B62" i="6"/>
  <c r="N62" i="6"/>
  <c r="G62" i="6"/>
  <c r="F62" i="6"/>
  <c r="D62" i="6"/>
  <c r="L148" i="6"/>
  <c r="K148" i="6"/>
  <c r="I148" i="6"/>
  <c r="H148" i="6"/>
  <c r="E148" i="6"/>
  <c r="D148" i="6"/>
  <c r="C148" i="6"/>
  <c r="B148" i="6"/>
  <c r="M148" i="6"/>
  <c r="N148" i="6"/>
  <c r="J148" i="6"/>
  <c r="G148" i="6"/>
  <c r="F148" i="6"/>
  <c r="I157" i="6"/>
  <c r="H157" i="6"/>
  <c r="F157" i="6"/>
  <c r="E157" i="6"/>
  <c r="M157" i="6"/>
  <c r="G157" i="6"/>
  <c r="D157" i="6"/>
  <c r="C157" i="6"/>
  <c r="B157" i="6"/>
  <c r="N157" i="6"/>
  <c r="L157" i="6"/>
  <c r="K157" i="6"/>
  <c r="J157" i="6"/>
  <c r="F181" i="6"/>
  <c r="E181" i="6"/>
  <c r="M181" i="6"/>
  <c r="I181" i="6"/>
  <c r="H181" i="6"/>
  <c r="D181" i="6"/>
  <c r="C181" i="6"/>
  <c r="N181" i="6"/>
  <c r="J181" i="6"/>
  <c r="B181" i="6"/>
  <c r="K181" i="6"/>
  <c r="G181" i="6"/>
  <c r="L181" i="6"/>
  <c r="I200" i="6"/>
  <c r="H200" i="6"/>
  <c r="G200" i="6"/>
  <c r="D200" i="6"/>
  <c r="N200" i="6"/>
  <c r="M200" i="6"/>
  <c r="K200" i="6"/>
  <c r="F200" i="6"/>
  <c r="L200" i="6"/>
  <c r="J200" i="6"/>
  <c r="E200" i="6"/>
  <c r="C200" i="6"/>
  <c r="B200" i="6"/>
  <c r="G174" i="15"/>
  <c r="F174" i="15"/>
  <c r="D174" i="15"/>
  <c r="C174" i="15"/>
  <c r="B174" i="15"/>
  <c r="L174" i="15"/>
  <c r="I174" i="15"/>
  <c r="H174" i="15"/>
  <c r="E174" i="15"/>
  <c r="J174" i="15"/>
  <c r="K174" i="15"/>
  <c r="G150" i="15"/>
  <c r="F150" i="15"/>
  <c r="D150" i="15"/>
  <c r="C150" i="15"/>
  <c r="B150" i="15"/>
  <c r="L150" i="15"/>
  <c r="I150" i="15"/>
  <c r="H150" i="15"/>
  <c r="E150" i="15"/>
  <c r="J150" i="15"/>
  <c r="K150" i="15"/>
  <c r="K65" i="15"/>
  <c r="I65" i="15"/>
  <c r="E65" i="15"/>
  <c r="D65" i="15"/>
  <c r="C65" i="15"/>
  <c r="B65" i="15"/>
  <c r="L65" i="15"/>
  <c r="J65" i="15"/>
  <c r="H65" i="15"/>
  <c r="F65" i="15"/>
  <c r="G65" i="15"/>
  <c r="G222" i="15"/>
  <c r="F222" i="15"/>
  <c r="D222" i="15"/>
  <c r="C222" i="15"/>
  <c r="B222" i="15"/>
  <c r="L222" i="15"/>
  <c r="I222" i="15"/>
  <c r="H222" i="15"/>
  <c r="E222" i="15"/>
  <c r="K222" i="15"/>
  <c r="J222" i="15"/>
  <c r="I220" i="15"/>
  <c r="H220" i="15"/>
  <c r="F220" i="15"/>
  <c r="E220" i="15"/>
  <c r="D220" i="15"/>
  <c r="B220" i="15"/>
  <c r="L220" i="15"/>
  <c r="K220" i="15"/>
  <c r="J220" i="15"/>
  <c r="G220" i="15"/>
  <c r="C220" i="15"/>
  <c r="C27" i="16"/>
  <c r="Z121" i="13"/>
  <c r="K87" i="1" s="1"/>
  <c r="Z152" i="13"/>
  <c r="Z153" i="13"/>
  <c r="K200" i="1" s="1"/>
  <c r="Z127" i="13"/>
  <c r="K110" i="1" s="1"/>
  <c r="Z103" i="13"/>
  <c r="K50" i="1" s="1"/>
  <c r="Z133" i="13"/>
  <c r="K158" i="1" s="1"/>
  <c r="D109" i="6"/>
  <c r="C109" i="6"/>
  <c r="N109" i="6"/>
  <c r="B109" i="6"/>
  <c r="M109" i="6"/>
  <c r="L109" i="6"/>
  <c r="K109" i="6"/>
  <c r="H109" i="6"/>
  <c r="J109" i="6"/>
  <c r="I109" i="6"/>
  <c r="G109" i="6"/>
  <c r="F109" i="6"/>
  <c r="E109" i="6"/>
  <c r="I129" i="6"/>
  <c r="E129" i="6"/>
  <c r="K129" i="6"/>
  <c r="J129" i="6"/>
  <c r="H129" i="6"/>
  <c r="G129" i="6"/>
  <c r="F129" i="6"/>
  <c r="D129" i="6"/>
  <c r="C129" i="6"/>
  <c r="B129" i="6"/>
  <c r="N129" i="6"/>
  <c r="M129" i="6"/>
  <c r="L129" i="6"/>
  <c r="G125" i="15"/>
  <c r="F125" i="15"/>
  <c r="E125" i="15"/>
  <c r="C125" i="15"/>
  <c r="K125" i="15"/>
  <c r="B125" i="15"/>
  <c r="L125" i="15"/>
  <c r="J125" i="15"/>
  <c r="I125" i="15"/>
  <c r="H125" i="15"/>
  <c r="D125" i="15"/>
  <c r="D225" i="15"/>
  <c r="C225" i="15"/>
  <c r="L225" i="15"/>
  <c r="K225" i="15"/>
  <c r="I225" i="15"/>
  <c r="J225" i="15"/>
  <c r="H225" i="15"/>
  <c r="G225" i="15"/>
  <c r="F225" i="15"/>
  <c r="E225" i="15"/>
  <c r="B225" i="15"/>
  <c r="D168" i="5"/>
  <c r="O168" i="5"/>
  <c r="C168" i="5"/>
  <c r="N168" i="5"/>
  <c r="B168" i="5"/>
  <c r="M168" i="5"/>
  <c r="L168" i="5"/>
  <c r="K168" i="5"/>
  <c r="J168" i="5"/>
  <c r="I168" i="5"/>
  <c r="H168" i="5"/>
  <c r="G168" i="5"/>
  <c r="E168" i="5"/>
  <c r="F168" i="5" s="1"/>
  <c r="G100" i="6"/>
  <c r="F100" i="6"/>
  <c r="E100" i="6"/>
  <c r="D100" i="6"/>
  <c r="C100" i="6"/>
  <c r="N100" i="6"/>
  <c r="B100" i="6"/>
  <c r="K100" i="6"/>
  <c r="M100" i="6"/>
  <c r="L100" i="6"/>
  <c r="J100" i="6"/>
  <c r="I100" i="6"/>
  <c r="H100" i="6"/>
  <c r="K182" i="15"/>
  <c r="J182" i="15"/>
  <c r="H182" i="15"/>
  <c r="G182" i="15"/>
  <c r="F182" i="15"/>
  <c r="D182" i="15"/>
  <c r="L182" i="15"/>
  <c r="I182" i="15"/>
  <c r="E182" i="15"/>
  <c r="C182" i="15"/>
  <c r="B182" i="15"/>
  <c r="L199" i="6"/>
  <c r="K199" i="6"/>
  <c r="J199" i="6"/>
  <c r="G199" i="6"/>
  <c r="N199" i="6"/>
  <c r="M199" i="6"/>
  <c r="I199" i="6"/>
  <c r="F199" i="6"/>
  <c r="D199" i="6"/>
  <c r="B199" i="6"/>
  <c r="H199" i="6"/>
  <c r="E199" i="6"/>
  <c r="C199" i="6"/>
  <c r="J5" i="5"/>
  <c r="I5" i="5"/>
  <c r="H5" i="5"/>
  <c r="G5" i="5"/>
  <c r="D5" i="5"/>
  <c r="O5" i="5"/>
  <c r="C5" i="5"/>
  <c r="N5" i="5"/>
  <c r="B5" i="5"/>
  <c r="M5" i="5"/>
  <c r="L5" i="5"/>
  <c r="K5" i="5"/>
  <c r="E5" i="5"/>
  <c r="F5" i="5" s="1"/>
  <c r="C143" i="6"/>
  <c r="K143" i="6"/>
  <c r="B143" i="6"/>
  <c r="N143" i="6"/>
  <c r="M143" i="6"/>
  <c r="L143" i="6"/>
  <c r="J143" i="6"/>
  <c r="G143" i="6"/>
  <c r="H143" i="6"/>
  <c r="F143" i="6"/>
  <c r="E143" i="6"/>
  <c r="D143" i="6"/>
  <c r="I143" i="6"/>
  <c r="L17" i="15"/>
  <c r="K17" i="15"/>
  <c r="J17" i="15"/>
  <c r="B17" i="15"/>
  <c r="H17" i="15"/>
  <c r="G17" i="15"/>
  <c r="F17" i="15"/>
  <c r="E17" i="15"/>
  <c r="I17" i="15"/>
  <c r="D17" i="15"/>
  <c r="C17" i="15"/>
  <c r="D96" i="5"/>
  <c r="O96" i="5"/>
  <c r="C96" i="5"/>
  <c r="N96" i="5"/>
  <c r="B96" i="5"/>
  <c r="M96" i="5"/>
  <c r="L96" i="5"/>
  <c r="K96" i="5"/>
  <c r="J96" i="5"/>
  <c r="I96" i="5"/>
  <c r="H96" i="5"/>
  <c r="G96" i="5"/>
  <c r="E96" i="5"/>
  <c r="F96" i="5" s="1"/>
  <c r="J221" i="5"/>
  <c r="H221" i="5"/>
  <c r="G221" i="5"/>
  <c r="E221" i="5"/>
  <c r="F221" i="5" s="1"/>
  <c r="D221" i="5"/>
  <c r="O221" i="5"/>
  <c r="C221" i="5"/>
  <c r="L221" i="5"/>
  <c r="K221" i="5"/>
  <c r="I221" i="5"/>
  <c r="B221" i="5"/>
  <c r="N221" i="5"/>
  <c r="M221" i="5"/>
  <c r="E51" i="5"/>
  <c r="F51" i="5" s="1"/>
  <c r="D51" i="5"/>
  <c r="O51" i="5"/>
  <c r="C51" i="5"/>
  <c r="L51" i="5"/>
  <c r="K51" i="5"/>
  <c r="J51" i="5"/>
  <c r="I51" i="5"/>
  <c r="N51" i="5"/>
  <c r="G51" i="5"/>
  <c r="M51" i="5"/>
  <c r="H51" i="5"/>
  <c r="B51" i="5"/>
  <c r="G52" i="6"/>
  <c r="F52" i="6"/>
  <c r="E52" i="6"/>
  <c r="C52" i="6"/>
  <c r="K52" i="6"/>
  <c r="N52" i="6"/>
  <c r="M52" i="6"/>
  <c r="L52" i="6"/>
  <c r="J52" i="6"/>
  <c r="I52" i="6"/>
  <c r="H52" i="6"/>
  <c r="D52" i="6"/>
  <c r="B52" i="6"/>
  <c r="G35" i="15"/>
  <c r="F35" i="15"/>
  <c r="E35" i="15"/>
  <c r="D35" i="15"/>
  <c r="K35" i="15"/>
  <c r="J35" i="15"/>
  <c r="H35" i="15"/>
  <c r="C35" i="15"/>
  <c r="B35" i="15"/>
  <c r="I35" i="15"/>
  <c r="L35" i="15"/>
  <c r="F88" i="15"/>
  <c r="D88" i="15"/>
  <c r="E88" i="15"/>
  <c r="B88" i="15"/>
  <c r="L88" i="15"/>
  <c r="K88" i="15"/>
  <c r="J88" i="15"/>
  <c r="I88" i="15"/>
  <c r="H88" i="15"/>
  <c r="G88" i="15"/>
  <c r="C88" i="15"/>
  <c r="E71" i="15"/>
  <c r="C71" i="15"/>
  <c r="K71" i="15"/>
  <c r="J71" i="15"/>
  <c r="I71" i="15"/>
  <c r="B71" i="15"/>
  <c r="L71" i="15"/>
  <c r="H71" i="15"/>
  <c r="G71" i="15"/>
  <c r="F71" i="15"/>
  <c r="D71" i="15"/>
  <c r="Z34" i="13"/>
  <c r="Z175" i="13"/>
  <c r="K124" i="1" s="1"/>
  <c r="Z25" i="13"/>
  <c r="K162" i="1" s="1"/>
  <c r="Z6" i="13"/>
  <c r="K44" i="1" s="1"/>
  <c r="Z93" i="13"/>
  <c r="K20" i="1" s="1"/>
  <c r="Z42" i="13"/>
  <c r="K19" i="1" s="1"/>
  <c r="Z37" i="13"/>
  <c r="K7" i="1" s="1"/>
  <c r="Z119" i="13"/>
  <c r="K74" i="1" s="1"/>
  <c r="Z5" i="13"/>
  <c r="K39" i="1" s="1"/>
  <c r="Z155" i="13"/>
  <c r="K12" i="1" s="1"/>
  <c r="B39" i="14"/>
  <c r="Z151" i="13"/>
  <c r="Z44" i="13"/>
  <c r="K24" i="1" s="1"/>
  <c r="Z138" i="13"/>
  <c r="Z55" i="13"/>
  <c r="K56" i="1" s="1"/>
  <c r="Z16" i="13"/>
  <c r="K92" i="1" s="1"/>
  <c r="Z56" i="13"/>
  <c r="K58" i="1" s="1"/>
  <c r="Z117" i="13"/>
  <c r="K103" i="1" s="1"/>
  <c r="Z108" i="13"/>
  <c r="K63" i="1" s="1"/>
  <c r="Z169" i="13"/>
  <c r="K96" i="1" s="1"/>
  <c r="Z116" i="13"/>
  <c r="K118" i="1" s="1"/>
  <c r="Z39" i="13"/>
  <c r="K13" i="1" s="1"/>
  <c r="Z99" i="13"/>
  <c r="K25" i="1" s="1"/>
  <c r="Z7" i="13"/>
  <c r="K51" i="1" s="1"/>
  <c r="Z10" i="13"/>
  <c r="K64" i="1" s="1"/>
  <c r="Z156" i="13"/>
  <c r="K17" i="1" s="1"/>
  <c r="Z160" i="13"/>
  <c r="K52" i="1" s="1"/>
  <c r="Z147" i="13"/>
  <c r="K191" i="1" s="1"/>
  <c r="Z28" i="13"/>
  <c r="Z75" i="13"/>
  <c r="K131" i="1" s="1"/>
  <c r="Z140" i="13"/>
  <c r="Z111" i="13"/>
  <c r="K95" i="1" s="1"/>
  <c r="Z165" i="13"/>
  <c r="K71" i="1" s="1"/>
  <c r="Z51" i="13"/>
  <c r="K40" i="1" s="1"/>
  <c r="Z29" i="13"/>
  <c r="K179" i="1" s="1"/>
  <c r="Z134" i="13"/>
  <c r="Z174" i="13"/>
  <c r="K122" i="1" s="1"/>
  <c r="K178" i="1" l="1"/>
  <c r="K195" i="1"/>
  <c r="K166" i="1"/>
  <c r="K199" i="1"/>
  <c r="K198" i="1"/>
  <c r="K161" i="1"/>
  <c r="K197" i="1"/>
  <c r="K167" i="1"/>
  <c r="K186" i="1"/>
  <c r="K164" i="1"/>
  <c r="K174" i="1"/>
  <c r="K171" i="1"/>
  <c r="K187" i="1"/>
  <c r="K188" i="1"/>
  <c r="K170" i="1"/>
  <c r="K190" i="1"/>
  <c r="K159" i="1"/>
  <c r="K193" i="1"/>
  <c r="K132" i="1"/>
  <c r="K123" i="1"/>
  <c r="K163" i="1"/>
  <c r="K183" i="1"/>
  <c r="K196" i="1"/>
  <c r="K172" i="1"/>
  <c r="K121" i="1"/>
  <c r="K177" i="1"/>
  <c r="K156" i="1"/>
  <c r="D21" i="14"/>
  <c r="D19" i="14"/>
  <c r="D17" i="14"/>
  <c r="D15" i="14"/>
  <c r="D13" i="14"/>
  <c r="C21" i="14"/>
  <c r="C19" i="14"/>
  <c r="C17" i="14"/>
  <c r="C15" i="14"/>
  <c r="C13" i="14"/>
  <c r="B21" i="14"/>
  <c r="B19" i="14"/>
  <c r="B17" i="14"/>
  <c r="B15" i="14"/>
  <c r="B13" i="14"/>
  <c r="G20" i="14"/>
  <c r="G18" i="14"/>
  <c r="G16" i="14"/>
  <c r="G14" i="14"/>
  <c r="G12" i="14"/>
  <c r="D20" i="14"/>
  <c r="D18" i="14"/>
  <c r="D16" i="14"/>
  <c r="D14" i="14"/>
  <c r="D12" i="14"/>
  <c r="B20" i="14"/>
  <c r="B18" i="14"/>
  <c r="B16" i="14"/>
  <c r="B14" i="14"/>
  <c r="B12" i="14"/>
  <c r="G21" i="14"/>
  <c r="G19" i="14"/>
  <c r="G17" i="14"/>
  <c r="G15" i="14"/>
  <c r="G13" i="14"/>
  <c r="F21" i="14"/>
  <c r="F16" i="14"/>
  <c r="C12" i="14"/>
  <c r="E21" i="14"/>
  <c r="E16" i="14"/>
  <c r="F20" i="14"/>
  <c r="C16" i="14"/>
  <c r="E20" i="14"/>
  <c r="F15" i="14"/>
  <c r="C20" i="14"/>
  <c r="E15" i="14"/>
  <c r="E19" i="14"/>
  <c r="E14" i="14"/>
  <c r="E18" i="14"/>
  <c r="F13" i="14"/>
  <c r="C18" i="14"/>
  <c r="E13" i="14"/>
  <c r="F19" i="14"/>
  <c r="F18" i="14"/>
  <c r="F17" i="14"/>
  <c r="E17" i="14"/>
  <c r="E12" i="14"/>
  <c r="F14" i="14"/>
  <c r="C14" i="14"/>
  <c r="F12" i="14"/>
  <c r="C21" i="16"/>
  <c r="C16" i="16"/>
  <c r="D16" i="16" s="1"/>
  <c r="K223" i="1"/>
  <c r="C23" i="16"/>
  <c r="C34" i="16"/>
  <c r="C24" i="16"/>
  <c r="C8" i="16"/>
  <c r="D8" i="16" s="1"/>
  <c r="C7" i="16"/>
  <c r="D7" i="16" s="1"/>
  <c r="C22" i="16"/>
  <c r="D18" i="16" l="1"/>
  <c r="C33" i="16"/>
</calcChain>
</file>

<file path=xl/sharedStrings.xml><?xml version="1.0" encoding="utf-8"?>
<sst xmlns="http://schemas.openxmlformats.org/spreadsheetml/2006/main" count="2393" uniqueCount="655">
  <si>
    <t>Draft Board: go in order, mark every pick in the Pick column. Marked rows cross out.</t>
  </si>
  <si>
    <t>Freeze adjustments once the draft starts: picks attach to board slots, so do not edit Manual Adjustments mid-draft.</t>
  </si>
  <si>
    <t>Overall</t>
  </si>
  <si>
    <t>Pos</t>
  </si>
  <si>
    <t>Pos Rank</t>
  </si>
  <si>
    <t>Player / Defense</t>
  </si>
  <si>
    <t>Adj Rating</t>
  </si>
  <si>
    <t>Tier</t>
  </si>
  <si>
    <t>Draft Score</t>
  </si>
  <si>
    <t>Market ADP</t>
  </si>
  <si>
    <t>Draft Edge</t>
  </si>
  <si>
    <t>Pick</t>
  </si>
  <si>
    <t>Avail Rank</t>
  </si>
  <si>
    <t>2026 Expectation</t>
  </si>
  <si>
    <t>Src</t>
  </si>
  <si>
    <t>League Configuration (Editable)</t>
  </si>
  <si>
    <t>Blue cells are yours to edit. Everything downstream recalculates automatically.</t>
  </si>
  <si>
    <t>League Setting</t>
  </si>
  <si>
    <t>Value</t>
  </si>
  <si>
    <t>Notes</t>
  </si>
  <si>
    <t>Position</t>
  </si>
  <si>
    <t>Calc Repl Rank</t>
  </si>
  <si>
    <t>Override</t>
  </si>
  <si>
    <t>Effective Rank</t>
  </si>
  <si>
    <t>Replacement Points</t>
  </si>
  <si>
    <t>Scarcity Mult</t>
  </si>
  <si>
    <t>Pts Slope</t>
  </si>
  <si>
    <t>Pts Intercept</t>
  </si>
  <si>
    <t>Teams</t>
  </si>
  <si>
    <t>League size.</t>
  </si>
  <si>
    <t>QB</t>
  </si>
  <si>
    <t>Scoring</t>
  </si>
  <si>
    <t>PPR</t>
  </si>
  <si>
    <t>Player model is PPR.</t>
  </si>
  <si>
    <t>RB</t>
  </si>
  <si>
    <t>Starting QB</t>
  </si>
  <si>
    <t>Per team.</t>
  </si>
  <si>
    <t>WR</t>
  </si>
  <si>
    <t>Starting RB</t>
  </si>
  <si>
    <t>TE</t>
  </si>
  <si>
    <t>Starting WR</t>
  </si>
  <si>
    <t>K</t>
  </si>
  <si>
    <t>Starting TE</t>
  </si>
  <si>
    <t>DST</t>
  </si>
  <si>
    <t>Starting FLEX</t>
  </si>
  <si>
    <t>RB/WR/TE.</t>
  </si>
  <si>
    <t>Starting K</t>
  </si>
  <si>
    <t>Projected points = Pts Slope x Adjusted Rating + Pts Intercept (per position). Tune the curve here.</t>
  </si>
  <si>
    <t>Starting DST</t>
  </si>
  <si>
    <t>Bench</t>
  </si>
  <si>
    <t>K Draft Penalty</t>
  </si>
  <si>
    <t>Higher = drafts later.</t>
  </si>
  <si>
    <t>DST Draft Penalty</t>
  </si>
  <si>
    <t>QB 1QB Penalty</t>
  </si>
  <si>
    <t>Set lower in Superflex.</t>
  </si>
  <si>
    <t>DST Gate Start</t>
  </si>
  <si>
    <t>Top DSTs locked to overall 131-140.</t>
  </si>
  <si>
    <t>K Gate Start</t>
  </si>
  <si>
    <t>Top Ks locked to overall 141-150. Keep = DST gate + gate size.</t>
  </si>
  <si>
    <t>Gate Size</t>
  </si>
  <si>
    <t>How many DST/K get gated slots.</t>
  </si>
  <si>
    <t>Skill players (calc)</t>
  </si>
  <si>
    <t>DST count (calc)</t>
  </si>
  <si>
    <t>Manual Injury / Role Adjustments (the only place you tweak players)</t>
  </si>
  <si>
    <t>Player</t>
  </si>
  <si>
    <t>Base Rating</t>
  </si>
  <si>
    <t>Injury Adj</t>
  </si>
  <si>
    <t>Role Adj</t>
  </si>
  <si>
    <t>Other Adj</t>
  </si>
  <si>
    <t>Total Adj</t>
  </si>
  <si>
    <t>News / Reason</t>
  </si>
  <si>
    <t>Last Updated</t>
  </si>
  <si>
    <t>Source</t>
  </si>
  <si>
    <t>2026-08-11</t>
  </si>
  <si>
    <t>Camp hamstring issue / missed practice time; temporary downgrade.</t>
  </si>
  <si>
    <t>LIVE SOURCE: the one canonical table. 223 entries. Every other tab reads from here.</t>
  </si>
  <si>
    <t>Team</t>
  </si>
  <si>
    <t>Confidence</t>
  </si>
  <si>
    <t>Model Path</t>
  </si>
  <si>
    <t>Why</t>
  </si>
  <si>
    <t>Main Risk</t>
  </si>
  <si>
    <t>Josh Allen</t>
  </si>
  <si>
    <t>A</t>
  </si>
  <si>
    <t>RATE-ADJUSTED VETERAN</t>
  </si>
  <si>
    <t>Elite QB1; weekly top-5 expectation with overall QB1 upside.</t>
  </si>
  <si>
    <t>He produced 22.0 PPR/FP points per game across 17 games. The workload/efficiency profile gives the model a rate-based reason to keep him here. Market price is favorable around ADP 23 versus model overall rank 10.</t>
  </si>
  <si>
    <t>Passing-TD efficiency, rushing volume and supporting-cast health are the main swing factors.</t>
  </si>
  <si>
    <t>https://www.fantasypros.com/nfl/adp/ppr-overall.php</t>
  </si>
  <si>
    <t>Caleb Williams</t>
  </si>
  <si>
    <t>He produced 19.0 PPR/FP points per game across 17 games. The workload/efficiency profile gives the model a rate-based reason to keep him here.</t>
  </si>
  <si>
    <t>ADP proxy — editable; based on positional draft cost</t>
  </si>
  <si>
    <t>Drake Maye</t>
  </si>
  <si>
    <t>He produced 21.1 PPR/FP points per game across 17 games. The workload/efficiency profile gives the model a rate-based reason to keep him here.</t>
  </si>
  <si>
    <t>Justin Herbert</t>
  </si>
  <si>
    <t>Strong every-week QB1; frequent top-8 finishes expected.</t>
  </si>
  <si>
    <t>He produced 18.7 PPR/FP points per game across 16 games. The workload/efficiency profile gives the model a rate-based reason to keep him here.</t>
  </si>
  <si>
    <t>Lamar Jackson</t>
  </si>
  <si>
    <t>He produced 17.1 PPR/FP points per game across 13 games. The workload/efficiency profile gives the model a rate-based reason to keep him here.</t>
  </si>
  <si>
    <t>Jalen Hurts</t>
  </si>
  <si>
    <t>He produced 19.1 PPR/FP points per game across 16 games. The workload/efficiency profile gives the model a rate-based reason to keep him here.</t>
  </si>
  <si>
    <t>Patrick Mahomes II</t>
  </si>
  <si>
    <t>He produced 21.1 PPR/FP points per game across 14 games. The workload/efficiency profile gives the model a rate-based reason to keep him here.</t>
  </si>
  <si>
    <t>Jayden Daniels</t>
  </si>
  <si>
    <t>B</t>
  </si>
  <si>
    <t>He produced 16.7 PPR/FP points per game across 7 games. The workload/efficiency profile gives the model a rate-based reason to keep him here. Market price is favorable around ADP 78 versus model overall rank 64.</t>
  </si>
  <si>
    <t>Availability/sample risk is elevated after only 7 games; talent is not being punished as heavily as durability.</t>
  </si>
  <si>
    <t>Joe Burrow</t>
  </si>
  <si>
    <t>Low-end QB1/high-end QB2 in a 10-team league; startable most weeks.</t>
  </si>
  <si>
    <t>He produced 17.4 PPR/FP points per game across 8 games. The workload/efficiency profile gives the model a rate-based reason to keep him here. Market price is favorable around ADP 86 versus model overall rank 70.</t>
  </si>
  <si>
    <t>Availability/sample risk is elevated after only 8 games; talent is not being punished as heavily as durability.</t>
  </si>
  <si>
    <t>Matthew Stafford</t>
  </si>
  <si>
    <t>He produced 21.1 PPR/FP points per game across 17 games. The workload/efficiency profile gives the model a rate-based reason to keep him here. Market price is favorable around ADP 94 versus model overall rank 77.</t>
  </si>
  <si>
    <t>Bo Nix</t>
  </si>
  <si>
    <t>He produced 18.6 PPR/FP points per game across 17 games. The workload/efficiency profile gives the model a rate-based reason to keep him here. Market price is favorable around ADP 102 versus model overall rank 79.</t>
  </si>
  <si>
    <t>Dak Prescott</t>
  </si>
  <si>
    <t>He produced 19.0 PPR/FP points per game across 17 games. The workload/efficiency profile gives the model a rate-based reason to keep him here. Market price is favorable around ADP 110 versus model overall rank 82.</t>
  </si>
  <si>
    <t>Trevor Lawrence</t>
  </si>
  <si>
    <t>QB2/streaming tier; useful when matchup and supporting cast line up.</t>
  </si>
  <si>
    <t>He produced 20.6 PPR/FP points per game across 17 games. The workload/efficiency profile gives the model a rate-based reason to keep him here. Market price is favorable around ADP 118 versus model overall rank 87.</t>
  </si>
  <si>
    <t>Brock Purdy</t>
  </si>
  <si>
    <t>He produced 20.8 PPR/FP points per game across 9 games. The workload/efficiency profile gives the model a rate-based reason to keep him here. Market price is favorable around ADP 126 versus model overall rank 95.</t>
  </si>
  <si>
    <t>Availability/sample risk is elevated after only 9 games; talent is not being punished as heavily as durability.</t>
  </si>
  <si>
    <t>Jaxson Dart</t>
  </si>
  <si>
    <t>He produced 17.6 PPR/FP points per game across 14 games. The workload/efficiency profile gives the model a rate-based reason to keep him here. Market price is favorable around ADP 134 versus model overall rank 101.</t>
  </si>
  <si>
    <t>Jared Goff</t>
  </si>
  <si>
    <t>He produced 17.9 PPR/FP points per game across 17 games. The workload/efficiency profile gives the model a rate-based reason to keep him here. Market price is favorable around ADP 142 versus model overall rank 106.</t>
  </si>
  <si>
    <t>Kyler Murray</t>
  </si>
  <si>
    <t>He produced 16.2 PPR/FP points per game across 5 games. The workload/efficiency profile gives the model a rate-based reason to keep him here. Market price is favorable around ADP 150 versus model overall rank 119.</t>
  </si>
  <si>
    <t>Availability/sample risk is elevated after only 5 games; talent is not being punished as heavily as durability.</t>
  </si>
  <si>
    <t>Jordan Love</t>
  </si>
  <si>
    <t>He produced 16.1 PPR/FP points per game across 15 games. The workload/efficiency profile gives the model a rate-based reason to keep him here. Market price is favorable around ADP 158 versus model overall rank 126.</t>
  </si>
  <si>
    <t>Baker Mayfield</t>
  </si>
  <si>
    <t>Bench/streaming option; needs matchup, rushing or TD spike weeks.</t>
  </si>
  <si>
    <t>He produced 16.6 PPR/FP points per game across 17 games. The workload/efficiency profile gives the model a rate-based reason to keep him here. Market price is favorable around ADP 166 versus model overall rank 130.</t>
  </si>
  <si>
    <t>Tyler Shough</t>
  </si>
  <si>
    <t>He produced 14.9 PPR/FP points per game across 11 games. The workload/efficiency profile gives the model a rate-based reason to keep him here. Market price is favorable around ADP 174 versus model overall rank 144.</t>
  </si>
  <si>
    <t>C.J. Stroud</t>
  </si>
  <si>
    <t>He produced 15.5 PPR/FP points per game across 14 games. The workload/efficiency profile gives the model a rate-based reason to keep him here. Market price is favorable around ADP 182 versus model overall rank 154.</t>
  </si>
  <si>
    <t>Sam Darnold</t>
  </si>
  <si>
    <t>He produced 14.7 PPR/FP points per game across 17 games. The workload/efficiency profile gives the model a rate-based reason to keep him here. Market price is favorable around ADP 190 versus model overall rank 157.</t>
  </si>
  <si>
    <t>Daniel Jones</t>
  </si>
  <si>
    <t>He produced 18.0 PPR/FP points per game across 13 games. The workload/efficiency profile gives the model a rate-based reason to keep him here. Market price is favorable around ADP 198 versus model overall rank 158.</t>
  </si>
  <si>
    <t>Malik Willis</t>
  </si>
  <si>
    <t>He produced 12.8 PPR/FP points per game across 4 games. The workload/efficiency profile gives the model a rate-based reason to keep him here. Market price is favorable around ADP 206 versus model overall rank 160.</t>
  </si>
  <si>
    <t>Availability/sample risk is elevated after only 4 games; talent is not being punished as heavily as durability.</t>
  </si>
  <si>
    <t>Bryce Young</t>
  </si>
  <si>
    <t>Deep QB2; waiver-level in a normal 10-team format.</t>
  </si>
  <si>
    <t>He produced 14.3 PPR/FP points per game across 16 games. The workload/efficiency profile gives the model a rate-based reason to keep him here. Market price is favorable around ADP 214 versus model overall rank 163.</t>
  </si>
  <si>
    <t>Cam Ward</t>
  </si>
  <si>
    <t>He produced 11.4 PPR/FP points per game across 17 games. The workload/efficiency profile gives the model a rate-based reason to keep him here. Market price is favorable around ADP 222 versus model overall rank 164.</t>
  </si>
  <si>
    <t>Jacoby Brissett</t>
  </si>
  <si>
    <t>He produced 16.8 PPR/FP points per game across 14 games. The workload/efficiency profile gives the model a rate-based reason to keep him here. Market price is favorable around ADP 230 versus model overall rank 169.</t>
  </si>
  <si>
    <t>Geno Smith</t>
  </si>
  <si>
    <t>He produced 12.7 PPR/FP points per game across 15 games. The workload/efficiency profile gives the model a rate-based reason to keep him here. Market price is favorable around ADP 238 versus model overall rank 170.</t>
  </si>
  <si>
    <t>Aaron Rodgers</t>
  </si>
  <si>
    <t>He produced 14.6 PPR/FP points per game across 16 games. The workload/efficiency profile gives the model a rate-based reason to keep him here. Market price is favorable around ADP 246 versus model overall rank 172.</t>
  </si>
  <si>
    <t>Tua Tagovailoa</t>
  </si>
  <si>
    <t>He produced 12.5 PPR/FP points per game across 14 games. The workload/efficiency profile gives the model a rate-based reason to keep him here. Market price is favorable around ADP 254 versus model overall rank 183.</t>
  </si>
  <si>
    <t>Kirk Cousins</t>
  </si>
  <si>
    <t>He produced 10.9 PPR/FP points per game across 10 games. The workload/efficiency profile gives the model a rate-based reason to keep him here. Market price is favorable around ADP 262 versus model overall rank 188.</t>
  </si>
  <si>
    <t>Deshaun Watson</t>
  </si>
  <si>
    <t>C</t>
  </si>
  <si>
    <t>HISTORY FALLBACK</t>
  </si>
  <si>
    <t>The 2026 opportunity and projection carry most of the grade because detailed 2025 rate data is incomplete. Market price is favorable around ADP 270 versus model overall rank 200.</t>
  </si>
  <si>
    <t>Evidence is thinner than for established veterans, so camp, depth-chart and role news can move the grade materially.</t>
  </si>
  <si>
    <t>Bijan Robinson</t>
  </si>
  <si>
    <t>Elite RB1 and first-round roster anchor with league-winning ceiling.</t>
  </si>
  <si>
    <t>He produced 21.8 PPR/FP points per game across 17 games. The workload/efficiency profile gives the model a rate-based reason to keep him here.</t>
  </si>
  <si>
    <t>Touchdown variance, receiving-role changes and backfield competition are the main downside paths.</t>
  </si>
  <si>
    <t>Jahmyr Gibbs</t>
  </si>
  <si>
    <t>He produced 21.6 PPR/FP points per game across 17 games. The workload/efficiency profile gives the model a rate-based reason to keep him here.</t>
  </si>
  <si>
    <t>Christian McCaffrey</t>
  </si>
  <si>
    <t>He produced 24.5 PPR/FP points per game across 17 games. The workload/efficiency profile gives the model a rate-based reason to keep him here.</t>
  </si>
  <si>
    <t>Jonathan Taylor</t>
  </si>
  <si>
    <t>He produced 21.3 PPR/FP points per game across 17 games. The workload/efficiency profile gives the model a rate-based reason to keep him here.</t>
  </si>
  <si>
    <t>Jeremiyah Love</t>
  </si>
  <si>
    <t>ROOKIE ENGINE</t>
  </si>
  <si>
    <t>Rookie score 98.0, backed by No. 3 draft capital and a 6.73 NFL prospect grade. The 2026 role projection is strong enough to replace missing NFL history.</t>
  </si>
  <si>
    <t>NFL translation and exact weekly role are the main variables; preseason first-team usage can move this rating quickly.</t>
  </si>
  <si>
    <t>Omarion Hampton</t>
  </si>
  <si>
    <t>Strong RB1; weekly top-12 expectation with multi-touchdown ceiling.</t>
  </si>
  <si>
    <t>He produced 15.1 PPR/FP points per game across 9 games. The workload/efficiency profile gives the model a rate-based reason to keep him here.</t>
  </si>
  <si>
    <t>De'Von Achane</t>
  </si>
  <si>
    <t>He produced 20.2 PPR/FP points per game across 16 games. The workload/efficiency profile gives the model a rate-based reason to keep him here.</t>
  </si>
  <si>
    <t>Kenneth Walker III</t>
  </si>
  <si>
    <t>He produced 11.3 PPR/FP points per game across 17 games. The workload/efficiency profile gives the model a rate-based reason to keep him here. Market price is favorable around ADP 31 versus model overall rank 16.</t>
  </si>
  <si>
    <t>James Cook III</t>
  </si>
  <si>
    <t>He produced 17.7 PPR/FP points per game across 17 games. The workload/efficiency profile gives the model a rate-based reason to keep him here.</t>
  </si>
  <si>
    <t>Kyren Williams</t>
  </si>
  <si>
    <t>He produced 15.5 PPR/FP points per game across 17 games. The workload/efficiency profile gives the model a rate-based reason to keep him here. Market price is favorable around ADP 40 versus model overall rank 21.</t>
  </si>
  <si>
    <t>Breece Hall</t>
  </si>
  <si>
    <t>He produced 12.9 PPR/FP points per game across 16 games. The workload/efficiency profile gives the model a rate-based reason to keep him here. Market price is favorable around ADP 44 versus model overall rank 23.</t>
  </si>
  <si>
    <t>Ashton Jeanty</t>
  </si>
  <si>
    <t>He produced 14.4 PPR/FP points per game across 17 games. The workload/efficiency profile gives the model a rate-based reason to keep him here. The market is more aggressive at ADP 13 versus model overall rank 24, so price matters.</t>
  </si>
  <si>
    <t>Price is the biggest risk: the market currently asks you to draft him earlier than the model prefers.</t>
  </si>
  <si>
    <t>Derrick Henry</t>
  </si>
  <si>
    <t>RB2 with RB1 weeks; should be a regular starter.</t>
  </si>
  <si>
    <t>He produced 16.5 PPR/FP points per game across 17 games. The workload/efficiency profile gives the model a rate-based reason to keep him here. Market price is favorable around ADP 52 versus model overall rank 26.</t>
  </si>
  <si>
    <t>Chase Brown</t>
  </si>
  <si>
    <t>He produced 16.7 PPR/FP points per game across 17 games. The workload/efficiency profile gives the model a rate-based reason to keep him here.</t>
  </si>
  <si>
    <t>Josh Jacobs</t>
  </si>
  <si>
    <t>He produced 15.8 PPR/FP points per game across 15 games. The workload/efficiency profile gives the model a rate-based reason to keep him here. Market price is favorable around ADP 61 versus model overall rank 33.</t>
  </si>
  <si>
    <t>Saquon Barkley</t>
  </si>
  <si>
    <t>He produced 14.5 PPR/FP points per game across 16 games. The workload/efficiency profile gives the model a rate-based reason to keep him here. Market price is favorable around ADP 65 versus model overall rank 34.</t>
  </si>
  <si>
    <t>Javonte Williams</t>
  </si>
  <si>
    <t>He produced 15.2 PPR/FP points per game across 16 games. The workload/efficiency profile gives the model a rate-based reason to keep him here. Market price is favorable around ADP 69 versus model overall rank 35.</t>
  </si>
  <si>
    <t>Travis Etienne Jr.</t>
  </si>
  <si>
    <t>He produced 14.9 PPR/FP points per game across 17 games. The workload/efficiency profile gives the model a rate-based reason to keep him here. Market price is favorable around ADP 73 versus model overall rank 39.</t>
  </si>
  <si>
    <t>Cam Skattebo</t>
  </si>
  <si>
    <t>He produced 16.0 PPR/FP points per game across 8 games. The workload/efficiency profile gives the model a rate-based reason to keep him here. Market price is favorable around ADP 78 versus model overall rank 42.</t>
  </si>
  <si>
    <t>D'Andre Swift</t>
  </si>
  <si>
    <t>He produced 14.3 PPR/FP points per game across 16 games. The workload/efficiency profile gives the model a rate-based reason to keep him here. Market price is favorable around ADP 82 versus model overall rank 47.</t>
  </si>
  <si>
    <t>Bucky Irving</t>
  </si>
  <si>
    <t>RB2/FLEX; useful weekly but role and receiving volume matter.</t>
  </si>
  <si>
    <t>He produced 13.8 PPR/FP points per game across 10 games. The workload/efficiency profile gives the model a rate-based reason to keep him here. Market price is favorable around ADP 86 versus model overall rank 48.</t>
  </si>
  <si>
    <t>Quinshon Judkins</t>
  </si>
  <si>
    <t>He produced 12.2 PPR/FP points per game across 14 games. The workload/efficiency profile gives the model a rate-based reason to keep him here. Market price is favorable around ADP 90 versus model overall rank 49.</t>
  </si>
  <si>
    <t>David Montgomery</t>
  </si>
  <si>
    <t>He produced 9.8 PPR/FP points per game across 17 games. The workload/efficiency profile gives the model a rate-based reason to keep him here. Market price is favorable around ADP 94 versus model overall rank 59.</t>
  </si>
  <si>
    <t>TreVeyon Henderson</t>
  </si>
  <si>
    <t>He produced 12.2 PPR/FP points per game across 17 games. The workload/efficiency profile gives the model a rate-based reason to keep him here. Market price is favorable around ADP 99 versus model overall rank 60.</t>
  </si>
  <si>
    <t>Jadarian Price</t>
  </si>
  <si>
    <t>Rookie score 85.6, backed by No. 32 draft capital and a 6.38 NFL prospect grade. The 2026 role projection is strong enough to replace missing NFL history. Market price is favorable around ADP 103 versus model overall rank 66.</t>
  </si>
  <si>
    <t>Jaylen Warren</t>
  </si>
  <si>
    <t>He produced 13.6 PPR/FP points per game across 16 games. The workload/efficiency profile gives the model a rate-based reason to keep him here. Market price is favorable around ADP 107 versus model overall rank 69.</t>
  </si>
  <si>
    <t>Rico Dowdle</t>
  </si>
  <si>
    <t>He produced 12.7 PPR/FP points per game across 17 games. The workload/efficiency profile gives the model a rate-based reason to keep him here. Market price is favorable around ADP 111 versus model overall rank 74.</t>
  </si>
  <si>
    <t>Tony Pollard</t>
  </si>
  <si>
    <t>He produced 10.9 PPR/FP points per game across 17 games. The workload/efficiency profile gives the model a rate-based reason to keep him here. Market price is favorable around ADP 115 versus model overall rank 81.</t>
  </si>
  <si>
    <t>Rhamondre Stevenson</t>
  </si>
  <si>
    <t>He produced 12.8 PPR/FP points per game across 14 games. The workload/efficiency profile gives the model a rate-based reason to keep him here. Market price is favorable around ADP 120 versus model overall rank 84.</t>
  </si>
  <si>
    <t>Kenneth Gainwell</t>
  </si>
  <si>
    <t>He produced 13.0 PPR/FP points per game across 17 games. The workload/efficiency profile gives the model a rate-based reason to keep him here. Market price is favorable around ADP 124 versus model overall rank 86.</t>
  </si>
  <si>
    <t>Bhayshul Tuten</t>
  </si>
  <si>
    <t>FLEX/bench depth with upside if workload grows.</t>
  </si>
  <si>
    <t>He produced 5.9 PPR/FP points per game across 15 games. The workload/efficiency profile gives the model a rate-based reason to keep him here. Market price is favorable around ADP 128 versus model overall rank 89.</t>
  </si>
  <si>
    <t>RJ Harvey</t>
  </si>
  <si>
    <t>He produced 12.2 PPR/FP points per game across 17 games. The workload/efficiency profile gives the model a rate-based reason to keep him here. Market price is favorable around ADP 132 versus model overall rank 96.</t>
  </si>
  <si>
    <t>Kyle Monangai</t>
  </si>
  <si>
    <t>He produced 8.7 PPR/FP points per game across 17 games. The workload/efficiency profile gives the model a rate-based reason to keep him here. Market price is favorable around ADP 136 versus model overall rank 102.</t>
  </si>
  <si>
    <t>Chuba Hubbard</t>
  </si>
  <si>
    <t>He produced 8.4 PPR/FP points per game across 15 games. The workload/efficiency profile gives the model a rate-based reason to keep him here. Market price is favorable around ADP 141 versus model overall rank 107.</t>
  </si>
  <si>
    <t>Aaron Jones Sr.</t>
  </si>
  <si>
    <t>He produced 9.9 PPR/FP points per game across 12 games. The workload/efficiency profile gives the model a rate-based reason to keep him here. Market price is favorable around ADP 145 versus model overall rank 111.</t>
  </si>
  <si>
    <t>J.K. Dobbins</t>
  </si>
  <si>
    <t>He produced 11.6 PPR/FP points per game across 10 games. The workload/efficiency profile gives the model a rate-based reason to keep him here. Market price is favorable around ADP 149 versus model overall rank 113.</t>
  </si>
  <si>
    <t>Blake Corum</t>
  </si>
  <si>
    <t>He produced 7.2 PPR/FP points per game across 17 games. The workload/efficiency profile gives the model a rate-based reason to keep him here. Market price is favorable around ADP 153 versus model overall rank 123.</t>
  </si>
  <si>
    <t>Rachaad White</t>
  </si>
  <si>
    <t>He produced 8.5 PPR/FP points per game across 17 games. The workload/efficiency profile gives the model a rate-based reason to keep him here. Market price is favorable around ADP 157 versus model overall rank 127.</t>
  </si>
  <si>
    <t>Jacory Croskey-Merritt</t>
  </si>
  <si>
    <t>He produced 8.2 PPR/FP points per game across 17 games. The workload/efficiency profile gives the model a rate-based reason to keep him here. Market price is favorable around ADP 162 versus model overall rank 129.</t>
  </si>
  <si>
    <t>Jordan Mason</t>
  </si>
  <si>
    <t>He produced 8.1 PPR/FP points per game across 16 games. The workload/efficiency profile gives the model a rate-based reason to keep him here. Market price is favorable around ADP 166 versus model overall rank 136.</t>
  </si>
  <si>
    <t>Woody Marks</t>
  </si>
  <si>
    <t>Bench stash/handcuff profile; value is tied to role change or injury ahead.</t>
  </si>
  <si>
    <t>He produced 9.4 PPR/FP points per game across 16 games. The workload/efficiency profile gives the model a rate-based reason to keep him here. Market price is favorable around ADP 170 versus model overall rank 143.</t>
  </si>
  <si>
    <t>Chris Rodriguez Jr.</t>
  </si>
  <si>
    <t>He produced 7.0 PPR/FP points per game across 13 games. The workload/efficiency profile gives the model a rate-based reason to keep him here. Market price is favorable around ADP 174 versus model overall rank 147.</t>
  </si>
  <si>
    <t>Tyrone Tracy Jr.</t>
  </si>
  <si>
    <t>He produced 10.7 PPR/FP points per game across 15 games. The workload/efficiency profile gives the model a rate-based reason to keep him here. Market price is favorable around ADP 178 versus model overall rank 149.</t>
  </si>
  <si>
    <t>Tyler Allgeier</t>
  </si>
  <si>
    <t>He produced 7.2 PPR/FP points per game across 17 games. The workload/efficiency profile gives the model a rate-based reason to keep him here. Market price is favorable around ADP 183 versus model overall rank 168.</t>
  </si>
  <si>
    <t>Zach Charbonnet</t>
  </si>
  <si>
    <t>He produced 11.3 PPR/FP points per game across 16 games. The workload/efficiency profile gives the model a rate-based reason to keep him here. Market price is favorable around ADP 187 versus model overall rank 173.</t>
  </si>
  <si>
    <t>Jonathon Brooks</t>
  </si>
  <si>
    <t>The 2026 opportunity and projection carry most of the grade because detailed 2025 rate data is incomplete. Market price is favorable around ADP 191 versus model overall rank 177.</t>
  </si>
  <si>
    <t>Emanuel Wilson</t>
  </si>
  <si>
    <t>He produced 5.6 PPR/FP points per game across 17 games. The workload/efficiency profile gives the model a rate-based reason to keep him here. Market price is favorable around ADP 195 versus model overall rank 180.</t>
  </si>
  <si>
    <t>Isiah Pacheco</t>
  </si>
  <si>
    <t>The 2026 opportunity and projection carry most of the grade because detailed 2025 rate data is incomplete. Market price is favorable around ADP 199 versus model overall rank 187.</t>
  </si>
  <si>
    <t>Alvin Kamara</t>
  </si>
  <si>
    <t>The 2026 opportunity and projection carry most of the grade because detailed 2025 rate data is incomplete. Market price is favorable around ADP 204 versus model overall rank 191.</t>
  </si>
  <si>
    <t>Justice Hill</t>
  </si>
  <si>
    <t>The 2026 opportunity and projection carry most of the grade because detailed 2025 rate data is incomplete.</t>
  </si>
  <si>
    <t>Ja'Marr Chase</t>
  </si>
  <si>
    <t>Elite WR1 and first-round caliber target with overall WR1 upside.</t>
  </si>
  <si>
    <t>He produced 19.6 PPR/FP points per game across 16 games. The workload/efficiency profile gives the model a rate-based reason to keep him here.</t>
  </si>
  <si>
    <t>Target competition, quarterback efficiency and touchdown regression are the main downside paths.</t>
  </si>
  <si>
    <t>Puka Nacua</t>
  </si>
  <si>
    <t>He produced 23.5 PPR/FP points per game across 16 games. The workload/efficiency profile gives the model a rate-based reason to keep him here.</t>
  </si>
  <si>
    <t>Jaxon Smith-Njigba</t>
  </si>
  <si>
    <t>He produced 21.2 PPR/FP points per game across 17 games. The workload/efficiency profile gives the model a rate-based reason to keep him here.</t>
  </si>
  <si>
    <t>Amon-Ra St. Brown</t>
  </si>
  <si>
    <t>He produced 19.1 PPR/FP points per game across 17 games. The workload/efficiency profile gives the model a rate-based reason to keep him here.</t>
  </si>
  <si>
    <t>A.J. Brown</t>
  </si>
  <si>
    <t>Strong WR2 with top-12 weekly upside.</t>
  </si>
  <si>
    <t>He produced 14.7 PPR/FP points per game across 15 games. The workload/efficiency profile gives the model a rate-based reason to keep him here. The market is more aggressive at ADP 14 versus model overall rank 41, so price matters.</t>
  </si>
  <si>
    <t>CeeDee Lamb</t>
  </si>
  <si>
    <t>Strong WR1; bankable weekly starter with spike-week ceiling.</t>
  </si>
  <si>
    <t>He produced 14.4 PPR/FP points per game across 14 games. The workload/efficiency profile gives the model a rate-based reason to keep him here. The market is more aggressive at ADP 8 versus model overall rank 18, so price matters.</t>
  </si>
  <si>
    <t>Justin Jefferson</t>
  </si>
  <si>
    <t>The 2026 opportunity and projection carry most of the grade because detailed 2025 rate data is incomplete. The market is more aggressive at ADP 9 versus model overall rank 30, so price matters.</t>
  </si>
  <si>
    <t>George Pickens</t>
  </si>
  <si>
    <t>He produced 17.2 PPR/FP points per game across 17 games. The workload/efficiency profile gives the model a rate-based reason to keep him here. The market is more aggressive at ADP 16 versus model overall rank 45, so price matters.</t>
  </si>
  <si>
    <t>Drake London</t>
  </si>
  <si>
    <t>He produced 16.9 PPR/FP points per game across 12 games. The workload/efficiency profile gives the model a rate-based reason to keep him here.</t>
  </si>
  <si>
    <t>Nico Collins</t>
  </si>
  <si>
    <t>He produced 15.0 PPR/FP points per game across 15 games. The workload/efficiency profile gives the model a rate-based reason to keep him here.</t>
  </si>
  <si>
    <t>Rashee Rice</t>
  </si>
  <si>
    <t>He produced 18.7 PPR/FP points per game across 8 games. The workload/efficiency profile gives the model a rate-based reason to keep him here. The market is more aggressive at ADP 22 versus model overall rank 40, so price matters.</t>
  </si>
  <si>
    <t>Chris Olave</t>
  </si>
  <si>
    <t>He produced 16.9 PPR/FP points per game across 16 games. The workload/efficiency profile gives the model a rate-based reason to keep him here.</t>
  </si>
  <si>
    <t>Tetairoa McMillan</t>
  </si>
  <si>
    <t>He produced 12.4 PPR/FP points per game across 17 games. The workload/efficiency profile gives the model a rate-based reason to keep him here. Market price is favorable around ADP 50 versus model overall rank 28.</t>
  </si>
  <si>
    <t>Tee Higgins</t>
  </si>
  <si>
    <t>He produced 14.1 PPR/FP points per game across 15 games. The workload/efficiency profile gives the model a rate-based reason to keep him here. Market price is favorable around ADP 54 versus model overall rank 37.</t>
  </si>
  <si>
    <t>Garrett Wilson</t>
  </si>
  <si>
    <t>He produced 14.2 PPR/FP points per game across 7 games. The workload/efficiency profile gives the model a rate-based reason to keep him here. Market price is favorable around ADP 58 versus model overall rank 31.</t>
  </si>
  <si>
    <t>DeVonta Smith</t>
  </si>
  <si>
    <t>He produced 11.8 PPR/FP points per game across 17 games. The workload/efficiency profile gives the model a rate-based reason to keep him here.</t>
  </si>
  <si>
    <t>Zay Flowers</t>
  </si>
  <si>
    <t>He produced 14.4 PPR/FP points per game across 17 games. The workload/efficiency profile gives the model a rate-based reason to keep him here. Market price is favorable around ADP 65 versus model overall rank 32.</t>
  </si>
  <si>
    <t>Malik Nabers</t>
  </si>
  <si>
    <t>The 2026 opportunity and projection carry most of the grade because detailed 2025 rate data is incomplete. Market price is favorable around ADP 69 versus model overall rank 57.</t>
  </si>
  <si>
    <t>Emeka Egbuka</t>
  </si>
  <si>
    <t>He produced 11.5 PPR/FP points per game across 17 games. The workload/efficiency profile gives the model a rate-based reason to keep him here. Market price is favorable around ADP 73 versus model overall rank 55.</t>
  </si>
  <si>
    <t>Jaylen Waddle</t>
  </si>
  <si>
    <t>He produced 12.1 PPR/FP points per game across 16 games. The workload/efficiency profile gives the model a rate-based reason to keep him here. Market price is favorable around ADP 77 versus model overall rank 52.</t>
  </si>
  <si>
    <t>Terry McLaurin</t>
  </si>
  <si>
    <t>He produced 11.4 PPR/FP points per game across 10 games. The workload/efficiency profile gives the model a rate-based reason to keep him here. Market price is favorable around ADP 81 versus model overall rank 62.</t>
  </si>
  <si>
    <t>Ladd McConkey</t>
  </si>
  <si>
    <t>The 2026 opportunity and projection carry most of the grade because detailed 2025 rate data is incomplete. Market price is favorable around ADP 85 versus model overall rank 51.</t>
  </si>
  <si>
    <t>Davante Adams</t>
  </si>
  <si>
    <t>He produced 15.9 PPR/FP points per game across 14 games. The workload/efficiency profile gives the model a rate-based reason to keep him here. Market price is favorable around ADP 89 versus model overall rank 76.</t>
  </si>
  <si>
    <t>Luther Burden III</t>
  </si>
  <si>
    <t>He produced 8.5 PPR/FP points per game across 15 games. The workload/efficiency profile gives the model a rate-based reason to keep him here. Market price is favorable around ADP 93 versus model overall rank 71.</t>
  </si>
  <si>
    <t>DJ Moore</t>
  </si>
  <si>
    <t>WR2/FLEX; dependable lineup option with matchup-driven ceiling.</t>
  </si>
  <si>
    <t>He produced 10.0 PPR/FP points per game across 17 games. The workload/efficiency profile gives the model a rate-based reason to keep him here.</t>
  </si>
  <si>
    <t>Jameson Williams</t>
  </si>
  <si>
    <t>He produced 12.9 PPR/FP points per game across 17 games. The workload/efficiency profile gives the model a rate-based reason to keep him here.</t>
  </si>
  <si>
    <t>Rome Odunze</t>
  </si>
  <si>
    <t>He produced 12.2 PPR/FP points per game across 12 games. The workload/efficiency profile gives the model a rate-based reason to keep him here.</t>
  </si>
  <si>
    <t>Mike Evans</t>
  </si>
  <si>
    <t>The 2026 opportunity and projection carry most of the grade because detailed 2025 rate data is incomplete. Market price is favorable around ADP 108 versus model overall rank 91.</t>
  </si>
  <si>
    <t>Marvin Harrison Jr.</t>
  </si>
  <si>
    <t>FLEX/bench receiver; needs target growth or efficiency spikes.</t>
  </si>
  <si>
    <t>He produced 10.6 PPR/FP points per game across 12 games. The workload/efficiency profile gives the model a rate-based reason to keep him here.</t>
  </si>
  <si>
    <t>Christian Watson</t>
  </si>
  <si>
    <t>He produced 13.2 PPR/FP points per game across 10 games. The workload/efficiency profile gives the model a rate-based reason to keep him here.</t>
  </si>
  <si>
    <t>Alec Pierce</t>
  </si>
  <si>
    <t>He produced 12.2 PPR/FP points per game across 15 games. The workload/efficiency profile gives the model a rate-based reason to keep him here.</t>
  </si>
  <si>
    <t>DK Metcalf</t>
  </si>
  <si>
    <t>He produced 12.4 PPR/FP points per game across 15 games. The workload/efficiency profile gives the model a rate-based reason to keep him here. The market is more aggressive at ADP 124 versus model overall rank 134, so price matters.</t>
  </si>
  <si>
    <t>Carnell Tate</t>
  </si>
  <si>
    <t>Rookie score 95.1, backed by No. 4 draft capital and a 6.71 NFL prospect grade. The 2026 role projection is strong enough to replace missing NFL history.</t>
  </si>
  <si>
    <t>Courtland Sutton</t>
  </si>
  <si>
    <t>He produced 13.0 PPR/FP points per game across 17 games. The workload/efficiency profile gives the model a rate-based reason to keep him here.</t>
  </si>
  <si>
    <t>Jordyn Tyson</t>
  </si>
  <si>
    <t>Rookie score 92.4, backed by No. 8 draft capital and a 6.43 NFL prospect grade. The 2026 role projection is strong enough to replace missing NFL history. Market price is favorable around ADP 136 versus model overall rank 98.</t>
  </si>
  <si>
    <t>Michael Pittman Jr.</t>
  </si>
  <si>
    <t>He produced 11.9 PPR/FP points per game across 17 games. The workload/efficiency profile gives the model a rate-based reason to keep him here. Market price is favorable around ADP 140 versus model overall rank 105.</t>
  </si>
  <si>
    <t>Jakobi Meyers</t>
  </si>
  <si>
    <t>He produced 11.0 PPR/FP points per game across 16 games. The workload/efficiency profile gives the model a rate-based reason to keep him here. Market price is favorable around ADP 143 versus model overall rank 110.</t>
  </si>
  <si>
    <t>Jordan Addison</t>
  </si>
  <si>
    <t>He produced 9.6 PPR/FP points per game across 14 games. The workload/efficiency profile gives the model a rate-based reason to keep him here. Market price is favorable around ADP 147 versus model overall rank 114.</t>
  </si>
  <si>
    <t>Wan'Dale Robinson</t>
  </si>
  <si>
    <t>He produced 13.7 PPR/FP points per game across 16 games. The workload/efficiency profile gives the model a rate-based reason to keep him here. Market price is favorable around ADP 151 versus model overall rank 118.</t>
  </si>
  <si>
    <t>Brian Thomas Jr.</t>
  </si>
  <si>
    <t>Makai Lemon</t>
  </si>
  <si>
    <t>Rookie score 89.2, backed by No. 20 draft capital and a 6.47 NFL prospect grade. The 2026 role projection is strong enough to replace missing NFL history. Market price is favorable around ADP 159 versus model overall rank 145.</t>
  </si>
  <si>
    <t>Parker Washington</t>
  </si>
  <si>
    <t>He produced 11.5 PPR/FP points per game across 16 games. The workload/efficiency profile gives the model a rate-based reason to keep him here. Market price is favorable around ADP 163 versus model overall rank 133.</t>
  </si>
  <si>
    <t>Chris Godwin Jr.</t>
  </si>
  <si>
    <t>The 2026 opportunity and projection carry most of the grade because detailed 2025 rate data is incomplete. Market price is favorable around ADP 167 versus model overall rank 137.</t>
  </si>
  <si>
    <t>Quentin Johnston</t>
  </si>
  <si>
    <t>He produced 12.2 PPR/FP points per game across 14 games. The workload/efficiency profile gives the model a rate-based reason to keep him here. Market price is favorable around ADP 171 versus model overall rank 142.</t>
  </si>
  <si>
    <t>Ricky Pearsall</t>
  </si>
  <si>
    <t>The 2026 opportunity and projection carry most of the grade because detailed 2025 rate data is incomplete. Market price is favorable around ADP 175 versus model overall rank 150.</t>
  </si>
  <si>
    <t>Michael Wilson</t>
  </si>
  <si>
    <t>He produced 13.0 PPR/FP points per game across 17 games. The workload/efficiency profile gives the model a rate-based reason to keep him here. Market price is favorable around ADP 178 versus model overall rank 153.</t>
  </si>
  <si>
    <t>Xavier Worthy</t>
  </si>
  <si>
    <t>He produced 7.9 PPR/FP points per game across 14 games. The workload/efficiency profile gives the model a rate-based reason to keep him here. Market price is favorable around ADP 182 versus model overall rank 155.</t>
  </si>
  <si>
    <t>Matthew Golden</t>
  </si>
  <si>
    <t>The 2026 opportunity and projection carry most of the grade because detailed 2025 rate data is incomplete. Market price is favorable around ADP 186 versus model overall rank 159.</t>
  </si>
  <si>
    <t>Josh Downs</t>
  </si>
  <si>
    <t>He produced 8.5 PPR/FP points per game across 16 games. The workload/efficiency profile gives the model a rate-based reason to keep him here. Market price is favorable around ADP 190 versus model overall rank 162.</t>
  </si>
  <si>
    <t>Jayden Reed</t>
  </si>
  <si>
    <t>The 2026 opportunity and projection carry most of the grade because detailed 2025 rate data is incomplete. Market price is favorable around ADP 194 versus model overall rank 167.</t>
  </si>
  <si>
    <t>Khalil Shakir</t>
  </si>
  <si>
    <t>Late-round bench upside; role growth is required for weekly relevance.</t>
  </si>
  <si>
    <t>He produced 10.4 PPR/FP points per game across 16 games. The workload/efficiency profile gives the model a rate-based reason to keep him here. Market price is favorable around ADP 198 versus model overall rank 171.</t>
  </si>
  <si>
    <t>Jalin Hyatt</t>
  </si>
  <si>
    <t>The 2026 opportunity and projection carry most of the grade because detailed 2025 rate data is incomplete. Market price is favorable around ADP 202 versus model overall rank 174.</t>
  </si>
  <si>
    <t>Romeo Doubs</t>
  </si>
  <si>
    <t>He produced 10.3 PPR/FP points per game across 16 games. The workload/efficiency profile gives the model a rate-based reason to keep him here. Market price is favorable around ADP 206 versus model overall rank 178.</t>
  </si>
  <si>
    <t>Jalen Coker</t>
  </si>
  <si>
    <t>He produced 8.2 PPR/FP points per game across 11 games. The workload/efficiency profile gives the model a rate-based reason to keep him here. Market price is favorable around ADP 210 versus model overall rank 179.</t>
  </si>
  <si>
    <t>KC Concepcion</t>
  </si>
  <si>
    <t>Rookie score 85.3, backed by No. 24 draft capital and a 6.42 NFL prospect grade. The 2026 role projection is strong enough to replace missing NFL history. Market price is favorable around ADP 214 versus model overall rank 181.</t>
  </si>
  <si>
    <t>Rashid Shaheed</t>
  </si>
  <si>
    <t>He produced 8.7 PPR/FP points per game across 18 games. The workload/efficiency profile gives the model a rate-based reason to keep him here. Market price is favorable around ADP 218 versus model overall rank 184.</t>
  </si>
  <si>
    <t>Calvin Ridley</t>
  </si>
  <si>
    <t>The 2026 opportunity and projection carry most of the grade because detailed 2025 rate data is incomplete. Market price is favorable around ADP 221 versus model overall rank 185.</t>
  </si>
  <si>
    <t>Omar Cooper Jr.</t>
  </si>
  <si>
    <t>Rookie score 82.1, backed by No. 30 draft capital and a 6.39 NFL prospect grade. The 2026 role projection is strong enough to replace missing NFL history. Market price is favorable around ADP 225 versus model overall rank 186.</t>
  </si>
  <si>
    <t>Jerry Jeudy</t>
  </si>
  <si>
    <t>He produced 7.1 PPR/FP points per game across 17 games. The workload/efficiency profile gives the model a rate-based reason to keep him here. Market price is favorable around ADP 229 versus model overall rank 189.</t>
  </si>
  <si>
    <t>Jalen Nailor</t>
  </si>
  <si>
    <t>He produced 5.9 PPR/FP points per game across 17 games. The workload/efficiency profile gives the model a rate-based reason to keep him here. Market price is favorable around ADP 233 versus model overall rank 190.</t>
  </si>
  <si>
    <t>Jalen McMillan</t>
  </si>
  <si>
    <t>The 2026 opportunity and projection carry most of the grade because detailed 2025 rate data is incomplete. Market price is favorable around ADP 237 versus model overall rank 192.</t>
  </si>
  <si>
    <t>Adonai Mitchell</t>
  </si>
  <si>
    <t>The 2026 opportunity and projection carry most of the grade because detailed 2025 rate data is incomplete. Market price is favorable around ADP 241 versus model overall rank 193.</t>
  </si>
  <si>
    <t>Isaac TeSlaa</t>
  </si>
  <si>
    <t>He produced 4.4 PPR/FP points per game across 17 games. The workload/efficiency profile gives the model a rate-based reason to keep him here. Market price is favorable around ADP 245 versus model overall rank 194.</t>
  </si>
  <si>
    <t>Denzel Boston</t>
  </si>
  <si>
    <t>Rookie score 79.3, backed by No. 39 draft capital and a 6.40 NFL prospect grade. The 2026 role projection is strong enough to replace missing NFL history. Market price is favorable around ADP 249 versus model overall rank 196.</t>
  </si>
  <si>
    <t>Tre Tucker</t>
  </si>
  <si>
    <t>He produced 9.6 PPR/FP points per game across 17 games. The workload/efficiency profile gives the model a rate-based reason to keep him here. Market price is favorable around ADP 253 versus model overall rank 197.</t>
  </si>
  <si>
    <t>Antonio Williams</t>
  </si>
  <si>
    <t>The 2026 opportunity and projection carry most of the grade because detailed 2025 rate data is incomplete. Market price is favorable around ADP 256 versus model overall rank 198.</t>
  </si>
  <si>
    <t>Travis Hunter</t>
  </si>
  <si>
    <t>The 2026 opportunity and projection carry most of the grade because detailed 2025 rate data is incomplete. Market price is favorable around ADP 260 versus model overall rank 201.</t>
  </si>
  <si>
    <t>Ryan Flournoy</t>
  </si>
  <si>
    <t>He produced 7.6 PPR/FP points per game across 15 games. The workload/efficiency profile gives the model a rate-based reason to keep him here. Market price is favorable around ADP 264 versus model overall rank 202.</t>
  </si>
  <si>
    <t>Jauan Jennings</t>
  </si>
  <si>
    <t>He produced 11.6 PPR/FP points per game across 15 games. The workload/efficiency profile gives the model a rate-based reason to keep him here. Market price is favorable around ADP 268 versus model overall rank 204.</t>
  </si>
  <si>
    <t>Darnell Mooney</t>
  </si>
  <si>
    <t>The 2026 opportunity and projection carry most of the grade because detailed 2025 rate data is incomplete. Market price is favorable around ADP 272 versus model overall rank 205.</t>
  </si>
  <si>
    <t>Trey McBride</t>
  </si>
  <si>
    <t>Elite difference-making TE; positional advantage is the expectation.</t>
  </si>
  <si>
    <t>He produced 18.6 PPR/FP points per game across 17 games. The workload/efficiency profile gives the model a rate-based reason to keep him here. Market price is favorable around ADP 17 versus model overall rank 5.</t>
  </si>
  <si>
    <t>Route share, target volume and touchdown volatility are the main swing factors.</t>
  </si>
  <si>
    <t>Brock Bowers</t>
  </si>
  <si>
    <t>He produced 14.7 PPR/FP points per game across 12 games. The workload/efficiency profile gives the model a rate-based reason to keep him here.</t>
  </si>
  <si>
    <t>Colston Loveland</t>
  </si>
  <si>
    <t>He produced 10.3 PPR/FP points per game across 16 games. The workload/efficiency profile gives the model a rate-based reason to keep him here. Market price is favorable around ADP 35 versus model overall rank 22.</t>
  </si>
  <si>
    <t>Tyler Warren</t>
  </si>
  <si>
    <t>Every-week TE1 with real top-5 upside.</t>
  </si>
  <si>
    <t>He produced 11.1 PPR/FP points per game across 17 games. The workload/efficiency profile gives the model a rate-based reason to keep him here.</t>
  </si>
  <si>
    <t>George Kittle</t>
  </si>
  <si>
    <t>He produced 14.7 PPR/FP points per game across 11 games. The workload/efficiency profile gives the model a rate-based reason to keep him here. Market price is favorable around ADP 53 versus model overall rank 43.</t>
  </si>
  <si>
    <t>Kyle Pitts Sr.</t>
  </si>
  <si>
    <t>He produced 12.4 PPR/FP points per game across 17 games. The workload/efficiency profile gives the model a rate-based reason to keep him here. Market price is favorable around ADP 62 versus model overall rank 46.</t>
  </si>
  <si>
    <t>Harold Fannin Jr.</t>
  </si>
  <si>
    <t>He produced 11.7 PPR/FP points per game across 16 games. The workload/efficiency profile gives the model a rate-based reason to keep him here. Market price is favorable around ADP 71 versus model overall rank 53.</t>
  </si>
  <si>
    <t>Jake Ferguson</t>
  </si>
  <si>
    <t>He produced 11.0 PPR/FP points per game across 17 games. The workload/efficiency profile gives the model a rate-based reason to keep him here. Market price is favorable around ADP 80 versus model overall rank 56.</t>
  </si>
  <si>
    <t>Tucker Kraft</t>
  </si>
  <si>
    <t>Low-end TE1; startable but replacement options remain close.</t>
  </si>
  <si>
    <t>He produced 14.6 PPR/FP points per game across 8 games. The workload/efficiency profile gives the model a rate-based reason to keep him here. Market price is favorable around ADP 89 versus model overall rank 58.</t>
  </si>
  <si>
    <t>Sam LaPorta</t>
  </si>
  <si>
    <t>He produced 11.8 PPR/FP points per game across 9 games. The workload/efficiency profile gives the model a rate-based reason to keep him here. Market price is favorable around ADP 98 versus model overall rank 63.</t>
  </si>
  <si>
    <t>Dalton Kincaid</t>
  </si>
  <si>
    <t>He produced 10.6 PPR/FP points per game across 12 games. The workload/efficiency profile gives the model a rate-based reason to keep him here. Market price is favorable around ADP 107 versus model overall rank 67.</t>
  </si>
  <si>
    <t>Travis Kelce</t>
  </si>
  <si>
    <t>He produced 11.4 PPR/FP points per game across 17 games. The workload/efficiency profile gives the model a rate-based reason to keep him here. Market price is favorable around ADP 116 versus model overall rank 72.</t>
  </si>
  <si>
    <t>Dallas Goedert</t>
  </si>
  <si>
    <t>Streaming/TE2 range; touchdown and route volume drive usefulness.</t>
  </si>
  <si>
    <t>He produced 12.3 PPR/FP points per game across 15 games. The workload/efficiency profile gives the model a rate-based reason to keep him here. Market price is favorable around ADP 125 versus model overall rank 88.</t>
  </si>
  <si>
    <t>Mark Andrews</t>
  </si>
  <si>
    <t>He produced 7.7 PPR/FP points per game across 17 games. The workload/efficiency profile gives the model a rate-based reason to keep him here. Market price is favorable around ADP 134 versus model overall rank 97.</t>
  </si>
  <si>
    <t>Isaiah Likely</t>
  </si>
  <si>
    <t>He produced 4.4 PPR/FP points per game across 14 games. The workload/efficiency profile gives the model a rate-based reason to keep him here. Market price is favorable around ADP 143 versus model overall rank 99.</t>
  </si>
  <si>
    <t>Juwan Johnson</t>
  </si>
  <si>
    <t>He produced 10.6 PPR/FP points per game across 17 games. The workload/efficiency profile gives the model a rate-based reason to keep him here. Market price is favorable around ADP 152 versus model overall rank 103.</t>
  </si>
  <si>
    <t>Hunter Henry</t>
  </si>
  <si>
    <t>He produced 10.5 PPR/FP points per game across 17 games. The workload/efficiency profile gives the model a rate-based reason to keep him here. Market price is favorable around ADP 161 versus model overall rank 116.</t>
  </si>
  <si>
    <t>Brenton Strange</t>
  </si>
  <si>
    <t>He produced 9.8 PPR/FP points per game across 12 games. The workload/efficiency profile gives the model a rate-based reason to keep him here. Market price is favorable around ADP 170 versus model overall rank 121.</t>
  </si>
  <si>
    <t>Chig Okonkwo</t>
  </si>
  <si>
    <t>Deep TE stash; needs a larger route/target role to matter in 10-team leagues.</t>
  </si>
  <si>
    <t>He produced 7.3 PPR/FP points per game across 17 games. The workload/efficiency profile gives the model a rate-based reason to keep him here. Market price is favorable around ADP 179 versus model overall rank 125.</t>
  </si>
  <si>
    <t>Kenyon Sadiq</t>
  </si>
  <si>
    <t>Rookie score 86.6, backed by No. 16 draft capital and a 6.46 NFL prospect grade. The 2026 role projection is strong enough to replace missing NFL history. Market price is favorable around ADP 188 versus model overall rank 135.</t>
  </si>
  <si>
    <t>T.J. Hockenson</t>
  </si>
  <si>
    <t>He produced 7.5 PPR/FP points per game across 15 games. The workload/efficiency profile gives the model a rate-based reason to keep him here. Market price is favorable around ADP 197 versus model overall rank 138.</t>
  </si>
  <si>
    <t>Dalton Schultz</t>
  </si>
  <si>
    <t>He produced 10.4 PPR/FP points per game across 17 games. The workload/efficiency profile gives the model a rate-based reason to keep him here. Market price is favorable around ADP 206 versus model overall rank 140.</t>
  </si>
  <si>
    <t>Oronde Gadsden II</t>
  </si>
  <si>
    <t>He produced 8.8 PPR/FP points per game across 15 games. The workload/efficiency profile gives the model a rate-based reason to keep him here. Market price is favorable around ADP 215 versus model overall rank 146.</t>
  </si>
  <si>
    <t>AJ Barner</t>
  </si>
  <si>
    <t>He produced 8.7 PPR/FP points per game across 17 games. The workload/efficiency profile gives the model a rate-based reason to keep him here. Market price is favorable around ADP 224 versus model overall rank 156.</t>
  </si>
  <si>
    <t>Cade Otton</t>
  </si>
  <si>
    <t>He produced 7.6 PPR/FP points per game across 16 games. The workload/efficiency profile gives the model a rate-based reason to keep him here. Market price is favorable around ADP 233 versus model overall rank 165.</t>
  </si>
  <si>
    <t>Gunnar Helm</t>
  </si>
  <si>
    <t>He produced 5.8 PPR/FP points per game across 16 games. The workload/efficiency profile gives the model a rate-based reason to keep him here. Market price is favorable around ADP 242 versus model overall rank 166.</t>
  </si>
  <si>
    <t>Terrance Ferguson</t>
  </si>
  <si>
    <t>He produced 4.0 PPR/FP points per game across 13 games. The workload/efficiency profile gives the model a rate-based reason to keep him here. Market price is favorable around ADP 251 versus model overall rank 175.</t>
  </si>
  <si>
    <t>Brandon Aubrey</t>
  </si>
  <si>
    <t>DAL</t>
  </si>
  <si>
    <t>KICKER MODEL</t>
  </si>
  <si>
    <t>Top-tier kicker option, but still a final-round target.</t>
  </si>
  <si>
    <t>Ranks near the top of the current kicker pool, but kicker week-to-week separation is small in a 10-team league.</t>
  </si>
  <si>
    <t>Kicker scoring is volatile and replaceable on waivers; do not pay meaningful draft capital.</t>
  </si>
  <si>
    <t>https://www.fantasypros.com/nfl/rankings/k-cheatsheets.php</t>
  </si>
  <si>
    <t>Ka'imi Fairbairn</t>
  </si>
  <si>
    <t>HOU</t>
  </si>
  <si>
    <t>Cameron Dicker</t>
  </si>
  <si>
    <t>LAC</t>
  </si>
  <si>
    <t>Jason Myers</t>
  </si>
  <si>
    <t>SEA</t>
  </si>
  <si>
    <t>Cam Little</t>
  </si>
  <si>
    <t>JAC</t>
  </si>
  <si>
    <t>Eddy Pineiro</t>
  </si>
  <si>
    <t>SF</t>
  </si>
  <si>
    <t>Late-round kicker; treat as replaceable unless scoring strongly rewards distance.</t>
  </si>
  <si>
    <t>Tyler Loop</t>
  </si>
  <si>
    <t>BAL</t>
  </si>
  <si>
    <t>Harrison Mevis</t>
  </si>
  <si>
    <t>LAR</t>
  </si>
  <si>
    <t>Chase McLaughlin</t>
  </si>
  <si>
    <t>TB</t>
  </si>
  <si>
    <t>Cairo Santos</t>
  </si>
  <si>
    <t>CHI</t>
  </si>
  <si>
    <t>Andy Borregales</t>
  </si>
  <si>
    <t>NE</t>
  </si>
  <si>
    <t>Evan McPherson</t>
  </si>
  <si>
    <t>CIN</t>
  </si>
  <si>
    <t>Houston Texans</t>
  </si>
  <si>
    <t>DST MODEL</t>
  </si>
  <si>
    <t>Elite DST target if available in the final rounds; otherwise streaming remains viable.</t>
  </si>
  <si>
    <t>The unit grades well relative to the current DST pool, but the model intentionally keeps defense behind core skill positions.</t>
  </si>
  <si>
    <t>DST scoring is highly opponent- and turnover-dependent, making season-long rank fragile.</t>
  </si>
  <si>
    <t>https://www.fantasypros.com/nfl/rankings/dst-cheatsheets.php</t>
  </si>
  <si>
    <t>Denver Broncos</t>
  </si>
  <si>
    <t>DEN</t>
  </si>
  <si>
    <t>Seattle Seahawks</t>
  </si>
  <si>
    <t>Los Angeles Rams</t>
  </si>
  <si>
    <t>Philadelphia Eagles</t>
  </si>
  <si>
    <t>PHI</t>
  </si>
  <si>
    <t>Minnesota Vikings</t>
  </si>
  <si>
    <t>MIN</t>
  </si>
  <si>
    <t>Streaming/late-round defense; matchup matters more than preseason rank.</t>
  </si>
  <si>
    <t>New England Patriots</t>
  </si>
  <si>
    <t>Jacksonville Jaguars</t>
  </si>
  <si>
    <t>Pittsburgh Steelers</t>
  </si>
  <si>
    <t>PIT</t>
  </si>
  <si>
    <t>Los Angeles Chargers</t>
  </si>
  <si>
    <t>Baltimore Ravens</t>
  </si>
  <si>
    <t>Green Bay Packers</t>
  </si>
  <si>
    <t>GB</t>
  </si>
  <si>
    <t>Detroit Lions</t>
  </si>
  <si>
    <t>DET</t>
  </si>
  <si>
    <t>Buffalo Bills</t>
  </si>
  <si>
    <t>BUF</t>
  </si>
  <si>
    <t>Kansas City Chiefs</t>
  </si>
  <si>
    <t>KC</t>
  </si>
  <si>
    <t>Cleveland Browns</t>
  </si>
  <si>
    <t>CLE</t>
  </si>
  <si>
    <t>San Francisco 49ers</t>
  </si>
  <si>
    <t>New Orleans Saints</t>
  </si>
  <si>
    <t>NO</t>
  </si>
  <si>
    <t>Atlanta Falcons</t>
  </si>
  <si>
    <t>ATL</t>
  </si>
  <si>
    <t>Chicago Bears</t>
  </si>
  <si>
    <t>Indianapolis Colts</t>
  </si>
  <si>
    <t>IND</t>
  </si>
  <si>
    <t>New York Giants</t>
  </si>
  <si>
    <t>NYG</t>
  </si>
  <si>
    <t>Tampa Bay Buccaneers</t>
  </si>
  <si>
    <t>Dallas Cowboys</t>
  </si>
  <si>
    <t>Carolina Panthers</t>
  </si>
  <si>
    <t>CAR</t>
  </si>
  <si>
    <t>Tennessee Titans</t>
  </si>
  <si>
    <t>TEN</t>
  </si>
  <si>
    <t>https://www.si.com/fantasy/2026-football-defense-rankings-seasonal-leagues</t>
  </si>
  <si>
    <t>Miami Dolphins</t>
  </si>
  <si>
    <t>MIA</t>
  </si>
  <si>
    <t>Washington Commanders</t>
  </si>
  <si>
    <t>WAS</t>
  </si>
  <si>
    <t>New York Jets</t>
  </si>
  <si>
    <t>NYJ</t>
  </si>
  <si>
    <t>Arizona Cardinals</t>
  </si>
  <si>
    <t>ARI</t>
  </si>
  <si>
    <t>Cincinnati Bengals</t>
  </si>
  <si>
    <t>Las Vegas Raiders</t>
  </si>
  <si>
    <t>LV</t>
  </si>
  <si>
    <t>2026 FINAL Master: all 223, live-ranked, K/DST gated to the final rounds.</t>
  </si>
  <si>
    <t>Proj Points</t>
  </si>
  <si>
    <t>VORP</t>
  </si>
  <si>
    <t>2026 Overall Top 200: pure formula view, updates with every adjustment.</t>
  </si>
  <si>
    <t>Scarcity</t>
  </si>
  <si>
    <t>Floor</t>
  </si>
  <si>
    <t>Ceiling</t>
  </si>
  <si>
    <t>2026 QB: final rankings, live.</t>
  </si>
  <si>
    <t>Overall Rank</t>
  </si>
  <si>
    <t>2026 RB: final rankings, live.</t>
  </si>
  <si>
    <t>2026 WR: final rankings, live.</t>
  </si>
  <si>
    <t>2026 TE: final rankings, live.</t>
  </si>
  <si>
    <t>2026 Kickers: final-round picks only. Top 10 gated to overall 141-150.</t>
  </si>
  <si>
    <t>2026 DST: final-round picks only. Top 10 gated to overall 131-140.</t>
  </si>
  <si>
    <t>Defense</t>
  </si>
  <si>
    <t>Draft Engine: live math. Mark players in the Status column on draft day.</t>
  </si>
  <si>
    <t>Manual Adj</t>
  </si>
  <si>
    <t>Adjusted Rating</t>
  </si>
  <si>
    <t>Repl Rank</t>
  </si>
  <si>
    <t>Repl Points</t>
  </si>
  <si>
    <t>VORP Score</t>
  </si>
  <si>
    <t>Penalty</t>
  </si>
  <si>
    <t>Skill Score</t>
  </si>
  <si>
    <t>Skill Rank</t>
  </si>
  <si>
    <t>Median</t>
  </si>
  <si>
    <t>Status</t>
  </si>
  <si>
    <t>Draft Room: live board for draft day</t>
  </si>
  <si>
    <t>Mark picks in Draft Engine Status column. This board updates itself.</t>
  </si>
  <si>
    <t>Draft Input</t>
  </si>
  <si>
    <t>Signal</t>
  </si>
  <si>
    <t>Interpretation</t>
  </si>
  <si>
    <t>Action</t>
  </si>
  <si>
    <t>Current Pick</t>
  </si>
  <si>
    <t>Draft Edge &gt; +15</t>
  </si>
  <si>
    <t>Strong model value</t>
  </si>
  <si>
    <t>Prioritize if roster construction fits.</t>
  </si>
  <si>
    <t>Draft Edge -10 to +15</t>
  </si>
  <si>
    <t>Fairly priced</t>
  </si>
  <si>
    <t>Take best roster fit.</t>
  </si>
  <si>
    <t>Roster Size</t>
  </si>
  <si>
    <t>Draft Edge &lt; -10</t>
  </si>
  <si>
    <t>Market reaching</t>
  </si>
  <si>
    <t>Let someone else pay the premium.</t>
  </si>
  <si>
    <t>Best Available (Top 10)</t>
  </si>
  <si>
    <t>ADP</t>
  </si>
  <si>
    <t>Edge</t>
  </si>
  <si>
    <t>Best Available by Position</t>
  </si>
  <si>
    <t>My Roster (marked My Pick on the Draft Board)</t>
  </si>
  <si>
    <t>Count</t>
  </si>
  <si>
    <t>Total</t>
  </si>
  <si>
    <t>2026 Expectations: what we expect, why, and the risk. Ranks are live.</t>
  </si>
  <si>
    <t>Why We Rank Him Here</t>
  </si>
  <si>
    <t>Main Risk / What Changes It</t>
  </si>
  <si>
    <t>QA Checks: every number below must PASS before you trust the board</t>
  </si>
  <si>
    <t>Check</t>
  </si>
  <si>
    <t>Expected</t>
  </si>
  <si>
    <t>Actual</t>
  </si>
  <si>
    <t>Player count (LIVE SOURCE)</t>
  </si>
  <si>
    <t>Row alignment errors (LS vs Draft Engine)</t>
  </si>
  <si>
    <t>Row alignment errors (LS vs Manual Adj)</t>
  </si>
  <si>
    <t>Master mismatches (dupes + errors)</t>
  </si>
  <si>
    <t>Top 200 mismatches (dupes + errors)</t>
  </si>
  <si>
    <t>Positional-rank conflicts</t>
  </si>
  <si>
    <t>Overall-rank conflicts</t>
  </si>
  <si>
    <t>DST1 overall rank</t>
  </si>
  <si>
    <t>DST10 overall rank</t>
  </si>
  <si>
    <t>K1 overall rank</t>
  </si>
  <si>
    <t>K10 overall rank</t>
  </si>
  <si>
    <t>VORP identity errors (VORP = Pts - Repl Pts)</t>
  </si>
  <si>
    <t>Formula errors (all sheets)</t>
  </si>
  <si>
    <t>OVERALL</t>
  </si>
  <si>
    <t>Formula error detail by sheet</t>
  </si>
  <si>
    <t>Draft Engine</t>
  </si>
  <si>
    <t>FINAL Master</t>
  </si>
  <si>
    <t>Top 200</t>
  </si>
  <si>
    <t>Player Summaries</t>
  </si>
  <si>
    <t>League Config</t>
  </si>
  <si>
    <t>Manual Adjustments</t>
  </si>
  <si>
    <t>FINAL QB</t>
  </si>
  <si>
    <t>FINAL RB</t>
  </si>
  <si>
    <t>FINAL WR</t>
  </si>
  <si>
    <t>FINAL TE</t>
  </si>
  <si>
    <t>Draft Room</t>
  </si>
  <si>
    <t>Draft Board</t>
  </si>
  <si>
    <t>Season-ending PCL surgery announced 8/1/2026; out for the year (NFL.com).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</si>
</sst>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b/>
      <sz val="14"/>
      <color rgb="FF1F3352"/>
      <name val="Calibri"/>
    </font>
    <font>
      <i/>
      <sz val="9"/>
      <color rgb="FF8A8F98"/>
      <name val="Calibri"/>
    </font>
    <font>
      <b/>
      <sz val="10"/>
      <color rgb="FFFFFFFF"/>
      <name val="Calibri"/>
    </font>
    <font>
      <sz val="8"/>
      <color rgb="FF8A8F98"/>
      <name val="Calibri"/>
    </font>
    <font>
      <b/>
      <sz val="11"/>
      <color rgb="FF1F3352"/>
      <name val="Calibri"/>
    </font>
    <font>
      <b/>
      <sz val="12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3352"/>
      </patternFill>
    </fill>
    <fill>
      <patternFill patternType="solid">
        <fgColor rgb="FFDCE9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wrapText="1"/>
    </xf>
    <xf numFmtId="164" fontId="0" fillId="0" borderId="0" xfId="0" applyNumberFormat="1"/>
    <xf numFmtId="0" fontId="0" fillId="3" borderId="0" xfId="0" applyFill="1"/>
    <xf numFmtId="0" fontId="4" fillId="0" borderId="0" xfId="0" applyFont="1"/>
    <xf numFmtId="0" fontId="3" fillId="2" borderId="0" xfId="0" applyFont="1" applyFill="1"/>
    <xf numFmtId="164" fontId="0" fillId="3" borderId="0" xfId="0" applyNumberFormat="1" applyFill="1"/>
    <xf numFmtId="164" fontId="4" fillId="0" borderId="0" xfId="0" applyNumberFormat="1" applyFont="1"/>
    <xf numFmtId="0" fontId="5" fillId="0" borderId="0" xfId="0" applyFont="1"/>
    <xf numFmtId="0" fontId="6" fillId="0" borderId="0" xfId="0" applyFont="1"/>
    <xf numFmtId="14" fontId="0" fillId="3" borderId="0" xfId="0" applyNumberFormat="1" applyFill="1"/>
  </cellXfs>
  <cellStyles count="1">
    <cellStyle name="Normal" xfId="0" builtinId="0"/>
  </cellStyles>
  <dxfs count="7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strike/>
        <color rgb="FF8A8F98"/>
      </font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N225"/>
  <sheetViews>
    <sheetView tabSelected="1" workbookViewId="0">
      <pane ySplit="2" topLeftCell="A3" activePane="bottomLeft" state="frozen"/>
      <selection pane="bottomLeft"/>
    </sheetView>
  </sheetViews>
  <sheetFormatPr defaultRowHeight="15" x14ac:dyDescent="0.25"/>
  <cols>
    <col min="1" max="1" width="8" customWidth="1"/>
    <col min="2" max="2" width="6" customWidth="1"/>
    <col min="3" max="3" width="8" customWidth="1"/>
    <col min="4" max="4" width="22" customWidth="1"/>
    <col min="5" max="5" width="10" customWidth="1"/>
    <col min="6" max="6" width="9" customWidth="1"/>
    <col min="7" max="7" width="11" customWidth="1"/>
    <col min="8" max="8" width="10" customWidth="1"/>
    <col min="9" max="9" width="9" customWidth="1"/>
    <col min="10" max="10" width="12" customWidth="1"/>
    <col min="11" max="11" width="9" customWidth="1"/>
    <col min="12" max="12" width="70" customWidth="1"/>
    <col min="13" max="13" width="6" customWidth="1"/>
  </cols>
  <sheetData>
    <row r="1" spans="1:14" ht="18.75" x14ac:dyDescent="0.3">
      <c r="A1" s="1" t="s">
        <v>0</v>
      </c>
      <c r="N1" s="2" t="s">
        <v>1</v>
      </c>
    </row>
    <row r="2" spans="1:14" ht="27.95" customHeight="1" x14ac:dyDescent="0.25">
      <c r="A2" s="3" t="s">
        <v>2</v>
      </c>
      <c r="B2" s="3" t="s">
        <v>3</v>
      </c>
      <c r="C2" s="3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</row>
    <row r="3" spans="1:14" x14ac:dyDescent="0.25">
      <c r="A3">
        <v>1</v>
      </c>
      <c r="B3" t="str">
        <f>INDEX('Draft Engine'!$A$3:$A$225,$M3)</f>
        <v>WR</v>
      </c>
      <c r="C3">
        <f>INDEX('Draft Engine'!$F$3:$F$225,$M3)</f>
        <v>1</v>
      </c>
      <c r="D3" t="str">
        <f>INDEX('Draft Engine'!$B$3:$B$225,$M3)</f>
        <v>Puka Nacua</v>
      </c>
      <c r="E3" s="4">
        <f>INDEX('Draft Engine'!$E$3:$E$225,$M3)</f>
        <v>98.485900000000001</v>
      </c>
      <c r="F3" t="str">
        <f t="shared" ref="F3:F66" si="0">IF($E3&gt;=95,"ELITE",IF($E3&gt;=90,"TIER 1",IF($E3&gt;=85,"TIER 2",IF($E3&gt;=80,"TIER 3",IF($E3&gt;=75,"TIER 4",IF($E3&gt;=70,"TIER 5",IF($E3&gt;=65,"TIER 6","TIER 7")))))))</f>
        <v>ELITE</v>
      </c>
      <c r="G3" s="4">
        <f>INDEX('Draft Engine'!$N$3:$N$225,$M3)</f>
        <v>99.167245000000008</v>
      </c>
      <c r="H3" s="4">
        <f>INDEX('Draft Engine'!$R$3:$R$225,$M3)</f>
        <v>3.8</v>
      </c>
      <c r="I3" s="4">
        <f>INDEX('Draft Engine'!$S$3:$S$225,$M3)</f>
        <v>2.8</v>
      </c>
      <c r="J3" s="5"/>
      <c r="K3">
        <f>INDEX('Draft Engine'!$Z$3:$Z$225,$M3)</f>
        <v>1</v>
      </c>
      <c r="L3" t="str">
        <f>INDEX('LIVE SOURCE'!$H$3:$H$225,$M3)</f>
        <v>Elite WR1 and first-round caliber target with overall WR1 upside.</v>
      </c>
      <c r="M3" s="6">
        <f>MATCH($A3,'Draft Engine'!$Q$3:$Q$225,0)</f>
        <v>84</v>
      </c>
    </row>
    <row r="4" spans="1:14" x14ac:dyDescent="0.25">
      <c r="A4">
        <v>2</v>
      </c>
      <c r="B4" t="str">
        <f>INDEX('Draft Engine'!$A$3:$A$225,$M4)</f>
        <v>RB</v>
      </c>
      <c r="C4">
        <f>INDEX('Draft Engine'!$F$3:$F$225,$M4)</f>
        <v>1</v>
      </c>
      <c r="D4" t="str">
        <f>INDEX('Draft Engine'!$B$3:$B$225,$M4)</f>
        <v>Bijan Robinson</v>
      </c>
      <c r="E4" s="4">
        <f>INDEX('Draft Engine'!$E$3:$E$225,$M4)</f>
        <v>97.3673</v>
      </c>
      <c r="F4" t="str">
        <f t="shared" si="0"/>
        <v>ELITE</v>
      </c>
      <c r="G4" s="4">
        <f>INDEX('Draft Engine'!$N$3:$N$225,$M4)</f>
        <v>98.552015000000011</v>
      </c>
      <c r="H4" s="4">
        <f>INDEX('Draft Engine'!$R$3:$R$225,$M4)</f>
        <v>1.8</v>
      </c>
      <c r="I4" s="4">
        <f>INDEX('Draft Engine'!$S$3:$S$225,$M4)</f>
        <v>-0.19999999999999996</v>
      </c>
      <c r="J4" s="5"/>
      <c r="K4">
        <f>INDEX('Draft Engine'!$Z$3:$Z$225,$M4)</f>
        <v>2</v>
      </c>
      <c r="L4" t="str">
        <f>INDEX('LIVE SOURCE'!$H$3:$H$225,$M4)</f>
        <v>Elite RB1 and first-round roster anchor with league-winning ceiling.</v>
      </c>
      <c r="M4" s="6">
        <f>MATCH($A4,'Draft Engine'!$Q$3:$Q$225,0)</f>
        <v>33</v>
      </c>
    </row>
    <row r="5" spans="1:14" x14ac:dyDescent="0.25">
      <c r="A5">
        <v>3</v>
      </c>
      <c r="B5" t="str">
        <f>INDEX('Draft Engine'!$A$3:$A$225,$M5)</f>
        <v>WR</v>
      </c>
      <c r="C5">
        <f>INDEX('Draft Engine'!$F$3:$F$225,$M5)</f>
        <v>2</v>
      </c>
      <c r="D5" t="str">
        <f>INDEX('Draft Engine'!$B$3:$B$225,$M5)</f>
        <v>Ja'Marr Chase</v>
      </c>
      <c r="E5" s="4">
        <f>INDEX('Draft Engine'!$E$3:$E$225,$M5)</f>
        <v>96.732299999999995</v>
      </c>
      <c r="F5" t="str">
        <f t="shared" si="0"/>
        <v>ELITE</v>
      </c>
      <c r="G5" s="4">
        <f>INDEX('Draft Engine'!$N$3:$N$225,$M5)</f>
        <v>98.202764999999999</v>
      </c>
      <c r="H5" s="4">
        <f>INDEX('Draft Engine'!$R$3:$R$225,$M5)</f>
        <v>3.2</v>
      </c>
      <c r="I5" s="4">
        <f>INDEX('Draft Engine'!$S$3:$S$225,$M5)</f>
        <v>0.20000000000000018</v>
      </c>
      <c r="J5" s="5"/>
      <c r="K5">
        <f>INDEX('Draft Engine'!$Z$3:$Z$225,$M5)</f>
        <v>3</v>
      </c>
      <c r="L5" t="str">
        <f>INDEX('LIVE SOURCE'!$H$3:$H$225,$M5)</f>
        <v>Elite WR1 and first-round caliber target with overall WR1 upside.</v>
      </c>
      <c r="M5" s="6">
        <f>MATCH($A5,'Draft Engine'!$Q$3:$Q$225,0)</f>
        <v>83</v>
      </c>
    </row>
    <row r="6" spans="1:14" x14ac:dyDescent="0.25">
      <c r="A6">
        <v>4</v>
      </c>
      <c r="B6" t="str">
        <f>INDEX('Draft Engine'!$A$3:$A$225,$M6)</f>
        <v>RB</v>
      </c>
      <c r="C6">
        <f>INDEX('Draft Engine'!$F$3:$F$225,$M6)</f>
        <v>2</v>
      </c>
      <c r="D6" t="str">
        <f>INDEX('Draft Engine'!$B$3:$B$225,$M6)</f>
        <v>Jahmyr Gibbs</v>
      </c>
      <c r="E6" s="4">
        <f>INDEX('Draft Engine'!$E$3:$E$225,$M6)</f>
        <v>96.332300000000004</v>
      </c>
      <c r="F6" t="str">
        <f t="shared" si="0"/>
        <v>ELITE</v>
      </c>
      <c r="G6" s="4">
        <f>INDEX('Draft Engine'!$N$3:$N$225,$M6)</f>
        <v>97.982765000000001</v>
      </c>
      <c r="H6" s="4">
        <f>INDEX('Draft Engine'!$R$3:$R$225,$M6)</f>
        <v>1.2</v>
      </c>
      <c r="I6" s="4">
        <f>INDEX('Draft Engine'!$S$3:$S$225,$M6)</f>
        <v>-2.8</v>
      </c>
      <c r="J6" s="5"/>
      <c r="K6">
        <f>INDEX('Draft Engine'!$Z$3:$Z$225,$M6)</f>
        <v>4</v>
      </c>
      <c r="L6" t="str">
        <f>INDEX('LIVE SOURCE'!$H$3:$H$225,$M6)</f>
        <v>Elite RB1 and first-round roster anchor with league-winning ceiling.</v>
      </c>
      <c r="M6" s="6">
        <f>MATCH($A6,'Draft Engine'!$Q$3:$Q$225,0)</f>
        <v>34</v>
      </c>
    </row>
    <row r="7" spans="1:14" x14ac:dyDescent="0.25">
      <c r="A7">
        <v>5</v>
      </c>
      <c r="B7" t="str">
        <f>INDEX('Draft Engine'!$A$3:$A$225,$M7)</f>
        <v>RB</v>
      </c>
      <c r="C7">
        <f>INDEX('Draft Engine'!$F$3:$F$225,$M7)</f>
        <v>3</v>
      </c>
      <c r="D7" t="str">
        <f>INDEX('Draft Engine'!$B$3:$B$225,$M7)</f>
        <v>Christian McCaffrey</v>
      </c>
      <c r="E7" s="4">
        <f>INDEX('Draft Engine'!$E$3:$E$225,$M7)</f>
        <v>94.244699999999995</v>
      </c>
      <c r="F7" t="str">
        <f t="shared" si="0"/>
        <v>TIER 1</v>
      </c>
      <c r="G7" s="4">
        <f>INDEX('Draft Engine'!$N$3:$N$225,$M7)</f>
        <v>96.834585000000004</v>
      </c>
      <c r="H7" s="4">
        <f>INDEX('Draft Engine'!$R$3:$R$225,$M7)</f>
        <v>7</v>
      </c>
      <c r="I7" s="4">
        <f>INDEX('Draft Engine'!$S$3:$S$225,$M7)</f>
        <v>2</v>
      </c>
      <c r="J7" s="5"/>
      <c r="K7">
        <f>INDEX('Draft Engine'!$Z$3:$Z$225,$M7)</f>
        <v>5</v>
      </c>
      <c r="L7" t="str">
        <f>INDEX('LIVE SOURCE'!$H$3:$H$225,$M7)</f>
        <v>Elite RB1 and first-round roster anchor with league-winning ceiling.</v>
      </c>
      <c r="M7" s="6">
        <f>MATCH($A7,'Draft Engine'!$Q$3:$Q$225,0)</f>
        <v>35</v>
      </c>
    </row>
    <row r="8" spans="1:14" x14ac:dyDescent="0.25">
      <c r="A8">
        <v>6</v>
      </c>
      <c r="B8" t="str">
        <f>INDEX('Draft Engine'!$A$3:$A$225,$M8)</f>
        <v>WR</v>
      </c>
      <c r="C8">
        <f>INDEX('Draft Engine'!$F$3:$F$225,$M8)</f>
        <v>3</v>
      </c>
      <c r="D8" t="str">
        <f>INDEX('Draft Engine'!$B$3:$B$225,$M8)</f>
        <v>Jaxon Smith-Njigba</v>
      </c>
      <c r="E8" s="4">
        <f>INDEX('Draft Engine'!$E$3:$E$225,$M8)</f>
        <v>94.079899999999995</v>
      </c>
      <c r="F8" t="str">
        <f t="shared" si="0"/>
        <v>TIER 1</v>
      </c>
      <c r="G8" s="4">
        <f>INDEX('Draft Engine'!$N$3:$N$225,$M8)</f>
        <v>96.743944999999997</v>
      </c>
      <c r="H8" s="4">
        <f>INDEX('Draft Engine'!$R$3:$R$225,$M8)</f>
        <v>5.4</v>
      </c>
      <c r="I8" s="4">
        <f>INDEX('Draft Engine'!$S$3:$S$225,$M8)</f>
        <v>-0.59999999999999964</v>
      </c>
      <c r="J8" s="5"/>
      <c r="K8">
        <f>INDEX('Draft Engine'!$Z$3:$Z$225,$M8)</f>
        <v>6</v>
      </c>
      <c r="L8" t="str">
        <f>INDEX('LIVE SOURCE'!$H$3:$H$225,$M8)</f>
        <v>Elite WR1 and first-round caliber target with overall WR1 upside.</v>
      </c>
      <c r="M8" s="6">
        <f>MATCH($A8,'Draft Engine'!$Q$3:$Q$225,0)</f>
        <v>85</v>
      </c>
    </row>
    <row r="9" spans="1:14" x14ac:dyDescent="0.25">
      <c r="A9">
        <v>7</v>
      </c>
      <c r="B9" t="str">
        <f>INDEX('Draft Engine'!$A$3:$A$225,$M9)</f>
        <v>WR</v>
      </c>
      <c r="C9">
        <f>INDEX('Draft Engine'!$F$3:$F$225,$M9)</f>
        <v>4</v>
      </c>
      <c r="D9" t="str">
        <f>INDEX('Draft Engine'!$B$3:$B$225,$M9)</f>
        <v>Amon-Ra St. Brown</v>
      </c>
      <c r="E9" s="4">
        <f>INDEX('Draft Engine'!$E$3:$E$225,$M9)</f>
        <v>93.263900000000007</v>
      </c>
      <c r="F9" t="str">
        <f t="shared" si="0"/>
        <v>TIER 1</v>
      </c>
      <c r="G9" s="4">
        <f>INDEX('Draft Engine'!$N$3:$N$225,$M9)</f>
        <v>96.127144999999999</v>
      </c>
      <c r="H9" s="4">
        <f>INDEX('Draft Engine'!$R$3:$R$225,$M9)</f>
        <v>6</v>
      </c>
      <c r="I9" s="4">
        <f>INDEX('Draft Engine'!$S$3:$S$225,$M9)</f>
        <v>-1</v>
      </c>
      <c r="J9" s="5"/>
      <c r="K9">
        <f>INDEX('Draft Engine'!$Z$3:$Z$225,$M9)</f>
        <v>7</v>
      </c>
      <c r="L9" t="str">
        <f>INDEX('LIVE SOURCE'!$H$3:$H$225,$M9)</f>
        <v>Elite WR1 and first-round caliber target with overall WR1 upside.</v>
      </c>
      <c r="M9" s="6">
        <f>MATCH($A9,'Draft Engine'!$Q$3:$Q$225,0)</f>
        <v>86</v>
      </c>
    </row>
    <row r="10" spans="1:14" x14ac:dyDescent="0.25">
      <c r="A10">
        <v>8</v>
      </c>
      <c r="B10" t="str">
        <f>INDEX('Draft Engine'!$A$3:$A$225,$M10)</f>
        <v>RB</v>
      </c>
      <c r="C10">
        <f>INDEX('Draft Engine'!$F$3:$F$225,$M10)</f>
        <v>4</v>
      </c>
      <c r="D10" t="str">
        <f>INDEX('Draft Engine'!$B$3:$B$225,$M10)</f>
        <v>Jonathan Taylor</v>
      </c>
      <c r="E10" s="4">
        <f>INDEX('Draft Engine'!$E$3:$E$225,$M10)</f>
        <v>92.147000000000006</v>
      </c>
      <c r="F10" t="str">
        <f t="shared" si="0"/>
        <v>TIER 1</v>
      </c>
      <c r="G10" s="4">
        <f>INDEX('Draft Engine'!$N$3:$N$225,$M10)</f>
        <v>94.720850000000013</v>
      </c>
      <c r="H10" s="4">
        <f>INDEX('Draft Engine'!$R$3:$R$225,$M10)</f>
        <v>11</v>
      </c>
      <c r="I10" s="4">
        <f>INDEX('Draft Engine'!$S$3:$S$225,$M10)</f>
        <v>3</v>
      </c>
      <c r="J10" s="5"/>
      <c r="K10">
        <f>INDEX('Draft Engine'!$Z$3:$Z$225,$M10)</f>
        <v>8</v>
      </c>
      <c r="L10" t="str">
        <f>INDEX('LIVE SOURCE'!$H$3:$H$225,$M10)</f>
        <v>Elite RB1 and first-round roster anchor with league-winning ceiling.</v>
      </c>
      <c r="M10" s="6">
        <f>MATCH($A10,'Draft Engine'!$Q$3:$Q$225,0)</f>
        <v>36</v>
      </c>
    </row>
    <row r="11" spans="1:14" x14ac:dyDescent="0.25">
      <c r="A11">
        <v>9</v>
      </c>
      <c r="B11" t="str">
        <f>INDEX('Draft Engine'!$A$3:$A$225,$M11)</f>
        <v>WR</v>
      </c>
      <c r="C11">
        <f>INDEX('Draft Engine'!$F$3:$F$225,$M11)</f>
        <v>5</v>
      </c>
      <c r="D11" t="str">
        <f>INDEX('Draft Engine'!$B$3:$B$225,$M11)</f>
        <v>Nico Collins</v>
      </c>
      <c r="E11" s="4">
        <f>INDEX('Draft Engine'!$E$3:$E$225,$M11)</f>
        <v>91.492500000000007</v>
      </c>
      <c r="F11" t="str">
        <f t="shared" si="0"/>
        <v>TIER 1</v>
      </c>
      <c r="G11" s="4">
        <f>INDEX('Draft Engine'!$N$3:$N$225,$M11)</f>
        <v>93.820875000000001</v>
      </c>
      <c r="H11" s="4">
        <f>INDEX('Draft Engine'!$R$3:$R$225,$M11)</f>
        <v>12</v>
      </c>
      <c r="I11" s="4">
        <f>INDEX('Draft Engine'!$S$3:$S$225,$M11)</f>
        <v>3</v>
      </c>
      <c r="J11" s="5"/>
      <c r="K11">
        <f>INDEX('Draft Engine'!$Z$3:$Z$225,$M11)</f>
        <v>9</v>
      </c>
      <c r="L11" t="str">
        <f>INDEX('LIVE SOURCE'!$H$3:$H$225,$M11)</f>
        <v>Elite WR1 and first-round caliber target with overall WR1 upside.</v>
      </c>
      <c r="M11" s="6">
        <f>MATCH($A11,'Draft Engine'!$Q$3:$Q$225,0)</f>
        <v>92</v>
      </c>
    </row>
    <row r="12" spans="1:14" x14ac:dyDescent="0.25">
      <c r="A12">
        <v>10</v>
      </c>
      <c r="B12" t="str">
        <f>INDEX('Draft Engine'!$A$3:$A$225,$M12)</f>
        <v>TE</v>
      </c>
      <c r="C12">
        <f>INDEX('Draft Engine'!$F$3:$F$225,$M12)</f>
        <v>1</v>
      </c>
      <c r="D12" t="str">
        <f>INDEX('Draft Engine'!$B$3:$B$225,$M12)</f>
        <v>Trey McBride</v>
      </c>
      <c r="E12" s="4">
        <f>INDEX('Draft Engine'!$E$3:$E$225,$M12)</f>
        <v>97.737099999999998</v>
      </c>
      <c r="F12" t="str">
        <f t="shared" si="0"/>
        <v>ELITE</v>
      </c>
      <c r="G12" s="4">
        <f>INDEX('Draft Engine'!$N$3:$N$225,$M12)</f>
        <v>93.487404999999995</v>
      </c>
      <c r="H12" s="4">
        <f>INDEX('Draft Engine'!$R$3:$R$225,$M12)</f>
        <v>17</v>
      </c>
      <c r="I12" s="4">
        <f>INDEX('Draft Engine'!$S$3:$S$225,$M12)</f>
        <v>7</v>
      </c>
      <c r="J12" s="5"/>
      <c r="K12">
        <f>INDEX('Draft Engine'!$Z$3:$Z$225,$M12)</f>
        <v>10</v>
      </c>
      <c r="L12" t="str">
        <f>INDEX('LIVE SOURCE'!$H$3:$H$225,$M12)</f>
        <v>Elite difference-making TE; positional advantage is the expectation.</v>
      </c>
      <c r="M12" s="6">
        <f>MATCH($A12,'Draft Engine'!$Q$3:$Q$225,0)</f>
        <v>153</v>
      </c>
    </row>
    <row r="13" spans="1:14" x14ac:dyDescent="0.25">
      <c r="A13">
        <v>11</v>
      </c>
      <c r="B13" t="str">
        <f>INDEX('Draft Engine'!$A$3:$A$225,$M13)</f>
        <v>RB</v>
      </c>
      <c r="C13">
        <f>INDEX('Draft Engine'!$F$3:$F$225,$M13)</f>
        <v>5</v>
      </c>
      <c r="D13" t="str">
        <f>INDEX('Draft Engine'!$B$3:$B$225,$M13)</f>
        <v>Jeremiyah Love</v>
      </c>
      <c r="E13" s="4">
        <f>INDEX('Draft Engine'!$E$3:$E$225,$M13)</f>
        <v>90.865899999999996</v>
      </c>
      <c r="F13" t="str">
        <f t="shared" si="0"/>
        <v>TIER 1</v>
      </c>
      <c r="G13" s="4">
        <f>INDEX('Draft Engine'!$N$3:$N$225,$M13)</f>
        <v>93.044245000000004</v>
      </c>
      <c r="H13" s="4">
        <f>INDEX('Draft Engine'!$R$3:$R$225,$M13)</f>
        <v>18.8</v>
      </c>
      <c r="I13" s="4">
        <f>INDEX('Draft Engine'!$S$3:$S$225,$M13)</f>
        <v>7.8000000000000007</v>
      </c>
      <c r="J13" s="5"/>
      <c r="K13">
        <f>INDEX('Draft Engine'!$Z$3:$Z$225,$M13)</f>
        <v>11</v>
      </c>
      <c r="L13" t="str">
        <f>INDEX('LIVE SOURCE'!$H$3:$H$225,$M13)</f>
        <v>Elite RB1 and first-round roster anchor with league-winning ceiling.</v>
      </c>
      <c r="M13" s="6">
        <f>MATCH($A13,'Draft Engine'!$Q$3:$Q$225,0)</f>
        <v>37</v>
      </c>
    </row>
    <row r="14" spans="1:14" x14ac:dyDescent="0.25">
      <c r="A14">
        <v>12</v>
      </c>
      <c r="B14" t="str">
        <f>INDEX('Draft Engine'!$A$3:$A$225,$M14)</f>
        <v>QB</v>
      </c>
      <c r="C14">
        <f>INDEX('Draft Engine'!$F$3:$F$225,$M14)</f>
        <v>1</v>
      </c>
      <c r="D14" t="str">
        <f>INDEX('Draft Engine'!$B$3:$B$225,$M14)</f>
        <v>Josh Allen</v>
      </c>
      <c r="E14" s="4">
        <f>INDEX('Draft Engine'!$E$3:$E$225,$M14)</f>
        <v>97.309899999999999</v>
      </c>
      <c r="F14" t="str">
        <f t="shared" si="0"/>
        <v>ELITE</v>
      </c>
      <c r="G14" s="4">
        <f>INDEX('Draft Engine'!$N$3:$N$225,$M14)</f>
        <v>90.744444999999999</v>
      </c>
      <c r="H14" s="4">
        <f>INDEX('Draft Engine'!$R$3:$R$225,$M14)</f>
        <v>23</v>
      </c>
      <c r="I14" s="4">
        <f>INDEX('Draft Engine'!$S$3:$S$225,$M14)</f>
        <v>11</v>
      </c>
      <c r="J14" s="5"/>
      <c r="K14">
        <f>INDEX('Draft Engine'!$Z$3:$Z$225,$M14)</f>
        <v>12</v>
      </c>
      <c r="L14" t="str">
        <f>INDEX('LIVE SOURCE'!$H$3:$H$225,$M14)</f>
        <v>Elite QB1; weekly top-5 expectation with overall QB1 upside.</v>
      </c>
      <c r="M14" s="6">
        <f>MATCH($A14,'Draft Engine'!$Q$3:$Q$225,0)</f>
        <v>1</v>
      </c>
    </row>
    <row r="15" spans="1:14" x14ac:dyDescent="0.25">
      <c r="A15">
        <v>13</v>
      </c>
      <c r="B15" t="str">
        <f>INDEX('Draft Engine'!$A$3:$A$225,$M15)</f>
        <v>WR</v>
      </c>
      <c r="C15">
        <f>INDEX('Draft Engine'!$F$3:$F$225,$M15)</f>
        <v>6</v>
      </c>
      <c r="D15" t="str">
        <f>INDEX('Draft Engine'!$B$3:$B$225,$M15)</f>
        <v>Chris Olave</v>
      </c>
      <c r="E15" s="4">
        <f>INDEX('Draft Engine'!$E$3:$E$225,$M15)</f>
        <v>88.907499999999999</v>
      </c>
      <c r="F15" t="str">
        <f t="shared" si="0"/>
        <v>TIER 2</v>
      </c>
      <c r="G15" s="4">
        <f>INDEX('Draft Engine'!$N$3:$N$225,$M15)</f>
        <v>90.270458333333337</v>
      </c>
      <c r="H15" s="4">
        <f>INDEX('Draft Engine'!$R$3:$R$225,$M15)</f>
        <v>19</v>
      </c>
      <c r="I15" s="4">
        <f>INDEX('Draft Engine'!$S$3:$S$225,$M15)</f>
        <v>6</v>
      </c>
      <c r="J15" s="5"/>
      <c r="K15">
        <f>INDEX('Draft Engine'!$Z$3:$Z$225,$M15)</f>
        <v>13</v>
      </c>
      <c r="L15" t="str">
        <f>INDEX('LIVE SOURCE'!$H$3:$H$225,$M15)</f>
        <v>Strong WR1; bankable weekly starter with spike-week ceiling.</v>
      </c>
      <c r="M15" s="6">
        <f>MATCH($A15,'Draft Engine'!$Q$3:$Q$225,0)</f>
        <v>94</v>
      </c>
    </row>
    <row r="16" spans="1:14" x14ac:dyDescent="0.25">
      <c r="A16">
        <v>14</v>
      </c>
      <c r="B16" t="str">
        <f>INDEX('Draft Engine'!$A$3:$A$225,$M16)</f>
        <v>RB</v>
      </c>
      <c r="C16">
        <f>INDEX('Draft Engine'!$F$3:$F$225,$M16)</f>
        <v>6</v>
      </c>
      <c r="D16" t="str">
        <f>INDEX('Draft Engine'!$B$3:$B$225,$M16)</f>
        <v>Omarion Hampton</v>
      </c>
      <c r="E16" s="4">
        <f>INDEX('Draft Engine'!$E$3:$E$225,$M16)</f>
        <v>88.642099999999999</v>
      </c>
      <c r="F16" t="str">
        <f t="shared" si="0"/>
        <v>TIER 2</v>
      </c>
      <c r="G16" s="4">
        <f>INDEX('Draft Engine'!$N$3:$N$225,$M16)</f>
        <v>90.147154999999998</v>
      </c>
      <c r="H16" s="4">
        <f>INDEX('Draft Engine'!$R$3:$R$225,$M16)</f>
        <v>23</v>
      </c>
      <c r="I16" s="4">
        <f>INDEX('Draft Engine'!$S$3:$S$225,$M16)</f>
        <v>9</v>
      </c>
      <c r="J16" s="5"/>
      <c r="K16">
        <f>INDEX('Draft Engine'!$Z$3:$Z$225,$M16)</f>
        <v>14</v>
      </c>
      <c r="L16" t="str">
        <f>INDEX('LIVE SOURCE'!$H$3:$H$225,$M16)</f>
        <v>Strong RB1; weekly top-12 expectation with multi-touchdown ceiling.</v>
      </c>
      <c r="M16" s="6">
        <f>MATCH($A16,'Draft Engine'!$Q$3:$Q$225,0)</f>
        <v>38</v>
      </c>
    </row>
    <row r="17" spans="1:13" x14ac:dyDescent="0.25">
      <c r="A17">
        <v>15</v>
      </c>
      <c r="B17" t="str">
        <f>INDEX('Draft Engine'!$A$3:$A$225,$M17)</f>
        <v>TE</v>
      </c>
      <c r="C17">
        <f>INDEX('Draft Engine'!$F$3:$F$225,$M17)</f>
        <v>2</v>
      </c>
      <c r="D17" t="str">
        <f>INDEX('Draft Engine'!$B$3:$B$225,$M17)</f>
        <v>Brock Bowers</v>
      </c>
      <c r="E17" s="4">
        <f>INDEX('Draft Engine'!$E$3:$E$225,$M17)</f>
        <v>94.884600000000006</v>
      </c>
      <c r="F17" t="str">
        <f t="shared" si="0"/>
        <v>TIER 1</v>
      </c>
      <c r="G17" s="4">
        <f>INDEX('Draft Engine'!$N$3:$N$225,$M17)</f>
        <v>89.426222307692314</v>
      </c>
      <c r="H17" s="4">
        <f>INDEX('Draft Engine'!$R$3:$R$225,$M17)</f>
        <v>20</v>
      </c>
      <c r="I17" s="4">
        <f>INDEX('Draft Engine'!$S$3:$S$225,$M17)</f>
        <v>5</v>
      </c>
      <c r="J17" s="5"/>
      <c r="K17">
        <f>INDEX('Draft Engine'!$Z$3:$Z$225,$M17)</f>
        <v>15</v>
      </c>
      <c r="L17" t="str">
        <f>INDEX('LIVE SOURCE'!$H$3:$H$225,$M17)</f>
        <v>Elite difference-making TE; positional advantage is the expectation.</v>
      </c>
      <c r="M17" s="6">
        <f>MATCH($A17,'Draft Engine'!$Q$3:$Q$225,0)</f>
        <v>154</v>
      </c>
    </row>
    <row r="18" spans="1:13" x14ac:dyDescent="0.25">
      <c r="A18">
        <v>16</v>
      </c>
      <c r="B18" t="str">
        <f>INDEX('Draft Engine'!$A$3:$A$225,$M18)</f>
        <v>RB</v>
      </c>
      <c r="C18">
        <f>INDEX('Draft Engine'!$F$3:$F$225,$M18)</f>
        <v>7</v>
      </c>
      <c r="D18" t="str">
        <f>INDEX('Draft Engine'!$B$3:$B$225,$M18)</f>
        <v>De'Von Achane</v>
      </c>
      <c r="E18" s="4">
        <f>INDEX('Draft Engine'!$E$3:$E$225,$M18)</f>
        <v>87.944000000000003</v>
      </c>
      <c r="F18" t="str">
        <f t="shared" si="0"/>
        <v>TIER 2</v>
      </c>
      <c r="G18" s="4">
        <f>INDEX('Draft Engine'!$N$3:$N$225,$M18)</f>
        <v>89.241200000000006</v>
      </c>
      <c r="H18" s="4">
        <f>INDEX('Draft Engine'!$R$3:$R$225,$M18)</f>
        <v>18</v>
      </c>
      <c r="I18" s="4">
        <f>INDEX('Draft Engine'!$S$3:$S$225,$M18)</f>
        <v>2</v>
      </c>
      <c r="J18" s="5"/>
      <c r="K18">
        <f>INDEX('Draft Engine'!$Z$3:$Z$225,$M18)</f>
        <v>16</v>
      </c>
      <c r="L18" t="str">
        <f>INDEX('LIVE SOURCE'!$H$3:$H$225,$M18)</f>
        <v>Strong RB1; weekly top-12 expectation with multi-touchdown ceiling.</v>
      </c>
      <c r="M18" s="6">
        <f>MATCH($A18,'Draft Engine'!$Q$3:$Q$225,0)</f>
        <v>39</v>
      </c>
    </row>
    <row r="19" spans="1:13" x14ac:dyDescent="0.25">
      <c r="A19">
        <v>17</v>
      </c>
      <c r="B19" t="str">
        <f>INDEX('Draft Engine'!$A$3:$A$225,$M19)</f>
        <v>RB</v>
      </c>
      <c r="C19">
        <f>INDEX('Draft Engine'!$F$3:$F$225,$M19)</f>
        <v>8</v>
      </c>
      <c r="D19" t="str">
        <f>INDEX('Draft Engine'!$B$3:$B$225,$M19)</f>
        <v>Kenneth Walker III</v>
      </c>
      <c r="E19" s="4">
        <f>INDEX('Draft Engine'!$E$3:$E$225,$M19)</f>
        <v>87.292599999999993</v>
      </c>
      <c r="F19" t="str">
        <f t="shared" si="0"/>
        <v>TIER 2</v>
      </c>
      <c r="G19" s="4">
        <f>INDEX('Draft Engine'!$N$3:$N$225,$M19)</f>
        <v>88.113304999999997</v>
      </c>
      <c r="H19" s="4">
        <f>INDEX('Draft Engine'!$R$3:$R$225,$M19)</f>
        <v>31.4</v>
      </c>
      <c r="I19" s="4">
        <f>INDEX('Draft Engine'!$S$3:$S$225,$M19)</f>
        <v>14.399999999999999</v>
      </c>
      <c r="J19" s="5"/>
      <c r="K19">
        <f>INDEX('Draft Engine'!$Z$3:$Z$225,$M19)</f>
        <v>17</v>
      </c>
      <c r="L19" t="str">
        <f>INDEX('LIVE SOURCE'!$H$3:$H$225,$M19)</f>
        <v>Strong RB1; weekly top-12 expectation with multi-touchdown ceiling.</v>
      </c>
      <c r="M19" s="6">
        <f>MATCH($A19,'Draft Engine'!$Q$3:$Q$225,0)</f>
        <v>40</v>
      </c>
    </row>
    <row r="20" spans="1:13" x14ac:dyDescent="0.25">
      <c r="A20">
        <v>18</v>
      </c>
      <c r="B20" t="str">
        <f>INDEX('Draft Engine'!$A$3:$A$225,$M20)</f>
        <v>WR</v>
      </c>
      <c r="C20">
        <f>INDEX('Draft Engine'!$F$3:$F$225,$M20)</f>
        <v>7</v>
      </c>
      <c r="D20" t="str">
        <f>INDEX('Draft Engine'!$B$3:$B$225,$M20)</f>
        <v>Drake London</v>
      </c>
      <c r="E20" s="4">
        <f>INDEX('Draft Engine'!$E$3:$E$225,$M20)</f>
        <v>87.510599999999997</v>
      </c>
      <c r="F20" t="str">
        <f t="shared" si="0"/>
        <v>TIER 2</v>
      </c>
      <c r="G20" s="4">
        <f>INDEX('Draft Engine'!$N$3:$N$225,$M20)</f>
        <v>88.106830000000002</v>
      </c>
      <c r="H20" s="4">
        <f>INDEX('Draft Engine'!$R$3:$R$225,$M20)</f>
        <v>10</v>
      </c>
      <c r="I20" s="4">
        <f>INDEX('Draft Engine'!$S$3:$S$225,$M20)</f>
        <v>-8</v>
      </c>
      <c r="J20" s="5"/>
      <c r="K20">
        <f>INDEX('Draft Engine'!$Z$3:$Z$225,$M20)</f>
        <v>18</v>
      </c>
      <c r="L20" t="str">
        <f>INDEX('LIVE SOURCE'!$H$3:$H$225,$M20)</f>
        <v>Strong WR1; bankable weekly starter with spike-week ceiling.</v>
      </c>
      <c r="M20" s="6">
        <f>MATCH($A20,'Draft Engine'!$Q$3:$Q$225,0)</f>
        <v>91</v>
      </c>
    </row>
    <row r="21" spans="1:13" x14ac:dyDescent="0.25">
      <c r="A21">
        <v>19</v>
      </c>
      <c r="B21" t="str">
        <f>INDEX('Draft Engine'!$A$3:$A$225,$M21)</f>
        <v>WR</v>
      </c>
      <c r="C21">
        <f>INDEX('Draft Engine'!$F$3:$F$225,$M21)</f>
        <v>8</v>
      </c>
      <c r="D21" t="str">
        <f>INDEX('Draft Engine'!$B$3:$B$225,$M21)</f>
        <v>DeVonta Smith</v>
      </c>
      <c r="E21" s="4">
        <f>INDEX('Draft Engine'!$E$3:$E$225,$M21)</f>
        <v>87.487499999999997</v>
      </c>
      <c r="F21" t="str">
        <f t="shared" si="0"/>
        <v>TIER 2</v>
      </c>
      <c r="G21" s="4">
        <f>INDEX('Draft Engine'!$N$3:$N$225,$M21)</f>
        <v>87.742791666666662</v>
      </c>
      <c r="H21" s="4">
        <f>INDEX('Draft Engine'!$R$3:$R$225,$M21)</f>
        <v>24</v>
      </c>
      <c r="I21" s="4">
        <f>INDEX('Draft Engine'!$S$3:$S$225,$M21)</f>
        <v>5</v>
      </c>
      <c r="J21" s="5"/>
      <c r="K21">
        <f>INDEX('Draft Engine'!$Z$3:$Z$225,$M21)</f>
        <v>19</v>
      </c>
      <c r="L21" t="str">
        <f>INDEX('LIVE SOURCE'!$H$3:$H$225,$M21)</f>
        <v>Strong WR1; bankable weekly starter with spike-week ceiling.</v>
      </c>
      <c r="M21" s="6">
        <f>MATCH($A21,'Draft Engine'!$Q$3:$Q$225,0)</f>
        <v>98</v>
      </c>
    </row>
    <row r="22" spans="1:13" x14ac:dyDescent="0.25">
      <c r="A22">
        <v>20</v>
      </c>
      <c r="B22" t="str">
        <f>INDEX('Draft Engine'!$A$3:$A$225,$M22)</f>
        <v>RB</v>
      </c>
      <c r="C22">
        <f>INDEX('Draft Engine'!$F$3:$F$225,$M22)</f>
        <v>9</v>
      </c>
      <c r="D22" t="str">
        <f>INDEX('Draft Engine'!$B$3:$B$225,$M22)</f>
        <v>James Cook III</v>
      </c>
      <c r="E22" s="4">
        <f>INDEX('Draft Engine'!$E$3:$E$225,$M22)</f>
        <v>87.058000000000007</v>
      </c>
      <c r="F22" t="str">
        <f t="shared" si="0"/>
        <v>TIER 2</v>
      </c>
      <c r="G22" s="4">
        <f>INDEX('Draft Engine'!$N$3:$N$225,$M22)</f>
        <v>87.444900000000018</v>
      </c>
      <c r="H22" s="4">
        <f>INDEX('Draft Engine'!$R$3:$R$225,$M22)</f>
        <v>15</v>
      </c>
      <c r="I22" s="4">
        <f>INDEX('Draft Engine'!$S$3:$S$225,$M22)</f>
        <v>-5</v>
      </c>
      <c r="J22" s="5"/>
      <c r="K22">
        <f>INDEX('Draft Engine'!$Z$3:$Z$225,$M22)</f>
        <v>20</v>
      </c>
      <c r="L22" t="str">
        <f>INDEX('LIVE SOURCE'!$H$3:$H$225,$M22)</f>
        <v>Strong RB1; weekly top-12 expectation with multi-touchdown ceiling.</v>
      </c>
      <c r="M22" s="6">
        <f>MATCH($A22,'Draft Engine'!$Q$3:$Q$225,0)</f>
        <v>41</v>
      </c>
    </row>
    <row r="23" spans="1:13" x14ac:dyDescent="0.25">
      <c r="A23">
        <v>21</v>
      </c>
      <c r="B23" t="str">
        <f>INDEX('Draft Engine'!$A$3:$A$225,$M23)</f>
        <v>WR</v>
      </c>
      <c r="C23">
        <f>INDEX('Draft Engine'!$F$3:$F$225,$M23)</f>
        <v>9</v>
      </c>
      <c r="D23" t="str">
        <f>INDEX('Draft Engine'!$B$3:$B$225,$M23)</f>
        <v>Zay Flowers</v>
      </c>
      <c r="E23" s="4">
        <f>INDEX('Draft Engine'!$E$3:$E$225,$M23)</f>
        <v>86.57</v>
      </c>
      <c r="F23" t="str">
        <f t="shared" si="0"/>
        <v>TIER 2</v>
      </c>
      <c r="G23" s="4">
        <f>INDEX('Draft Engine'!$N$3:$N$225,$M23)</f>
        <v>86.220833333333331</v>
      </c>
      <c r="H23" s="4">
        <f>INDEX('Draft Engine'!$R$3:$R$225,$M23)</f>
        <v>65.400000000000006</v>
      </c>
      <c r="I23" s="4">
        <f>INDEX('Draft Engine'!$S$3:$S$225,$M23)</f>
        <v>44.400000000000006</v>
      </c>
      <c r="J23" s="5"/>
      <c r="K23">
        <f>INDEX('Draft Engine'!$Z$3:$Z$225,$M23)</f>
        <v>21</v>
      </c>
      <c r="L23" t="str">
        <f>INDEX('LIVE SOURCE'!$H$3:$H$225,$M23)</f>
        <v>Strong WR1; bankable weekly starter with spike-week ceiling.</v>
      </c>
      <c r="M23" s="6">
        <f>MATCH($A23,'Draft Engine'!$Q$3:$Q$225,0)</f>
        <v>99</v>
      </c>
    </row>
    <row r="24" spans="1:13" x14ac:dyDescent="0.25">
      <c r="A24">
        <v>22</v>
      </c>
      <c r="B24" t="str">
        <f>INDEX('Draft Engine'!$A$3:$A$225,$M24)</f>
        <v>RB</v>
      </c>
      <c r="C24">
        <f>INDEX('Draft Engine'!$F$3:$F$225,$M24)</f>
        <v>10</v>
      </c>
      <c r="D24" t="str">
        <f>INDEX('Draft Engine'!$B$3:$B$225,$M24)</f>
        <v>Kyren Williams</v>
      </c>
      <c r="E24" s="4">
        <f>INDEX('Draft Engine'!$E$3:$E$225,$M24)</f>
        <v>85.948599999999999</v>
      </c>
      <c r="F24" t="str">
        <f t="shared" si="0"/>
        <v>TIER 2</v>
      </c>
      <c r="G24" s="4">
        <f>INDEX('Draft Engine'!$N$3:$N$225,$M24)</f>
        <v>85.647355000000005</v>
      </c>
      <c r="H24" s="4">
        <f>INDEX('Draft Engine'!$R$3:$R$225,$M24)</f>
        <v>39.799999999999997</v>
      </c>
      <c r="I24" s="4">
        <f>INDEX('Draft Engine'!$S$3:$S$225,$M24)</f>
        <v>17.799999999999997</v>
      </c>
      <c r="J24" s="5"/>
      <c r="K24">
        <f>INDEX('Draft Engine'!$Z$3:$Z$225,$M24)</f>
        <v>22</v>
      </c>
      <c r="L24" t="str">
        <f>INDEX('LIVE SOURCE'!$H$3:$H$225,$M24)</f>
        <v>Strong RB1; weekly top-12 expectation with multi-touchdown ceiling.</v>
      </c>
      <c r="M24" s="6">
        <f>MATCH($A24,'Draft Engine'!$Q$3:$Q$225,0)</f>
        <v>42</v>
      </c>
    </row>
    <row r="25" spans="1:13" x14ac:dyDescent="0.25">
      <c r="A25">
        <v>23</v>
      </c>
      <c r="B25" t="str">
        <f>INDEX('Draft Engine'!$A$3:$A$225,$M25)</f>
        <v>WR</v>
      </c>
      <c r="C25">
        <f>INDEX('Draft Engine'!$F$3:$F$225,$M25)</f>
        <v>10</v>
      </c>
      <c r="D25" t="str">
        <f>INDEX('Draft Engine'!$B$3:$B$225,$M25)</f>
        <v>Garrett Wilson</v>
      </c>
      <c r="E25" s="4">
        <f>INDEX('Draft Engine'!$E$3:$E$225,$M25)</f>
        <v>86.155000000000001</v>
      </c>
      <c r="F25" t="str">
        <f t="shared" si="0"/>
        <v>TIER 2</v>
      </c>
      <c r="G25" s="4">
        <f>INDEX('Draft Engine'!$N$3:$N$225,$M25)</f>
        <v>85.353250000000003</v>
      </c>
      <c r="H25" s="4">
        <f>INDEX('Draft Engine'!$R$3:$R$225,$M25)</f>
        <v>57.6</v>
      </c>
      <c r="I25" s="4">
        <f>INDEX('Draft Engine'!$S$3:$S$225,$M25)</f>
        <v>34.6</v>
      </c>
      <c r="J25" s="5"/>
      <c r="K25">
        <f>INDEX('Draft Engine'!$Z$3:$Z$225,$M25)</f>
        <v>23</v>
      </c>
      <c r="L25" t="str">
        <f>INDEX('LIVE SOURCE'!$H$3:$H$225,$M25)</f>
        <v>Strong WR1; bankable weekly starter with spike-week ceiling.</v>
      </c>
      <c r="M25" s="6">
        <f>MATCH($A25,'Draft Engine'!$Q$3:$Q$225,0)</f>
        <v>97</v>
      </c>
    </row>
    <row r="26" spans="1:13" x14ac:dyDescent="0.25">
      <c r="A26">
        <v>24</v>
      </c>
      <c r="B26" t="str">
        <f>INDEX('Draft Engine'!$A$3:$A$225,$M26)</f>
        <v>RB</v>
      </c>
      <c r="C26">
        <f>INDEX('Draft Engine'!$F$3:$F$225,$M26)</f>
        <v>11</v>
      </c>
      <c r="D26" t="str">
        <f>INDEX('Draft Engine'!$B$3:$B$225,$M26)</f>
        <v>Breece Hall</v>
      </c>
      <c r="E26" s="4">
        <f>INDEX('Draft Engine'!$E$3:$E$225,$M26)</f>
        <v>85.895200000000003</v>
      </c>
      <c r="F26" t="str">
        <f t="shared" si="0"/>
        <v>TIER 2</v>
      </c>
      <c r="G26" s="4">
        <f>INDEX('Draft Engine'!$N$3:$N$225,$M26)</f>
        <v>85.222610000000003</v>
      </c>
      <c r="H26" s="4">
        <f>INDEX('Draft Engine'!$R$3:$R$225,$M26)</f>
        <v>44</v>
      </c>
      <c r="I26" s="4">
        <f>INDEX('Draft Engine'!$S$3:$S$225,$M26)</f>
        <v>20</v>
      </c>
      <c r="J26" s="5"/>
      <c r="K26">
        <f>INDEX('Draft Engine'!$Z$3:$Z$225,$M26)</f>
        <v>24</v>
      </c>
      <c r="L26" t="str">
        <f>INDEX('LIVE SOURCE'!$H$3:$H$225,$M26)</f>
        <v>Strong RB1; weekly top-12 expectation with multi-touchdown ceiling.</v>
      </c>
      <c r="M26" s="6">
        <f>MATCH($A26,'Draft Engine'!$Q$3:$Q$225,0)</f>
        <v>43</v>
      </c>
    </row>
    <row r="27" spans="1:13" x14ac:dyDescent="0.25">
      <c r="A27">
        <v>25</v>
      </c>
      <c r="B27" t="str">
        <f>INDEX('Draft Engine'!$A$3:$A$225,$M27)</f>
        <v>RB</v>
      </c>
      <c r="C27">
        <f>INDEX('Draft Engine'!$F$3:$F$225,$M27)</f>
        <v>12</v>
      </c>
      <c r="D27" t="str">
        <f>INDEX('Draft Engine'!$B$3:$B$225,$M27)</f>
        <v>Ashton Jeanty</v>
      </c>
      <c r="E27" s="4">
        <f>INDEX('Draft Engine'!$E$3:$E$225,$M27)</f>
        <v>85.843299999999999</v>
      </c>
      <c r="F27" t="str">
        <f t="shared" si="0"/>
        <v>TIER 2</v>
      </c>
      <c r="G27" s="4">
        <f>INDEX('Draft Engine'!$N$3:$N$225,$M27)</f>
        <v>84.780690000000007</v>
      </c>
      <c r="H27" s="4">
        <f>INDEX('Draft Engine'!$R$3:$R$225,$M27)</f>
        <v>13</v>
      </c>
      <c r="I27" s="4">
        <f>INDEX('Draft Engine'!$S$3:$S$225,$M27)</f>
        <v>-12</v>
      </c>
      <c r="J27" s="5"/>
      <c r="K27">
        <f>INDEX('Draft Engine'!$Z$3:$Z$225,$M27)</f>
        <v>25</v>
      </c>
      <c r="L27" t="str">
        <f>INDEX('LIVE SOURCE'!$H$3:$H$225,$M27)</f>
        <v>Strong RB1; weekly top-12 expectation with multi-touchdown ceiling.</v>
      </c>
      <c r="M27" s="6">
        <f>MATCH($A27,'Draft Engine'!$Q$3:$Q$225,0)</f>
        <v>44</v>
      </c>
    </row>
    <row r="28" spans="1:13" x14ac:dyDescent="0.25">
      <c r="A28">
        <v>26</v>
      </c>
      <c r="B28" t="str">
        <f>INDEX('Draft Engine'!$A$3:$A$225,$M28)</f>
        <v>WR</v>
      </c>
      <c r="C28">
        <f>INDEX('Draft Engine'!$F$3:$F$225,$M28)</f>
        <v>11</v>
      </c>
      <c r="D28" t="str">
        <f>INDEX('Draft Engine'!$B$3:$B$225,$M28)</f>
        <v>CeeDee Lamb</v>
      </c>
      <c r="E28" s="4">
        <f>INDEX('Draft Engine'!$E$3:$E$225,$M28)</f>
        <v>85.742599999999996</v>
      </c>
      <c r="F28" t="str">
        <f t="shared" si="0"/>
        <v>TIER 2</v>
      </c>
      <c r="G28" s="4">
        <f>INDEX('Draft Engine'!$N$3:$N$225,$M28)</f>
        <v>84.469096666666672</v>
      </c>
      <c r="H28" s="4">
        <f>INDEX('Draft Engine'!$R$3:$R$225,$M28)</f>
        <v>8</v>
      </c>
      <c r="I28" s="4">
        <f>INDEX('Draft Engine'!$S$3:$S$225,$M28)</f>
        <v>-18</v>
      </c>
      <c r="J28" s="5"/>
      <c r="K28">
        <f>INDEX('Draft Engine'!$Z$3:$Z$225,$M28)</f>
        <v>26</v>
      </c>
      <c r="L28" t="str">
        <f>INDEX('LIVE SOURCE'!$H$3:$H$225,$M28)</f>
        <v>Strong WR1; bankable weekly starter with spike-week ceiling.</v>
      </c>
      <c r="M28" s="6">
        <f>MATCH($A28,'Draft Engine'!$Q$3:$Q$225,0)</f>
        <v>88</v>
      </c>
    </row>
    <row r="29" spans="1:13" x14ac:dyDescent="0.25">
      <c r="A29">
        <v>27</v>
      </c>
      <c r="B29" t="str">
        <f>INDEX('Draft Engine'!$A$3:$A$225,$M29)</f>
        <v>RB</v>
      </c>
      <c r="C29">
        <f>INDEX('Draft Engine'!$F$3:$F$225,$M29)</f>
        <v>13</v>
      </c>
      <c r="D29" t="str">
        <f>INDEX('Draft Engine'!$B$3:$B$225,$M29)</f>
        <v>Derrick Henry</v>
      </c>
      <c r="E29" s="4">
        <f>INDEX('Draft Engine'!$E$3:$E$225,$M29)</f>
        <v>85.667400000000001</v>
      </c>
      <c r="F29" t="str">
        <f t="shared" si="0"/>
        <v>TIER 2</v>
      </c>
      <c r="G29" s="4">
        <f>INDEX('Draft Engine'!$N$3:$N$225,$M29)</f>
        <v>84.198570000000004</v>
      </c>
      <c r="H29" s="4">
        <f>INDEX('Draft Engine'!$R$3:$R$225,$M29)</f>
        <v>52.400000000000013</v>
      </c>
      <c r="I29" s="4">
        <f>INDEX('Draft Engine'!$S$3:$S$225,$M29)</f>
        <v>25.400000000000013</v>
      </c>
      <c r="J29" s="5"/>
      <c r="K29">
        <f>INDEX('Draft Engine'!$Z$3:$Z$225,$M29)</f>
        <v>27</v>
      </c>
      <c r="L29" t="str">
        <f>INDEX('LIVE SOURCE'!$H$3:$H$225,$M29)</f>
        <v>RB2 with RB1 weeks; should be a regular starter.</v>
      </c>
      <c r="M29" s="6">
        <f>MATCH($A29,'Draft Engine'!$Q$3:$Q$225,0)</f>
        <v>45</v>
      </c>
    </row>
    <row r="30" spans="1:13" x14ac:dyDescent="0.25">
      <c r="A30">
        <v>28</v>
      </c>
      <c r="B30" t="str">
        <f>INDEX('Draft Engine'!$A$3:$A$225,$M30)</f>
        <v>WR</v>
      </c>
      <c r="C30">
        <f>INDEX('Draft Engine'!$F$3:$F$225,$M30)</f>
        <v>12</v>
      </c>
      <c r="D30" t="str">
        <f>INDEX('Draft Engine'!$B$3:$B$225,$M30)</f>
        <v>Tetairoa McMillan</v>
      </c>
      <c r="E30" s="4">
        <f>INDEX('Draft Engine'!$E$3:$E$225,$M30)</f>
        <v>85.74</v>
      </c>
      <c r="F30" t="str">
        <f t="shared" si="0"/>
        <v>TIER 2</v>
      </c>
      <c r="G30" s="4">
        <f>INDEX('Draft Engine'!$N$3:$N$225,$M30)</f>
        <v>84.134333333333331</v>
      </c>
      <c r="H30" s="4">
        <f>INDEX('Draft Engine'!$R$3:$R$225,$M30)</f>
        <v>49.8</v>
      </c>
      <c r="I30" s="4">
        <f>INDEX('Draft Engine'!$S$3:$S$225,$M30)</f>
        <v>21.799999999999997</v>
      </c>
      <c r="J30" s="5"/>
      <c r="K30">
        <f>INDEX('Draft Engine'!$Z$3:$Z$225,$M30)</f>
        <v>28</v>
      </c>
      <c r="L30" t="str">
        <f>INDEX('LIVE SOURCE'!$H$3:$H$225,$M30)</f>
        <v>Strong WR1; bankable weekly starter with spike-week ceiling.</v>
      </c>
      <c r="M30" s="6">
        <f>MATCH($A30,'Draft Engine'!$Q$3:$Q$225,0)</f>
        <v>95</v>
      </c>
    </row>
    <row r="31" spans="1:13" x14ac:dyDescent="0.25">
      <c r="A31">
        <v>29</v>
      </c>
      <c r="B31" t="str">
        <f>INDEX('Draft Engine'!$A$3:$A$225,$M31)</f>
        <v>RB</v>
      </c>
      <c r="C31">
        <f>INDEX('Draft Engine'!$F$3:$F$225,$M31)</f>
        <v>14</v>
      </c>
      <c r="D31" t="str">
        <f>INDEX('Draft Engine'!$B$3:$B$225,$M31)</f>
        <v>Chase Brown</v>
      </c>
      <c r="E31" s="4">
        <f>INDEX('Draft Engine'!$E$3:$E$225,$M31)</f>
        <v>85.664400000000001</v>
      </c>
      <c r="F31" t="str">
        <f t="shared" si="0"/>
        <v>TIER 2</v>
      </c>
      <c r="G31" s="4">
        <f>INDEX('Draft Engine'!$N$3:$N$225,$M31)</f>
        <v>83.837545000000006</v>
      </c>
      <c r="H31" s="4">
        <f>INDEX('Draft Engine'!$R$3:$R$225,$M31)</f>
        <v>21</v>
      </c>
      <c r="I31" s="4">
        <f>INDEX('Draft Engine'!$S$3:$S$225,$M31)</f>
        <v>-8</v>
      </c>
      <c r="J31" s="5"/>
      <c r="K31">
        <f>INDEX('Draft Engine'!$Z$3:$Z$225,$M31)</f>
        <v>29</v>
      </c>
      <c r="L31" t="str">
        <f>INDEX('LIVE SOURCE'!$H$3:$H$225,$M31)</f>
        <v>RB2 with RB1 weeks; should be a regular starter.</v>
      </c>
      <c r="M31" s="6">
        <f>MATCH($A31,'Draft Engine'!$Q$3:$Q$225,0)</f>
        <v>46</v>
      </c>
    </row>
    <row r="32" spans="1:13" x14ac:dyDescent="0.25">
      <c r="A32">
        <v>30</v>
      </c>
      <c r="B32" t="str">
        <f>INDEX('Draft Engine'!$A$3:$A$225,$M32)</f>
        <v>QB</v>
      </c>
      <c r="C32">
        <f>INDEX('Draft Engine'!$F$3:$F$225,$M32)</f>
        <v>2</v>
      </c>
      <c r="D32" t="str">
        <f>INDEX('Draft Engine'!$B$3:$B$225,$M32)</f>
        <v>Caleb Williams</v>
      </c>
      <c r="E32" s="4">
        <f>INDEX('Draft Engine'!$E$3:$E$225,$M32)</f>
        <v>92.192700000000002</v>
      </c>
      <c r="F32" t="str">
        <f t="shared" si="0"/>
        <v>TIER 1</v>
      </c>
      <c r="G32" s="4">
        <f>INDEX('Draft Engine'!$N$3:$N$225,$M32)</f>
        <v>83.020754230769228</v>
      </c>
      <c r="H32" s="4">
        <f>INDEX('Draft Engine'!$R$3:$R$225,$M32)</f>
        <v>30</v>
      </c>
      <c r="I32" s="4">
        <f>INDEX('Draft Engine'!$S$3:$S$225,$M32)</f>
        <v>0</v>
      </c>
      <c r="J32" s="5"/>
      <c r="K32">
        <f>INDEX('Draft Engine'!$Z$3:$Z$225,$M32)</f>
        <v>30</v>
      </c>
      <c r="L32" t="str">
        <f>INDEX('LIVE SOURCE'!$H$3:$H$225,$M32)</f>
        <v>Elite QB1; weekly top-5 expectation with overall QB1 upside.</v>
      </c>
      <c r="M32" s="6">
        <f>MATCH($A32,'Draft Engine'!$Q$3:$Q$225,0)</f>
        <v>2</v>
      </c>
    </row>
    <row r="33" spans="1:13" x14ac:dyDescent="0.25">
      <c r="A33">
        <v>31</v>
      </c>
      <c r="B33" t="str">
        <f>INDEX('Draft Engine'!$A$3:$A$225,$M33)</f>
        <v>WR</v>
      </c>
      <c r="C33">
        <f>INDEX('Draft Engine'!$F$3:$F$225,$M33)</f>
        <v>13</v>
      </c>
      <c r="D33" t="str">
        <f>INDEX('Draft Engine'!$B$3:$B$225,$M33)</f>
        <v>Tee Higgins</v>
      </c>
      <c r="E33" s="4">
        <f>INDEX('Draft Engine'!$E$3:$E$225,$M33)</f>
        <v>84.822500000000005</v>
      </c>
      <c r="F33" t="str">
        <f t="shared" si="0"/>
        <v>TIER 3</v>
      </c>
      <c r="G33" s="4">
        <f>INDEX('Draft Engine'!$N$3:$N$225,$M33)</f>
        <v>82.612375000000014</v>
      </c>
      <c r="H33" s="4">
        <f>INDEX('Draft Engine'!$R$3:$R$225,$M33)</f>
        <v>53.7</v>
      </c>
      <c r="I33" s="4">
        <f>INDEX('Draft Engine'!$S$3:$S$225,$M33)</f>
        <v>22.700000000000003</v>
      </c>
      <c r="J33" s="5"/>
      <c r="K33">
        <f>INDEX('Draft Engine'!$Z$3:$Z$225,$M33)</f>
        <v>31</v>
      </c>
      <c r="L33" t="str">
        <f>INDEX('LIVE SOURCE'!$H$3:$H$225,$M33)</f>
        <v>Strong WR2 with top-12 weekly upside.</v>
      </c>
      <c r="M33" s="6">
        <f>MATCH($A33,'Draft Engine'!$Q$3:$Q$225,0)</f>
        <v>96</v>
      </c>
    </row>
    <row r="34" spans="1:13" x14ac:dyDescent="0.25">
      <c r="A34">
        <v>32</v>
      </c>
      <c r="B34" t="str">
        <f>INDEX('Draft Engine'!$A$3:$A$225,$M34)</f>
        <v>WR</v>
      </c>
      <c r="C34">
        <f>INDEX('Draft Engine'!$F$3:$F$225,$M34)</f>
        <v>14</v>
      </c>
      <c r="D34" t="str">
        <f>INDEX('Draft Engine'!$B$3:$B$225,$M34)</f>
        <v>Justin Jefferson</v>
      </c>
      <c r="E34" s="4">
        <f>INDEX('Draft Engine'!$E$3:$E$225,$M34)</f>
        <v>84.793599999999998</v>
      </c>
      <c r="F34" t="str">
        <f t="shared" si="0"/>
        <v>TIER 3</v>
      </c>
      <c r="G34" s="4">
        <f>INDEX('Draft Engine'!$N$3:$N$225,$M34)</f>
        <v>82.227146666666684</v>
      </c>
      <c r="H34" s="4">
        <f>INDEX('Draft Engine'!$R$3:$R$225,$M34)</f>
        <v>9</v>
      </c>
      <c r="I34" s="4">
        <f>INDEX('Draft Engine'!$S$3:$S$225,$M34)</f>
        <v>-23</v>
      </c>
      <c r="J34" s="5"/>
      <c r="K34">
        <f>INDEX('Draft Engine'!$Z$3:$Z$225,$M34)</f>
        <v>32</v>
      </c>
      <c r="L34" t="str">
        <f>INDEX('LIVE SOURCE'!$H$3:$H$225,$M34)</f>
        <v>Strong WR2 with top-12 weekly upside.</v>
      </c>
      <c r="M34" s="6">
        <f>MATCH($A34,'Draft Engine'!$Q$3:$Q$225,0)</f>
        <v>89</v>
      </c>
    </row>
    <row r="35" spans="1:13" x14ac:dyDescent="0.25">
      <c r="A35">
        <v>33</v>
      </c>
      <c r="B35" t="str">
        <f>INDEX('Draft Engine'!$A$3:$A$225,$M35)</f>
        <v>RB</v>
      </c>
      <c r="C35">
        <f>INDEX('Draft Engine'!$F$3:$F$225,$M35)</f>
        <v>15</v>
      </c>
      <c r="D35" t="str">
        <f>INDEX('Draft Engine'!$B$3:$B$225,$M35)</f>
        <v>Josh Jacobs</v>
      </c>
      <c r="E35" s="4">
        <f>INDEX('Draft Engine'!$E$3:$E$225,$M35)</f>
        <v>84.426400000000001</v>
      </c>
      <c r="F35" t="str">
        <f t="shared" si="0"/>
        <v>TIER 3</v>
      </c>
      <c r="G35" s="4">
        <f>INDEX('Draft Engine'!$N$3:$N$225,$M35)</f>
        <v>81.861270000000005</v>
      </c>
      <c r="H35" s="4">
        <f>INDEX('Draft Engine'!$R$3:$R$225,$M35)</f>
        <v>60.8</v>
      </c>
      <c r="I35" s="4">
        <f>INDEX('Draft Engine'!$S$3:$S$225,$M35)</f>
        <v>27.799999999999997</v>
      </c>
      <c r="J35" s="5"/>
      <c r="K35">
        <f>INDEX('Draft Engine'!$Z$3:$Z$225,$M35)</f>
        <v>33</v>
      </c>
      <c r="L35" t="str">
        <f>INDEX('LIVE SOURCE'!$H$3:$H$225,$M35)</f>
        <v>RB2 with RB1 weeks; should be a regular starter.</v>
      </c>
      <c r="M35" s="6">
        <f>MATCH($A35,'Draft Engine'!$Q$3:$Q$225,0)</f>
        <v>47</v>
      </c>
    </row>
    <row r="36" spans="1:13" x14ac:dyDescent="0.25">
      <c r="A36">
        <v>34</v>
      </c>
      <c r="B36" t="str">
        <f>INDEX('Draft Engine'!$A$3:$A$225,$M36)</f>
        <v>TE</v>
      </c>
      <c r="C36">
        <f>INDEX('Draft Engine'!$F$3:$F$225,$M36)</f>
        <v>3</v>
      </c>
      <c r="D36" t="str">
        <f>INDEX('Draft Engine'!$B$3:$B$225,$M36)</f>
        <v>Colston Loveland</v>
      </c>
      <c r="E36" s="4">
        <f>INDEX('Draft Engine'!$E$3:$E$225,$M36)</f>
        <v>88.753100000000003</v>
      </c>
      <c r="F36" t="str">
        <f t="shared" si="0"/>
        <v>TIER 2</v>
      </c>
      <c r="G36" s="4">
        <f>INDEX('Draft Engine'!$N$3:$N$225,$M36)</f>
        <v>81.491589615384612</v>
      </c>
      <c r="H36" s="4">
        <f>INDEX('Draft Engine'!$R$3:$R$225,$M36)</f>
        <v>35</v>
      </c>
      <c r="I36" s="4">
        <f>INDEX('Draft Engine'!$S$3:$S$225,$M36)</f>
        <v>1</v>
      </c>
      <c r="J36" s="5"/>
      <c r="K36">
        <f>INDEX('Draft Engine'!$Z$3:$Z$225,$M36)</f>
        <v>34</v>
      </c>
      <c r="L36" t="str">
        <f>INDEX('LIVE SOURCE'!$H$3:$H$225,$M36)</f>
        <v>Elite difference-making TE; positional advantage is the expectation.</v>
      </c>
      <c r="M36" s="6">
        <f>MATCH($A36,'Draft Engine'!$Q$3:$Q$225,0)</f>
        <v>155</v>
      </c>
    </row>
    <row r="37" spans="1:13" x14ac:dyDescent="0.25">
      <c r="A37">
        <v>35</v>
      </c>
      <c r="B37" t="str">
        <f>INDEX('Draft Engine'!$A$3:$A$225,$M37)</f>
        <v>WR</v>
      </c>
      <c r="C37">
        <f>INDEX('Draft Engine'!$F$3:$F$225,$M37)</f>
        <v>15</v>
      </c>
      <c r="D37" t="str">
        <f>INDEX('Draft Engine'!$B$3:$B$225,$M37)</f>
        <v>Rashee Rice</v>
      </c>
      <c r="E37" s="4">
        <f>INDEX('Draft Engine'!$E$3:$E$225,$M37)</f>
        <v>84.094700000000003</v>
      </c>
      <c r="F37" t="str">
        <f t="shared" si="0"/>
        <v>TIER 3</v>
      </c>
      <c r="G37" s="4">
        <f>INDEX('Draft Engine'!$N$3:$N$225,$M37)</f>
        <v>80.987418333333338</v>
      </c>
      <c r="H37" s="4">
        <f>INDEX('Draft Engine'!$R$3:$R$225,$M37)</f>
        <v>22</v>
      </c>
      <c r="I37" s="4">
        <f>INDEX('Draft Engine'!$S$3:$S$225,$M37)</f>
        <v>-13</v>
      </c>
      <c r="J37" s="5"/>
      <c r="K37">
        <f>INDEX('Draft Engine'!$Z$3:$Z$225,$M37)</f>
        <v>35</v>
      </c>
      <c r="L37" t="str">
        <f>INDEX('LIVE SOURCE'!$H$3:$H$225,$M37)</f>
        <v>Strong WR2 with top-12 weekly upside.</v>
      </c>
      <c r="M37" s="6">
        <f>MATCH($A37,'Draft Engine'!$Q$3:$Q$225,0)</f>
        <v>93</v>
      </c>
    </row>
    <row r="38" spans="1:13" x14ac:dyDescent="0.25">
      <c r="A38">
        <v>36</v>
      </c>
      <c r="B38" t="str">
        <f>INDEX('Draft Engine'!$A$3:$A$225,$M38)</f>
        <v>RB</v>
      </c>
      <c r="C38">
        <f>INDEX('Draft Engine'!$F$3:$F$225,$M38)</f>
        <v>16</v>
      </c>
      <c r="D38" t="str">
        <f>INDEX('Draft Engine'!$B$3:$B$225,$M38)</f>
        <v>Saquon Barkley</v>
      </c>
      <c r="E38" s="4">
        <f>INDEX('Draft Engine'!$E$3:$E$225,$M38)</f>
        <v>84.034000000000006</v>
      </c>
      <c r="F38" t="str">
        <f t="shared" si="0"/>
        <v>TIER 3</v>
      </c>
      <c r="G38" s="4">
        <f>INDEX('Draft Engine'!$N$3:$N$225,$M38)</f>
        <v>80.980074999999999</v>
      </c>
      <c r="H38" s="4">
        <f>INDEX('Draft Engine'!$R$3:$R$225,$M38)</f>
        <v>65</v>
      </c>
      <c r="I38" s="4">
        <f>INDEX('Draft Engine'!$S$3:$S$225,$M38)</f>
        <v>29</v>
      </c>
      <c r="J38" s="5"/>
      <c r="K38">
        <f>INDEX('Draft Engine'!$Z$3:$Z$225,$M38)</f>
        <v>36</v>
      </c>
      <c r="L38" t="str">
        <f>INDEX('LIVE SOURCE'!$H$3:$H$225,$M38)</f>
        <v>RB2 with RB1 weeks; should be a regular starter.</v>
      </c>
      <c r="M38" s="6">
        <f>MATCH($A38,'Draft Engine'!$Q$3:$Q$225,0)</f>
        <v>48</v>
      </c>
    </row>
    <row r="39" spans="1:13" x14ac:dyDescent="0.25">
      <c r="A39">
        <v>37</v>
      </c>
      <c r="B39" t="str">
        <f>INDEX('Draft Engine'!$A$3:$A$225,$M39)</f>
        <v>QB</v>
      </c>
      <c r="C39">
        <f>INDEX('Draft Engine'!$F$3:$F$225,$M39)</f>
        <v>3</v>
      </c>
      <c r="D39" t="str">
        <f>INDEX('Draft Engine'!$B$3:$B$225,$M39)</f>
        <v>Drake Maye</v>
      </c>
      <c r="E39" s="4">
        <f>INDEX('Draft Engine'!$E$3:$E$225,$M39)</f>
        <v>91.043000000000006</v>
      </c>
      <c r="F39" t="str">
        <f t="shared" si="0"/>
        <v>TIER 1</v>
      </c>
      <c r="G39" s="4">
        <f>INDEX('Draft Engine'!$N$3:$N$225,$M39)</f>
        <v>80.683188461538478</v>
      </c>
      <c r="H39" s="4">
        <f>INDEX('Draft Engine'!$R$3:$R$225,$M39)</f>
        <v>38</v>
      </c>
      <c r="I39" s="4">
        <f>INDEX('Draft Engine'!$S$3:$S$225,$M39)</f>
        <v>1</v>
      </c>
      <c r="J39" s="5"/>
      <c r="K39">
        <f>INDEX('Draft Engine'!$Z$3:$Z$225,$M39)</f>
        <v>37</v>
      </c>
      <c r="L39" t="str">
        <f>INDEX('LIVE SOURCE'!$H$3:$H$225,$M39)</f>
        <v>Elite QB1; weekly top-5 expectation with overall QB1 upside.</v>
      </c>
      <c r="M39" s="6">
        <f>MATCH($A39,'Draft Engine'!$Q$3:$Q$225,0)</f>
        <v>3</v>
      </c>
    </row>
    <row r="40" spans="1:13" x14ac:dyDescent="0.25">
      <c r="A40">
        <v>38</v>
      </c>
      <c r="B40" t="str">
        <f>INDEX('Draft Engine'!$A$3:$A$225,$M40)</f>
        <v>RB</v>
      </c>
      <c r="C40">
        <f>INDEX('Draft Engine'!$F$3:$F$225,$M40)</f>
        <v>17</v>
      </c>
      <c r="D40" t="str">
        <f>INDEX('Draft Engine'!$B$3:$B$225,$M40)</f>
        <v>Javonte Williams</v>
      </c>
      <c r="E40" s="4">
        <f>INDEX('Draft Engine'!$E$3:$E$225,$M40)</f>
        <v>83.803200000000004</v>
      </c>
      <c r="F40" t="str">
        <f t="shared" si="0"/>
        <v>TIER 3</v>
      </c>
      <c r="G40" s="4">
        <f>INDEX('Draft Engine'!$N$3:$N$225,$M40)</f>
        <v>80.331760000000003</v>
      </c>
      <c r="H40" s="4">
        <f>INDEX('Draft Engine'!$R$3:$R$225,$M40)</f>
        <v>69.2</v>
      </c>
      <c r="I40" s="4">
        <f>INDEX('Draft Engine'!$S$3:$S$225,$M40)</f>
        <v>31.200000000000003</v>
      </c>
      <c r="J40" s="5"/>
      <c r="K40">
        <f>INDEX('Draft Engine'!$Z$3:$Z$225,$M40)</f>
        <v>38</v>
      </c>
      <c r="L40" t="str">
        <f>INDEX('LIVE SOURCE'!$H$3:$H$225,$M40)</f>
        <v>RB2 with RB1 weeks; should be a regular starter.</v>
      </c>
      <c r="M40" s="6">
        <f>MATCH($A40,'Draft Engine'!$Q$3:$Q$225,0)</f>
        <v>49</v>
      </c>
    </row>
    <row r="41" spans="1:13" x14ac:dyDescent="0.25">
      <c r="A41">
        <v>39</v>
      </c>
      <c r="B41" t="str">
        <f>INDEX('Draft Engine'!$A$3:$A$225,$M41)</f>
        <v>WR</v>
      </c>
      <c r="C41">
        <f>INDEX('Draft Engine'!$F$3:$F$225,$M41)</f>
        <v>16</v>
      </c>
      <c r="D41" t="str">
        <f>INDEX('Draft Engine'!$B$3:$B$225,$M41)</f>
        <v>A.J. Brown</v>
      </c>
      <c r="E41" s="4">
        <f>INDEX('Draft Engine'!$E$3:$E$225,$M41)</f>
        <v>83.235699999999994</v>
      </c>
      <c r="F41" t="str">
        <f t="shared" si="0"/>
        <v>TIER 3</v>
      </c>
      <c r="G41" s="4">
        <f>INDEX('Draft Engine'!$N$3:$N$225,$M41)</f>
        <v>79.533635000000004</v>
      </c>
      <c r="H41" s="4">
        <f>INDEX('Draft Engine'!$R$3:$R$225,$M41)</f>
        <v>14</v>
      </c>
      <c r="I41" s="4">
        <f>INDEX('Draft Engine'!$S$3:$S$225,$M41)</f>
        <v>-25</v>
      </c>
      <c r="J41" s="5"/>
      <c r="K41">
        <f>INDEX('Draft Engine'!$Z$3:$Z$225,$M41)</f>
        <v>39</v>
      </c>
      <c r="L41" t="str">
        <f>INDEX('LIVE SOURCE'!$H$3:$H$225,$M41)</f>
        <v>Strong WR2 with top-12 weekly upside.</v>
      </c>
      <c r="M41" s="6">
        <f>MATCH($A41,'Draft Engine'!$Q$3:$Q$225,0)</f>
        <v>87</v>
      </c>
    </row>
    <row r="42" spans="1:13" x14ac:dyDescent="0.25">
      <c r="A42">
        <v>40</v>
      </c>
      <c r="B42" t="str">
        <f>INDEX('Draft Engine'!$A$3:$A$225,$M42)</f>
        <v>RB</v>
      </c>
      <c r="C42">
        <f>INDEX('Draft Engine'!$F$3:$F$225,$M42)</f>
        <v>18</v>
      </c>
      <c r="D42" t="str">
        <f>INDEX('Draft Engine'!$B$3:$B$225,$M42)</f>
        <v>Travis Etienne Jr.</v>
      </c>
      <c r="E42" s="4">
        <f>INDEX('Draft Engine'!$E$3:$E$225,$M42)</f>
        <v>83.043599999999998</v>
      </c>
      <c r="F42" t="str">
        <f t="shared" si="0"/>
        <v>TIER 3</v>
      </c>
      <c r="G42" s="4">
        <f>INDEX('Draft Engine'!$N$3:$N$225,$M42)</f>
        <v>78.978605000000002</v>
      </c>
      <c r="H42" s="4">
        <f>INDEX('Draft Engine'!$R$3:$R$225,$M42)</f>
        <v>73.400000000000006</v>
      </c>
      <c r="I42" s="4">
        <f>INDEX('Draft Engine'!$S$3:$S$225,$M42)</f>
        <v>33.400000000000006</v>
      </c>
      <c r="J42" s="5"/>
      <c r="K42">
        <f>INDEX('Draft Engine'!$Z$3:$Z$225,$M42)</f>
        <v>40</v>
      </c>
      <c r="L42" t="str">
        <f>INDEX('LIVE SOURCE'!$H$3:$H$225,$M42)</f>
        <v>RB2 with RB1 weeks; should be a regular starter.</v>
      </c>
      <c r="M42" s="6">
        <f>MATCH($A42,'Draft Engine'!$Q$3:$Q$225,0)</f>
        <v>50</v>
      </c>
    </row>
    <row r="43" spans="1:13" x14ac:dyDescent="0.25">
      <c r="A43">
        <v>41</v>
      </c>
      <c r="B43" t="str">
        <f>INDEX('Draft Engine'!$A$3:$A$225,$M43)</f>
        <v>TE</v>
      </c>
      <c r="C43">
        <f>INDEX('Draft Engine'!$F$3:$F$225,$M43)</f>
        <v>4</v>
      </c>
      <c r="D43" t="str">
        <f>INDEX('Draft Engine'!$B$3:$B$225,$M43)</f>
        <v>Tyler Warren</v>
      </c>
      <c r="E43" s="4">
        <f>INDEX('Draft Engine'!$E$3:$E$225,$M43)</f>
        <v>87.202399999999997</v>
      </c>
      <c r="F43" t="str">
        <f t="shared" si="0"/>
        <v>TIER 2</v>
      </c>
      <c r="G43" s="4">
        <f>INDEX('Draft Engine'!$N$3:$N$225,$M43)</f>
        <v>78.974396923076924</v>
      </c>
      <c r="H43" s="4">
        <f>INDEX('Draft Engine'!$R$3:$R$225,$M43)</f>
        <v>44</v>
      </c>
      <c r="I43" s="4">
        <f>INDEX('Draft Engine'!$S$3:$S$225,$M43)</f>
        <v>3</v>
      </c>
      <c r="J43" s="5"/>
      <c r="K43">
        <f>INDEX('Draft Engine'!$Z$3:$Z$225,$M43)</f>
        <v>41</v>
      </c>
      <c r="L43" t="str">
        <f>INDEX('LIVE SOURCE'!$H$3:$H$225,$M43)</f>
        <v>Every-week TE1 with real top-5 upside.</v>
      </c>
      <c r="M43" s="6">
        <f>MATCH($A43,'Draft Engine'!$Q$3:$Q$225,0)</f>
        <v>156</v>
      </c>
    </row>
    <row r="44" spans="1:13" x14ac:dyDescent="0.25">
      <c r="A44">
        <v>42</v>
      </c>
      <c r="B44" t="str">
        <f>INDEX('Draft Engine'!$A$3:$A$225,$M44)</f>
        <v>QB</v>
      </c>
      <c r="C44">
        <f>INDEX('Draft Engine'!$F$3:$F$225,$M44)</f>
        <v>4</v>
      </c>
      <c r="D44" t="str">
        <f>INDEX('Draft Engine'!$B$3:$B$225,$M44)</f>
        <v>Justin Herbert</v>
      </c>
      <c r="E44" s="4">
        <f>INDEX('Draft Engine'!$E$3:$E$225,$M44)</f>
        <v>90.116900000000001</v>
      </c>
      <c r="F44" t="str">
        <f t="shared" si="0"/>
        <v>TIER 1</v>
      </c>
      <c r="G44" s="4">
        <f>INDEX('Draft Engine'!$N$3:$N$225,$M44)</f>
        <v>78.648602692307691</v>
      </c>
      <c r="H44" s="4">
        <f>INDEX('Draft Engine'!$R$3:$R$225,$M44)</f>
        <v>46</v>
      </c>
      <c r="I44" s="4">
        <f>INDEX('Draft Engine'!$S$3:$S$225,$M44)</f>
        <v>4</v>
      </c>
      <c r="J44" s="5"/>
      <c r="K44">
        <f>INDEX('Draft Engine'!$Z$3:$Z$225,$M44)</f>
        <v>42</v>
      </c>
      <c r="L44" t="str">
        <f>INDEX('LIVE SOURCE'!$H$3:$H$225,$M44)</f>
        <v>Strong every-week QB1; frequent top-8 finishes expected.</v>
      </c>
      <c r="M44" s="6">
        <f>MATCH($A44,'Draft Engine'!$Q$3:$Q$225,0)</f>
        <v>4</v>
      </c>
    </row>
    <row r="45" spans="1:13" x14ac:dyDescent="0.25">
      <c r="A45">
        <v>43</v>
      </c>
      <c r="B45" t="str">
        <f>INDEX('Draft Engine'!$A$3:$A$225,$M45)</f>
        <v>WR</v>
      </c>
      <c r="C45">
        <f>INDEX('Draft Engine'!$F$3:$F$225,$M45)</f>
        <v>17</v>
      </c>
      <c r="D45" t="str">
        <f>INDEX('Draft Engine'!$B$3:$B$225,$M45)</f>
        <v>Ladd McConkey</v>
      </c>
      <c r="E45" s="4">
        <f>INDEX('Draft Engine'!$E$3:$E$225,$M45)</f>
        <v>82.732500000000002</v>
      </c>
      <c r="F45" t="str">
        <f t="shared" si="0"/>
        <v>TIER 3</v>
      </c>
      <c r="G45" s="4">
        <f>INDEX('Draft Engine'!$N$3:$N$225,$M45)</f>
        <v>78.545541666666679</v>
      </c>
      <c r="H45" s="4">
        <f>INDEX('Draft Engine'!$R$3:$R$225,$M45)</f>
        <v>84.899999999999991</v>
      </c>
      <c r="I45" s="4">
        <f>INDEX('Draft Engine'!$S$3:$S$225,$M45)</f>
        <v>41.899999999999991</v>
      </c>
      <c r="J45" s="5"/>
      <c r="K45">
        <f>INDEX('Draft Engine'!$Z$3:$Z$225,$M45)</f>
        <v>43</v>
      </c>
      <c r="L45" t="str">
        <f>INDEX('LIVE SOURCE'!$H$3:$H$225,$M45)</f>
        <v>Strong WR2 with top-12 weekly upside.</v>
      </c>
      <c r="M45" s="6">
        <f>MATCH($A45,'Draft Engine'!$Q$3:$Q$225,0)</f>
        <v>104</v>
      </c>
    </row>
    <row r="46" spans="1:13" x14ac:dyDescent="0.25">
      <c r="A46">
        <v>44</v>
      </c>
      <c r="B46" t="str">
        <f>INDEX('Draft Engine'!$A$3:$A$225,$M46)</f>
        <v>WR</v>
      </c>
      <c r="C46">
        <f>INDEX('Draft Engine'!$F$3:$F$225,$M46)</f>
        <v>18</v>
      </c>
      <c r="D46" t="str">
        <f>INDEX('Draft Engine'!$B$3:$B$225,$M46)</f>
        <v>Jaylen Waddle</v>
      </c>
      <c r="E46" s="4">
        <f>INDEX('Draft Engine'!$E$3:$E$225,$M46)</f>
        <v>82.317499999999995</v>
      </c>
      <c r="F46" t="str">
        <f t="shared" si="0"/>
        <v>TIER 3</v>
      </c>
      <c r="G46" s="4">
        <f>INDEX('Draft Engine'!$N$3:$N$225,$M46)</f>
        <v>77.659958333333336</v>
      </c>
      <c r="H46" s="4">
        <f>INDEX('Draft Engine'!$R$3:$R$225,$M46)</f>
        <v>77.099999999999994</v>
      </c>
      <c r="I46" s="4">
        <f>INDEX('Draft Engine'!$S$3:$S$225,$M46)</f>
        <v>33.099999999999994</v>
      </c>
      <c r="J46" s="5"/>
      <c r="K46">
        <f>INDEX('Draft Engine'!$Z$3:$Z$225,$M46)</f>
        <v>44</v>
      </c>
      <c r="L46" t="str">
        <f>INDEX('LIVE SOURCE'!$H$3:$H$225,$M46)</f>
        <v>Strong WR2 with top-12 weekly upside.</v>
      </c>
      <c r="M46" s="6">
        <f>MATCH($A46,'Draft Engine'!$Q$3:$Q$225,0)</f>
        <v>102</v>
      </c>
    </row>
    <row r="47" spans="1:13" x14ac:dyDescent="0.25">
      <c r="A47">
        <v>45</v>
      </c>
      <c r="B47" t="str">
        <f>INDEX('Draft Engine'!$A$3:$A$225,$M47)</f>
        <v>TE</v>
      </c>
      <c r="C47">
        <f>INDEX('Draft Engine'!$F$3:$F$225,$M47)</f>
        <v>5</v>
      </c>
      <c r="D47" t="str">
        <f>INDEX('Draft Engine'!$B$3:$B$225,$M47)</f>
        <v>George Kittle</v>
      </c>
      <c r="E47" s="4">
        <f>INDEX('Draft Engine'!$E$3:$E$225,$M47)</f>
        <v>86.266400000000004</v>
      </c>
      <c r="F47" t="str">
        <f t="shared" si="0"/>
        <v>TIER 2</v>
      </c>
      <c r="G47" s="4">
        <f>INDEX('Draft Engine'!$N$3:$N$225,$M47)</f>
        <v>77.173289230769228</v>
      </c>
      <c r="H47" s="4">
        <f>INDEX('Draft Engine'!$R$3:$R$225,$M47)</f>
        <v>53</v>
      </c>
      <c r="I47" s="4">
        <f>INDEX('Draft Engine'!$S$3:$S$225,$M47)</f>
        <v>8</v>
      </c>
      <c r="J47" s="5"/>
      <c r="K47">
        <f>INDEX('Draft Engine'!$Z$3:$Z$225,$M47)</f>
        <v>45</v>
      </c>
      <c r="L47" t="str">
        <f>INDEX('LIVE SOURCE'!$H$3:$H$225,$M47)</f>
        <v>Every-week TE1 with real top-5 upside.</v>
      </c>
      <c r="M47" s="6">
        <f>MATCH($A47,'Draft Engine'!$Q$3:$Q$225,0)</f>
        <v>157</v>
      </c>
    </row>
    <row r="48" spans="1:13" x14ac:dyDescent="0.25">
      <c r="A48">
        <v>46</v>
      </c>
      <c r="B48" t="str">
        <f>INDEX('Draft Engine'!$A$3:$A$225,$M48)</f>
        <v>RB</v>
      </c>
      <c r="C48">
        <f>INDEX('Draft Engine'!$F$3:$F$225,$M48)</f>
        <v>19</v>
      </c>
      <c r="D48" t="str">
        <f>INDEX('Draft Engine'!$B$3:$B$225,$M48)</f>
        <v>Cam Skattebo</v>
      </c>
      <c r="E48" s="4">
        <f>INDEX('Draft Engine'!$E$3:$E$225,$M48)</f>
        <v>81.888400000000004</v>
      </c>
      <c r="F48" t="str">
        <f t="shared" si="0"/>
        <v>TIER 3</v>
      </c>
      <c r="G48" s="4">
        <f>INDEX('Draft Engine'!$N$3:$N$225,$M48)</f>
        <v>77.101870000000005</v>
      </c>
      <c r="H48" s="4">
        <f>INDEX('Draft Engine'!$R$3:$R$225,$M48)</f>
        <v>77.600000000000009</v>
      </c>
      <c r="I48" s="4">
        <f>INDEX('Draft Engine'!$S$3:$S$225,$M48)</f>
        <v>31.600000000000009</v>
      </c>
      <c r="J48" s="5"/>
      <c r="K48">
        <f>INDEX('Draft Engine'!$Z$3:$Z$225,$M48)</f>
        <v>46</v>
      </c>
      <c r="L48" t="str">
        <f>INDEX('LIVE SOURCE'!$H$3:$H$225,$M48)</f>
        <v>RB2 with RB1 weeks; should be a regular starter.</v>
      </c>
      <c r="M48" s="6">
        <f>MATCH($A48,'Draft Engine'!$Q$3:$Q$225,0)</f>
        <v>51</v>
      </c>
    </row>
    <row r="49" spans="1:13" x14ac:dyDescent="0.25">
      <c r="A49">
        <v>47</v>
      </c>
      <c r="B49" t="str">
        <f>INDEX('Draft Engine'!$A$3:$A$225,$M49)</f>
        <v>WR</v>
      </c>
      <c r="C49">
        <f>INDEX('Draft Engine'!$F$3:$F$225,$M49)</f>
        <v>19</v>
      </c>
      <c r="D49" t="str">
        <f>INDEX('Draft Engine'!$B$3:$B$225,$M49)</f>
        <v>George Pickens</v>
      </c>
      <c r="E49" s="4">
        <f>INDEX('Draft Engine'!$E$3:$E$225,$M49)</f>
        <v>81.836600000000004</v>
      </c>
      <c r="F49" t="str">
        <f t="shared" si="0"/>
        <v>TIER 3</v>
      </c>
      <c r="G49" s="4">
        <f>INDEX('Draft Engine'!$N$3:$N$225,$M49)</f>
        <v>76.702130000000011</v>
      </c>
      <c r="H49" s="4">
        <f>INDEX('Draft Engine'!$R$3:$R$225,$M49)</f>
        <v>16</v>
      </c>
      <c r="I49" s="4">
        <f>INDEX('Draft Engine'!$S$3:$S$225,$M49)</f>
        <v>-31</v>
      </c>
      <c r="J49" s="5"/>
      <c r="K49">
        <f>INDEX('Draft Engine'!$Z$3:$Z$225,$M49)</f>
        <v>47</v>
      </c>
      <c r="L49" t="str">
        <f>INDEX('LIVE SOURCE'!$H$3:$H$225,$M49)</f>
        <v>Strong WR2 with top-12 weekly upside.</v>
      </c>
      <c r="M49" s="6">
        <f>MATCH($A49,'Draft Engine'!$Q$3:$Q$225,0)</f>
        <v>90</v>
      </c>
    </row>
    <row r="50" spans="1:13" x14ac:dyDescent="0.25">
      <c r="A50">
        <v>48</v>
      </c>
      <c r="B50" t="str">
        <f>INDEX('Draft Engine'!$A$3:$A$225,$M50)</f>
        <v>WR</v>
      </c>
      <c r="C50">
        <f>INDEX('Draft Engine'!$F$3:$F$225,$M50)</f>
        <v>20</v>
      </c>
      <c r="D50" t="str">
        <f>INDEX('Draft Engine'!$B$3:$B$225,$M50)</f>
        <v>Emeka Egbuka</v>
      </c>
      <c r="E50" s="4">
        <f>INDEX('Draft Engine'!$E$3:$E$225,$M50)</f>
        <v>81.734999999999999</v>
      </c>
      <c r="F50" t="str">
        <f t="shared" si="0"/>
        <v>TIER 3</v>
      </c>
      <c r="G50" s="4">
        <f>INDEX('Draft Engine'!$N$3:$N$225,$M50)</f>
        <v>76.240916666666678</v>
      </c>
      <c r="H50" s="4">
        <f>INDEX('Draft Engine'!$R$3:$R$225,$M50)</f>
        <v>73.2</v>
      </c>
      <c r="I50" s="4">
        <f>INDEX('Draft Engine'!$S$3:$S$225,$M50)</f>
        <v>25.200000000000003</v>
      </c>
      <c r="J50" s="5"/>
      <c r="K50">
        <f>INDEX('Draft Engine'!$Z$3:$Z$225,$M50)</f>
        <v>48</v>
      </c>
      <c r="L50" t="str">
        <f>INDEX('LIVE SOURCE'!$H$3:$H$225,$M50)</f>
        <v>Strong WR2 with top-12 weekly upside.</v>
      </c>
      <c r="M50" s="6">
        <f>MATCH($A50,'Draft Engine'!$Q$3:$Q$225,0)</f>
        <v>101</v>
      </c>
    </row>
    <row r="51" spans="1:13" x14ac:dyDescent="0.25">
      <c r="A51">
        <v>49</v>
      </c>
      <c r="B51" t="str">
        <f>INDEX('Draft Engine'!$A$3:$A$225,$M51)</f>
        <v>QB</v>
      </c>
      <c r="C51">
        <f>INDEX('Draft Engine'!$F$3:$F$225,$M51)</f>
        <v>5</v>
      </c>
      <c r="D51" t="str">
        <f>INDEX('Draft Engine'!$B$3:$B$225,$M51)</f>
        <v>Lamar Jackson</v>
      </c>
      <c r="E51" s="4">
        <f>INDEX('Draft Engine'!$E$3:$E$225,$M51)</f>
        <v>88.711200000000005</v>
      </c>
      <c r="F51" t="str">
        <f t="shared" si="0"/>
        <v>TIER 2</v>
      </c>
      <c r="G51" s="4">
        <f>INDEX('Draft Engine'!$N$3:$N$225,$M51)</f>
        <v>75.97223692307692</v>
      </c>
      <c r="H51" s="4">
        <f>INDEX('Draft Engine'!$R$3:$R$225,$M51)</f>
        <v>54</v>
      </c>
      <c r="I51" s="4">
        <f>INDEX('Draft Engine'!$S$3:$S$225,$M51)</f>
        <v>5</v>
      </c>
      <c r="J51" s="5"/>
      <c r="K51">
        <f>INDEX('Draft Engine'!$Z$3:$Z$225,$M51)</f>
        <v>49</v>
      </c>
      <c r="L51" t="str">
        <f>INDEX('LIVE SOURCE'!$H$3:$H$225,$M51)</f>
        <v>Strong every-week QB1; frequent top-8 finishes expected.</v>
      </c>
      <c r="M51" s="6">
        <f>MATCH($A51,'Draft Engine'!$Q$3:$Q$225,0)</f>
        <v>5</v>
      </c>
    </row>
    <row r="52" spans="1:13" x14ac:dyDescent="0.25">
      <c r="A52">
        <v>50</v>
      </c>
      <c r="B52" t="str">
        <f>INDEX('Draft Engine'!$A$3:$A$225,$M52)</f>
        <v>TE</v>
      </c>
      <c r="C52">
        <f>INDEX('Draft Engine'!$F$3:$F$225,$M52)</f>
        <v>6</v>
      </c>
      <c r="D52" t="str">
        <f>INDEX('Draft Engine'!$B$3:$B$225,$M52)</f>
        <v>Kyle Pitts Sr.</v>
      </c>
      <c r="E52" s="4">
        <f>INDEX('Draft Engine'!$E$3:$E$225,$M52)</f>
        <v>85.304500000000004</v>
      </c>
      <c r="F52" t="str">
        <f t="shared" si="0"/>
        <v>TIER 2</v>
      </c>
      <c r="G52" s="4">
        <f>INDEX('Draft Engine'!$N$3:$N$225,$M52)</f>
        <v>75.35793653846153</v>
      </c>
      <c r="H52" s="4">
        <f>INDEX('Draft Engine'!$R$3:$R$225,$M52)</f>
        <v>62</v>
      </c>
      <c r="I52" s="4">
        <f>INDEX('Draft Engine'!$S$3:$S$225,$M52)</f>
        <v>12</v>
      </c>
      <c r="J52" s="5"/>
      <c r="K52">
        <f>INDEX('Draft Engine'!$Z$3:$Z$225,$M52)</f>
        <v>50</v>
      </c>
      <c r="L52" t="str">
        <f>INDEX('LIVE SOURCE'!$H$3:$H$225,$M52)</f>
        <v>Every-week TE1 with real top-5 upside.</v>
      </c>
      <c r="M52" s="6">
        <f>MATCH($A52,'Draft Engine'!$Q$3:$Q$225,0)</f>
        <v>158</v>
      </c>
    </row>
    <row r="53" spans="1:13" x14ac:dyDescent="0.25">
      <c r="A53">
        <v>51</v>
      </c>
      <c r="B53" t="str">
        <f>INDEX('Draft Engine'!$A$3:$A$225,$M53)</f>
        <v>WR</v>
      </c>
      <c r="C53">
        <f>INDEX('Draft Engine'!$F$3:$F$225,$M53)</f>
        <v>21</v>
      </c>
      <c r="D53" t="str">
        <f>INDEX('Draft Engine'!$B$3:$B$225,$M53)</f>
        <v>Malik Nabers</v>
      </c>
      <c r="E53" s="4">
        <f>INDEX('Draft Engine'!$E$3:$E$225,$M53)</f>
        <v>81.152500000000003</v>
      </c>
      <c r="F53" t="str">
        <f t="shared" si="0"/>
        <v>TIER 3</v>
      </c>
      <c r="G53" s="4">
        <f>INDEX('Draft Engine'!$N$3:$N$225,$M53)</f>
        <v>75.137208333333334</v>
      </c>
      <c r="H53" s="4">
        <f>INDEX('Draft Engine'!$R$3:$R$225,$M53)</f>
        <v>69.3</v>
      </c>
      <c r="I53" s="4">
        <f>INDEX('Draft Engine'!$S$3:$S$225,$M53)</f>
        <v>18.299999999999997</v>
      </c>
      <c r="J53" s="5"/>
      <c r="K53">
        <f>INDEX('Draft Engine'!$Z$3:$Z$225,$M53)</f>
        <v>51</v>
      </c>
      <c r="L53" t="str">
        <f>INDEX('LIVE SOURCE'!$H$3:$H$225,$M53)</f>
        <v>Strong WR2 with top-12 weekly upside.</v>
      </c>
      <c r="M53" s="6">
        <f>MATCH($A53,'Draft Engine'!$Q$3:$Q$225,0)</f>
        <v>100</v>
      </c>
    </row>
    <row r="54" spans="1:13" x14ac:dyDescent="0.25">
      <c r="A54">
        <v>52</v>
      </c>
      <c r="B54" t="str">
        <f>INDEX('Draft Engine'!$A$3:$A$225,$M54)</f>
        <v>QB</v>
      </c>
      <c r="C54">
        <f>INDEX('Draft Engine'!$F$3:$F$225,$M54)</f>
        <v>6</v>
      </c>
      <c r="D54" t="str">
        <f>INDEX('Draft Engine'!$B$3:$B$225,$M54)</f>
        <v>Jalen Hurts</v>
      </c>
      <c r="E54" s="4">
        <f>INDEX('Draft Engine'!$E$3:$E$225,$M54)</f>
        <v>88.4499</v>
      </c>
      <c r="F54" t="str">
        <f t="shared" si="0"/>
        <v>TIER 2</v>
      </c>
      <c r="G54" s="4">
        <f>INDEX('Draft Engine'!$N$3:$N$225,$M54)</f>
        <v>74.843291153846167</v>
      </c>
      <c r="H54" s="4">
        <f>INDEX('Draft Engine'!$R$3:$R$225,$M54)</f>
        <v>62</v>
      </c>
      <c r="I54" s="4">
        <f>INDEX('Draft Engine'!$S$3:$S$225,$M54)</f>
        <v>10</v>
      </c>
      <c r="J54" s="5"/>
      <c r="K54">
        <f>INDEX('Draft Engine'!$Z$3:$Z$225,$M54)</f>
        <v>52</v>
      </c>
      <c r="L54" t="str">
        <f>INDEX('LIVE SOURCE'!$H$3:$H$225,$M54)</f>
        <v>Strong every-week QB1; frequent top-8 finishes expected.</v>
      </c>
      <c r="M54" s="6">
        <f>MATCH($A54,'Draft Engine'!$Q$3:$Q$225,0)</f>
        <v>6</v>
      </c>
    </row>
    <row r="55" spans="1:13" x14ac:dyDescent="0.25">
      <c r="A55">
        <v>53</v>
      </c>
      <c r="B55" t="str">
        <f>INDEX('Draft Engine'!$A$3:$A$225,$M55)</f>
        <v>RB</v>
      </c>
      <c r="C55">
        <f>INDEX('Draft Engine'!$F$3:$F$225,$M55)</f>
        <v>20</v>
      </c>
      <c r="D55" t="str">
        <f>INDEX('Draft Engine'!$B$3:$B$225,$M55)</f>
        <v>D'Andre Swift</v>
      </c>
      <c r="E55" s="4">
        <f>INDEX('Draft Engine'!$E$3:$E$225,$M55)</f>
        <v>79.985600000000005</v>
      </c>
      <c r="F55" t="str">
        <f t="shared" si="0"/>
        <v>TIER 4</v>
      </c>
      <c r="G55" s="4">
        <f>INDEX('Draft Engine'!$N$3:$N$225,$M55)</f>
        <v>74.255955</v>
      </c>
      <c r="H55" s="4">
        <f>INDEX('Draft Engine'!$R$3:$R$225,$M55)</f>
        <v>81.8</v>
      </c>
      <c r="I55" s="4">
        <f>INDEX('Draft Engine'!$S$3:$S$225,$M55)</f>
        <v>28.799999999999997</v>
      </c>
      <c r="J55" s="5"/>
      <c r="K55">
        <f>INDEX('Draft Engine'!$Z$3:$Z$225,$M55)</f>
        <v>53</v>
      </c>
      <c r="L55" t="str">
        <f>INDEX('LIVE SOURCE'!$H$3:$H$225,$M55)</f>
        <v>RB2 with RB1 weeks; should be a regular starter.</v>
      </c>
      <c r="M55" s="6">
        <f>MATCH($A55,'Draft Engine'!$Q$3:$Q$225,0)</f>
        <v>52</v>
      </c>
    </row>
    <row r="56" spans="1:13" x14ac:dyDescent="0.25">
      <c r="A56">
        <v>54</v>
      </c>
      <c r="B56" t="str">
        <f>INDEX('Draft Engine'!$A$3:$A$225,$M56)</f>
        <v>RB</v>
      </c>
      <c r="C56">
        <f>INDEX('Draft Engine'!$F$3:$F$225,$M56)</f>
        <v>21</v>
      </c>
      <c r="D56" t="str">
        <f>INDEX('Draft Engine'!$B$3:$B$225,$M56)</f>
        <v>Bucky Irving</v>
      </c>
      <c r="E56" s="4">
        <f>INDEX('Draft Engine'!$E$3:$E$225,$M56)</f>
        <v>79.935500000000005</v>
      </c>
      <c r="F56" t="str">
        <f t="shared" si="0"/>
        <v>TIER 4</v>
      </c>
      <c r="G56" s="4">
        <f>INDEX('Draft Engine'!$N$3:$N$225,$M56)</f>
        <v>73.833025000000006</v>
      </c>
      <c r="H56" s="4">
        <f>INDEX('Draft Engine'!$R$3:$R$225,$M56)</f>
        <v>86</v>
      </c>
      <c r="I56" s="4">
        <f>INDEX('Draft Engine'!$S$3:$S$225,$M56)</f>
        <v>32</v>
      </c>
      <c r="J56" s="5"/>
      <c r="K56">
        <f>INDEX('Draft Engine'!$Z$3:$Z$225,$M56)</f>
        <v>54</v>
      </c>
      <c r="L56" t="str">
        <f>INDEX('LIVE SOURCE'!$H$3:$H$225,$M56)</f>
        <v>RB2/FLEX; useful weekly but role and receiving volume matter.</v>
      </c>
      <c r="M56" s="6">
        <f>MATCH($A56,'Draft Engine'!$Q$3:$Q$225,0)</f>
        <v>53</v>
      </c>
    </row>
    <row r="57" spans="1:13" x14ac:dyDescent="0.25">
      <c r="A57">
        <v>55</v>
      </c>
      <c r="B57" t="str">
        <f>INDEX('Draft Engine'!$A$3:$A$225,$M57)</f>
        <v>TE</v>
      </c>
      <c r="C57">
        <f>INDEX('Draft Engine'!$F$3:$F$225,$M57)</f>
        <v>7</v>
      </c>
      <c r="D57" t="str">
        <f>INDEX('Draft Engine'!$B$3:$B$225,$M57)</f>
        <v>Harold Fannin Jr.</v>
      </c>
      <c r="E57" s="4">
        <f>INDEX('Draft Engine'!$E$3:$E$225,$M57)</f>
        <v>84.377700000000004</v>
      </c>
      <c r="F57" t="str">
        <f t="shared" si="0"/>
        <v>TIER 3</v>
      </c>
      <c r="G57" s="4">
        <f>INDEX('Draft Engine'!$N$3:$N$225,$M57)</f>
        <v>73.561888846153849</v>
      </c>
      <c r="H57" s="4">
        <f>INDEX('Draft Engine'!$R$3:$R$225,$M57)</f>
        <v>71</v>
      </c>
      <c r="I57" s="4">
        <f>INDEX('Draft Engine'!$S$3:$S$225,$M57)</f>
        <v>16</v>
      </c>
      <c r="J57" s="5"/>
      <c r="K57">
        <f>INDEX('Draft Engine'!$Z$3:$Z$225,$M57)</f>
        <v>55</v>
      </c>
      <c r="L57" t="str">
        <f>INDEX('LIVE SOURCE'!$H$3:$H$225,$M57)</f>
        <v>Every-week TE1 with real top-5 upside.</v>
      </c>
      <c r="M57" s="6">
        <f>MATCH($A57,'Draft Engine'!$Q$3:$Q$225,0)</f>
        <v>159</v>
      </c>
    </row>
    <row r="58" spans="1:13" x14ac:dyDescent="0.25">
      <c r="A58">
        <v>56</v>
      </c>
      <c r="B58" t="str">
        <f>INDEX('Draft Engine'!$A$3:$A$225,$M58)</f>
        <v>RB</v>
      </c>
      <c r="C58">
        <f>INDEX('Draft Engine'!$F$3:$F$225,$M58)</f>
        <v>22</v>
      </c>
      <c r="D58" t="str">
        <f>INDEX('Draft Engine'!$B$3:$B$225,$M58)</f>
        <v>Quinshon Judkins</v>
      </c>
      <c r="E58" s="4">
        <f>INDEX('Draft Engine'!$E$3:$E$225,$M58)</f>
        <v>79.930300000000003</v>
      </c>
      <c r="F58" t="str">
        <f t="shared" si="0"/>
        <v>TIER 4</v>
      </c>
      <c r="G58" s="4">
        <f>INDEX('Draft Engine'!$N$3:$N$225,$M58)</f>
        <v>73.470789999999994</v>
      </c>
      <c r="H58" s="4">
        <f>INDEX('Draft Engine'!$R$3:$R$225,$M58)</f>
        <v>90.2</v>
      </c>
      <c r="I58" s="4">
        <f>INDEX('Draft Engine'!$S$3:$S$225,$M58)</f>
        <v>34.200000000000003</v>
      </c>
      <c r="J58" s="5"/>
      <c r="K58">
        <f>INDEX('Draft Engine'!$Z$3:$Z$225,$M58)</f>
        <v>56</v>
      </c>
      <c r="L58" t="str">
        <f>INDEX('LIVE SOURCE'!$H$3:$H$225,$M58)</f>
        <v>RB2/FLEX; useful weekly but role and receiving volume matter.</v>
      </c>
      <c r="M58" s="6">
        <f>MATCH($A58,'Draft Engine'!$Q$3:$Q$225,0)</f>
        <v>54</v>
      </c>
    </row>
    <row r="59" spans="1:13" x14ac:dyDescent="0.25">
      <c r="A59">
        <v>57</v>
      </c>
      <c r="B59" t="str">
        <f>INDEX('Draft Engine'!$A$3:$A$225,$M59)</f>
        <v>WR</v>
      </c>
      <c r="C59">
        <f>INDEX('Draft Engine'!$F$3:$F$225,$M59)</f>
        <v>22</v>
      </c>
      <c r="D59" t="str">
        <f>INDEX('Draft Engine'!$B$3:$B$225,$M59)</f>
        <v>Terry McLaurin</v>
      </c>
      <c r="E59" s="4">
        <f>INDEX('Draft Engine'!$E$3:$E$225,$M59)</f>
        <v>79.900000000000006</v>
      </c>
      <c r="F59" t="str">
        <f t="shared" si="0"/>
        <v>TIER 4</v>
      </c>
      <c r="G59" s="4">
        <f>INDEX('Draft Engine'!$N$3:$N$225,$M59)</f>
        <v>73.179000000000002</v>
      </c>
      <c r="H59" s="4">
        <f>INDEX('Draft Engine'!$R$3:$R$225,$M59)</f>
        <v>81</v>
      </c>
      <c r="I59" s="4">
        <f>INDEX('Draft Engine'!$S$3:$S$225,$M59)</f>
        <v>24</v>
      </c>
      <c r="J59" s="5"/>
      <c r="K59">
        <f>INDEX('Draft Engine'!$Z$3:$Z$225,$M59)</f>
        <v>57</v>
      </c>
      <c r="L59" t="str">
        <f>INDEX('LIVE SOURCE'!$H$3:$H$225,$M59)</f>
        <v>Strong WR2 with top-12 weekly upside.</v>
      </c>
      <c r="M59" s="6">
        <f>MATCH($A59,'Draft Engine'!$Q$3:$Q$225,0)</f>
        <v>103</v>
      </c>
    </row>
    <row r="60" spans="1:13" x14ac:dyDescent="0.25">
      <c r="A60">
        <v>58</v>
      </c>
      <c r="B60" t="str">
        <f>INDEX('Draft Engine'!$A$3:$A$225,$M60)</f>
        <v>TE</v>
      </c>
      <c r="C60">
        <f>INDEX('Draft Engine'!$F$3:$F$225,$M60)</f>
        <v>8</v>
      </c>
      <c r="D60" t="str">
        <f>INDEX('Draft Engine'!$B$3:$B$225,$M60)</f>
        <v>Jake Ferguson</v>
      </c>
      <c r="E60" s="4">
        <f>INDEX('Draft Engine'!$E$3:$E$225,$M60)</f>
        <v>84.072999999999993</v>
      </c>
      <c r="F60" t="str">
        <f t="shared" si="0"/>
        <v>TIER 3</v>
      </c>
      <c r="G60" s="4">
        <f>INDEX('Draft Engine'!$N$3:$N$225,$M60)</f>
        <v>72.521996153846146</v>
      </c>
      <c r="H60" s="4">
        <f>INDEX('Draft Engine'!$R$3:$R$225,$M60)</f>
        <v>80</v>
      </c>
      <c r="I60" s="4">
        <f>INDEX('Draft Engine'!$S$3:$S$225,$M60)</f>
        <v>22</v>
      </c>
      <c r="J60" s="5"/>
      <c r="K60">
        <f>INDEX('Draft Engine'!$Z$3:$Z$225,$M60)</f>
        <v>58</v>
      </c>
      <c r="L60" t="str">
        <f>INDEX('LIVE SOURCE'!$H$3:$H$225,$M60)</f>
        <v>Every-week TE1 with real top-5 upside.</v>
      </c>
      <c r="M60" s="6">
        <f>MATCH($A60,'Draft Engine'!$Q$3:$Q$225,0)</f>
        <v>160</v>
      </c>
    </row>
    <row r="61" spans="1:13" x14ac:dyDescent="0.25">
      <c r="A61">
        <v>59</v>
      </c>
      <c r="B61" t="str">
        <f>INDEX('Draft Engine'!$A$3:$A$225,$M61)</f>
        <v>QB</v>
      </c>
      <c r="C61">
        <f>INDEX('Draft Engine'!$F$3:$F$225,$M61)</f>
        <v>7</v>
      </c>
      <c r="D61" t="str">
        <f>INDEX('Draft Engine'!$B$3:$B$225,$M61)</f>
        <v>Patrick Mahomes II</v>
      </c>
      <c r="E61" s="4">
        <f>INDEX('Draft Engine'!$E$3:$E$225,$M61)</f>
        <v>87.006299999999996</v>
      </c>
      <c r="F61" t="str">
        <f t="shared" si="0"/>
        <v>TIER 2</v>
      </c>
      <c r="G61" s="4">
        <f>INDEX('Draft Engine'!$N$3:$N$225,$M61)</f>
        <v>72.110080384615387</v>
      </c>
      <c r="H61" s="4">
        <f>INDEX('Draft Engine'!$R$3:$R$225,$M61)</f>
        <v>70</v>
      </c>
      <c r="I61" s="4">
        <f>INDEX('Draft Engine'!$S$3:$S$225,$M61)</f>
        <v>11</v>
      </c>
      <c r="J61" s="5"/>
      <c r="K61">
        <f>INDEX('Draft Engine'!$Z$3:$Z$225,$M61)</f>
        <v>59</v>
      </c>
      <c r="L61" t="str">
        <f>INDEX('LIVE SOURCE'!$H$3:$H$225,$M61)</f>
        <v>Strong every-week QB1; frequent top-8 finishes expected.</v>
      </c>
      <c r="M61" s="6">
        <f>MATCH($A61,'Draft Engine'!$Q$3:$Q$225,0)</f>
        <v>7</v>
      </c>
    </row>
    <row r="62" spans="1:13" x14ac:dyDescent="0.25">
      <c r="A62">
        <v>60</v>
      </c>
      <c r="B62" t="str">
        <f>INDEX('Draft Engine'!$A$3:$A$225,$M62)</f>
        <v>TE</v>
      </c>
      <c r="C62">
        <f>INDEX('Draft Engine'!$F$3:$F$225,$M62)</f>
        <v>9</v>
      </c>
      <c r="D62" t="str">
        <f>INDEX('Draft Engine'!$B$3:$B$225,$M62)</f>
        <v>Tucker Kraft</v>
      </c>
      <c r="E62" s="4">
        <f>INDEX('Draft Engine'!$E$3:$E$225,$M62)</f>
        <v>83.808599999999998</v>
      </c>
      <c r="F62" t="str">
        <f t="shared" si="0"/>
        <v>TIER 3</v>
      </c>
      <c r="G62" s="4">
        <f>INDEX('Draft Engine'!$N$3:$N$225,$M62)</f>
        <v>71.504268461538473</v>
      </c>
      <c r="H62" s="4">
        <f>INDEX('Draft Engine'!$R$3:$R$225,$M62)</f>
        <v>89</v>
      </c>
      <c r="I62" s="4">
        <f>INDEX('Draft Engine'!$S$3:$S$225,$M62)</f>
        <v>29</v>
      </c>
      <c r="J62" s="5"/>
      <c r="K62">
        <f>INDEX('Draft Engine'!$Z$3:$Z$225,$M62)</f>
        <v>60</v>
      </c>
      <c r="L62" t="str">
        <f>INDEX('LIVE SOURCE'!$H$3:$H$225,$M62)</f>
        <v>Low-end TE1; startable but replacement options remain close.</v>
      </c>
      <c r="M62" s="6">
        <f>MATCH($A62,'Draft Engine'!$Q$3:$Q$225,0)</f>
        <v>161</v>
      </c>
    </row>
    <row r="63" spans="1:13" x14ac:dyDescent="0.25">
      <c r="A63">
        <v>61</v>
      </c>
      <c r="B63" t="str">
        <f>INDEX('Draft Engine'!$A$3:$A$225,$M63)</f>
        <v>WR</v>
      </c>
      <c r="C63">
        <f>INDEX('Draft Engine'!$F$3:$F$225,$M63)</f>
        <v>23</v>
      </c>
      <c r="D63" t="str">
        <f>INDEX('Draft Engine'!$B$3:$B$225,$M63)</f>
        <v>Luther Burden III</v>
      </c>
      <c r="E63" s="4">
        <f>INDEX('Draft Engine'!$E$3:$E$225,$M63)</f>
        <v>78.647499999999994</v>
      </c>
      <c r="F63" t="str">
        <f t="shared" si="0"/>
        <v>TIER 4</v>
      </c>
      <c r="G63" s="4">
        <f>INDEX('Draft Engine'!$N$3:$N$225,$M63)</f>
        <v>71.20279166666667</v>
      </c>
      <c r="H63" s="4">
        <f>INDEX('Draft Engine'!$R$3:$R$225,$M63)</f>
        <v>92.7</v>
      </c>
      <c r="I63" s="4">
        <f>INDEX('Draft Engine'!$S$3:$S$225,$M63)</f>
        <v>31.700000000000003</v>
      </c>
      <c r="J63" s="5"/>
      <c r="K63">
        <f>INDEX('Draft Engine'!$Z$3:$Z$225,$M63)</f>
        <v>61</v>
      </c>
      <c r="L63" t="str">
        <f>INDEX('LIVE SOURCE'!$H$3:$H$225,$M63)</f>
        <v>Strong WR2 with top-12 weekly upside.</v>
      </c>
      <c r="M63" s="6">
        <f>MATCH($A63,'Draft Engine'!$Q$3:$Q$225,0)</f>
        <v>106</v>
      </c>
    </row>
    <row r="64" spans="1:13" x14ac:dyDescent="0.25">
      <c r="A64">
        <v>62</v>
      </c>
      <c r="B64" t="str">
        <f>INDEX('Draft Engine'!$A$3:$A$225,$M64)</f>
        <v>QB</v>
      </c>
      <c r="C64">
        <f>INDEX('Draft Engine'!$F$3:$F$225,$M64)</f>
        <v>8</v>
      </c>
      <c r="D64" t="str">
        <f>INDEX('Draft Engine'!$B$3:$B$225,$M64)</f>
        <v>Jayden Daniels</v>
      </c>
      <c r="E64" s="4">
        <f>INDEX('Draft Engine'!$E$3:$E$225,$M64)</f>
        <v>86.700299999999999</v>
      </c>
      <c r="F64" t="str">
        <f t="shared" si="0"/>
        <v>TIER 2</v>
      </c>
      <c r="G64" s="4">
        <f>INDEX('Draft Engine'!$N$3:$N$225,$M64)</f>
        <v>70.938549615384616</v>
      </c>
      <c r="H64" s="4">
        <f>INDEX('Draft Engine'!$R$3:$R$225,$M64)</f>
        <v>78</v>
      </c>
      <c r="I64" s="4">
        <f>INDEX('Draft Engine'!$S$3:$S$225,$M64)</f>
        <v>16</v>
      </c>
      <c r="J64" s="5"/>
      <c r="K64">
        <f>INDEX('Draft Engine'!$Z$3:$Z$225,$M64)</f>
        <v>62</v>
      </c>
      <c r="L64" t="str">
        <f>INDEX('LIVE SOURCE'!$H$3:$H$225,$M64)</f>
        <v>Strong every-week QB1; frequent top-8 finishes expected.</v>
      </c>
      <c r="M64" s="6">
        <f>MATCH($A64,'Draft Engine'!$Q$3:$Q$225,0)</f>
        <v>8</v>
      </c>
    </row>
    <row r="65" spans="1:13" x14ac:dyDescent="0.25">
      <c r="A65">
        <v>63</v>
      </c>
      <c r="B65" t="str">
        <f>INDEX('Draft Engine'!$A$3:$A$225,$M65)</f>
        <v>RB</v>
      </c>
      <c r="C65">
        <f>INDEX('Draft Engine'!$F$3:$F$225,$M65)</f>
        <v>23</v>
      </c>
      <c r="D65" t="str">
        <f>INDEX('Draft Engine'!$B$3:$B$225,$M65)</f>
        <v>David Montgomery</v>
      </c>
      <c r="E65" s="4">
        <f>INDEX('Draft Engine'!$E$3:$E$225,$M65)</f>
        <v>77.910200000000003</v>
      </c>
      <c r="F65" t="str">
        <f t="shared" si="0"/>
        <v>TIER 4</v>
      </c>
      <c r="G65" s="4">
        <f>INDEX('Draft Engine'!$N$3:$N$225,$M65)</f>
        <v>70.470359999999999</v>
      </c>
      <c r="H65" s="4">
        <f>INDEX('Draft Engine'!$R$3:$R$225,$M65)</f>
        <v>94.4</v>
      </c>
      <c r="I65" s="4">
        <f>INDEX('Draft Engine'!$S$3:$S$225,$M65)</f>
        <v>31.400000000000006</v>
      </c>
      <c r="J65" s="5"/>
      <c r="K65">
        <f>INDEX('Draft Engine'!$Z$3:$Z$225,$M65)</f>
        <v>63</v>
      </c>
      <c r="L65" t="str">
        <f>INDEX('LIVE SOURCE'!$H$3:$H$225,$M65)</f>
        <v>RB2/FLEX; useful weekly but role and receiving volume matter.</v>
      </c>
      <c r="M65" s="6">
        <f>MATCH($A65,'Draft Engine'!$Q$3:$Q$225,0)</f>
        <v>55</v>
      </c>
    </row>
    <row r="66" spans="1:13" x14ac:dyDescent="0.25">
      <c r="A66">
        <v>64</v>
      </c>
      <c r="B66" t="str">
        <f>INDEX('Draft Engine'!$A$3:$A$225,$M66)</f>
        <v>WR</v>
      </c>
      <c r="C66">
        <f>INDEX('Draft Engine'!$F$3:$F$225,$M66)</f>
        <v>24</v>
      </c>
      <c r="D66" t="str">
        <f>INDEX('Draft Engine'!$B$3:$B$225,$M66)</f>
        <v>Davante Adams</v>
      </c>
      <c r="E66" s="4">
        <f>INDEX('Draft Engine'!$E$3:$E$225,$M66)</f>
        <v>78.064999999999998</v>
      </c>
      <c r="F66" t="str">
        <f t="shared" si="0"/>
        <v>TIER 4</v>
      </c>
      <c r="G66" s="4">
        <f>INDEX('Draft Engine'!$N$3:$N$225,$M66)</f>
        <v>70.117083333333326</v>
      </c>
      <c r="H66" s="4">
        <f>INDEX('Draft Engine'!$R$3:$R$225,$M66)</f>
        <v>88.8</v>
      </c>
      <c r="I66" s="4">
        <f>INDEX('Draft Engine'!$S$3:$S$225,$M66)</f>
        <v>24.799999999999997</v>
      </c>
      <c r="J66" s="5"/>
      <c r="K66">
        <f>INDEX('Draft Engine'!$Z$3:$Z$225,$M66)</f>
        <v>64</v>
      </c>
      <c r="L66" t="str">
        <f>INDEX('LIVE SOURCE'!$H$3:$H$225,$M66)</f>
        <v>Strong WR2 with top-12 weekly upside.</v>
      </c>
      <c r="M66" s="6">
        <f>MATCH($A66,'Draft Engine'!$Q$3:$Q$225,0)</f>
        <v>105</v>
      </c>
    </row>
    <row r="67" spans="1:13" x14ac:dyDescent="0.25">
      <c r="A67">
        <v>65</v>
      </c>
      <c r="B67" t="str">
        <f>INDEX('Draft Engine'!$A$3:$A$225,$M67)</f>
        <v>RB</v>
      </c>
      <c r="C67">
        <f>INDEX('Draft Engine'!$F$3:$F$225,$M67)</f>
        <v>24</v>
      </c>
      <c r="D67" t="str">
        <f>INDEX('Draft Engine'!$B$3:$B$225,$M67)</f>
        <v>TreVeyon Henderson</v>
      </c>
      <c r="E67" s="4">
        <f>INDEX('Draft Engine'!$E$3:$E$225,$M67)</f>
        <v>77.832499999999996</v>
      </c>
      <c r="F67" t="str">
        <f t="shared" ref="F67:F130" si="1">IF($E67&gt;=95,"ELITE",IF($E67&gt;=90,"TIER 1",IF($E67&gt;=85,"TIER 2",IF($E67&gt;=80,"TIER 3",IF($E67&gt;=75,"TIER 4",IF($E67&gt;=70,"TIER 5",IF($E67&gt;=65,"TIER 6","TIER 7")))))))</f>
        <v>TIER 4</v>
      </c>
      <c r="G67" s="4">
        <f>INDEX('Draft Engine'!$N$3:$N$225,$M67)</f>
        <v>70.014250000000004</v>
      </c>
      <c r="H67" s="4">
        <f>INDEX('Draft Engine'!$R$3:$R$225,$M67)</f>
        <v>98.600000000000009</v>
      </c>
      <c r="I67" s="4">
        <f>INDEX('Draft Engine'!$S$3:$S$225,$M67)</f>
        <v>33.600000000000009</v>
      </c>
      <c r="J67" s="5"/>
      <c r="K67">
        <f>INDEX('Draft Engine'!$Z$3:$Z$225,$M67)</f>
        <v>65</v>
      </c>
      <c r="L67" t="str">
        <f>INDEX('LIVE SOURCE'!$H$3:$H$225,$M67)</f>
        <v>RB2/FLEX; useful weekly but role and receiving volume matter.</v>
      </c>
      <c r="M67" s="6">
        <f>MATCH($A67,'Draft Engine'!$Q$3:$Q$225,0)</f>
        <v>56</v>
      </c>
    </row>
    <row r="68" spans="1:13" x14ac:dyDescent="0.25">
      <c r="A68">
        <v>66</v>
      </c>
      <c r="B68" t="str">
        <f>INDEX('Draft Engine'!$A$3:$A$225,$M68)</f>
        <v>TE</v>
      </c>
      <c r="C68">
        <f>INDEX('Draft Engine'!$F$3:$F$225,$M68)</f>
        <v>10</v>
      </c>
      <c r="D68" t="str">
        <f>INDEX('Draft Engine'!$B$3:$B$225,$M68)</f>
        <v>Sam LaPorta</v>
      </c>
      <c r="E68" s="4">
        <f>INDEX('Draft Engine'!$E$3:$E$225,$M68)</f>
        <v>82.865300000000005</v>
      </c>
      <c r="F68" t="str">
        <f t="shared" si="1"/>
        <v>TIER 3</v>
      </c>
      <c r="G68" s="4">
        <f>INDEX('Draft Engine'!$N$3:$N$225,$M68)</f>
        <v>69.699145769230782</v>
      </c>
      <c r="H68" s="4">
        <f>INDEX('Draft Engine'!$R$3:$R$225,$M68)</f>
        <v>98</v>
      </c>
      <c r="I68" s="4">
        <f>INDEX('Draft Engine'!$S$3:$S$225,$M68)</f>
        <v>32</v>
      </c>
      <c r="J68" s="5"/>
      <c r="K68">
        <f>INDEX('Draft Engine'!$Z$3:$Z$225,$M68)</f>
        <v>66</v>
      </c>
      <c r="L68" t="str">
        <f>INDEX('LIVE SOURCE'!$H$3:$H$225,$M68)</f>
        <v>Low-end TE1; startable but replacement options remain close.</v>
      </c>
      <c r="M68" s="6">
        <f>MATCH($A68,'Draft Engine'!$Q$3:$Q$225,0)</f>
        <v>162</v>
      </c>
    </row>
    <row r="69" spans="1:13" x14ac:dyDescent="0.25">
      <c r="A69">
        <v>67</v>
      </c>
      <c r="B69" t="str">
        <f>INDEX('Draft Engine'!$A$3:$A$225,$M69)</f>
        <v>QB</v>
      </c>
      <c r="C69">
        <f>INDEX('Draft Engine'!$F$3:$F$225,$M69)</f>
        <v>9</v>
      </c>
      <c r="D69" t="str">
        <f>INDEX('Draft Engine'!$B$3:$B$225,$M69)</f>
        <v>Joe Burrow</v>
      </c>
      <c r="E69" s="4">
        <f>INDEX('Draft Engine'!$E$3:$E$225,$M69)</f>
        <v>85.591300000000004</v>
      </c>
      <c r="F69" t="str">
        <f t="shared" si="1"/>
        <v>TIER 2</v>
      </c>
      <c r="G69" s="4">
        <f>INDEX('Draft Engine'!$N$3:$N$225,$M69)</f>
        <v>68.659368846153853</v>
      </c>
      <c r="H69" s="4">
        <f>INDEX('Draft Engine'!$R$3:$R$225,$M69)</f>
        <v>86</v>
      </c>
      <c r="I69" s="4">
        <f>INDEX('Draft Engine'!$S$3:$S$225,$M69)</f>
        <v>19</v>
      </c>
      <c r="J69" s="5"/>
      <c r="K69">
        <f>INDEX('Draft Engine'!$Z$3:$Z$225,$M69)</f>
        <v>67</v>
      </c>
      <c r="L69" t="str">
        <f>INDEX('LIVE SOURCE'!$H$3:$H$225,$M69)</f>
        <v>Low-end QB1/high-end QB2 in a 10-team league; startable most weeks.</v>
      </c>
      <c r="M69" s="6">
        <f>MATCH($A69,'Draft Engine'!$Q$3:$Q$225,0)</f>
        <v>9</v>
      </c>
    </row>
    <row r="70" spans="1:13" x14ac:dyDescent="0.25">
      <c r="A70">
        <v>68</v>
      </c>
      <c r="B70" t="str">
        <f>INDEX('Draft Engine'!$A$3:$A$225,$M70)</f>
        <v>RB</v>
      </c>
      <c r="C70">
        <f>INDEX('Draft Engine'!$F$3:$F$225,$M70)</f>
        <v>25</v>
      </c>
      <c r="D70" t="str">
        <f>INDEX('Draft Engine'!$B$3:$B$225,$M70)</f>
        <v>Jadarian Price</v>
      </c>
      <c r="E70" s="4">
        <f>INDEX('Draft Engine'!$E$3:$E$225,$M70)</f>
        <v>76.662199999999999</v>
      </c>
      <c r="F70" t="str">
        <f t="shared" si="1"/>
        <v>TIER 4</v>
      </c>
      <c r="G70" s="4">
        <f>INDEX('Draft Engine'!$N$3:$N$225,$M70)</f>
        <v>68.12921</v>
      </c>
      <c r="H70" s="4">
        <f>INDEX('Draft Engine'!$R$3:$R$225,$M70)</f>
        <v>102.8</v>
      </c>
      <c r="I70" s="4">
        <f>INDEX('Draft Engine'!$S$3:$S$225,$M70)</f>
        <v>34.799999999999997</v>
      </c>
      <c r="J70" s="5"/>
      <c r="K70">
        <f>INDEX('Draft Engine'!$Z$3:$Z$225,$M70)</f>
        <v>68</v>
      </c>
      <c r="L70" t="str">
        <f>INDEX('LIVE SOURCE'!$H$3:$H$225,$M70)</f>
        <v>RB2/FLEX; useful weekly but role and receiving volume matter.</v>
      </c>
      <c r="M70" s="6">
        <f>MATCH($A70,'Draft Engine'!$Q$3:$Q$225,0)</f>
        <v>57</v>
      </c>
    </row>
    <row r="71" spans="1:13" x14ac:dyDescent="0.25">
      <c r="A71">
        <v>69</v>
      </c>
      <c r="B71" t="str">
        <f>INDEX('Draft Engine'!$A$3:$A$225,$M71)</f>
        <v>TE</v>
      </c>
      <c r="C71">
        <f>INDEX('Draft Engine'!$F$3:$F$225,$M71)</f>
        <v>11</v>
      </c>
      <c r="D71" t="str">
        <f>INDEX('Draft Engine'!$B$3:$B$225,$M71)</f>
        <v>Dalton Kincaid</v>
      </c>
      <c r="E71" s="4">
        <f>INDEX('Draft Engine'!$E$3:$E$225,$M71)</f>
        <v>81.914100000000005</v>
      </c>
      <c r="F71" t="str">
        <f t="shared" si="1"/>
        <v>TIER 3</v>
      </c>
      <c r="G71" s="4">
        <f>INDEX('Draft Engine'!$N$3:$N$225,$M71)</f>
        <v>67.88967807692309</v>
      </c>
      <c r="H71" s="4">
        <f>INDEX('Draft Engine'!$R$3:$R$225,$M71)</f>
        <v>107</v>
      </c>
      <c r="I71" s="4">
        <f>INDEX('Draft Engine'!$S$3:$S$225,$M71)</f>
        <v>38</v>
      </c>
      <c r="J71" s="5"/>
      <c r="K71">
        <f>INDEX('Draft Engine'!$Z$3:$Z$225,$M71)</f>
        <v>69</v>
      </c>
      <c r="L71" t="str">
        <f>INDEX('LIVE SOURCE'!$H$3:$H$225,$M71)</f>
        <v>Low-end TE1; startable but replacement options remain close.</v>
      </c>
      <c r="M71" s="6">
        <f>MATCH($A71,'Draft Engine'!$Q$3:$Q$225,0)</f>
        <v>163</v>
      </c>
    </row>
    <row r="72" spans="1:13" x14ac:dyDescent="0.25">
      <c r="A72">
        <v>70</v>
      </c>
      <c r="B72" t="str">
        <f>INDEX('Draft Engine'!$A$3:$A$225,$M72)</f>
        <v>WR</v>
      </c>
      <c r="C72">
        <f>INDEX('Draft Engine'!$F$3:$F$225,$M72)</f>
        <v>25</v>
      </c>
      <c r="D72" t="str">
        <f>INDEX('Draft Engine'!$B$3:$B$225,$M72)</f>
        <v>Mike Evans</v>
      </c>
      <c r="E72" s="4">
        <f>INDEX('Draft Engine'!$E$3:$E$225,$M72)</f>
        <v>76.477500000000006</v>
      </c>
      <c r="F72" t="str">
        <f t="shared" si="1"/>
        <v>TIER 4</v>
      </c>
      <c r="G72" s="4">
        <f>INDEX('Draft Engine'!$N$3:$N$225,$M72)</f>
        <v>67.704625000000007</v>
      </c>
      <c r="H72" s="4">
        <f>INDEX('Draft Engine'!$R$3:$R$225,$M72)</f>
        <v>108.3</v>
      </c>
      <c r="I72" s="4">
        <f>INDEX('Draft Engine'!$S$3:$S$225,$M72)</f>
        <v>38.299999999999997</v>
      </c>
      <c r="J72" s="5"/>
      <c r="K72">
        <f>INDEX('Draft Engine'!$Z$3:$Z$225,$M72)</f>
        <v>70</v>
      </c>
      <c r="L72" t="str">
        <f>INDEX('LIVE SOURCE'!$H$3:$H$225,$M72)</f>
        <v>WR2/FLEX; dependable lineup option with matchup-driven ceiling.</v>
      </c>
      <c r="M72" s="6">
        <f>MATCH($A72,'Draft Engine'!$Q$3:$Q$225,0)</f>
        <v>110</v>
      </c>
    </row>
    <row r="73" spans="1:13" x14ac:dyDescent="0.25">
      <c r="A73">
        <v>71</v>
      </c>
      <c r="B73" t="str">
        <f>INDEX('Draft Engine'!$A$3:$A$225,$M73)</f>
        <v>QB</v>
      </c>
      <c r="C73">
        <f>INDEX('Draft Engine'!$F$3:$F$225,$M73)</f>
        <v>10</v>
      </c>
      <c r="D73" t="str">
        <f>INDEX('Draft Engine'!$B$3:$B$225,$M73)</f>
        <v>Matthew Stafford</v>
      </c>
      <c r="E73" s="4">
        <f>INDEX('Draft Engine'!$E$3:$E$225,$M73)</f>
        <v>85.419700000000006</v>
      </c>
      <c r="F73" t="str">
        <f t="shared" si="1"/>
        <v>TIER 2</v>
      </c>
      <c r="G73" s="4">
        <f>INDEX('Draft Engine'!$N$3:$N$225,$M73)</f>
        <v>67.651758076923088</v>
      </c>
      <c r="H73" s="4">
        <f>INDEX('Draft Engine'!$R$3:$R$225,$M73)</f>
        <v>94</v>
      </c>
      <c r="I73" s="4">
        <f>INDEX('Draft Engine'!$S$3:$S$225,$M73)</f>
        <v>23</v>
      </c>
      <c r="J73" s="5"/>
      <c r="K73">
        <f>INDEX('Draft Engine'!$Z$3:$Z$225,$M73)</f>
        <v>71</v>
      </c>
      <c r="L73" t="str">
        <f>INDEX('LIVE SOURCE'!$H$3:$H$225,$M73)</f>
        <v>Low-end QB1/high-end QB2 in a 10-team league; startable most weeks.</v>
      </c>
      <c r="M73" s="6">
        <f>MATCH($A73,'Draft Engine'!$Q$3:$Q$225,0)</f>
        <v>10</v>
      </c>
    </row>
    <row r="74" spans="1:13" x14ac:dyDescent="0.25">
      <c r="A74">
        <v>72</v>
      </c>
      <c r="B74" t="str">
        <f>INDEX('Draft Engine'!$A$3:$A$225,$M74)</f>
        <v>WR</v>
      </c>
      <c r="C74">
        <f>INDEX('Draft Engine'!$F$3:$F$225,$M74)</f>
        <v>26</v>
      </c>
      <c r="D74" t="str">
        <f>INDEX('Draft Engine'!$B$3:$B$225,$M74)</f>
        <v>Jordyn Tyson</v>
      </c>
      <c r="E74" s="4">
        <f>INDEX('Draft Engine'!$E$3:$E$225,$M74)</f>
        <v>76.22</v>
      </c>
      <c r="F74" t="str">
        <f t="shared" si="1"/>
        <v>TIER 4</v>
      </c>
      <c r="G74" s="4">
        <f>INDEX('Draft Engine'!$N$3:$N$225,$M74)</f>
        <v>67.031666666666666</v>
      </c>
      <c r="H74" s="4">
        <f>INDEX('Draft Engine'!$R$3:$R$225,$M74)</f>
        <v>135.6</v>
      </c>
      <c r="I74" s="4">
        <f>INDEX('Draft Engine'!$S$3:$S$225,$M74)</f>
        <v>63.599999999999994</v>
      </c>
      <c r="J74" s="5"/>
      <c r="K74">
        <f>INDEX('Draft Engine'!$Z$3:$Z$225,$M74)</f>
        <v>72</v>
      </c>
      <c r="L74" t="str">
        <f>INDEX('LIVE SOURCE'!$H$3:$H$225,$M74)</f>
        <v>WR2/FLEX; dependable lineup option with matchup-driven ceiling.</v>
      </c>
      <c r="M74" s="6">
        <f>MATCH($A74,'Draft Engine'!$Q$3:$Q$225,0)</f>
        <v>117</v>
      </c>
    </row>
    <row r="75" spans="1:13" x14ac:dyDescent="0.25">
      <c r="A75">
        <v>73</v>
      </c>
      <c r="B75" t="str">
        <f>INDEX('Draft Engine'!$A$3:$A$225,$M75)</f>
        <v>RB</v>
      </c>
      <c r="C75">
        <f>INDEX('Draft Engine'!$F$3:$F$225,$M75)</f>
        <v>26</v>
      </c>
      <c r="D75" t="str">
        <f>INDEX('Draft Engine'!$B$3:$B$225,$M75)</f>
        <v>Jaylen Warren</v>
      </c>
      <c r="E75" s="4">
        <f>INDEX('Draft Engine'!$E$3:$E$225,$M75)</f>
        <v>76.091800000000006</v>
      </c>
      <c r="F75" t="str">
        <f t="shared" si="1"/>
        <v>TIER 4</v>
      </c>
      <c r="G75" s="4">
        <f>INDEX('Draft Engine'!$N$3:$N$225,$M75)</f>
        <v>67.024115000000009</v>
      </c>
      <c r="H75" s="4">
        <f>INDEX('Draft Engine'!$R$3:$R$225,$M75)</f>
        <v>107</v>
      </c>
      <c r="I75" s="4">
        <f>INDEX('Draft Engine'!$S$3:$S$225,$M75)</f>
        <v>34</v>
      </c>
      <c r="J75" s="5"/>
      <c r="K75">
        <f>INDEX('Draft Engine'!$Z$3:$Z$225,$M75)</f>
        <v>73</v>
      </c>
      <c r="L75" t="str">
        <f>INDEX('LIVE SOURCE'!$H$3:$H$225,$M75)</f>
        <v>RB2/FLEX; useful weekly but role and receiving volume matter.</v>
      </c>
      <c r="M75" s="6">
        <f>MATCH($A75,'Draft Engine'!$Q$3:$Q$225,0)</f>
        <v>58</v>
      </c>
    </row>
    <row r="76" spans="1:13" x14ac:dyDescent="0.25">
      <c r="A76">
        <v>74</v>
      </c>
      <c r="B76" t="str">
        <f>INDEX('Draft Engine'!$A$3:$A$225,$M76)</f>
        <v>TE</v>
      </c>
      <c r="C76">
        <f>INDEX('Draft Engine'!$F$3:$F$225,$M76)</f>
        <v>12</v>
      </c>
      <c r="D76" t="str">
        <f>INDEX('Draft Engine'!$B$3:$B$225,$M76)</f>
        <v>Travis Kelce</v>
      </c>
      <c r="E76" s="4">
        <f>INDEX('Draft Engine'!$E$3:$E$225,$M76)</f>
        <v>81.747799999999998</v>
      </c>
      <c r="F76" t="str">
        <f t="shared" si="1"/>
        <v>TIER 3</v>
      </c>
      <c r="G76" s="4">
        <f>INDEX('Draft Engine'!$N$3:$N$225,$M76)</f>
        <v>66.997905384615393</v>
      </c>
      <c r="H76" s="4">
        <f>INDEX('Draft Engine'!$R$3:$R$225,$M76)</f>
        <v>116</v>
      </c>
      <c r="I76" s="4">
        <f>INDEX('Draft Engine'!$S$3:$S$225,$M76)</f>
        <v>42</v>
      </c>
      <c r="J76" s="5"/>
      <c r="K76">
        <f>INDEX('Draft Engine'!$Z$3:$Z$225,$M76)</f>
        <v>74</v>
      </c>
      <c r="L76" t="str">
        <f>INDEX('LIVE SOURCE'!$H$3:$H$225,$M76)</f>
        <v>Low-end TE1; startable but replacement options remain close.</v>
      </c>
      <c r="M76" s="6">
        <f>MATCH($A76,'Draft Engine'!$Q$3:$Q$225,0)</f>
        <v>164</v>
      </c>
    </row>
    <row r="77" spans="1:13" x14ac:dyDescent="0.25">
      <c r="A77">
        <v>75</v>
      </c>
      <c r="B77" t="str">
        <f>INDEX('Draft Engine'!$A$3:$A$225,$M77)</f>
        <v>QB</v>
      </c>
      <c r="C77">
        <f>INDEX('Draft Engine'!$F$3:$F$225,$M77)</f>
        <v>11</v>
      </c>
      <c r="D77" t="str">
        <f>INDEX('Draft Engine'!$B$3:$B$225,$M77)</f>
        <v>Bo Nix</v>
      </c>
      <c r="E77" s="4">
        <f>INDEX('Draft Engine'!$E$3:$E$225,$M77)</f>
        <v>85.248500000000007</v>
      </c>
      <c r="F77" t="str">
        <f t="shared" si="1"/>
        <v>TIER 2</v>
      </c>
      <c r="G77" s="4">
        <f>INDEX('Draft Engine'!$N$3:$N$225,$M77)</f>
        <v>66.64436730769232</v>
      </c>
      <c r="H77" s="4">
        <f>INDEX('Draft Engine'!$R$3:$R$225,$M77)</f>
        <v>102</v>
      </c>
      <c r="I77" s="4">
        <f>INDEX('Draft Engine'!$S$3:$S$225,$M77)</f>
        <v>27</v>
      </c>
      <c r="J77" s="5"/>
      <c r="K77">
        <f>INDEX('Draft Engine'!$Z$3:$Z$225,$M77)</f>
        <v>75</v>
      </c>
      <c r="L77" t="str">
        <f>INDEX('LIVE SOURCE'!$H$3:$H$225,$M77)</f>
        <v>Low-end QB1/high-end QB2 in a 10-team league; startable most weeks.</v>
      </c>
      <c r="M77" s="6">
        <f>MATCH($A77,'Draft Engine'!$Q$3:$Q$225,0)</f>
        <v>11</v>
      </c>
    </row>
    <row r="78" spans="1:13" x14ac:dyDescent="0.25">
      <c r="A78">
        <v>76</v>
      </c>
      <c r="B78" t="str">
        <f>INDEX('Draft Engine'!$A$3:$A$225,$M78)</f>
        <v>WR</v>
      </c>
      <c r="C78">
        <f>INDEX('Draft Engine'!$F$3:$F$225,$M78)</f>
        <v>27</v>
      </c>
      <c r="D78" t="str">
        <f>INDEX('Draft Engine'!$B$3:$B$225,$M78)</f>
        <v>Jameson Williams</v>
      </c>
      <c r="E78" s="4">
        <f>INDEX('Draft Engine'!$E$3:$E$225,$M78)</f>
        <v>76.0625</v>
      </c>
      <c r="F78" t="str">
        <f t="shared" si="1"/>
        <v>TIER 4</v>
      </c>
      <c r="G78" s="4">
        <f>INDEX('Draft Engine'!$N$3:$N$225,$M78)</f>
        <v>66.503708333333336</v>
      </c>
      <c r="H78" s="4">
        <f>INDEX('Draft Engine'!$R$3:$R$225,$M78)</f>
        <v>100.5</v>
      </c>
      <c r="I78" s="4">
        <f>INDEX('Draft Engine'!$S$3:$S$225,$M78)</f>
        <v>24.5</v>
      </c>
      <c r="J78" s="5"/>
      <c r="K78">
        <f>INDEX('Draft Engine'!$Z$3:$Z$225,$M78)</f>
        <v>76</v>
      </c>
      <c r="L78" t="str">
        <f>INDEX('LIVE SOURCE'!$H$3:$H$225,$M78)</f>
        <v>WR2/FLEX; dependable lineup option with matchup-driven ceiling.</v>
      </c>
      <c r="M78" s="6">
        <f>MATCH($A78,'Draft Engine'!$Q$3:$Q$225,0)</f>
        <v>108</v>
      </c>
    </row>
    <row r="79" spans="1:13" x14ac:dyDescent="0.25">
      <c r="A79">
        <v>77</v>
      </c>
      <c r="B79" t="str">
        <f>INDEX('Draft Engine'!$A$3:$A$225,$M79)</f>
        <v>RB</v>
      </c>
      <c r="C79">
        <f>INDEX('Draft Engine'!$F$3:$F$225,$M79)</f>
        <v>27</v>
      </c>
      <c r="D79" t="str">
        <f>INDEX('Draft Engine'!$B$3:$B$225,$M79)</f>
        <v>Rico Dowdle</v>
      </c>
      <c r="E79" s="4">
        <f>INDEX('Draft Engine'!$E$3:$E$225,$M79)</f>
        <v>75.785799999999995</v>
      </c>
      <c r="F79" t="str">
        <f t="shared" si="1"/>
        <v>TIER 4</v>
      </c>
      <c r="G79" s="4">
        <f>INDEX('Draft Engine'!$N$3:$N$225,$M79)</f>
        <v>66.262439999999998</v>
      </c>
      <c r="H79" s="4">
        <f>INDEX('Draft Engine'!$R$3:$R$225,$M79)</f>
        <v>111.2</v>
      </c>
      <c r="I79" s="4">
        <f>INDEX('Draft Engine'!$S$3:$S$225,$M79)</f>
        <v>34.200000000000003</v>
      </c>
      <c r="J79" s="5"/>
      <c r="K79">
        <f>INDEX('Draft Engine'!$Z$3:$Z$225,$M79)</f>
        <v>77</v>
      </c>
      <c r="L79" t="str">
        <f>INDEX('LIVE SOURCE'!$H$3:$H$225,$M79)</f>
        <v>RB2/FLEX; useful weekly but role and receiving volume matter.</v>
      </c>
      <c r="M79" s="6">
        <f>MATCH($A79,'Draft Engine'!$Q$3:$Q$225,0)</f>
        <v>59</v>
      </c>
    </row>
    <row r="80" spans="1:13" x14ac:dyDescent="0.25">
      <c r="A80">
        <v>78</v>
      </c>
      <c r="B80" t="str">
        <f>INDEX('Draft Engine'!$A$3:$A$225,$M80)</f>
        <v>QB</v>
      </c>
      <c r="C80">
        <f>INDEX('Draft Engine'!$F$3:$F$225,$M80)</f>
        <v>12</v>
      </c>
      <c r="D80" t="str">
        <f>INDEX('Draft Engine'!$B$3:$B$225,$M80)</f>
        <v>Dak Prescott</v>
      </c>
      <c r="E80" s="4">
        <f>INDEX('Draft Engine'!$E$3:$E$225,$M80)</f>
        <v>85.115600000000001</v>
      </c>
      <c r="F80" t="str">
        <f t="shared" si="1"/>
        <v>TIER 2</v>
      </c>
      <c r="G80" s="4">
        <f>INDEX('Draft Engine'!$N$3:$N$225,$M80)</f>
        <v>65.694041538461533</v>
      </c>
      <c r="H80" s="4">
        <f>INDEX('Draft Engine'!$R$3:$R$225,$M80)</f>
        <v>110</v>
      </c>
      <c r="I80" s="4">
        <f>INDEX('Draft Engine'!$S$3:$S$225,$M80)</f>
        <v>32</v>
      </c>
      <c r="J80" s="5"/>
      <c r="K80">
        <f>INDEX('Draft Engine'!$Z$3:$Z$225,$M80)</f>
        <v>78</v>
      </c>
      <c r="L80" t="str">
        <f>INDEX('LIVE SOURCE'!$H$3:$H$225,$M80)</f>
        <v>Low-end QB1/high-end QB2 in a 10-team league; startable most weeks.</v>
      </c>
      <c r="M80" s="6">
        <f>MATCH($A80,'Draft Engine'!$Q$3:$Q$225,0)</f>
        <v>12</v>
      </c>
    </row>
    <row r="81" spans="1:13" x14ac:dyDescent="0.25">
      <c r="A81">
        <v>79</v>
      </c>
      <c r="B81" t="str">
        <f>INDEX('Draft Engine'!$A$3:$A$225,$M81)</f>
        <v>WR</v>
      </c>
      <c r="C81">
        <f>INDEX('Draft Engine'!$F$3:$F$225,$M81)</f>
        <v>28</v>
      </c>
      <c r="D81" t="str">
        <f>INDEX('Draft Engine'!$B$3:$B$225,$M81)</f>
        <v>Michael Pittman Jr.</v>
      </c>
      <c r="E81" s="4">
        <f>INDEX('Draft Engine'!$E$3:$E$225,$M81)</f>
        <v>75.55</v>
      </c>
      <c r="F81" t="str">
        <f t="shared" si="1"/>
        <v>TIER 4</v>
      </c>
      <c r="G81" s="4">
        <f>INDEX('Draft Engine'!$N$3:$N$225,$M81)</f>
        <v>65.492500000000007</v>
      </c>
      <c r="H81" s="4">
        <f>INDEX('Draft Engine'!$R$3:$R$225,$M81)</f>
        <v>139.5</v>
      </c>
      <c r="I81" s="4">
        <f>INDEX('Draft Engine'!$S$3:$S$225,$M81)</f>
        <v>60.5</v>
      </c>
      <c r="J81" s="5"/>
      <c r="K81">
        <f>INDEX('Draft Engine'!$Z$3:$Z$225,$M81)</f>
        <v>79</v>
      </c>
      <c r="L81" t="str">
        <f>INDEX('LIVE SOURCE'!$H$3:$H$225,$M81)</f>
        <v>WR2/FLEX; dependable lineup option with matchup-driven ceiling.</v>
      </c>
      <c r="M81" s="6">
        <f>MATCH($A81,'Draft Engine'!$Q$3:$Q$225,0)</f>
        <v>118</v>
      </c>
    </row>
    <row r="82" spans="1:13" x14ac:dyDescent="0.25">
      <c r="A82">
        <v>80</v>
      </c>
      <c r="B82" t="str">
        <f>INDEX('Draft Engine'!$A$3:$A$225,$M82)</f>
        <v>WR</v>
      </c>
      <c r="C82">
        <f>INDEX('Draft Engine'!$F$3:$F$225,$M82)</f>
        <v>29</v>
      </c>
      <c r="D82" t="str">
        <f>INDEX('Draft Engine'!$B$3:$B$225,$M82)</f>
        <v>DJ Moore</v>
      </c>
      <c r="E82" s="4">
        <f>INDEX('Draft Engine'!$E$3:$E$225,$M82)</f>
        <v>75.48</v>
      </c>
      <c r="F82" t="str">
        <f t="shared" si="1"/>
        <v>TIER 4</v>
      </c>
      <c r="G82" s="4">
        <f>INDEX('Draft Engine'!$N$3:$N$225,$M82)</f>
        <v>65.066666666666677</v>
      </c>
      <c r="H82" s="4">
        <f>INDEX('Draft Engine'!$R$3:$R$225,$M82)</f>
        <v>96.6</v>
      </c>
      <c r="I82" s="4">
        <f>INDEX('Draft Engine'!$S$3:$S$225,$M82)</f>
        <v>16.599999999999994</v>
      </c>
      <c r="J82" s="5"/>
      <c r="K82">
        <f>INDEX('Draft Engine'!$Z$3:$Z$225,$M82)</f>
        <v>80</v>
      </c>
      <c r="L82" t="str">
        <f>INDEX('LIVE SOURCE'!$H$3:$H$225,$M82)</f>
        <v>WR2/FLEX; dependable lineup option with matchup-driven ceiling.</v>
      </c>
      <c r="M82" s="6">
        <f>MATCH($A82,'Draft Engine'!$Q$3:$Q$225,0)</f>
        <v>107</v>
      </c>
    </row>
    <row r="83" spans="1:13" x14ac:dyDescent="0.25">
      <c r="A83">
        <v>81</v>
      </c>
      <c r="B83" t="str">
        <f>INDEX('Draft Engine'!$A$3:$A$225,$M83)</f>
        <v>RB</v>
      </c>
      <c r="C83">
        <f>INDEX('Draft Engine'!$F$3:$F$225,$M83)</f>
        <v>28</v>
      </c>
      <c r="D83" t="str">
        <f>INDEX('Draft Engine'!$B$3:$B$225,$M83)</f>
        <v>Tony Pollard</v>
      </c>
      <c r="E83" s="4">
        <f>INDEX('Draft Engine'!$E$3:$E$225,$M83)</f>
        <v>75.098600000000005</v>
      </c>
      <c r="F83" t="str">
        <f t="shared" si="1"/>
        <v>TIER 4</v>
      </c>
      <c r="G83" s="4">
        <f>INDEX('Draft Engine'!$N$3:$N$225,$M83)</f>
        <v>65.003105000000005</v>
      </c>
      <c r="H83" s="4">
        <f>INDEX('Draft Engine'!$R$3:$R$225,$M83)</f>
        <v>115.4</v>
      </c>
      <c r="I83" s="4">
        <f>INDEX('Draft Engine'!$S$3:$S$225,$M83)</f>
        <v>34.400000000000006</v>
      </c>
      <c r="J83" s="5"/>
      <c r="K83">
        <f>INDEX('Draft Engine'!$Z$3:$Z$225,$M83)</f>
        <v>81</v>
      </c>
      <c r="L83" t="str">
        <f>INDEX('LIVE SOURCE'!$H$3:$H$225,$M83)</f>
        <v>RB2/FLEX; useful weekly but role and receiving volume matter.</v>
      </c>
      <c r="M83" s="6">
        <f>MATCH($A83,'Draft Engine'!$Q$3:$Q$225,0)</f>
        <v>60</v>
      </c>
    </row>
    <row r="84" spans="1:13" x14ac:dyDescent="0.25">
      <c r="A84">
        <v>82</v>
      </c>
      <c r="B84" t="str">
        <f>INDEX('Draft Engine'!$A$3:$A$225,$M84)</f>
        <v>QB</v>
      </c>
      <c r="C84">
        <f>INDEX('Draft Engine'!$F$3:$F$225,$M84)</f>
        <v>13</v>
      </c>
      <c r="D84" t="str">
        <f>INDEX('Draft Engine'!$B$3:$B$225,$M84)</f>
        <v>Trevor Lawrence</v>
      </c>
      <c r="E84" s="4">
        <f>INDEX('Draft Engine'!$E$3:$E$225,$M84)</f>
        <v>84.692099999999996</v>
      </c>
      <c r="F84" t="str">
        <f t="shared" si="1"/>
        <v>TIER 3</v>
      </c>
      <c r="G84" s="4">
        <f>INDEX('Draft Engine'!$N$3:$N$225,$M84)</f>
        <v>64.349885769230767</v>
      </c>
      <c r="H84" s="4">
        <f>INDEX('Draft Engine'!$R$3:$R$225,$M84)</f>
        <v>118</v>
      </c>
      <c r="I84" s="4">
        <f>INDEX('Draft Engine'!$S$3:$S$225,$M84)</f>
        <v>36</v>
      </c>
      <c r="J84" s="5"/>
      <c r="K84">
        <f>INDEX('Draft Engine'!$Z$3:$Z$225,$M84)</f>
        <v>82</v>
      </c>
      <c r="L84" t="str">
        <f>INDEX('LIVE SOURCE'!$H$3:$H$225,$M84)</f>
        <v>QB2/streaming tier; useful when matchup and supporting cast line up.</v>
      </c>
      <c r="M84" s="6">
        <f>MATCH($A84,'Draft Engine'!$Q$3:$Q$225,0)</f>
        <v>13</v>
      </c>
    </row>
    <row r="85" spans="1:13" x14ac:dyDescent="0.25">
      <c r="A85">
        <v>83</v>
      </c>
      <c r="B85" t="str">
        <f>INDEX('Draft Engine'!$A$3:$A$225,$M85)</f>
        <v>TE</v>
      </c>
      <c r="C85">
        <f>INDEX('Draft Engine'!$F$3:$F$225,$M85)</f>
        <v>13</v>
      </c>
      <c r="D85" t="str">
        <f>INDEX('Draft Engine'!$B$3:$B$225,$M85)</f>
        <v>Dallas Goedert</v>
      </c>
      <c r="E85" s="4">
        <f>INDEX('Draft Engine'!$E$3:$E$225,$M85)</f>
        <v>79.918099999999995</v>
      </c>
      <c r="F85" t="str">
        <f t="shared" si="1"/>
        <v>TIER 4</v>
      </c>
      <c r="G85" s="4">
        <f>INDEX('Draft Engine'!$N$3:$N$225,$M85)</f>
        <v>64.147262692307692</v>
      </c>
      <c r="H85" s="4">
        <f>INDEX('Draft Engine'!$R$3:$R$225,$M85)</f>
        <v>125</v>
      </c>
      <c r="I85" s="4">
        <f>INDEX('Draft Engine'!$S$3:$S$225,$M85)</f>
        <v>42</v>
      </c>
      <c r="J85" s="5"/>
      <c r="K85">
        <f>INDEX('Draft Engine'!$Z$3:$Z$225,$M85)</f>
        <v>83</v>
      </c>
      <c r="L85" t="str">
        <f>INDEX('LIVE SOURCE'!$H$3:$H$225,$M85)</f>
        <v>Streaming/TE2 range; touchdown and route volume drive usefulness.</v>
      </c>
      <c r="M85" s="6">
        <f>MATCH($A85,'Draft Engine'!$Q$3:$Q$225,0)</f>
        <v>165</v>
      </c>
    </row>
    <row r="86" spans="1:13" x14ac:dyDescent="0.25">
      <c r="A86">
        <v>84</v>
      </c>
      <c r="B86" t="str">
        <f>INDEX('Draft Engine'!$A$3:$A$225,$M86)</f>
        <v>RB</v>
      </c>
      <c r="C86">
        <f>INDEX('Draft Engine'!$F$3:$F$225,$M86)</f>
        <v>29</v>
      </c>
      <c r="D86" t="str">
        <f>INDEX('Draft Engine'!$B$3:$B$225,$M86)</f>
        <v>Rhamondre Stevenson</v>
      </c>
      <c r="E86" s="4">
        <f>INDEX('Draft Engine'!$E$3:$E$225,$M86)</f>
        <v>74.588099999999997</v>
      </c>
      <c r="F86" t="str">
        <f t="shared" si="1"/>
        <v>TIER 5</v>
      </c>
      <c r="G86" s="4">
        <f>INDEX('Draft Engine'!$N$3:$N$225,$M86)</f>
        <v>63.984954999999999</v>
      </c>
      <c r="H86" s="4">
        <f>INDEX('Draft Engine'!$R$3:$R$225,$M86)</f>
        <v>119.6</v>
      </c>
      <c r="I86" s="4">
        <f>INDEX('Draft Engine'!$S$3:$S$225,$M86)</f>
        <v>35.599999999999994</v>
      </c>
      <c r="J86" s="5"/>
      <c r="K86">
        <f>INDEX('Draft Engine'!$Z$3:$Z$225,$M86)</f>
        <v>84</v>
      </c>
      <c r="L86" t="str">
        <f>INDEX('LIVE SOURCE'!$H$3:$H$225,$M86)</f>
        <v>RB2/FLEX; useful weekly but role and receiving volume matter.</v>
      </c>
      <c r="M86" s="6">
        <f>MATCH($A86,'Draft Engine'!$Q$3:$Q$225,0)</f>
        <v>61</v>
      </c>
    </row>
    <row r="87" spans="1:13" x14ac:dyDescent="0.25">
      <c r="A87">
        <v>85</v>
      </c>
      <c r="B87" t="str">
        <f>INDEX('Draft Engine'!$A$3:$A$225,$M87)</f>
        <v>WR</v>
      </c>
      <c r="C87">
        <f>INDEX('Draft Engine'!$F$3:$F$225,$M87)</f>
        <v>30</v>
      </c>
      <c r="D87" t="str">
        <f>INDEX('Draft Engine'!$B$3:$B$225,$M87)</f>
        <v>Jakobi Meyers</v>
      </c>
      <c r="E87" s="4">
        <f>INDEX('Draft Engine'!$E$3:$E$225,$M87)</f>
        <v>74.88</v>
      </c>
      <c r="F87" t="str">
        <f t="shared" si="1"/>
        <v>TIER 5</v>
      </c>
      <c r="G87" s="4">
        <f>INDEX('Draft Engine'!$N$3:$N$225,$M87)</f>
        <v>63.953333333333333</v>
      </c>
      <c r="H87" s="4">
        <f>INDEX('Draft Engine'!$R$3:$R$225,$M87)</f>
        <v>143.4</v>
      </c>
      <c r="I87" s="4">
        <f>INDEX('Draft Engine'!$S$3:$S$225,$M87)</f>
        <v>58.400000000000006</v>
      </c>
      <c r="J87" s="5"/>
      <c r="K87">
        <f>INDEX('Draft Engine'!$Z$3:$Z$225,$M87)</f>
        <v>85</v>
      </c>
      <c r="L87" t="str">
        <f>INDEX('LIVE SOURCE'!$H$3:$H$225,$M87)</f>
        <v>WR2/FLEX; dependable lineup option with matchup-driven ceiling.</v>
      </c>
      <c r="M87" s="6">
        <f>MATCH($A87,'Draft Engine'!$Q$3:$Q$225,0)</f>
        <v>119</v>
      </c>
    </row>
    <row r="88" spans="1:13" x14ac:dyDescent="0.25">
      <c r="A88">
        <v>86</v>
      </c>
      <c r="B88" t="str">
        <f>INDEX('Draft Engine'!$A$3:$A$225,$M88)</f>
        <v>RB</v>
      </c>
      <c r="C88">
        <f>INDEX('Draft Engine'!$F$3:$F$225,$M88)</f>
        <v>30</v>
      </c>
      <c r="D88" t="str">
        <f>INDEX('Draft Engine'!$B$3:$B$225,$M88)</f>
        <v>Kenneth Gainwell</v>
      </c>
      <c r="E88" s="4">
        <f>INDEX('Draft Engine'!$E$3:$E$225,$M88)</f>
        <v>74.504900000000006</v>
      </c>
      <c r="F88" t="str">
        <f t="shared" si="1"/>
        <v>TIER 5</v>
      </c>
      <c r="G88" s="4">
        <f>INDEX('Draft Engine'!$N$3:$N$225,$M88)</f>
        <v>63.507820000000002</v>
      </c>
      <c r="H88" s="4">
        <f>INDEX('Draft Engine'!$R$3:$R$225,$M88)</f>
        <v>123.8</v>
      </c>
      <c r="I88" s="4">
        <f>INDEX('Draft Engine'!$S$3:$S$225,$M88)</f>
        <v>37.799999999999997</v>
      </c>
      <c r="J88" s="5"/>
      <c r="K88">
        <f>INDEX('Draft Engine'!$Z$3:$Z$225,$M88)</f>
        <v>86</v>
      </c>
      <c r="L88" t="str">
        <f>INDEX('LIVE SOURCE'!$H$3:$H$225,$M88)</f>
        <v>RB2/FLEX; useful weekly but role and receiving volume matter.</v>
      </c>
      <c r="M88" s="6">
        <f>MATCH($A88,'Draft Engine'!$Q$3:$Q$225,0)</f>
        <v>62</v>
      </c>
    </row>
    <row r="89" spans="1:13" x14ac:dyDescent="0.25">
      <c r="A89">
        <v>87</v>
      </c>
      <c r="B89" t="str">
        <f>INDEX('Draft Engine'!$A$3:$A$225,$M89)</f>
        <v>RB</v>
      </c>
      <c r="C89">
        <f>INDEX('Draft Engine'!$F$3:$F$225,$M89)</f>
        <v>31</v>
      </c>
      <c r="D89" t="str">
        <f>INDEX('Draft Engine'!$B$3:$B$225,$M89)</f>
        <v>Bhayshul Tuten</v>
      </c>
      <c r="E89" s="4">
        <f>INDEX('Draft Engine'!$E$3:$E$225,$M89)</f>
        <v>74.467699999999994</v>
      </c>
      <c r="F89" t="str">
        <f t="shared" si="1"/>
        <v>TIER 5</v>
      </c>
      <c r="G89" s="4">
        <f>INDEX('Draft Engine'!$N$3:$N$225,$M89)</f>
        <v>63.109984999999995</v>
      </c>
      <c r="H89" s="4">
        <f>INDEX('Draft Engine'!$R$3:$R$225,$M89)</f>
        <v>128</v>
      </c>
      <c r="I89" s="4">
        <f>INDEX('Draft Engine'!$S$3:$S$225,$M89)</f>
        <v>41</v>
      </c>
      <c r="J89" s="5"/>
      <c r="K89">
        <f>INDEX('Draft Engine'!$Z$3:$Z$225,$M89)</f>
        <v>87</v>
      </c>
      <c r="L89" t="str">
        <f>INDEX('LIVE SOURCE'!$H$3:$H$225,$M89)</f>
        <v>FLEX/bench depth with upside if workload grows.</v>
      </c>
      <c r="M89" s="6">
        <f>MATCH($A89,'Draft Engine'!$Q$3:$Q$225,0)</f>
        <v>63</v>
      </c>
    </row>
    <row r="90" spans="1:13" x14ac:dyDescent="0.25">
      <c r="A90">
        <v>88</v>
      </c>
      <c r="B90" t="str">
        <f>INDEX('Draft Engine'!$A$3:$A$225,$M90)</f>
        <v>WR</v>
      </c>
      <c r="C90">
        <f>INDEX('Draft Engine'!$F$3:$F$225,$M90)</f>
        <v>31</v>
      </c>
      <c r="D90" t="str">
        <f>INDEX('Draft Engine'!$B$3:$B$225,$M90)</f>
        <v>Jordan Addison</v>
      </c>
      <c r="E90" s="4">
        <f>INDEX('Draft Engine'!$E$3:$E$225,$M90)</f>
        <v>74.209999999999994</v>
      </c>
      <c r="F90" t="str">
        <f t="shared" si="1"/>
        <v>TIER 5</v>
      </c>
      <c r="G90" s="4">
        <f>INDEX('Draft Engine'!$N$3:$N$225,$M90)</f>
        <v>62.747500000000002</v>
      </c>
      <c r="H90" s="4">
        <f>INDEX('Draft Engine'!$R$3:$R$225,$M90)</f>
        <v>147.30000000000001</v>
      </c>
      <c r="I90" s="4">
        <f>INDEX('Draft Engine'!$S$3:$S$225,$M90)</f>
        <v>59.300000000000011</v>
      </c>
      <c r="J90" s="5"/>
      <c r="K90">
        <f>INDEX('Draft Engine'!$Z$3:$Z$225,$M90)</f>
        <v>88</v>
      </c>
      <c r="L90" t="str">
        <f>INDEX('LIVE SOURCE'!$H$3:$H$225,$M90)</f>
        <v>WR2/FLEX; dependable lineup option with matchup-driven ceiling.</v>
      </c>
      <c r="M90" s="6">
        <f>MATCH($A90,'Draft Engine'!$Q$3:$Q$225,0)</f>
        <v>120</v>
      </c>
    </row>
    <row r="91" spans="1:13" x14ac:dyDescent="0.25">
      <c r="A91">
        <v>89</v>
      </c>
      <c r="B91" t="str">
        <f>INDEX('Draft Engine'!$A$3:$A$225,$M91)</f>
        <v>TE</v>
      </c>
      <c r="C91">
        <f>INDEX('Draft Engine'!$F$3:$F$225,$M91)</f>
        <v>14</v>
      </c>
      <c r="D91" t="str">
        <f>INDEX('Draft Engine'!$B$3:$B$225,$M91)</f>
        <v>Mark Andrews</v>
      </c>
      <c r="E91" s="4">
        <f>INDEX('Draft Engine'!$E$3:$E$225,$M91)</f>
        <v>79.065399999999997</v>
      </c>
      <c r="F91" t="str">
        <f t="shared" si="1"/>
        <v>TIER 4</v>
      </c>
      <c r="G91" s="4">
        <f>INDEX('Draft Engine'!$N$3:$N$225,$M91)</f>
        <v>62.445970000000003</v>
      </c>
      <c r="H91" s="4">
        <f>INDEX('Draft Engine'!$R$3:$R$225,$M91)</f>
        <v>134</v>
      </c>
      <c r="I91" s="4">
        <f>INDEX('Draft Engine'!$S$3:$S$225,$M91)</f>
        <v>45</v>
      </c>
      <c r="J91" s="5"/>
      <c r="K91">
        <f>INDEX('Draft Engine'!$Z$3:$Z$225,$M91)</f>
        <v>89</v>
      </c>
      <c r="L91" t="str">
        <f>INDEX('LIVE SOURCE'!$H$3:$H$225,$M91)</f>
        <v>Streaming/TE2 range; touchdown and route volume drive usefulness.</v>
      </c>
      <c r="M91" s="6">
        <f>MATCH($A91,'Draft Engine'!$Q$3:$Q$225,0)</f>
        <v>166</v>
      </c>
    </row>
    <row r="92" spans="1:13" x14ac:dyDescent="0.25">
      <c r="A92">
        <v>90</v>
      </c>
      <c r="B92" t="str">
        <f>INDEX('Draft Engine'!$A$3:$A$225,$M92)</f>
        <v>QB</v>
      </c>
      <c r="C92">
        <f>INDEX('Draft Engine'!$F$3:$F$225,$M92)</f>
        <v>14</v>
      </c>
      <c r="D92" t="str">
        <f>INDEX('Draft Engine'!$B$3:$B$225,$M92)</f>
        <v>Brock Purdy</v>
      </c>
      <c r="E92" s="4">
        <f>INDEX('Draft Engine'!$E$3:$E$225,$M92)</f>
        <v>83.8386</v>
      </c>
      <c r="F92" t="str">
        <f t="shared" si="1"/>
        <v>TIER 3</v>
      </c>
      <c r="G92" s="4">
        <f>INDEX('Draft Engine'!$N$3:$N$225,$M92)</f>
        <v>62.427230000000009</v>
      </c>
      <c r="H92" s="4">
        <f>INDEX('Draft Engine'!$R$3:$R$225,$M92)</f>
        <v>126</v>
      </c>
      <c r="I92" s="4">
        <f>INDEX('Draft Engine'!$S$3:$S$225,$M92)</f>
        <v>36</v>
      </c>
      <c r="J92" s="5"/>
      <c r="K92">
        <f>INDEX('Draft Engine'!$Z$3:$Z$225,$M92)</f>
        <v>90</v>
      </c>
      <c r="L92" t="str">
        <f>INDEX('LIVE SOURCE'!$H$3:$H$225,$M92)</f>
        <v>QB2/streaming tier; useful when matchup and supporting cast line up.</v>
      </c>
      <c r="M92" s="6">
        <f>MATCH($A92,'Draft Engine'!$Q$3:$Q$225,0)</f>
        <v>14</v>
      </c>
    </row>
    <row r="93" spans="1:13" x14ac:dyDescent="0.25">
      <c r="A93">
        <v>91</v>
      </c>
      <c r="B93" t="str">
        <f>INDEX('Draft Engine'!$A$3:$A$225,$M93)</f>
        <v>WR</v>
      </c>
      <c r="C93">
        <f>INDEX('Draft Engine'!$F$3:$F$225,$M93)</f>
        <v>32</v>
      </c>
      <c r="D93" t="str">
        <f>INDEX('Draft Engine'!$B$3:$B$225,$M93)</f>
        <v>Christian Watson</v>
      </c>
      <c r="E93" s="4">
        <f>INDEX('Draft Engine'!$E$3:$E$225,$M93)</f>
        <v>73.892499999999998</v>
      </c>
      <c r="F93" t="str">
        <f t="shared" si="1"/>
        <v>TIER 5</v>
      </c>
      <c r="G93" s="4">
        <f>INDEX('Draft Engine'!$N$3:$N$225,$M93)</f>
        <v>61.987541666666665</v>
      </c>
      <c r="H93" s="4">
        <f>INDEX('Draft Engine'!$R$3:$R$225,$M93)</f>
        <v>116.1</v>
      </c>
      <c r="I93" s="4">
        <f>INDEX('Draft Engine'!$S$3:$S$225,$M93)</f>
        <v>25.099999999999994</v>
      </c>
      <c r="J93" s="5"/>
      <c r="K93">
        <f>INDEX('Draft Engine'!$Z$3:$Z$225,$M93)</f>
        <v>91</v>
      </c>
      <c r="L93" t="str">
        <f>INDEX('LIVE SOURCE'!$H$3:$H$225,$M93)</f>
        <v>WR2/FLEX; dependable lineup option with matchup-driven ceiling.</v>
      </c>
      <c r="M93" s="6">
        <f>MATCH($A93,'Draft Engine'!$Q$3:$Q$225,0)</f>
        <v>112</v>
      </c>
    </row>
    <row r="94" spans="1:13" x14ac:dyDescent="0.25">
      <c r="A94">
        <v>92</v>
      </c>
      <c r="B94" t="str">
        <f>INDEX('Draft Engine'!$A$3:$A$225,$M94)</f>
        <v>RB</v>
      </c>
      <c r="C94">
        <f>INDEX('Draft Engine'!$F$3:$F$225,$M94)</f>
        <v>32</v>
      </c>
      <c r="D94" t="str">
        <f>INDEX('Draft Engine'!$B$3:$B$225,$M94)</f>
        <v>RJ Harvey</v>
      </c>
      <c r="E94" s="4">
        <f>INDEX('Draft Engine'!$E$3:$E$225,$M94)</f>
        <v>73.567800000000005</v>
      </c>
      <c r="F94" t="str">
        <f t="shared" si="1"/>
        <v>TIER 5</v>
      </c>
      <c r="G94" s="4">
        <f>INDEX('Draft Engine'!$N$3:$N$225,$M94)</f>
        <v>61.571665000000003</v>
      </c>
      <c r="H94" s="4">
        <f>INDEX('Draft Engine'!$R$3:$R$225,$M94)</f>
        <v>132.19999999999999</v>
      </c>
      <c r="I94" s="4">
        <f>INDEX('Draft Engine'!$S$3:$S$225,$M94)</f>
        <v>40.199999999999989</v>
      </c>
      <c r="J94" s="5"/>
      <c r="K94">
        <f>INDEX('Draft Engine'!$Z$3:$Z$225,$M94)</f>
        <v>92</v>
      </c>
      <c r="L94" t="str">
        <f>INDEX('LIVE SOURCE'!$H$3:$H$225,$M94)</f>
        <v>FLEX/bench depth with upside if workload grows.</v>
      </c>
      <c r="M94" s="6">
        <f>MATCH($A94,'Draft Engine'!$Q$3:$Q$225,0)</f>
        <v>64</v>
      </c>
    </row>
    <row r="95" spans="1:13" x14ac:dyDescent="0.25">
      <c r="A95">
        <v>93</v>
      </c>
      <c r="B95" t="str">
        <f>INDEX('Draft Engine'!$A$3:$A$225,$M95)</f>
        <v>WR</v>
      </c>
      <c r="C95">
        <f>INDEX('Draft Engine'!$F$3:$F$225,$M95)</f>
        <v>33</v>
      </c>
      <c r="D95" t="str">
        <f>INDEX('Draft Engine'!$B$3:$B$225,$M95)</f>
        <v>Rome Odunze</v>
      </c>
      <c r="E95" s="4">
        <f>INDEX('Draft Engine'!$E$3:$E$225,$M95)</f>
        <v>73.644999999999996</v>
      </c>
      <c r="F95" t="str">
        <f t="shared" si="1"/>
        <v>TIER 5</v>
      </c>
      <c r="G95" s="4">
        <f>INDEX('Draft Engine'!$N$3:$N$225,$M95)</f>
        <v>61.338083333333337</v>
      </c>
      <c r="H95" s="4">
        <f>INDEX('Draft Engine'!$R$3:$R$225,$M95)</f>
        <v>104.4</v>
      </c>
      <c r="I95" s="4">
        <f>INDEX('Draft Engine'!$S$3:$S$225,$M95)</f>
        <v>11.400000000000006</v>
      </c>
      <c r="J95" s="5"/>
      <c r="K95">
        <f>INDEX('Draft Engine'!$Z$3:$Z$225,$M95)</f>
        <v>93</v>
      </c>
      <c r="L95" t="str">
        <f>INDEX('LIVE SOURCE'!$H$3:$H$225,$M95)</f>
        <v>WR2/FLEX; dependable lineup option with matchup-driven ceiling.</v>
      </c>
      <c r="M95" s="6">
        <f>MATCH($A95,'Draft Engine'!$Q$3:$Q$225,0)</f>
        <v>109</v>
      </c>
    </row>
    <row r="96" spans="1:13" x14ac:dyDescent="0.25">
      <c r="A96">
        <v>94</v>
      </c>
      <c r="B96" t="str">
        <f>INDEX('Draft Engine'!$A$3:$A$225,$M96)</f>
        <v>TE</v>
      </c>
      <c r="C96">
        <f>INDEX('Draft Engine'!$F$3:$F$225,$M96)</f>
        <v>15</v>
      </c>
      <c r="D96" t="str">
        <f>INDEX('Draft Engine'!$B$3:$B$225,$M96)</f>
        <v>Isaiah Likely</v>
      </c>
      <c r="E96" s="4">
        <f>INDEX('Draft Engine'!$E$3:$E$225,$M96)</f>
        <v>78.579499999999996</v>
      </c>
      <c r="F96" t="str">
        <f t="shared" si="1"/>
        <v>TIER 4</v>
      </c>
      <c r="G96" s="4">
        <f>INDEX('Draft Engine'!$N$3:$N$225,$M96)</f>
        <v>61.180417307692309</v>
      </c>
      <c r="H96" s="4">
        <f>INDEX('Draft Engine'!$R$3:$R$225,$M96)</f>
        <v>143</v>
      </c>
      <c r="I96" s="4">
        <f>INDEX('Draft Engine'!$S$3:$S$225,$M96)</f>
        <v>49</v>
      </c>
      <c r="J96" s="5"/>
      <c r="K96">
        <f>INDEX('Draft Engine'!$Z$3:$Z$225,$M96)</f>
        <v>94</v>
      </c>
      <c r="L96" t="str">
        <f>INDEX('LIVE SOURCE'!$H$3:$H$225,$M96)</f>
        <v>Streaming/TE2 range; touchdown and route volume drive usefulness.</v>
      </c>
      <c r="M96" s="6">
        <f>MATCH($A96,'Draft Engine'!$Q$3:$Q$225,0)</f>
        <v>167</v>
      </c>
    </row>
    <row r="97" spans="1:13" x14ac:dyDescent="0.25">
      <c r="A97">
        <v>95</v>
      </c>
      <c r="B97" t="str">
        <f>INDEX('Draft Engine'!$A$3:$A$225,$M97)</f>
        <v>WR</v>
      </c>
      <c r="C97">
        <f>INDEX('Draft Engine'!$F$3:$F$225,$M97)</f>
        <v>34</v>
      </c>
      <c r="D97" t="str">
        <f>INDEX('Draft Engine'!$B$3:$B$225,$M97)</f>
        <v>Wan'Dale Robinson</v>
      </c>
      <c r="E97" s="4">
        <f>INDEX('Draft Engine'!$E$3:$E$225,$M97)</f>
        <v>73.540000000000006</v>
      </c>
      <c r="F97" t="str">
        <f t="shared" si="1"/>
        <v>TIER 5</v>
      </c>
      <c r="G97" s="4">
        <f>INDEX('Draft Engine'!$N$3:$N$225,$M97)</f>
        <v>60.875000000000007</v>
      </c>
      <c r="H97" s="4">
        <f>INDEX('Draft Engine'!$R$3:$R$225,$M97)</f>
        <v>151.19999999999999</v>
      </c>
      <c r="I97" s="4">
        <f>INDEX('Draft Engine'!$S$3:$S$225,$M97)</f>
        <v>56.199999999999989</v>
      </c>
      <c r="J97" s="5"/>
      <c r="K97">
        <f>INDEX('Draft Engine'!$Z$3:$Z$225,$M97)</f>
        <v>95</v>
      </c>
      <c r="L97" t="str">
        <f>INDEX('LIVE SOURCE'!$H$3:$H$225,$M97)</f>
        <v>WR2/FLEX; dependable lineup option with matchup-driven ceiling.</v>
      </c>
      <c r="M97" s="6">
        <f>MATCH($A97,'Draft Engine'!$Q$3:$Q$225,0)</f>
        <v>121</v>
      </c>
    </row>
    <row r="98" spans="1:13" x14ac:dyDescent="0.25">
      <c r="A98">
        <v>96</v>
      </c>
      <c r="B98" t="str">
        <f>INDEX('Draft Engine'!$A$3:$A$225,$M98)</f>
        <v>QB</v>
      </c>
      <c r="C98">
        <f>INDEX('Draft Engine'!$F$3:$F$225,$M98)</f>
        <v>15</v>
      </c>
      <c r="D98" t="str">
        <f>INDEX('Draft Engine'!$B$3:$B$225,$M98)</f>
        <v>Jaxson Dart</v>
      </c>
      <c r="E98" s="4">
        <f>INDEX('Draft Engine'!$E$3:$E$225,$M98)</f>
        <v>83.060699999999997</v>
      </c>
      <c r="F98" t="str">
        <f t="shared" si="1"/>
        <v>TIER 3</v>
      </c>
      <c r="G98" s="4">
        <f>INDEX('Draft Engine'!$N$3:$N$225,$M98)</f>
        <v>60.600154230769235</v>
      </c>
      <c r="H98" s="4">
        <f>INDEX('Draft Engine'!$R$3:$R$225,$M98)</f>
        <v>134</v>
      </c>
      <c r="I98" s="4">
        <f>INDEX('Draft Engine'!$S$3:$S$225,$M98)</f>
        <v>38</v>
      </c>
      <c r="J98" s="5"/>
      <c r="K98">
        <f>INDEX('Draft Engine'!$Z$3:$Z$225,$M98)</f>
        <v>96</v>
      </c>
      <c r="L98" t="str">
        <f>INDEX('LIVE SOURCE'!$H$3:$H$225,$M98)</f>
        <v>QB2/streaming tier; useful when matchup and supporting cast line up.</v>
      </c>
      <c r="M98" s="6">
        <f>MATCH($A98,'Draft Engine'!$Q$3:$Q$225,0)</f>
        <v>15</v>
      </c>
    </row>
    <row r="99" spans="1:13" x14ac:dyDescent="0.25">
      <c r="A99">
        <v>97</v>
      </c>
      <c r="B99" t="str">
        <f>INDEX('Draft Engine'!$A$3:$A$225,$M99)</f>
        <v>TE</v>
      </c>
      <c r="C99">
        <f>INDEX('Draft Engine'!$F$3:$F$225,$M99)</f>
        <v>16</v>
      </c>
      <c r="D99" t="str">
        <f>INDEX('Draft Engine'!$B$3:$B$225,$M99)</f>
        <v>Juwan Johnson</v>
      </c>
      <c r="E99" s="4">
        <f>INDEX('Draft Engine'!$E$3:$E$225,$M99)</f>
        <v>78.320300000000003</v>
      </c>
      <c r="F99" t="str">
        <f t="shared" si="1"/>
        <v>TIER 4</v>
      </c>
      <c r="G99" s="4">
        <f>INDEX('Draft Engine'!$N$3:$N$225,$M99)</f>
        <v>60.183549615384614</v>
      </c>
      <c r="H99" s="4">
        <f>INDEX('Draft Engine'!$R$3:$R$225,$M99)</f>
        <v>152</v>
      </c>
      <c r="I99" s="4">
        <f>INDEX('Draft Engine'!$S$3:$S$225,$M99)</f>
        <v>55</v>
      </c>
      <c r="J99" s="5"/>
      <c r="K99">
        <f>INDEX('Draft Engine'!$Z$3:$Z$225,$M99)</f>
        <v>97</v>
      </c>
      <c r="L99" t="str">
        <f>INDEX('LIVE SOURCE'!$H$3:$H$225,$M99)</f>
        <v>Streaming/TE2 range; touchdown and route volume drive usefulness.</v>
      </c>
      <c r="M99" s="6">
        <f>MATCH($A99,'Draft Engine'!$Q$3:$Q$225,0)</f>
        <v>168</v>
      </c>
    </row>
    <row r="100" spans="1:13" x14ac:dyDescent="0.25">
      <c r="A100">
        <v>98</v>
      </c>
      <c r="B100" t="str">
        <f>INDEX('Draft Engine'!$A$3:$A$225,$M100)</f>
        <v>RB</v>
      </c>
      <c r="C100">
        <f>INDEX('Draft Engine'!$F$3:$F$225,$M100)</f>
        <v>33</v>
      </c>
      <c r="D100" t="str">
        <f>INDEX('Draft Engine'!$B$3:$B$225,$M100)</f>
        <v>Kyle Monangai</v>
      </c>
      <c r="E100" s="4">
        <f>INDEX('Draft Engine'!$E$3:$E$225,$M100)</f>
        <v>72.610200000000006</v>
      </c>
      <c r="F100" t="str">
        <f t="shared" si="1"/>
        <v>TIER 5</v>
      </c>
      <c r="G100" s="4">
        <f>INDEX('Draft Engine'!$N$3:$N$225,$M100)</f>
        <v>59.965610000000005</v>
      </c>
      <c r="H100" s="4">
        <f>INDEX('Draft Engine'!$R$3:$R$225,$M100)</f>
        <v>136.4</v>
      </c>
      <c r="I100" s="4">
        <f>INDEX('Draft Engine'!$S$3:$S$225,$M100)</f>
        <v>38.400000000000006</v>
      </c>
      <c r="J100" s="5"/>
      <c r="K100">
        <f>INDEX('Draft Engine'!$Z$3:$Z$225,$M100)</f>
        <v>98</v>
      </c>
      <c r="L100" t="str">
        <f>INDEX('LIVE SOURCE'!$H$3:$H$225,$M100)</f>
        <v>FLEX/bench depth with upside if workload grows.</v>
      </c>
      <c r="M100" s="6">
        <f>MATCH($A100,'Draft Engine'!$Q$3:$Q$225,0)</f>
        <v>65</v>
      </c>
    </row>
    <row r="101" spans="1:13" x14ac:dyDescent="0.25">
      <c r="A101">
        <v>99</v>
      </c>
      <c r="B101" t="str">
        <f>INDEX('Draft Engine'!$A$3:$A$225,$M101)</f>
        <v>QB</v>
      </c>
      <c r="C101">
        <f>INDEX('Draft Engine'!$F$3:$F$225,$M101)</f>
        <v>16</v>
      </c>
      <c r="D101" t="str">
        <f>INDEX('Draft Engine'!$B$3:$B$225,$M101)</f>
        <v>Jared Goff</v>
      </c>
      <c r="E101" s="4">
        <f>INDEX('Draft Engine'!$E$3:$E$225,$M101)</f>
        <v>82.642499999999998</v>
      </c>
      <c r="F101" t="str">
        <f t="shared" si="1"/>
        <v>TIER 3</v>
      </c>
      <c r="G101" s="4">
        <f>INDEX('Draft Engine'!$N$3:$N$225,$M101)</f>
        <v>59.258913461538462</v>
      </c>
      <c r="H101" s="4">
        <f>INDEX('Draft Engine'!$R$3:$R$225,$M101)</f>
        <v>142</v>
      </c>
      <c r="I101" s="4">
        <f>INDEX('Draft Engine'!$S$3:$S$225,$M101)</f>
        <v>43</v>
      </c>
      <c r="J101" s="5"/>
      <c r="K101">
        <f>INDEX('Draft Engine'!$Z$3:$Z$225,$M101)</f>
        <v>99</v>
      </c>
      <c r="L101" t="str">
        <f>INDEX('LIVE SOURCE'!$H$3:$H$225,$M101)</f>
        <v>QB2/streaming tier; useful when matchup and supporting cast line up.</v>
      </c>
      <c r="M101" s="6">
        <f>MATCH($A101,'Draft Engine'!$Q$3:$Q$225,0)</f>
        <v>16</v>
      </c>
    </row>
    <row r="102" spans="1:13" x14ac:dyDescent="0.25">
      <c r="A102">
        <v>100</v>
      </c>
      <c r="B102" t="str">
        <f>INDEX('Draft Engine'!$A$3:$A$225,$M102)</f>
        <v>RB</v>
      </c>
      <c r="C102">
        <f>INDEX('Draft Engine'!$F$3:$F$225,$M102)</f>
        <v>34</v>
      </c>
      <c r="D102" t="str">
        <f>INDEX('Draft Engine'!$B$3:$B$225,$M102)</f>
        <v>Chuba Hubbard</v>
      </c>
      <c r="E102" s="4">
        <f>INDEX('Draft Engine'!$E$3:$E$225,$M102)</f>
        <v>71.866699999999994</v>
      </c>
      <c r="F102" t="str">
        <f t="shared" si="1"/>
        <v>TIER 5</v>
      </c>
      <c r="G102" s="4">
        <f>INDEX('Draft Engine'!$N$3:$N$225,$M102)</f>
        <v>58.621310000000001</v>
      </c>
      <c r="H102" s="4">
        <f>INDEX('Draft Engine'!$R$3:$R$225,$M102)</f>
        <v>140.6</v>
      </c>
      <c r="I102" s="4">
        <f>INDEX('Draft Engine'!$S$3:$S$225,$M102)</f>
        <v>40.599999999999994</v>
      </c>
      <c r="J102" s="5"/>
      <c r="K102">
        <f>INDEX('Draft Engine'!$Z$3:$Z$225,$M102)</f>
        <v>100</v>
      </c>
      <c r="L102" t="str">
        <f>INDEX('LIVE SOURCE'!$H$3:$H$225,$M102)</f>
        <v>FLEX/bench depth with upside if workload grows.</v>
      </c>
      <c r="M102" s="6">
        <f>MATCH($A102,'Draft Engine'!$Q$3:$Q$225,0)</f>
        <v>66</v>
      </c>
    </row>
    <row r="103" spans="1:13" x14ac:dyDescent="0.25">
      <c r="A103">
        <v>101</v>
      </c>
      <c r="B103" t="str">
        <f>INDEX('Draft Engine'!$A$3:$A$225,$M103)</f>
        <v>WR</v>
      </c>
      <c r="C103">
        <f>INDEX('Draft Engine'!$F$3:$F$225,$M103)</f>
        <v>35</v>
      </c>
      <c r="D103" t="str">
        <f>INDEX('Draft Engine'!$B$3:$B$225,$M103)</f>
        <v>Carnell Tate</v>
      </c>
      <c r="E103" s="4">
        <f>INDEX('Draft Engine'!$E$3:$E$225,$M103)</f>
        <v>71.89</v>
      </c>
      <c r="F103" t="str">
        <f t="shared" si="1"/>
        <v>TIER 5</v>
      </c>
      <c r="G103" s="4">
        <f>INDEX('Draft Engine'!$N$3:$N$225,$M103)</f>
        <v>58.374166666666667</v>
      </c>
      <c r="H103" s="4">
        <f>INDEX('Draft Engine'!$R$3:$R$225,$M103)</f>
        <v>127.8</v>
      </c>
      <c r="I103" s="4">
        <f>INDEX('Draft Engine'!$S$3:$S$225,$M103)</f>
        <v>26.799999999999997</v>
      </c>
      <c r="J103" s="5"/>
      <c r="K103">
        <f>INDEX('Draft Engine'!$Z$3:$Z$225,$M103)</f>
        <v>101</v>
      </c>
      <c r="L103" t="str">
        <f>INDEX('LIVE SOURCE'!$H$3:$H$225,$M103)</f>
        <v>WR2/FLEX; dependable lineup option with matchup-driven ceiling.</v>
      </c>
      <c r="M103" s="6">
        <f>MATCH($A103,'Draft Engine'!$Q$3:$Q$225,0)</f>
        <v>115</v>
      </c>
    </row>
    <row r="104" spans="1:13" x14ac:dyDescent="0.25">
      <c r="A104">
        <v>102</v>
      </c>
      <c r="B104" t="str">
        <f>INDEX('Draft Engine'!$A$3:$A$225,$M104)</f>
        <v>RB</v>
      </c>
      <c r="C104">
        <f>INDEX('Draft Engine'!$F$3:$F$225,$M104)</f>
        <v>35</v>
      </c>
      <c r="D104" t="str">
        <f>INDEX('Draft Engine'!$B$3:$B$225,$M104)</f>
        <v>Aaron Jones Sr.</v>
      </c>
      <c r="E104" s="4">
        <f>INDEX('Draft Engine'!$E$3:$E$225,$M104)</f>
        <v>71.697699999999998</v>
      </c>
      <c r="F104" t="str">
        <f t="shared" si="1"/>
        <v>TIER 5</v>
      </c>
      <c r="G104" s="4">
        <f>INDEX('Draft Engine'!$N$3:$N$225,$M104)</f>
        <v>58.042985000000002</v>
      </c>
      <c r="H104" s="4">
        <f>INDEX('Draft Engine'!$R$3:$R$225,$M104)</f>
        <v>144.80000000000001</v>
      </c>
      <c r="I104" s="4">
        <f>INDEX('Draft Engine'!$S$3:$S$225,$M104)</f>
        <v>42.800000000000011</v>
      </c>
      <c r="J104" s="5"/>
      <c r="K104">
        <f>INDEX('Draft Engine'!$Z$3:$Z$225,$M104)</f>
        <v>102</v>
      </c>
      <c r="L104" t="str">
        <f>INDEX('LIVE SOURCE'!$H$3:$H$225,$M104)</f>
        <v>FLEX/bench depth with upside if workload grows.</v>
      </c>
      <c r="M104" s="6">
        <f>MATCH($A104,'Draft Engine'!$Q$3:$Q$225,0)</f>
        <v>67</v>
      </c>
    </row>
    <row r="105" spans="1:13" x14ac:dyDescent="0.25">
      <c r="A105">
        <v>103</v>
      </c>
      <c r="B105" t="str">
        <f>INDEX('Draft Engine'!$A$3:$A$225,$M105)</f>
        <v>WR</v>
      </c>
      <c r="C105">
        <f>INDEX('Draft Engine'!$F$3:$F$225,$M105)</f>
        <v>36</v>
      </c>
      <c r="D105" t="str">
        <f>INDEX('Draft Engine'!$B$3:$B$225,$M105)</f>
        <v>Marvin Harrison Jr.</v>
      </c>
      <c r="E105" s="4">
        <f>INDEX('Draft Engine'!$E$3:$E$225,$M105)</f>
        <v>71.81</v>
      </c>
      <c r="F105" t="str">
        <f t="shared" si="1"/>
        <v>TIER 5</v>
      </c>
      <c r="G105" s="4">
        <f>INDEX('Draft Engine'!$N$3:$N$225,$M105)</f>
        <v>57.942833333333347</v>
      </c>
      <c r="H105" s="4">
        <f>INDEX('Draft Engine'!$R$3:$R$225,$M105)</f>
        <v>112.2</v>
      </c>
      <c r="I105" s="4">
        <f>INDEX('Draft Engine'!$S$3:$S$225,$M105)</f>
        <v>9.2000000000000028</v>
      </c>
      <c r="J105" s="5"/>
      <c r="K105">
        <f>INDEX('Draft Engine'!$Z$3:$Z$225,$M105)</f>
        <v>103</v>
      </c>
      <c r="L105" t="str">
        <f>INDEX('LIVE SOURCE'!$H$3:$H$225,$M105)</f>
        <v>FLEX/bench receiver; needs target growth or efficiency spikes.</v>
      </c>
      <c r="M105" s="6">
        <f>MATCH($A105,'Draft Engine'!$Q$3:$Q$225,0)</f>
        <v>111</v>
      </c>
    </row>
    <row r="106" spans="1:13" x14ac:dyDescent="0.25">
      <c r="A106">
        <v>104</v>
      </c>
      <c r="B106" t="str">
        <f>INDEX('Draft Engine'!$A$3:$A$225,$M106)</f>
        <v>WR</v>
      </c>
      <c r="C106">
        <f>INDEX('Draft Engine'!$F$3:$F$225,$M106)</f>
        <v>37</v>
      </c>
      <c r="D106" t="str">
        <f>INDEX('Draft Engine'!$B$3:$B$225,$M106)</f>
        <v>Parker Washington</v>
      </c>
      <c r="E106" s="4">
        <f>INDEX('Draft Engine'!$E$3:$E$225,$M106)</f>
        <v>71.53</v>
      </c>
      <c r="F106" t="str">
        <f t="shared" si="1"/>
        <v>TIER 5</v>
      </c>
      <c r="G106" s="4">
        <f>INDEX('Draft Engine'!$N$3:$N$225,$M106)</f>
        <v>57.2395</v>
      </c>
      <c r="H106" s="4">
        <f>INDEX('Draft Engine'!$R$3:$R$225,$M106)</f>
        <v>162.9</v>
      </c>
      <c r="I106" s="4">
        <f>INDEX('Draft Engine'!$S$3:$S$225,$M106)</f>
        <v>58.900000000000006</v>
      </c>
      <c r="J106" s="5"/>
      <c r="K106">
        <f>INDEX('Draft Engine'!$Z$3:$Z$225,$M106)</f>
        <v>104</v>
      </c>
      <c r="L106" t="str">
        <f>INDEX('LIVE SOURCE'!$H$3:$H$225,$M106)</f>
        <v>FLEX/bench receiver; needs target growth or efficiency spikes.</v>
      </c>
      <c r="M106" s="6">
        <f>MATCH($A106,'Draft Engine'!$Q$3:$Q$225,0)</f>
        <v>124</v>
      </c>
    </row>
    <row r="107" spans="1:13" x14ac:dyDescent="0.25">
      <c r="A107">
        <v>105</v>
      </c>
      <c r="B107" t="str">
        <f>INDEX('Draft Engine'!$A$3:$A$225,$M107)</f>
        <v>TE</v>
      </c>
      <c r="C107">
        <f>INDEX('Draft Engine'!$F$3:$F$225,$M107)</f>
        <v>17</v>
      </c>
      <c r="D107" t="str">
        <f>INDEX('Draft Engine'!$B$3:$B$225,$M107)</f>
        <v>Hunter Henry</v>
      </c>
      <c r="E107" s="4">
        <f>INDEX('Draft Engine'!$E$3:$E$225,$M107)</f>
        <v>76.252600000000001</v>
      </c>
      <c r="F107" t="str">
        <f t="shared" si="1"/>
        <v>TIER 4</v>
      </c>
      <c r="G107" s="4">
        <f>INDEX('Draft Engine'!$N$3:$N$225,$M107)</f>
        <v>57.058006923076931</v>
      </c>
      <c r="H107" s="4">
        <f>INDEX('Draft Engine'!$R$3:$R$225,$M107)</f>
        <v>161</v>
      </c>
      <c r="I107" s="4">
        <f>INDEX('Draft Engine'!$S$3:$S$225,$M107)</f>
        <v>56</v>
      </c>
      <c r="J107" s="5"/>
      <c r="K107">
        <f>INDEX('Draft Engine'!$Z$3:$Z$225,$M107)</f>
        <v>105</v>
      </c>
      <c r="L107" t="str">
        <f>INDEX('LIVE SOURCE'!$H$3:$H$225,$M107)</f>
        <v>Streaming/TE2 range; touchdown and route volume drive usefulness.</v>
      </c>
      <c r="M107" s="6">
        <f>MATCH($A107,'Draft Engine'!$Q$3:$Q$225,0)</f>
        <v>169</v>
      </c>
    </row>
    <row r="108" spans="1:13" x14ac:dyDescent="0.25">
      <c r="A108">
        <v>106</v>
      </c>
      <c r="B108" t="str">
        <f>INDEX('Draft Engine'!$A$3:$A$225,$M108)</f>
        <v>RB</v>
      </c>
      <c r="C108">
        <f>INDEX('Draft Engine'!$F$3:$F$225,$M108)</f>
        <v>36</v>
      </c>
      <c r="D108" t="str">
        <f>INDEX('Draft Engine'!$B$3:$B$225,$M108)</f>
        <v>J.K. Dobbins</v>
      </c>
      <c r="E108" s="4">
        <f>INDEX('Draft Engine'!$E$3:$E$225,$M108)</f>
        <v>71.166600000000003</v>
      </c>
      <c r="F108" t="str">
        <f t="shared" si="1"/>
        <v>TIER 5</v>
      </c>
      <c r="G108" s="4">
        <f>INDEX('Draft Engine'!$N$3:$N$225,$M108)</f>
        <v>56.995505000000009</v>
      </c>
      <c r="H108" s="4">
        <f>INDEX('Draft Engine'!$R$3:$R$225,$M108)</f>
        <v>149</v>
      </c>
      <c r="I108" s="4">
        <f>INDEX('Draft Engine'!$S$3:$S$225,$M108)</f>
        <v>43</v>
      </c>
      <c r="J108" s="5"/>
      <c r="K108">
        <f>INDEX('Draft Engine'!$Z$3:$Z$225,$M108)</f>
        <v>106</v>
      </c>
      <c r="L108" t="str">
        <f>INDEX('LIVE SOURCE'!$H$3:$H$225,$M108)</f>
        <v>FLEX/bench depth with upside if workload grows.</v>
      </c>
      <c r="M108" s="6">
        <f>MATCH($A108,'Draft Engine'!$Q$3:$Q$225,0)</f>
        <v>68</v>
      </c>
    </row>
    <row r="109" spans="1:13" x14ac:dyDescent="0.25">
      <c r="A109">
        <v>107</v>
      </c>
      <c r="B109" t="str">
        <f>INDEX('Draft Engine'!$A$3:$A$225,$M109)</f>
        <v>TE</v>
      </c>
      <c r="C109">
        <f>INDEX('Draft Engine'!$F$3:$F$225,$M109)</f>
        <v>18</v>
      </c>
      <c r="D109" t="str">
        <f>INDEX('Draft Engine'!$B$3:$B$225,$M109)</f>
        <v>Brenton Strange</v>
      </c>
      <c r="E109" s="4">
        <f>INDEX('Draft Engine'!$E$3:$E$225,$M109)</f>
        <v>76.0321</v>
      </c>
      <c r="F109" t="str">
        <f t="shared" si="1"/>
        <v>TIER 4</v>
      </c>
      <c r="G109" s="4">
        <f>INDEX('Draft Engine'!$N$3:$N$225,$M109)</f>
        <v>56.100424230769235</v>
      </c>
      <c r="H109" s="4">
        <f>INDEX('Draft Engine'!$R$3:$R$225,$M109)</f>
        <v>170</v>
      </c>
      <c r="I109" s="4">
        <f>INDEX('Draft Engine'!$S$3:$S$225,$M109)</f>
        <v>63</v>
      </c>
      <c r="J109" s="5"/>
      <c r="K109">
        <f>INDEX('Draft Engine'!$Z$3:$Z$225,$M109)</f>
        <v>107</v>
      </c>
      <c r="L109" t="str">
        <f>INDEX('LIVE SOURCE'!$H$3:$H$225,$M109)</f>
        <v>Streaming/TE2 range; touchdown and route volume drive usefulness.</v>
      </c>
      <c r="M109" s="6">
        <f>MATCH($A109,'Draft Engine'!$Q$3:$Q$225,0)</f>
        <v>170</v>
      </c>
    </row>
    <row r="110" spans="1:13" x14ac:dyDescent="0.25">
      <c r="A110">
        <v>108</v>
      </c>
      <c r="B110" t="str">
        <f>INDEX('Draft Engine'!$A$3:$A$225,$M110)</f>
        <v>WR</v>
      </c>
      <c r="C110">
        <f>INDEX('Draft Engine'!$F$3:$F$225,$M110)</f>
        <v>38</v>
      </c>
      <c r="D110" t="str">
        <f>INDEX('Draft Engine'!$B$3:$B$225,$M110)</f>
        <v>Chris Godwin Jr.</v>
      </c>
      <c r="E110" s="4">
        <f>INDEX('Draft Engine'!$E$3:$E$225,$M110)</f>
        <v>70.86</v>
      </c>
      <c r="F110" t="str">
        <f t="shared" si="1"/>
        <v>TIER 5</v>
      </c>
      <c r="G110" s="4">
        <f>INDEX('Draft Engine'!$N$3:$N$225,$M110)</f>
        <v>56.033666666666669</v>
      </c>
      <c r="H110" s="4">
        <f>INDEX('Draft Engine'!$R$3:$R$225,$M110)</f>
        <v>166.8</v>
      </c>
      <c r="I110" s="4">
        <f>INDEX('Draft Engine'!$S$3:$S$225,$M110)</f>
        <v>58.800000000000011</v>
      </c>
      <c r="J110" s="5"/>
      <c r="K110">
        <f>INDEX('Draft Engine'!$Z$3:$Z$225,$M110)</f>
        <v>108</v>
      </c>
      <c r="L110" t="str">
        <f>INDEX('LIVE SOURCE'!$H$3:$H$225,$M110)</f>
        <v>FLEX/bench receiver; needs target growth or efficiency spikes.</v>
      </c>
      <c r="M110" s="6">
        <f>MATCH($A110,'Draft Engine'!$Q$3:$Q$225,0)</f>
        <v>125</v>
      </c>
    </row>
    <row r="111" spans="1:13" x14ac:dyDescent="0.25">
      <c r="A111">
        <v>109</v>
      </c>
      <c r="B111" t="str">
        <f>INDEX('Draft Engine'!$A$3:$A$225,$M111)</f>
        <v>QB</v>
      </c>
      <c r="C111">
        <f>INDEX('Draft Engine'!$F$3:$F$225,$M111)</f>
        <v>17</v>
      </c>
      <c r="D111" t="str">
        <f>INDEX('Draft Engine'!$B$3:$B$225,$M111)</f>
        <v>Kyler Murray</v>
      </c>
      <c r="E111" s="4">
        <f>INDEX('Draft Engine'!$E$3:$E$225,$M111)</f>
        <v>80.710099999999997</v>
      </c>
      <c r="F111" t="str">
        <f t="shared" si="1"/>
        <v>TIER 3</v>
      </c>
      <c r="G111" s="4">
        <f>INDEX('Draft Engine'!$N$3:$N$225,$M111)</f>
        <v>55.860862692307691</v>
      </c>
      <c r="H111" s="4">
        <f>INDEX('Draft Engine'!$R$3:$R$225,$M111)</f>
        <v>150</v>
      </c>
      <c r="I111" s="4">
        <f>INDEX('Draft Engine'!$S$3:$S$225,$M111)</f>
        <v>41</v>
      </c>
      <c r="J111" s="5"/>
      <c r="K111">
        <f>INDEX('Draft Engine'!$Z$3:$Z$225,$M111)</f>
        <v>109</v>
      </c>
      <c r="L111" t="str">
        <f>INDEX('LIVE SOURCE'!$H$3:$H$225,$M111)</f>
        <v>QB2/streaming tier; useful when matchup and supporting cast line up.</v>
      </c>
      <c r="M111" s="6">
        <f>MATCH($A111,'Draft Engine'!$Q$3:$Q$225,0)</f>
        <v>17</v>
      </c>
    </row>
    <row r="112" spans="1:13" x14ac:dyDescent="0.25">
      <c r="A112">
        <v>110</v>
      </c>
      <c r="B112" t="str">
        <f>INDEX('Draft Engine'!$A$3:$A$225,$M112)</f>
        <v>WR</v>
      </c>
      <c r="C112">
        <f>INDEX('Draft Engine'!$F$3:$F$225,$M112)</f>
        <v>39</v>
      </c>
      <c r="D112" t="str">
        <f>INDEX('Draft Engine'!$B$3:$B$225,$M112)</f>
        <v>Alec Pierce</v>
      </c>
      <c r="E112" s="4">
        <f>INDEX('Draft Engine'!$E$3:$E$225,$M112)</f>
        <v>70.724999999999994</v>
      </c>
      <c r="F112" t="str">
        <f t="shared" si="1"/>
        <v>TIER 5</v>
      </c>
      <c r="G112" s="4">
        <f>INDEX('Draft Engine'!$N$3:$N$225,$M112)</f>
        <v>55.518083333333337</v>
      </c>
      <c r="H112" s="4">
        <f>INDEX('Draft Engine'!$R$3:$R$225,$M112)</f>
        <v>120</v>
      </c>
      <c r="I112" s="4">
        <f>INDEX('Draft Engine'!$S$3:$S$225,$M112)</f>
        <v>10</v>
      </c>
      <c r="J112" s="5"/>
      <c r="K112">
        <f>INDEX('Draft Engine'!$Z$3:$Z$225,$M112)</f>
        <v>110</v>
      </c>
      <c r="L112" t="str">
        <f>INDEX('LIVE SOURCE'!$H$3:$H$225,$M112)</f>
        <v>FLEX/bench receiver; needs target growth or efficiency spikes.</v>
      </c>
      <c r="M112" s="6">
        <f>MATCH($A112,'Draft Engine'!$Q$3:$Q$225,0)</f>
        <v>113</v>
      </c>
    </row>
    <row r="113" spans="1:13" x14ac:dyDescent="0.25">
      <c r="A113">
        <v>111</v>
      </c>
      <c r="B113" t="str">
        <f>INDEX('Draft Engine'!$A$3:$A$225,$M113)</f>
        <v>TE</v>
      </c>
      <c r="C113">
        <f>INDEX('Draft Engine'!$F$3:$F$225,$M113)</f>
        <v>19</v>
      </c>
      <c r="D113" t="str">
        <f>INDEX('Draft Engine'!$B$3:$B$225,$M113)</f>
        <v>Chig Okonkwo</v>
      </c>
      <c r="E113" s="4">
        <f>INDEX('Draft Engine'!$E$3:$E$225,$M113)</f>
        <v>75.513199999999998</v>
      </c>
      <c r="F113" t="str">
        <f t="shared" si="1"/>
        <v>TIER 4</v>
      </c>
      <c r="G113" s="4">
        <f>INDEX('Draft Engine'!$N$3:$N$225,$M113)</f>
        <v>54.798721538461542</v>
      </c>
      <c r="H113" s="4">
        <f>INDEX('Draft Engine'!$R$3:$R$225,$M113)</f>
        <v>179</v>
      </c>
      <c r="I113" s="4">
        <f>INDEX('Draft Engine'!$S$3:$S$225,$M113)</f>
        <v>68</v>
      </c>
      <c r="J113" s="5"/>
      <c r="K113">
        <f>INDEX('Draft Engine'!$Z$3:$Z$225,$M113)</f>
        <v>111</v>
      </c>
      <c r="L113" t="str">
        <f>INDEX('LIVE SOURCE'!$H$3:$H$225,$M113)</f>
        <v>Deep TE stash; needs a larger route/target role to matter in 10-team leagues.</v>
      </c>
      <c r="M113" s="6">
        <f>MATCH($A113,'Draft Engine'!$Q$3:$Q$225,0)</f>
        <v>171</v>
      </c>
    </row>
    <row r="114" spans="1:13" x14ac:dyDescent="0.25">
      <c r="A114">
        <v>112</v>
      </c>
      <c r="B114" t="str">
        <f>INDEX('Draft Engine'!$A$3:$A$225,$M114)</f>
        <v>WR</v>
      </c>
      <c r="C114">
        <f>INDEX('Draft Engine'!$F$3:$F$225,$M114)</f>
        <v>40</v>
      </c>
      <c r="D114" t="str">
        <f>INDEX('Draft Engine'!$B$3:$B$225,$M114)</f>
        <v>Quentin Johnston</v>
      </c>
      <c r="E114" s="4">
        <f>INDEX('Draft Engine'!$E$3:$E$225,$M114)</f>
        <v>70.19</v>
      </c>
      <c r="F114" t="str">
        <f t="shared" si="1"/>
        <v>TIER 5</v>
      </c>
      <c r="G114" s="4">
        <f>INDEX('Draft Engine'!$N$3:$N$225,$M114)</f>
        <v>54.494500000000002</v>
      </c>
      <c r="H114" s="4">
        <f>INDEX('Draft Engine'!$R$3:$R$225,$M114)</f>
        <v>170.7</v>
      </c>
      <c r="I114" s="4">
        <f>INDEX('Draft Engine'!$S$3:$S$225,$M114)</f>
        <v>58.699999999999989</v>
      </c>
      <c r="J114" s="5"/>
      <c r="K114">
        <f>INDEX('Draft Engine'!$Z$3:$Z$225,$M114)</f>
        <v>112</v>
      </c>
      <c r="L114" t="str">
        <f>INDEX('LIVE SOURCE'!$H$3:$H$225,$M114)</f>
        <v>FLEX/bench receiver; needs target growth or efficiency spikes.</v>
      </c>
      <c r="M114" s="6">
        <f>MATCH($A114,'Draft Engine'!$Q$3:$Q$225,0)</f>
        <v>126</v>
      </c>
    </row>
    <row r="115" spans="1:13" x14ac:dyDescent="0.25">
      <c r="A115">
        <v>113</v>
      </c>
      <c r="B115" t="str">
        <f>INDEX('Draft Engine'!$A$3:$A$225,$M115)</f>
        <v>RB</v>
      </c>
      <c r="C115">
        <f>INDEX('Draft Engine'!$F$3:$F$225,$M115)</f>
        <v>37</v>
      </c>
      <c r="D115" t="str">
        <f>INDEX('Draft Engine'!$B$3:$B$225,$M115)</f>
        <v>Blake Corum</v>
      </c>
      <c r="E115" s="4">
        <f>INDEX('Draft Engine'!$E$3:$E$225,$M115)</f>
        <v>69.519599999999997</v>
      </c>
      <c r="F115" t="str">
        <f t="shared" si="1"/>
        <v>TIER 6</v>
      </c>
      <c r="G115" s="4">
        <f>INDEX('Draft Engine'!$N$3:$N$225,$M115)</f>
        <v>54.488279999999996</v>
      </c>
      <c r="H115" s="4">
        <f>INDEX('Draft Engine'!$R$3:$R$225,$M115)</f>
        <v>153.19999999999999</v>
      </c>
      <c r="I115" s="4">
        <f>INDEX('Draft Engine'!$S$3:$S$225,$M115)</f>
        <v>40.199999999999989</v>
      </c>
      <c r="J115" s="5"/>
      <c r="K115">
        <f>INDEX('Draft Engine'!$Z$3:$Z$225,$M115)</f>
        <v>113</v>
      </c>
      <c r="L115" t="str">
        <f>INDEX('LIVE SOURCE'!$H$3:$H$225,$M115)</f>
        <v>FLEX/bench depth with upside if workload grows.</v>
      </c>
      <c r="M115" s="6">
        <f>MATCH($A115,'Draft Engine'!$Q$3:$Q$225,0)</f>
        <v>69</v>
      </c>
    </row>
    <row r="116" spans="1:13" x14ac:dyDescent="0.25">
      <c r="A116">
        <v>114</v>
      </c>
      <c r="B116" t="str">
        <f>INDEX('Draft Engine'!$A$3:$A$225,$M116)</f>
        <v>QB</v>
      </c>
      <c r="C116">
        <f>INDEX('Draft Engine'!$F$3:$F$225,$M116)</f>
        <v>18</v>
      </c>
      <c r="D116" t="str">
        <f>INDEX('Draft Engine'!$B$3:$B$225,$M116)</f>
        <v>Jordan Love</v>
      </c>
      <c r="E116" s="4">
        <f>INDEX('Draft Engine'!$E$3:$E$225,$M116)</f>
        <v>80.040800000000004</v>
      </c>
      <c r="F116" t="str">
        <f t="shared" si="1"/>
        <v>TIER 3</v>
      </c>
      <c r="G116" s="4">
        <f>INDEX('Draft Engine'!$N$3:$N$225,$M116)</f>
        <v>54.183516923076922</v>
      </c>
      <c r="H116" s="4">
        <f>INDEX('Draft Engine'!$R$3:$R$225,$M116)</f>
        <v>158</v>
      </c>
      <c r="I116" s="4">
        <f>INDEX('Draft Engine'!$S$3:$S$225,$M116)</f>
        <v>44</v>
      </c>
      <c r="J116" s="5"/>
      <c r="K116">
        <f>INDEX('Draft Engine'!$Z$3:$Z$225,$M116)</f>
        <v>114</v>
      </c>
      <c r="L116" t="str">
        <f>INDEX('LIVE SOURCE'!$H$3:$H$225,$M116)</f>
        <v>QB2/streaming tier; useful when matchup and supporting cast line up.</v>
      </c>
      <c r="M116" s="6">
        <f>MATCH($A116,'Draft Engine'!$Q$3:$Q$225,0)</f>
        <v>18</v>
      </c>
    </row>
    <row r="117" spans="1:13" x14ac:dyDescent="0.25">
      <c r="A117">
        <v>115</v>
      </c>
      <c r="B117" t="str">
        <f>INDEX('Draft Engine'!$A$3:$A$225,$M117)</f>
        <v>RB</v>
      </c>
      <c r="C117">
        <f>INDEX('Draft Engine'!$F$3:$F$225,$M117)</f>
        <v>38</v>
      </c>
      <c r="D117" t="str">
        <f>INDEX('Draft Engine'!$B$3:$B$225,$M117)</f>
        <v>Rachaad White</v>
      </c>
      <c r="E117" s="4">
        <f>INDEX('Draft Engine'!$E$3:$E$225,$M117)</f>
        <v>69.203699999999998</v>
      </c>
      <c r="F117" t="str">
        <f t="shared" si="1"/>
        <v>TIER 6</v>
      </c>
      <c r="G117" s="4">
        <f>INDEX('Draft Engine'!$N$3:$N$225,$M117)</f>
        <v>53.721159999999998</v>
      </c>
      <c r="H117" s="4">
        <f>INDEX('Draft Engine'!$R$3:$R$225,$M117)</f>
        <v>157.4</v>
      </c>
      <c r="I117" s="4">
        <f>INDEX('Draft Engine'!$S$3:$S$225,$M117)</f>
        <v>42.400000000000006</v>
      </c>
      <c r="J117" s="5"/>
      <c r="K117">
        <f>INDEX('Draft Engine'!$Z$3:$Z$225,$M117)</f>
        <v>115</v>
      </c>
      <c r="L117" t="str">
        <f>INDEX('LIVE SOURCE'!$H$3:$H$225,$M117)</f>
        <v>FLEX/bench depth with upside if workload grows.</v>
      </c>
      <c r="M117" s="6">
        <f>MATCH($A117,'Draft Engine'!$Q$3:$Q$225,0)</f>
        <v>70</v>
      </c>
    </row>
    <row r="118" spans="1:13" x14ac:dyDescent="0.25">
      <c r="A118">
        <v>116</v>
      </c>
      <c r="B118" t="str">
        <f>INDEX('Draft Engine'!$A$3:$A$225,$M118)</f>
        <v>WR</v>
      </c>
      <c r="C118">
        <f>INDEX('Draft Engine'!$F$3:$F$225,$M118)</f>
        <v>41</v>
      </c>
      <c r="D118" t="str">
        <f>INDEX('Draft Engine'!$B$3:$B$225,$M118)</f>
        <v>DK Metcalf</v>
      </c>
      <c r="E118" s="4">
        <f>INDEX('Draft Engine'!$E$3:$E$225,$M118)</f>
        <v>69.807500000000005</v>
      </c>
      <c r="F118" t="str">
        <f t="shared" si="1"/>
        <v>TIER 6</v>
      </c>
      <c r="G118" s="4">
        <f>INDEX('Draft Engine'!$N$3:$N$225,$M118)</f>
        <v>53.662791666666671</v>
      </c>
      <c r="H118" s="4">
        <f>INDEX('Draft Engine'!$R$3:$R$225,$M118)</f>
        <v>123.9</v>
      </c>
      <c r="I118" s="4">
        <f>INDEX('Draft Engine'!$S$3:$S$225,$M118)</f>
        <v>7.9000000000000057</v>
      </c>
      <c r="J118" s="5"/>
      <c r="K118">
        <f>INDEX('Draft Engine'!$Z$3:$Z$225,$M118)</f>
        <v>116</v>
      </c>
      <c r="L118" t="str">
        <f>INDEX('LIVE SOURCE'!$H$3:$H$225,$M118)</f>
        <v>FLEX/bench receiver; needs target growth or efficiency spikes.</v>
      </c>
      <c r="M118" s="6">
        <f>MATCH($A118,'Draft Engine'!$Q$3:$Q$225,0)</f>
        <v>114</v>
      </c>
    </row>
    <row r="119" spans="1:13" x14ac:dyDescent="0.25">
      <c r="A119">
        <v>117</v>
      </c>
      <c r="B119" t="str">
        <f>INDEX('Draft Engine'!$A$3:$A$225,$M119)</f>
        <v>QB</v>
      </c>
      <c r="C119">
        <f>INDEX('Draft Engine'!$F$3:$F$225,$M119)</f>
        <v>19</v>
      </c>
      <c r="D119" t="str">
        <f>INDEX('Draft Engine'!$B$3:$B$225,$M119)</f>
        <v>Baker Mayfield</v>
      </c>
      <c r="E119" s="4">
        <f>INDEX('Draft Engine'!$E$3:$E$225,$M119)</f>
        <v>79.825999999999993</v>
      </c>
      <c r="F119" t="str">
        <f t="shared" si="1"/>
        <v>TIER 4</v>
      </c>
      <c r="G119" s="4">
        <f>INDEX('Draft Engine'!$N$3:$N$225,$M119)</f>
        <v>53.116146153846152</v>
      </c>
      <c r="H119" s="4">
        <f>INDEX('Draft Engine'!$R$3:$R$225,$M119)</f>
        <v>166</v>
      </c>
      <c r="I119" s="4">
        <f>INDEX('Draft Engine'!$S$3:$S$225,$M119)</f>
        <v>49</v>
      </c>
      <c r="J119" s="5"/>
      <c r="K119">
        <f>INDEX('Draft Engine'!$Z$3:$Z$225,$M119)</f>
        <v>117</v>
      </c>
      <c r="L119" t="str">
        <f>INDEX('LIVE SOURCE'!$H$3:$H$225,$M119)</f>
        <v>Bench/streaming option; needs matchup, rushing or TD spike weeks.</v>
      </c>
      <c r="M119" s="6">
        <f>MATCH($A119,'Draft Engine'!$Q$3:$Q$225,0)</f>
        <v>19</v>
      </c>
    </row>
    <row r="120" spans="1:13" x14ac:dyDescent="0.25">
      <c r="A120">
        <v>118</v>
      </c>
      <c r="B120" t="str">
        <f>INDEX('Draft Engine'!$A$3:$A$225,$M120)</f>
        <v>RB</v>
      </c>
      <c r="C120">
        <f>INDEX('Draft Engine'!$F$3:$F$225,$M120)</f>
        <v>39</v>
      </c>
      <c r="D120" t="str">
        <f>INDEX('Draft Engine'!$B$3:$B$225,$M120)</f>
        <v>Jacory Croskey-Merritt</v>
      </c>
      <c r="E120" s="4">
        <f>INDEX('Draft Engine'!$E$3:$E$225,$M120)</f>
        <v>68.992199999999997</v>
      </c>
      <c r="F120" t="str">
        <f t="shared" si="1"/>
        <v>TIER 6</v>
      </c>
      <c r="G120" s="4">
        <f>INDEX('Draft Engine'!$N$3:$N$225,$M120)</f>
        <v>53.083460000000002</v>
      </c>
      <c r="H120" s="4">
        <f>INDEX('Draft Engine'!$R$3:$R$225,$M120)</f>
        <v>161.6</v>
      </c>
      <c r="I120" s="4">
        <f>INDEX('Draft Engine'!$S$3:$S$225,$M120)</f>
        <v>43.599999999999994</v>
      </c>
      <c r="J120" s="5"/>
      <c r="K120">
        <f>INDEX('Draft Engine'!$Z$3:$Z$225,$M120)</f>
        <v>118</v>
      </c>
      <c r="L120" t="str">
        <f>INDEX('LIVE SOURCE'!$H$3:$H$225,$M120)</f>
        <v>FLEX/bench depth with upside if workload grows.</v>
      </c>
      <c r="M120" s="6">
        <f>MATCH($A120,'Draft Engine'!$Q$3:$Q$225,0)</f>
        <v>71</v>
      </c>
    </row>
    <row r="121" spans="1:13" x14ac:dyDescent="0.25">
      <c r="A121">
        <v>119</v>
      </c>
      <c r="B121" t="str">
        <f>INDEX('Draft Engine'!$A$3:$A$225,$M121)</f>
        <v>WR</v>
      </c>
      <c r="C121">
        <f>INDEX('Draft Engine'!$F$3:$F$225,$M121)</f>
        <v>42</v>
      </c>
      <c r="D121" t="str">
        <f>INDEX('Draft Engine'!$B$3:$B$225,$M121)</f>
        <v>Makai Lemon</v>
      </c>
      <c r="E121" s="4">
        <f>INDEX('Draft Engine'!$E$3:$E$225,$M121)</f>
        <v>69.2</v>
      </c>
      <c r="F121" t="str">
        <f t="shared" si="1"/>
        <v>TIER 6</v>
      </c>
      <c r="G121" s="4">
        <f>INDEX('Draft Engine'!$N$3:$N$225,$M121)</f>
        <v>52.527333333333338</v>
      </c>
      <c r="H121" s="4">
        <f>INDEX('Draft Engine'!$R$3:$R$225,$M121)</f>
        <v>159</v>
      </c>
      <c r="I121" s="4">
        <f>INDEX('Draft Engine'!$S$3:$S$225,$M121)</f>
        <v>40</v>
      </c>
      <c r="J121" s="5"/>
      <c r="K121">
        <f>INDEX('Draft Engine'!$Z$3:$Z$225,$M121)</f>
        <v>119</v>
      </c>
      <c r="L121" t="str">
        <f>INDEX('LIVE SOURCE'!$H$3:$H$225,$M121)</f>
        <v>WR2/FLEX; dependable lineup option with matchup-driven ceiling.</v>
      </c>
      <c r="M121" s="6">
        <f>MATCH($A121,'Draft Engine'!$Q$3:$Q$225,0)</f>
        <v>123</v>
      </c>
    </row>
    <row r="122" spans="1:13" x14ac:dyDescent="0.25">
      <c r="A122">
        <v>120</v>
      </c>
      <c r="B122" t="str">
        <f>INDEX('Draft Engine'!$A$3:$A$225,$M122)</f>
        <v>TE</v>
      </c>
      <c r="C122">
        <f>INDEX('Draft Engine'!$F$3:$F$225,$M122)</f>
        <v>20</v>
      </c>
      <c r="D122" t="str">
        <f>INDEX('Draft Engine'!$B$3:$B$225,$M122)</f>
        <v>Kenyon Sadiq</v>
      </c>
      <c r="E122" s="4">
        <f>INDEX('Draft Engine'!$E$3:$E$225,$M122)</f>
        <v>74.093800000000002</v>
      </c>
      <c r="F122" t="str">
        <f t="shared" si="1"/>
        <v>TIER 5</v>
      </c>
      <c r="G122" s="4">
        <f>INDEX('Draft Engine'!$N$3:$N$225,$M122)</f>
        <v>52.425743846153857</v>
      </c>
      <c r="H122" s="4">
        <f>INDEX('Draft Engine'!$R$3:$R$225,$M122)</f>
        <v>188</v>
      </c>
      <c r="I122" s="4">
        <f>INDEX('Draft Engine'!$S$3:$S$225,$M122)</f>
        <v>68</v>
      </c>
      <c r="J122" s="5"/>
      <c r="K122">
        <f>INDEX('Draft Engine'!$Z$3:$Z$225,$M122)</f>
        <v>120</v>
      </c>
      <c r="L122" t="str">
        <f>INDEX('LIVE SOURCE'!$H$3:$H$225,$M122)</f>
        <v>Deep TE stash; needs a larger route/target role to matter in 10-team leagues.</v>
      </c>
      <c r="M122" s="6">
        <f>MATCH($A122,'Draft Engine'!$Q$3:$Q$225,0)</f>
        <v>172</v>
      </c>
    </row>
    <row r="123" spans="1:13" x14ac:dyDescent="0.25">
      <c r="A123">
        <v>121</v>
      </c>
      <c r="B123" t="str">
        <f>INDEX('Draft Engine'!$A$3:$A$225,$M123)</f>
        <v>TE</v>
      </c>
      <c r="C123">
        <f>INDEX('Draft Engine'!$F$3:$F$225,$M123)</f>
        <v>21</v>
      </c>
      <c r="D123" t="str">
        <f>INDEX('Draft Engine'!$B$3:$B$225,$M123)</f>
        <v>T.J. Hockenson</v>
      </c>
      <c r="E123" s="4">
        <f>INDEX('Draft Engine'!$E$3:$E$225,$M123)</f>
        <v>73.852699999999999</v>
      </c>
      <c r="F123" t="str">
        <f t="shared" si="1"/>
        <v>TIER 5</v>
      </c>
      <c r="G123" s="4">
        <f>INDEX('Draft Engine'!$N$3:$N$225,$M123)</f>
        <v>51.802985</v>
      </c>
      <c r="H123" s="4">
        <f>INDEX('Draft Engine'!$R$3:$R$225,$M123)</f>
        <v>197</v>
      </c>
      <c r="I123" s="4">
        <f>INDEX('Draft Engine'!$S$3:$S$225,$M123)</f>
        <v>76</v>
      </c>
      <c r="J123" s="5"/>
      <c r="K123">
        <f>INDEX('Draft Engine'!$Z$3:$Z$225,$M123)</f>
        <v>121</v>
      </c>
      <c r="L123" t="str">
        <f>INDEX('LIVE SOURCE'!$H$3:$H$225,$M123)</f>
        <v>Deep TE stash; needs a larger route/target role to matter in 10-team leagues.</v>
      </c>
      <c r="M123" s="6">
        <f>MATCH($A123,'Draft Engine'!$Q$3:$Q$225,0)</f>
        <v>173</v>
      </c>
    </row>
    <row r="124" spans="1:13" x14ac:dyDescent="0.25">
      <c r="A124">
        <v>122</v>
      </c>
      <c r="B124" t="str">
        <f>INDEX('Draft Engine'!$A$3:$A$225,$M124)</f>
        <v>WR</v>
      </c>
      <c r="C124">
        <f>INDEX('Draft Engine'!$F$3:$F$225,$M124)</f>
        <v>43</v>
      </c>
      <c r="D124" t="str">
        <f>INDEX('Draft Engine'!$B$3:$B$225,$M124)</f>
        <v>Michael Wilson</v>
      </c>
      <c r="E124" s="4">
        <f>INDEX('Draft Engine'!$E$3:$E$225,$M124)</f>
        <v>68.849999999999994</v>
      </c>
      <c r="F124" t="str">
        <f t="shared" si="1"/>
        <v>TIER 6</v>
      </c>
      <c r="G124" s="4">
        <f>INDEX('Draft Engine'!$N$3:$N$225,$M124)</f>
        <v>51.749499999999998</v>
      </c>
      <c r="H124" s="4">
        <f>INDEX('Draft Engine'!$R$3:$R$225,$M124)</f>
        <v>178.5</v>
      </c>
      <c r="I124" s="4">
        <f>INDEX('Draft Engine'!$S$3:$S$225,$M124)</f>
        <v>56.5</v>
      </c>
      <c r="J124" s="5"/>
      <c r="K124">
        <f>INDEX('Draft Engine'!$Z$3:$Z$225,$M124)</f>
        <v>122</v>
      </c>
      <c r="L124" t="str">
        <f>INDEX('LIVE SOURCE'!$H$3:$H$225,$M124)</f>
        <v>FLEX/bench receiver; needs target growth or efficiency spikes.</v>
      </c>
      <c r="M124" s="6">
        <f>MATCH($A124,'Draft Engine'!$Q$3:$Q$225,0)</f>
        <v>128</v>
      </c>
    </row>
    <row r="125" spans="1:13" x14ac:dyDescent="0.25">
      <c r="A125">
        <v>123</v>
      </c>
      <c r="B125" t="str">
        <f>INDEX('Draft Engine'!$A$3:$A$225,$M125)</f>
        <v>WR</v>
      </c>
      <c r="C125">
        <f>INDEX('Draft Engine'!$F$3:$F$225,$M125)</f>
        <v>44</v>
      </c>
      <c r="D125" t="str">
        <f>INDEX('Draft Engine'!$B$3:$B$225,$M125)</f>
        <v>Courtland Sutton</v>
      </c>
      <c r="E125" s="4">
        <f>INDEX('Draft Engine'!$E$3:$E$225,$M125)</f>
        <v>68.722499999999997</v>
      </c>
      <c r="F125" t="str">
        <f t="shared" si="1"/>
        <v>TIER 6</v>
      </c>
      <c r="G125" s="4">
        <f>INDEX('Draft Engine'!$N$3:$N$225,$M125)</f>
        <v>51.238041666666668</v>
      </c>
      <c r="H125" s="4">
        <f>INDEX('Draft Engine'!$R$3:$R$225,$M125)</f>
        <v>131.69999999999999</v>
      </c>
      <c r="I125" s="4">
        <f>INDEX('Draft Engine'!$S$3:$S$225,$M125)</f>
        <v>8.6999999999999886</v>
      </c>
      <c r="J125" s="5"/>
      <c r="K125">
        <f>INDEX('Draft Engine'!$Z$3:$Z$225,$M125)</f>
        <v>123</v>
      </c>
      <c r="L125" t="str">
        <f>INDEX('LIVE SOURCE'!$H$3:$H$225,$M125)</f>
        <v>FLEX/bench receiver; needs target growth or efficiency spikes.</v>
      </c>
      <c r="M125" s="6">
        <f>MATCH($A125,'Draft Engine'!$Q$3:$Q$225,0)</f>
        <v>116</v>
      </c>
    </row>
    <row r="126" spans="1:13" x14ac:dyDescent="0.25">
      <c r="A126">
        <v>124</v>
      </c>
      <c r="B126" t="str">
        <f>INDEX('Draft Engine'!$A$3:$A$225,$M126)</f>
        <v>TE</v>
      </c>
      <c r="C126">
        <f>INDEX('Draft Engine'!$F$3:$F$225,$M126)</f>
        <v>22</v>
      </c>
      <c r="D126" t="str">
        <f>INDEX('Draft Engine'!$B$3:$B$225,$M126)</f>
        <v>Dalton Schultz</v>
      </c>
      <c r="E126" s="4">
        <f>INDEX('Draft Engine'!$E$3:$E$225,$M126)</f>
        <v>73.279499999999999</v>
      </c>
      <c r="F126" t="str">
        <f t="shared" si="1"/>
        <v>TIER 5</v>
      </c>
      <c r="G126" s="4">
        <f>INDEX('Draft Engine'!$N$3:$N$225,$M126)</f>
        <v>51.127724999999998</v>
      </c>
      <c r="H126" s="4">
        <f>INDEX('Draft Engine'!$R$3:$R$225,$M126)</f>
        <v>206</v>
      </c>
      <c r="I126" s="4">
        <f>INDEX('Draft Engine'!$S$3:$S$225,$M126)</f>
        <v>82</v>
      </c>
      <c r="J126" s="5"/>
      <c r="K126">
        <f>INDEX('Draft Engine'!$Z$3:$Z$225,$M126)</f>
        <v>124</v>
      </c>
      <c r="L126" t="str">
        <f>INDEX('LIVE SOURCE'!$H$3:$H$225,$M126)</f>
        <v>Deep TE stash; needs a larger route/target role to matter in 10-team leagues.</v>
      </c>
      <c r="M126" s="6">
        <f>MATCH($A126,'Draft Engine'!$Q$3:$Q$225,0)</f>
        <v>174</v>
      </c>
    </row>
    <row r="127" spans="1:13" x14ac:dyDescent="0.25">
      <c r="A127">
        <v>125</v>
      </c>
      <c r="B127" t="str">
        <f>INDEX('Draft Engine'!$A$3:$A$225,$M127)</f>
        <v>RB</v>
      </c>
      <c r="C127">
        <f>INDEX('Draft Engine'!$F$3:$F$225,$M127)</f>
        <v>40</v>
      </c>
      <c r="D127" t="str">
        <f>INDEX('Draft Engine'!$B$3:$B$225,$M127)</f>
        <v>Jordan Mason</v>
      </c>
      <c r="E127" s="4">
        <f>INDEX('Draft Engine'!$E$3:$E$225,$M127)</f>
        <v>67.657399999999996</v>
      </c>
      <c r="F127" t="str">
        <f t="shared" si="1"/>
        <v>TIER 6</v>
      </c>
      <c r="G127" s="4">
        <f>INDEX('Draft Engine'!$N$3:$N$225,$M127)</f>
        <v>50.981945000000003</v>
      </c>
      <c r="H127" s="4">
        <f>INDEX('Draft Engine'!$R$3:$R$225,$M127)</f>
        <v>165.8</v>
      </c>
      <c r="I127" s="4">
        <f>INDEX('Draft Engine'!$S$3:$S$225,$M127)</f>
        <v>40.800000000000011</v>
      </c>
      <c r="J127" s="5"/>
      <c r="K127">
        <f>INDEX('Draft Engine'!$Z$3:$Z$225,$M127)</f>
        <v>125</v>
      </c>
      <c r="L127" t="str">
        <f>INDEX('LIVE SOURCE'!$H$3:$H$225,$M127)</f>
        <v>FLEX/bench depth with upside if workload grows.</v>
      </c>
      <c r="M127" s="6">
        <f>MATCH($A127,'Draft Engine'!$Q$3:$Q$225,0)</f>
        <v>72</v>
      </c>
    </row>
    <row r="128" spans="1:13" x14ac:dyDescent="0.25">
      <c r="A128">
        <v>126</v>
      </c>
      <c r="B128" t="str">
        <f>INDEX('Draft Engine'!$A$3:$A$225,$M128)</f>
        <v>TE</v>
      </c>
      <c r="C128">
        <f>INDEX('Draft Engine'!$F$3:$F$225,$M128)</f>
        <v>23</v>
      </c>
      <c r="D128" t="str">
        <f>INDEX('Draft Engine'!$B$3:$B$225,$M128)</f>
        <v>Oronde Gadsden II</v>
      </c>
      <c r="E128" s="4">
        <f>INDEX('Draft Engine'!$E$3:$E$225,$M128)</f>
        <v>72.513800000000003</v>
      </c>
      <c r="F128" t="str">
        <f t="shared" si="1"/>
        <v>TIER 5</v>
      </c>
      <c r="G128" s="4">
        <f>INDEX('Draft Engine'!$N$3:$N$225,$M128)</f>
        <v>50.220590000000009</v>
      </c>
      <c r="H128" s="4">
        <f>INDEX('Draft Engine'!$R$3:$R$225,$M128)</f>
        <v>215</v>
      </c>
      <c r="I128" s="4">
        <f>INDEX('Draft Engine'!$S$3:$S$225,$M128)</f>
        <v>89</v>
      </c>
      <c r="J128" s="5"/>
      <c r="K128">
        <f>INDEX('Draft Engine'!$Z$3:$Z$225,$M128)</f>
        <v>126</v>
      </c>
      <c r="L128" t="str">
        <f>INDEX('LIVE SOURCE'!$H$3:$H$225,$M128)</f>
        <v>Deep TE stash; needs a larger route/target role to matter in 10-team leagues.</v>
      </c>
      <c r="M128" s="6">
        <f>MATCH($A128,'Draft Engine'!$Q$3:$Q$225,0)</f>
        <v>175</v>
      </c>
    </row>
    <row r="129" spans="1:13" x14ac:dyDescent="0.25">
      <c r="A129">
        <v>127</v>
      </c>
      <c r="B129" t="str">
        <f>INDEX('Draft Engine'!$A$3:$A$225,$M129)</f>
        <v>WR</v>
      </c>
      <c r="C129">
        <f>INDEX('Draft Engine'!$F$3:$F$225,$M129)</f>
        <v>45</v>
      </c>
      <c r="D129" t="str">
        <f>INDEX('Draft Engine'!$B$3:$B$225,$M129)</f>
        <v>Xavier Worthy</v>
      </c>
      <c r="E129" s="4">
        <f>INDEX('Draft Engine'!$E$3:$E$225,$M129)</f>
        <v>68.180000000000007</v>
      </c>
      <c r="F129" t="str">
        <f t="shared" si="1"/>
        <v>TIER 6</v>
      </c>
      <c r="G129" s="4">
        <f>INDEX('Draft Engine'!$N$3:$N$225,$M129)</f>
        <v>50.210333333333345</v>
      </c>
      <c r="H129" s="4">
        <f>INDEX('Draft Engine'!$R$3:$R$225,$M129)</f>
        <v>182.4</v>
      </c>
      <c r="I129" s="4">
        <f>INDEX('Draft Engine'!$S$3:$S$225,$M129)</f>
        <v>55.400000000000006</v>
      </c>
      <c r="J129" s="5"/>
      <c r="K129">
        <f>INDEX('Draft Engine'!$Z$3:$Z$225,$M129)</f>
        <v>127</v>
      </c>
      <c r="L129" t="str">
        <f>INDEX('LIVE SOURCE'!$H$3:$H$225,$M129)</f>
        <v>FLEX/bench receiver; needs target growth or efficiency spikes.</v>
      </c>
      <c r="M129" s="6">
        <f>MATCH($A129,'Draft Engine'!$Q$3:$Q$225,0)</f>
        <v>129</v>
      </c>
    </row>
    <row r="130" spans="1:13" x14ac:dyDescent="0.25">
      <c r="A130">
        <v>128</v>
      </c>
      <c r="B130" t="str">
        <f>INDEX('Draft Engine'!$A$3:$A$225,$M130)</f>
        <v>RB</v>
      </c>
      <c r="C130">
        <f>INDEX('Draft Engine'!$F$3:$F$225,$M130)</f>
        <v>41</v>
      </c>
      <c r="D130" t="str">
        <f>INDEX('Draft Engine'!$B$3:$B$225,$M130)</f>
        <v>Woody Marks</v>
      </c>
      <c r="E130" s="4">
        <f>INDEX('Draft Engine'!$E$3:$E$225,$M130)</f>
        <v>66.866200000000006</v>
      </c>
      <c r="F130" t="str">
        <f t="shared" si="1"/>
        <v>TIER 6</v>
      </c>
      <c r="G130" s="4">
        <f>INDEX('Draft Engine'!$N$3:$N$225,$M130)</f>
        <v>49.575410000000005</v>
      </c>
      <c r="H130" s="4">
        <f>INDEX('Draft Engine'!$R$3:$R$225,$M130)</f>
        <v>170</v>
      </c>
      <c r="I130" s="4">
        <f>INDEX('Draft Engine'!$S$3:$S$225,$M130)</f>
        <v>42</v>
      </c>
      <c r="J130" s="5"/>
      <c r="K130">
        <f>INDEX('Draft Engine'!$Z$3:$Z$225,$M130)</f>
        <v>128</v>
      </c>
      <c r="L130" t="str">
        <f>INDEX('LIVE SOURCE'!$H$3:$H$225,$M130)</f>
        <v>Bench stash/handcuff profile; value is tied to role change or injury ahead.</v>
      </c>
      <c r="M130" s="6">
        <f>MATCH($A130,'Draft Engine'!$Q$3:$Q$225,0)</f>
        <v>73</v>
      </c>
    </row>
    <row r="131" spans="1:13" x14ac:dyDescent="0.25">
      <c r="A131">
        <v>129</v>
      </c>
      <c r="B131" t="str">
        <f>INDEX('Draft Engine'!$A$3:$A$225,$M131)</f>
        <v>QB</v>
      </c>
      <c r="C131">
        <f>INDEX('Draft Engine'!$F$3:$F$225,$M131)</f>
        <v>20</v>
      </c>
      <c r="D131" t="str">
        <f>INDEX('Draft Engine'!$B$3:$B$225,$M131)</f>
        <v>Tyler Shough</v>
      </c>
      <c r="E131" s="4">
        <f>INDEX('Draft Engine'!$E$3:$E$225,$M131)</f>
        <v>77.365600000000001</v>
      </c>
      <c r="F131" t="str">
        <f t="shared" ref="F131:F194" si="2">IF($E131&gt;=95,"ELITE",IF($E131&gt;=90,"TIER 1",IF($E131&gt;=85,"TIER 2",IF($E131&gt;=80,"TIER 3",IF($E131&gt;=75,"TIER 4",IF($E131&gt;=70,"TIER 5",IF($E131&gt;=65,"TIER 6","TIER 7")))))))</f>
        <v>TIER 4</v>
      </c>
      <c r="G131" s="4">
        <f>INDEX('Draft Engine'!$N$3:$N$225,$M131)</f>
        <v>48.995695384615388</v>
      </c>
      <c r="H131" s="4">
        <f>INDEX('Draft Engine'!$R$3:$R$225,$M131)</f>
        <v>174</v>
      </c>
      <c r="I131" s="4">
        <f>INDEX('Draft Engine'!$S$3:$S$225,$M131)</f>
        <v>45</v>
      </c>
      <c r="J131" s="5"/>
      <c r="K131">
        <f>INDEX('Draft Engine'!$Z$3:$Z$225,$M131)</f>
        <v>129</v>
      </c>
      <c r="L131" t="str">
        <f>INDEX('LIVE SOURCE'!$H$3:$H$225,$M131)</f>
        <v>Bench/streaming option; needs matchup, rushing or TD spike weeks.</v>
      </c>
      <c r="M131" s="6">
        <f>MATCH($A131,'Draft Engine'!$Q$3:$Q$225,0)</f>
        <v>20</v>
      </c>
    </row>
    <row r="132" spans="1:13" x14ac:dyDescent="0.25">
      <c r="A132">
        <v>130</v>
      </c>
      <c r="B132" t="str">
        <f>INDEX('Draft Engine'!$A$3:$A$225,$M132)</f>
        <v>WR</v>
      </c>
      <c r="C132">
        <f>INDEX('Draft Engine'!$F$3:$F$225,$M132)</f>
        <v>46</v>
      </c>
      <c r="D132" t="str">
        <f>INDEX('Draft Engine'!$B$3:$B$225,$M132)</f>
        <v>Matthew Golden</v>
      </c>
      <c r="E132" s="4">
        <f>INDEX('Draft Engine'!$E$3:$E$225,$M132)</f>
        <v>67.510000000000005</v>
      </c>
      <c r="F132" t="str">
        <f t="shared" si="2"/>
        <v>TIER 6</v>
      </c>
      <c r="G132" s="4">
        <f>INDEX('Draft Engine'!$N$3:$N$225,$M132)</f>
        <v>48.986500000000007</v>
      </c>
      <c r="H132" s="4">
        <f>INDEX('Draft Engine'!$R$3:$R$225,$M132)</f>
        <v>186.3</v>
      </c>
      <c r="I132" s="4">
        <f>INDEX('Draft Engine'!$S$3:$S$225,$M132)</f>
        <v>56.300000000000011</v>
      </c>
      <c r="J132" s="5"/>
      <c r="K132">
        <f>INDEX('Draft Engine'!$Z$3:$Z$225,$M132)</f>
        <v>130</v>
      </c>
      <c r="L132" t="str">
        <f>INDEX('LIVE SOURCE'!$H$3:$H$225,$M132)</f>
        <v>FLEX/bench receiver; needs target growth or efficiency spikes.</v>
      </c>
      <c r="M132" s="6">
        <f>MATCH($A132,'Draft Engine'!$Q$3:$Q$225,0)</f>
        <v>130</v>
      </c>
    </row>
    <row r="133" spans="1:13" x14ac:dyDescent="0.25">
      <c r="A133">
        <v>131</v>
      </c>
      <c r="B133" t="str">
        <f>INDEX('Draft Engine'!$A$3:$A$225,$M133)</f>
        <v>DST</v>
      </c>
      <c r="C133">
        <f>INDEX('Draft Engine'!$F$3:$F$225,$M133)</f>
        <v>1</v>
      </c>
      <c r="D133" t="str">
        <f>INDEX('Draft Engine'!$B$3:$B$225,$M133)</f>
        <v>Houston Texans</v>
      </c>
      <c r="E133" s="4">
        <f>INDEX('Draft Engine'!$E$3:$E$225,$M133)</f>
        <v>93</v>
      </c>
      <c r="F133" t="str">
        <f t="shared" si="2"/>
        <v>TIER 1</v>
      </c>
      <c r="G133" s="4">
        <f>INDEX('Draft Engine'!$N$3:$N$225,$M133)</f>
        <v>56.854000000000013</v>
      </c>
      <c r="H133" s="4">
        <f>INDEX('Draft Engine'!$R$3:$R$225,$M133)</f>
        <v>160</v>
      </c>
      <c r="I133" s="4">
        <f>INDEX('Draft Engine'!$S$3:$S$225,$M133)</f>
        <v>29</v>
      </c>
      <c r="J133" s="5"/>
      <c r="K133">
        <f>INDEX('Draft Engine'!$Z$3:$Z$225,$M133)</f>
        <v>131</v>
      </c>
      <c r="L133" t="str">
        <f>INDEX('LIVE SOURCE'!$H$3:$H$225,$M133)</f>
        <v>Elite DST target if available in the final rounds; otherwise streaming remains viable.</v>
      </c>
      <c r="M133" s="6">
        <f>MATCH($A133,'Draft Engine'!$Q$3:$Q$225,0)</f>
        <v>192</v>
      </c>
    </row>
    <row r="134" spans="1:13" x14ac:dyDescent="0.25">
      <c r="A134">
        <v>132</v>
      </c>
      <c r="B134" t="str">
        <f>INDEX('Draft Engine'!$A$3:$A$225,$M134)</f>
        <v>DST</v>
      </c>
      <c r="C134">
        <f>INDEX('Draft Engine'!$F$3:$F$225,$M134)</f>
        <v>2</v>
      </c>
      <c r="D134" t="str">
        <f>INDEX('Draft Engine'!$B$3:$B$225,$M134)</f>
        <v>Denver Broncos</v>
      </c>
      <c r="E134" s="4">
        <f>INDEX('Draft Engine'!$E$3:$E$225,$M134)</f>
        <v>91.9</v>
      </c>
      <c r="F134" t="str">
        <f t="shared" si="2"/>
        <v>TIER 1</v>
      </c>
      <c r="G134" s="4">
        <f>INDEX('Draft Engine'!$N$3:$N$225,$M134)</f>
        <v>55.38900000000001</v>
      </c>
      <c r="H134" s="4">
        <f>INDEX('Draft Engine'!$R$3:$R$225,$M134)</f>
        <v>164</v>
      </c>
      <c r="I134" s="4">
        <f>INDEX('Draft Engine'!$S$3:$S$225,$M134)</f>
        <v>32</v>
      </c>
      <c r="J134" s="5"/>
      <c r="K134">
        <f>INDEX('Draft Engine'!$Z$3:$Z$225,$M134)</f>
        <v>132</v>
      </c>
      <c r="L134" t="str">
        <f>INDEX('LIVE SOURCE'!$H$3:$H$225,$M134)</f>
        <v>Elite DST target if available in the final rounds; otherwise streaming remains viable.</v>
      </c>
      <c r="M134" s="6">
        <f>MATCH($A134,'Draft Engine'!$Q$3:$Q$225,0)</f>
        <v>193</v>
      </c>
    </row>
    <row r="135" spans="1:13" x14ac:dyDescent="0.25">
      <c r="A135">
        <v>133</v>
      </c>
      <c r="B135" t="str">
        <f>INDEX('Draft Engine'!$A$3:$A$225,$M135)</f>
        <v>DST</v>
      </c>
      <c r="C135">
        <f>INDEX('Draft Engine'!$F$3:$F$225,$M135)</f>
        <v>3</v>
      </c>
      <c r="D135" t="str">
        <f>INDEX('Draft Engine'!$B$3:$B$225,$M135)</f>
        <v>Seattle Seahawks</v>
      </c>
      <c r="E135" s="4">
        <f>INDEX('Draft Engine'!$E$3:$E$225,$M135)</f>
        <v>90.8</v>
      </c>
      <c r="F135" t="str">
        <f t="shared" si="2"/>
        <v>TIER 1</v>
      </c>
      <c r="G135" s="4">
        <f>INDEX('Draft Engine'!$N$3:$N$225,$M135)</f>
        <v>53.924000000000007</v>
      </c>
      <c r="H135" s="4">
        <f>INDEX('Draft Engine'!$R$3:$R$225,$M135)</f>
        <v>168</v>
      </c>
      <c r="I135" s="4">
        <f>INDEX('Draft Engine'!$S$3:$S$225,$M135)</f>
        <v>35</v>
      </c>
      <c r="J135" s="5"/>
      <c r="K135">
        <f>INDEX('Draft Engine'!$Z$3:$Z$225,$M135)</f>
        <v>133</v>
      </c>
      <c r="L135" t="str">
        <f>INDEX('LIVE SOURCE'!$H$3:$H$225,$M135)</f>
        <v>Elite DST target if available in the final rounds; otherwise streaming remains viable.</v>
      </c>
      <c r="M135" s="6">
        <f>MATCH($A135,'Draft Engine'!$Q$3:$Q$225,0)</f>
        <v>194</v>
      </c>
    </row>
    <row r="136" spans="1:13" x14ac:dyDescent="0.25">
      <c r="A136">
        <v>134</v>
      </c>
      <c r="B136" t="str">
        <f>INDEX('Draft Engine'!$A$3:$A$225,$M136)</f>
        <v>DST</v>
      </c>
      <c r="C136">
        <f>INDEX('Draft Engine'!$F$3:$F$225,$M136)</f>
        <v>4</v>
      </c>
      <c r="D136" t="str">
        <f>INDEX('Draft Engine'!$B$3:$B$225,$M136)</f>
        <v>Los Angeles Rams</v>
      </c>
      <c r="E136" s="4">
        <f>INDEX('Draft Engine'!$E$3:$E$225,$M136)</f>
        <v>89.7</v>
      </c>
      <c r="F136" t="str">
        <f t="shared" si="2"/>
        <v>TIER 2</v>
      </c>
      <c r="G136" s="4">
        <f>INDEX('Draft Engine'!$N$3:$N$225,$M136)</f>
        <v>52.477000000000004</v>
      </c>
      <c r="H136" s="4">
        <f>INDEX('Draft Engine'!$R$3:$R$225,$M136)</f>
        <v>172</v>
      </c>
      <c r="I136" s="4">
        <f>INDEX('Draft Engine'!$S$3:$S$225,$M136)</f>
        <v>38</v>
      </c>
      <c r="J136" s="5"/>
      <c r="K136">
        <f>INDEX('Draft Engine'!$Z$3:$Z$225,$M136)</f>
        <v>134</v>
      </c>
      <c r="L136" t="str">
        <f>INDEX('LIVE SOURCE'!$H$3:$H$225,$M136)</f>
        <v>Elite DST target if available in the final rounds; otherwise streaming remains viable.</v>
      </c>
      <c r="M136" s="6">
        <f>MATCH($A136,'Draft Engine'!$Q$3:$Q$225,0)</f>
        <v>195</v>
      </c>
    </row>
    <row r="137" spans="1:13" x14ac:dyDescent="0.25">
      <c r="A137">
        <v>135</v>
      </c>
      <c r="B137" t="str">
        <f>INDEX('Draft Engine'!$A$3:$A$225,$M137)</f>
        <v>DST</v>
      </c>
      <c r="C137">
        <f>INDEX('Draft Engine'!$F$3:$F$225,$M137)</f>
        <v>5</v>
      </c>
      <c r="D137" t="str">
        <f>INDEX('Draft Engine'!$B$3:$B$225,$M137)</f>
        <v>Philadelphia Eagles</v>
      </c>
      <c r="E137" s="4">
        <f>INDEX('Draft Engine'!$E$3:$E$225,$M137)</f>
        <v>88.6</v>
      </c>
      <c r="F137" t="str">
        <f t="shared" si="2"/>
        <v>TIER 2</v>
      </c>
      <c r="G137" s="4">
        <f>INDEX('Draft Engine'!$N$3:$N$225,$M137)</f>
        <v>51.012</v>
      </c>
      <c r="H137" s="4">
        <f>INDEX('Draft Engine'!$R$3:$R$225,$M137)</f>
        <v>176</v>
      </c>
      <c r="I137" s="4">
        <f>INDEX('Draft Engine'!$S$3:$S$225,$M137)</f>
        <v>41</v>
      </c>
      <c r="J137" s="5"/>
      <c r="K137">
        <f>INDEX('Draft Engine'!$Z$3:$Z$225,$M137)</f>
        <v>135</v>
      </c>
      <c r="L137" t="str">
        <f>INDEX('LIVE SOURCE'!$H$3:$H$225,$M137)</f>
        <v>Elite DST target if available in the final rounds; otherwise streaming remains viable.</v>
      </c>
      <c r="M137" s="6">
        <f>MATCH($A137,'Draft Engine'!$Q$3:$Q$225,0)</f>
        <v>196</v>
      </c>
    </row>
    <row r="138" spans="1:13" x14ac:dyDescent="0.25">
      <c r="A138">
        <v>136</v>
      </c>
      <c r="B138" t="str">
        <f>INDEX('Draft Engine'!$A$3:$A$225,$M138)</f>
        <v>DST</v>
      </c>
      <c r="C138">
        <f>INDEX('Draft Engine'!$F$3:$F$225,$M138)</f>
        <v>6</v>
      </c>
      <c r="D138" t="str">
        <f>INDEX('Draft Engine'!$B$3:$B$225,$M138)</f>
        <v>Minnesota Vikings</v>
      </c>
      <c r="E138" s="4">
        <f>INDEX('Draft Engine'!$E$3:$E$225,$M138)</f>
        <v>87.5</v>
      </c>
      <c r="F138" t="str">
        <f t="shared" si="2"/>
        <v>TIER 2</v>
      </c>
      <c r="G138" s="4">
        <f>INDEX('Draft Engine'!$N$3:$N$225,$M138)</f>
        <v>49.547000000000011</v>
      </c>
      <c r="H138" s="4">
        <f>INDEX('Draft Engine'!$R$3:$R$225,$M138)</f>
        <v>180</v>
      </c>
      <c r="I138" s="4">
        <f>INDEX('Draft Engine'!$S$3:$S$225,$M138)</f>
        <v>44</v>
      </c>
      <c r="J138" s="5"/>
      <c r="K138">
        <f>INDEX('Draft Engine'!$Z$3:$Z$225,$M138)</f>
        <v>136</v>
      </c>
      <c r="L138" t="str">
        <f>INDEX('LIVE SOURCE'!$H$3:$H$225,$M138)</f>
        <v>Streaming/late-round defense; matchup matters more than preseason rank.</v>
      </c>
      <c r="M138" s="6">
        <f>MATCH($A138,'Draft Engine'!$Q$3:$Q$225,0)</f>
        <v>197</v>
      </c>
    </row>
    <row r="139" spans="1:13" x14ac:dyDescent="0.25">
      <c r="A139">
        <v>137</v>
      </c>
      <c r="B139" t="str">
        <f>INDEX('Draft Engine'!$A$3:$A$225,$M139)</f>
        <v>DST</v>
      </c>
      <c r="C139">
        <f>INDEX('Draft Engine'!$F$3:$F$225,$M139)</f>
        <v>7</v>
      </c>
      <c r="D139" t="str">
        <f>INDEX('Draft Engine'!$B$3:$B$225,$M139)</f>
        <v>New England Patriots</v>
      </c>
      <c r="E139" s="4">
        <f>INDEX('Draft Engine'!$E$3:$E$225,$M139)</f>
        <v>86.4</v>
      </c>
      <c r="F139" t="str">
        <f t="shared" si="2"/>
        <v>TIER 2</v>
      </c>
      <c r="G139" s="4">
        <f>INDEX('Draft Engine'!$N$3:$N$225,$M139)</f>
        <v>48.082000000000008</v>
      </c>
      <c r="H139" s="4">
        <f>INDEX('Draft Engine'!$R$3:$R$225,$M139)</f>
        <v>184</v>
      </c>
      <c r="I139" s="4">
        <f>INDEX('Draft Engine'!$S$3:$S$225,$M139)</f>
        <v>47</v>
      </c>
      <c r="J139" s="5"/>
      <c r="K139">
        <f>INDEX('Draft Engine'!$Z$3:$Z$225,$M139)</f>
        <v>137</v>
      </c>
      <c r="L139" t="str">
        <f>INDEX('LIVE SOURCE'!$H$3:$H$225,$M139)</f>
        <v>Streaming/late-round defense; matchup matters more than preseason rank.</v>
      </c>
      <c r="M139" s="6">
        <f>MATCH($A139,'Draft Engine'!$Q$3:$Q$225,0)</f>
        <v>198</v>
      </c>
    </row>
    <row r="140" spans="1:13" x14ac:dyDescent="0.25">
      <c r="A140">
        <v>138</v>
      </c>
      <c r="B140" t="str">
        <f>INDEX('Draft Engine'!$A$3:$A$225,$M140)</f>
        <v>DST</v>
      </c>
      <c r="C140">
        <f>INDEX('Draft Engine'!$F$3:$F$225,$M140)</f>
        <v>8</v>
      </c>
      <c r="D140" t="str">
        <f>INDEX('Draft Engine'!$B$3:$B$225,$M140)</f>
        <v>Jacksonville Jaguars</v>
      </c>
      <c r="E140" s="4">
        <f>INDEX('Draft Engine'!$E$3:$E$225,$M140)</f>
        <v>85.3</v>
      </c>
      <c r="F140" t="str">
        <f t="shared" si="2"/>
        <v>TIER 2</v>
      </c>
      <c r="G140" s="4">
        <f>INDEX('Draft Engine'!$N$3:$N$225,$M140)</f>
        <v>46.61699999999999</v>
      </c>
      <c r="H140" s="4">
        <f>INDEX('Draft Engine'!$R$3:$R$225,$M140)</f>
        <v>188</v>
      </c>
      <c r="I140" s="4">
        <f>INDEX('Draft Engine'!$S$3:$S$225,$M140)</f>
        <v>50</v>
      </c>
      <c r="J140" s="5"/>
      <c r="K140">
        <f>INDEX('Draft Engine'!$Z$3:$Z$225,$M140)</f>
        <v>138</v>
      </c>
      <c r="L140" t="str">
        <f>INDEX('LIVE SOURCE'!$H$3:$H$225,$M140)</f>
        <v>Streaming/late-round defense; matchup matters more than preseason rank.</v>
      </c>
      <c r="M140" s="6">
        <f>MATCH($A140,'Draft Engine'!$Q$3:$Q$225,0)</f>
        <v>199</v>
      </c>
    </row>
    <row r="141" spans="1:13" x14ac:dyDescent="0.25">
      <c r="A141">
        <v>139</v>
      </c>
      <c r="B141" t="str">
        <f>INDEX('Draft Engine'!$A$3:$A$225,$M141)</f>
        <v>DST</v>
      </c>
      <c r="C141">
        <f>INDEX('Draft Engine'!$F$3:$F$225,$M141)</f>
        <v>9</v>
      </c>
      <c r="D141" t="str">
        <f>INDEX('Draft Engine'!$B$3:$B$225,$M141)</f>
        <v>Pittsburgh Steelers</v>
      </c>
      <c r="E141" s="4">
        <f>INDEX('Draft Engine'!$E$3:$E$225,$M141)</f>
        <v>84.2</v>
      </c>
      <c r="F141" t="str">
        <f t="shared" si="2"/>
        <v>TIER 3</v>
      </c>
      <c r="G141" s="4">
        <f>INDEX('Draft Engine'!$N$3:$N$225,$M141)</f>
        <v>45.17</v>
      </c>
      <c r="H141" s="4">
        <f>INDEX('Draft Engine'!$R$3:$R$225,$M141)</f>
        <v>192</v>
      </c>
      <c r="I141" s="4">
        <f>INDEX('Draft Engine'!$S$3:$S$225,$M141)</f>
        <v>53</v>
      </c>
      <c r="J141" s="5"/>
      <c r="K141">
        <f>INDEX('Draft Engine'!$Z$3:$Z$225,$M141)</f>
        <v>139</v>
      </c>
      <c r="L141" t="str">
        <f>INDEX('LIVE SOURCE'!$H$3:$H$225,$M141)</f>
        <v>Streaming/late-round defense; matchup matters more than preseason rank.</v>
      </c>
      <c r="M141" s="6">
        <f>MATCH($A141,'Draft Engine'!$Q$3:$Q$225,0)</f>
        <v>200</v>
      </c>
    </row>
    <row r="142" spans="1:13" x14ac:dyDescent="0.25">
      <c r="A142">
        <v>140</v>
      </c>
      <c r="B142" t="str">
        <f>INDEX('Draft Engine'!$A$3:$A$225,$M142)</f>
        <v>DST</v>
      </c>
      <c r="C142">
        <f>INDEX('Draft Engine'!$F$3:$F$225,$M142)</f>
        <v>10</v>
      </c>
      <c r="D142" t="str">
        <f>INDEX('Draft Engine'!$B$3:$B$225,$M142)</f>
        <v>Los Angeles Chargers</v>
      </c>
      <c r="E142" s="4">
        <f>INDEX('Draft Engine'!$E$3:$E$225,$M142)</f>
        <v>83.1</v>
      </c>
      <c r="F142" t="str">
        <f t="shared" si="2"/>
        <v>TIER 3</v>
      </c>
      <c r="G142" s="4">
        <f>INDEX('Draft Engine'!$N$3:$N$225,$M142)</f>
        <v>43.704999999999998</v>
      </c>
      <c r="H142" s="4">
        <f>INDEX('Draft Engine'!$R$3:$R$225,$M142)</f>
        <v>196</v>
      </c>
      <c r="I142" s="4">
        <f>INDEX('Draft Engine'!$S$3:$S$225,$M142)</f>
        <v>56</v>
      </c>
      <c r="J142" s="5"/>
      <c r="K142">
        <f>INDEX('Draft Engine'!$Z$3:$Z$225,$M142)</f>
        <v>140</v>
      </c>
      <c r="L142" t="str">
        <f>INDEX('LIVE SOURCE'!$H$3:$H$225,$M142)</f>
        <v>Streaming/late-round defense; matchup matters more than preseason rank.</v>
      </c>
      <c r="M142" s="6">
        <f>MATCH($A142,'Draft Engine'!$Q$3:$Q$225,0)</f>
        <v>201</v>
      </c>
    </row>
    <row r="143" spans="1:13" x14ac:dyDescent="0.25">
      <c r="A143">
        <v>141</v>
      </c>
      <c r="B143" t="str">
        <f>INDEX('Draft Engine'!$A$3:$A$225,$M143)</f>
        <v>K</v>
      </c>
      <c r="C143">
        <f>INDEX('Draft Engine'!$F$3:$F$225,$M143)</f>
        <v>1</v>
      </c>
      <c r="D143" t="str">
        <f>INDEX('Draft Engine'!$B$3:$B$225,$M143)</f>
        <v>Brandon Aubrey</v>
      </c>
      <c r="E143" s="4">
        <f>INDEX('Draft Engine'!$E$3:$E$225,$M143)</f>
        <v>94</v>
      </c>
      <c r="F143" t="str">
        <f t="shared" si="2"/>
        <v>TIER 1</v>
      </c>
      <c r="G143" s="4">
        <f>INDEX('Draft Engine'!$N$3:$N$225,$M143)</f>
        <v>64.078000000000003</v>
      </c>
      <c r="H143" s="4">
        <f>INDEX('Draft Engine'!$R$3:$R$225,$M143)</f>
        <v>155</v>
      </c>
      <c r="I143" s="4">
        <f>INDEX('Draft Engine'!$S$3:$S$225,$M143)</f>
        <v>14</v>
      </c>
      <c r="J143" s="5"/>
      <c r="K143">
        <f>INDEX('Draft Engine'!$Z$3:$Z$225,$M143)</f>
        <v>141</v>
      </c>
      <c r="L143" t="str">
        <f>INDEX('LIVE SOURCE'!$H$3:$H$225,$M143)</f>
        <v>Top-tier kicker option, but still a final-round target.</v>
      </c>
      <c r="M143" s="6">
        <f>MATCH($A143,'Draft Engine'!$Q$3:$Q$225,0)</f>
        <v>180</v>
      </c>
    </row>
    <row r="144" spans="1:13" x14ac:dyDescent="0.25">
      <c r="A144">
        <v>142</v>
      </c>
      <c r="B144" t="str">
        <f>INDEX('Draft Engine'!$A$3:$A$225,$M144)</f>
        <v>K</v>
      </c>
      <c r="C144">
        <f>INDEX('Draft Engine'!$F$3:$F$225,$M144)</f>
        <v>2</v>
      </c>
      <c r="D144" t="str">
        <f>INDEX('Draft Engine'!$B$3:$B$225,$M144)</f>
        <v>Ka'imi Fairbairn</v>
      </c>
      <c r="E144" s="4">
        <f>INDEX('Draft Engine'!$E$3:$E$225,$M144)</f>
        <v>91.8</v>
      </c>
      <c r="F144" t="str">
        <f t="shared" si="2"/>
        <v>TIER 1</v>
      </c>
      <c r="G144" s="4">
        <f>INDEX('Draft Engine'!$N$3:$N$225,$M144)</f>
        <v>61.52600000000001</v>
      </c>
      <c r="H144" s="4">
        <f>INDEX('Draft Engine'!$R$3:$R$225,$M144)</f>
        <v>160</v>
      </c>
      <c r="I144" s="4">
        <f>INDEX('Draft Engine'!$S$3:$S$225,$M144)</f>
        <v>18</v>
      </c>
      <c r="J144" s="5"/>
      <c r="K144">
        <f>INDEX('Draft Engine'!$Z$3:$Z$225,$M144)</f>
        <v>142</v>
      </c>
      <c r="L144" t="str">
        <f>INDEX('LIVE SOURCE'!$H$3:$H$225,$M144)</f>
        <v>Top-tier kicker option, but still a final-round target.</v>
      </c>
      <c r="M144" s="6">
        <f>MATCH($A144,'Draft Engine'!$Q$3:$Q$225,0)</f>
        <v>181</v>
      </c>
    </row>
    <row r="145" spans="1:13" x14ac:dyDescent="0.25">
      <c r="A145">
        <v>143</v>
      </c>
      <c r="B145" t="str">
        <f>INDEX('Draft Engine'!$A$3:$A$225,$M145)</f>
        <v>K</v>
      </c>
      <c r="C145">
        <f>INDEX('Draft Engine'!$F$3:$F$225,$M145)</f>
        <v>3</v>
      </c>
      <c r="D145" t="str">
        <f>INDEX('Draft Engine'!$B$3:$B$225,$M145)</f>
        <v>Cameron Dicker</v>
      </c>
      <c r="E145" s="4">
        <f>INDEX('Draft Engine'!$E$3:$E$225,$M145)</f>
        <v>89.6</v>
      </c>
      <c r="F145" t="str">
        <f t="shared" si="2"/>
        <v>TIER 2</v>
      </c>
      <c r="G145" s="4">
        <f>INDEX('Draft Engine'!$N$3:$N$225,$M145)</f>
        <v>58.974000000000004</v>
      </c>
      <c r="H145" s="4">
        <f>INDEX('Draft Engine'!$R$3:$R$225,$M145)</f>
        <v>165</v>
      </c>
      <c r="I145" s="4">
        <f>INDEX('Draft Engine'!$S$3:$S$225,$M145)</f>
        <v>22</v>
      </c>
      <c r="J145" s="5"/>
      <c r="K145">
        <f>INDEX('Draft Engine'!$Z$3:$Z$225,$M145)</f>
        <v>143</v>
      </c>
      <c r="L145" t="str">
        <f>INDEX('LIVE SOURCE'!$H$3:$H$225,$M145)</f>
        <v>Top-tier kicker option, but still a final-round target.</v>
      </c>
      <c r="M145" s="6">
        <f>MATCH($A145,'Draft Engine'!$Q$3:$Q$225,0)</f>
        <v>182</v>
      </c>
    </row>
    <row r="146" spans="1:13" x14ac:dyDescent="0.25">
      <c r="A146">
        <v>144</v>
      </c>
      <c r="B146" t="str">
        <f>INDEX('Draft Engine'!$A$3:$A$225,$M146)</f>
        <v>K</v>
      </c>
      <c r="C146">
        <f>INDEX('Draft Engine'!$F$3:$F$225,$M146)</f>
        <v>4</v>
      </c>
      <c r="D146" t="str">
        <f>INDEX('Draft Engine'!$B$3:$B$225,$M146)</f>
        <v>Jason Myers</v>
      </c>
      <c r="E146" s="4">
        <f>INDEX('Draft Engine'!$E$3:$E$225,$M146)</f>
        <v>87.4</v>
      </c>
      <c r="F146" t="str">
        <f t="shared" si="2"/>
        <v>TIER 2</v>
      </c>
      <c r="G146" s="4">
        <f>INDEX('Draft Engine'!$N$3:$N$225,$M146)</f>
        <v>56.421999999999997</v>
      </c>
      <c r="H146" s="4">
        <f>INDEX('Draft Engine'!$R$3:$R$225,$M146)</f>
        <v>170</v>
      </c>
      <c r="I146" s="4">
        <f>INDEX('Draft Engine'!$S$3:$S$225,$M146)</f>
        <v>26</v>
      </c>
      <c r="J146" s="5"/>
      <c r="K146">
        <f>INDEX('Draft Engine'!$Z$3:$Z$225,$M146)</f>
        <v>144</v>
      </c>
      <c r="L146" t="str">
        <f>INDEX('LIVE SOURCE'!$H$3:$H$225,$M146)</f>
        <v>Top-tier kicker option, but still a final-round target.</v>
      </c>
      <c r="M146" s="6">
        <f>MATCH($A146,'Draft Engine'!$Q$3:$Q$225,0)</f>
        <v>183</v>
      </c>
    </row>
    <row r="147" spans="1:13" x14ac:dyDescent="0.25">
      <c r="A147">
        <v>145</v>
      </c>
      <c r="B147" t="str">
        <f>INDEX('Draft Engine'!$A$3:$A$225,$M147)</f>
        <v>K</v>
      </c>
      <c r="C147">
        <f>INDEX('Draft Engine'!$F$3:$F$225,$M147)</f>
        <v>5</v>
      </c>
      <c r="D147" t="str">
        <f>INDEX('Draft Engine'!$B$3:$B$225,$M147)</f>
        <v>Cam Little</v>
      </c>
      <c r="E147" s="4">
        <f>INDEX('Draft Engine'!$E$3:$E$225,$M147)</f>
        <v>85.2</v>
      </c>
      <c r="F147" t="str">
        <f t="shared" si="2"/>
        <v>TIER 2</v>
      </c>
      <c r="G147" s="4">
        <f>INDEX('Draft Engine'!$N$3:$N$225,$M147)</f>
        <v>53.870000000000005</v>
      </c>
      <c r="H147" s="4">
        <f>INDEX('Draft Engine'!$R$3:$R$225,$M147)</f>
        <v>175</v>
      </c>
      <c r="I147" s="4">
        <f>INDEX('Draft Engine'!$S$3:$S$225,$M147)</f>
        <v>30</v>
      </c>
      <c r="J147" s="5"/>
      <c r="K147">
        <f>INDEX('Draft Engine'!$Z$3:$Z$225,$M147)</f>
        <v>145</v>
      </c>
      <c r="L147" t="str">
        <f>INDEX('LIVE SOURCE'!$H$3:$H$225,$M147)</f>
        <v>Top-tier kicker option, but still a final-round target.</v>
      </c>
      <c r="M147" s="6">
        <f>MATCH($A147,'Draft Engine'!$Q$3:$Q$225,0)</f>
        <v>184</v>
      </c>
    </row>
    <row r="148" spans="1:13" x14ac:dyDescent="0.25">
      <c r="A148">
        <v>146</v>
      </c>
      <c r="B148" t="str">
        <f>INDEX('Draft Engine'!$A$3:$A$225,$M148)</f>
        <v>K</v>
      </c>
      <c r="C148">
        <f>INDEX('Draft Engine'!$F$3:$F$225,$M148)</f>
        <v>6</v>
      </c>
      <c r="D148" t="str">
        <f>INDEX('Draft Engine'!$B$3:$B$225,$M148)</f>
        <v>Eddy Pineiro</v>
      </c>
      <c r="E148" s="4">
        <f>INDEX('Draft Engine'!$E$3:$E$225,$M148)</f>
        <v>83</v>
      </c>
      <c r="F148" t="str">
        <f t="shared" si="2"/>
        <v>TIER 3</v>
      </c>
      <c r="G148" s="4">
        <f>INDEX('Draft Engine'!$N$3:$N$225,$M148)</f>
        <v>51.318000000000012</v>
      </c>
      <c r="H148" s="4">
        <f>INDEX('Draft Engine'!$R$3:$R$225,$M148)</f>
        <v>180</v>
      </c>
      <c r="I148" s="4">
        <f>INDEX('Draft Engine'!$S$3:$S$225,$M148)</f>
        <v>34</v>
      </c>
      <c r="J148" s="5"/>
      <c r="K148">
        <f>INDEX('Draft Engine'!$Z$3:$Z$225,$M148)</f>
        <v>146</v>
      </c>
      <c r="L148" t="str">
        <f>INDEX('LIVE SOURCE'!$H$3:$H$225,$M148)</f>
        <v>Late-round kicker; treat as replaceable unless scoring strongly rewards distance.</v>
      </c>
      <c r="M148" s="6">
        <f>MATCH($A148,'Draft Engine'!$Q$3:$Q$225,0)</f>
        <v>185</v>
      </c>
    </row>
    <row r="149" spans="1:13" x14ac:dyDescent="0.25">
      <c r="A149">
        <v>147</v>
      </c>
      <c r="B149" t="str">
        <f>INDEX('Draft Engine'!$A$3:$A$225,$M149)</f>
        <v>K</v>
      </c>
      <c r="C149">
        <f>INDEX('Draft Engine'!$F$3:$F$225,$M149)</f>
        <v>7</v>
      </c>
      <c r="D149" t="str">
        <f>INDEX('Draft Engine'!$B$3:$B$225,$M149)</f>
        <v>Tyler Loop</v>
      </c>
      <c r="E149" s="4">
        <f>INDEX('Draft Engine'!$E$3:$E$225,$M149)</f>
        <v>80.8</v>
      </c>
      <c r="F149" t="str">
        <f t="shared" si="2"/>
        <v>TIER 3</v>
      </c>
      <c r="G149" s="4">
        <f>INDEX('Draft Engine'!$N$3:$N$225,$M149)</f>
        <v>48.766000000000005</v>
      </c>
      <c r="H149" s="4">
        <f>INDEX('Draft Engine'!$R$3:$R$225,$M149)</f>
        <v>185</v>
      </c>
      <c r="I149" s="4">
        <f>INDEX('Draft Engine'!$S$3:$S$225,$M149)</f>
        <v>38</v>
      </c>
      <c r="J149" s="5"/>
      <c r="K149">
        <f>INDEX('Draft Engine'!$Z$3:$Z$225,$M149)</f>
        <v>147</v>
      </c>
      <c r="L149" t="str">
        <f>INDEX('LIVE SOURCE'!$H$3:$H$225,$M149)</f>
        <v>Late-round kicker; treat as replaceable unless scoring strongly rewards distance.</v>
      </c>
      <c r="M149" s="6">
        <f>MATCH($A149,'Draft Engine'!$Q$3:$Q$225,0)</f>
        <v>186</v>
      </c>
    </row>
    <row r="150" spans="1:13" x14ac:dyDescent="0.25">
      <c r="A150">
        <v>148</v>
      </c>
      <c r="B150" t="str">
        <f>INDEX('Draft Engine'!$A$3:$A$225,$M150)</f>
        <v>K</v>
      </c>
      <c r="C150">
        <f>INDEX('Draft Engine'!$F$3:$F$225,$M150)</f>
        <v>8</v>
      </c>
      <c r="D150" t="str">
        <f>INDEX('Draft Engine'!$B$3:$B$225,$M150)</f>
        <v>Harrison Mevis</v>
      </c>
      <c r="E150" s="4">
        <f>INDEX('Draft Engine'!$E$3:$E$225,$M150)</f>
        <v>78.599999999999994</v>
      </c>
      <c r="F150" t="str">
        <f t="shared" si="2"/>
        <v>TIER 4</v>
      </c>
      <c r="G150" s="4">
        <f>INDEX('Draft Engine'!$N$3:$N$225,$M150)</f>
        <v>46.213999999999999</v>
      </c>
      <c r="H150" s="4">
        <f>INDEX('Draft Engine'!$R$3:$R$225,$M150)</f>
        <v>190</v>
      </c>
      <c r="I150" s="4">
        <f>INDEX('Draft Engine'!$S$3:$S$225,$M150)</f>
        <v>42</v>
      </c>
      <c r="J150" s="5"/>
      <c r="K150">
        <f>INDEX('Draft Engine'!$Z$3:$Z$225,$M150)</f>
        <v>148</v>
      </c>
      <c r="L150" t="str">
        <f>INDEX('LIVE SOURCE'!$H$3:$H$225,$M150)</f>
        <v>Late-round kicker; treat as replaceable unless scoring strongly rewards distance.</v>
      </c>
      <c r="M150" s="6">
        <f>MATCH($A150,'Draft Engine'!$Q$3:$Q$225,0)</f>
        <v>187</v>
      </c>
    </row>
    <row r="151" spans="1:13" x14ac:dyDescent="0.25">
      <c r="A151">
        <v>149</v>
      </c>
      <c r="B151" t="str">
        <f>INDEX('Draft Engine'!$A$3:$A$225,$M151)</f>
        <v>K</v>
      </c>
      <c r="C151">
        <f>INDEX('Draft Engine'!$F$3:$F$225,$M151)</f>
        <v>9</v>
      </c>
      <c r="D151" t="str">
        <f>INDEX('Draft Engine'!$B$3:$B$225,$M151)</f>
        <v>Chase McLaughlin</v>
      </c>
      <c r="E151" s="4">
        <f>INDEX('Draft Engine'!$E$3:$E$225,$M151)</f>
        <v>76.400000000000006</v>
      </c>
      <c r="F151" t="str">
        <f t="shared" si="2"/>
        <v>TIER 4</v>
      </c>
      <c r="G151" s="4">
        <f>INDEX('Draft Engine'!$N$3:$N$225,$M151)</f>
        <v>43.662000000000006</v>
      </c>
      <c r="H151" s="4">
        <f>INDEX('Draft Engine'!$R$3:$R$225,$M151)</f>
        <v>195</v>
      </c>
      <c r="I151" s="4">
        <f>INDEX('Draft Engine'!$S$3:$S$225,$M151)</f>
        <v>46</v>
      </c>
      <c r="J151" s="5"/>
      <c r="K151">
        <f>INDEX('Draft Engine'!$Z$3:$Z$225,$M151)</f>
        <v>149</v>
      </c>
      <c r="L151" t="str">
        <f>INDEX('LIVE SOURCE'!$H$3:$H$225,$M151)</f>
        <v>Late-round kicker; treat as replaceable unless scoring strongly rewards distance.</v>
      </c>
      <c r="M151" s="6">
        <f>MATCH($A151,'Draft Engine'!$Q$3:$Q$225,0)</f>
        <v>188</v>
      </c>
    </row>
    <row r="152" spans="1:13" x14ac:dyDescent="0.25">
      <c r="A152">
        <v>150</v>
      </c>
      <c r="B152" t="str">
        <f>INDEX('Draft Engine'!$A$3:$A$225,$M152)</f>
        <v>K</v>
      </c>
      <c r="C152">
        <f>INDEX('Draft Engine'!$F$3:$F$225,$M152)</f>
        <v>10</v>
      </c>
      <c r="D152" t="str">
        <f>INDEX('Draft Engine'!$B$3:$B$225,$M152)</f>
        <v>Cairo Santos</v>
      </c>
      <c r="E152" s="4">
        <f>INDEX('Draft Engine'!$E$3:$E$225,$M152)</f>
        <v>74.2</v>
      </c>
      <c r="F152" t="str">
        <f t="shared" si="2"/>
        <v>TIER 5</v>
      </c>
      <c r="G152" s="4">
        <f>INDEX('Draft Engine'!$N$3:$N$225,$M152)</f>
        <v>41.11</v>
      </c>
      <c r="H152" s="4">
        <f>INDEX('Draft Engine'!$R$3:$R$225,$M152)</f>
        <v>200</v>
      </c>
      <c r="I152" s="4">
        <f>INDEX('Draft Engine'!$S$3:$S$225,$M152)</f>
        <v>50</v>
      </c>
      <c r="J152" s="5"/>
      <c r="K152">
        <f>INDEX('Draft Engine'!$Z$3:$Z$225,$M152)</f>
        <v>150</v>
      </c>
      <c r="L152" t="str">
        <f>INDEX('LIVE SOURCE'!$H$3:$H$225,$M152)</f>
        <v>Late-round kicker; treat as replaceable unless scoring strongly rewards distance.</v>
      </c>
      <c r="M152" s="6">
        <f>MATCH($A152,'Draft Engine'!$Q$3:$Q$225,0)</f>
        <v>189</v>
      </c>
    </row>
    <row r="153" spans="1:13" x14ac:dyDescent="0.25">
      <c r="A153">
        <v>151</v>
      </c>
      <c r="B153" t="str">
        <f>INDEX('Draft Engine'!$A$3:$A$225,$M153)</f>
        <v>RB</v>
      </c>
      <c r="C153">
        <f>INDEX('Draft Engine'!$F$3:$F$225,$M153)</f>
        <v>42</v>
      </c>
      <c r="D153" t="str">
        <f>INDEX('Draft Engine'!$B$3:$B$225,$M153)</f>
        <v>Chris Rodriguez Jr.</v>
      </c>
      <c r="E153" s="4">
        <f>INDEX('Draft Engine'!$E$3:$E$225,$M153)</f>
        <v>66.537000000000006</v>
      </c>
      <c r="F153" t="str">
        <f t="shared" si="2"/>
        <v>TIER 6</v>
      </c>
      <c r="G153" s="4">
        <f>INDEX('Draft Engine'!$N$3:$N$225,$M153)</f>
        <v>48.800975000000001</v>
      </c>
      <c r="H153" s="4">
        <f>INDEX('Draft Engine'!$R$3:$R$225,$M153)</f>
        <v>174.2</v>
      </c>
      <c r="I153" s="4">
        <f>INDEX('Draft Engine'!$S$3:$S$225,$M153)</f>
        <v>23.199999999999989</v>
      </c>
      <c r="J153" s="5"/>
      <c r="K153">
        <f>INDEX('Draft Engine'!$Z$3:$Z$225,$M153)</f>
        <v>151</v>
      </c>
      <c r="L153" t="str">
        <f>INDEX('LIVE SOURCE'!$H$3:$H$225,$M153)</f>
        <v>Bench stash/handcuff profile; value is tied to role change or injury ahead.</v>
      </c>
      <c r="M153" s="6">
        <f>MATCH($A153,'Draft Engine'!$Q$3:$Q$225,0)</f>
        <v>74</v>
      </c>
    </row>
    <row r="154" spans="1:13" x14ac:dyDescent="0.25">
      <c r="A154">
        <v>152</v>
      </c>
      <c r="B154" t="str">
        <f>INDEX('Draft Engine'!$A$3:$A$225,$M154)</f>
        <v>RB</v>
      </c>
      <c r="C154">
        <f>INDEX('Draft Engine'!$F$3:$F$225,$M154)</f>
        <v>43</v>
      </c>
      <c r="D154" t="str">
        <f>INDEX('Draft Engine'!$B$3:$B$225,$M154)</f>
        <v>Tyrone Tracy Jr.</v>
      </c>
      <c r="E154" s="4">
        <f>INDEX('Draft Engine'!$E$3:$E$225,$M154)</f>
        <v>66.531000000000006</v>
      </c>
      <c r="F154" t="str">
        <f t="shared" si="2"/>
        <v>TIER 6</v>
      </c>
      <c r="G154" s="4">
        <f>INDEX('Draft Engine'!$N$3:$N$225,$M154)</f>
        <v>48.420300000000005</v>
      </c>
      <c r="H154" s="4">
        <f>INDEX('Draft Engine'!$R$3:$R$225,$M154)</f>
        <v>178.4</v>
      </c>
      <c r="I154" s="4">
        <f>INDEX('Draft Engine'!$S$3:$S$225,$M154)</f>
        <v>26.400000000000006</v>
      </c>
      <c r="J154" s="5"/>
      <c r="K154">
        <f>INDEX('Draft Engine'!$Z$3:$Z$225,$M154)</f>
        <v>152</v>
      </c>
      <c r="L154" t="str">
        <f>INDEX('LIVE SOURCE'!$H$3:$H$225,$M154)</f>
        <v>Bench stash/handcuff profile; value is tied to role change or injury ahead.</v>
      </c>
      <c r="M154" s="6">
        <f>MATCH($A154,'Draft Engine'!$Q$3:$Q$225,0)</f>
        <v>75</v>
      </c>
    </row>
    <row r="155" spans="1:13" x14ac:dyDescent="0.25">
      <c r="A155">
        <v>153</v>
      </c>
      <c r="B155" t="str">
        <f>INDEX('Draft Engine'!$A$3:$A$225,$M155)</f>
        <v>WR</v>
      </c>
      <c r="C155">
        <f>INDEX('Draft Engine'!$F$3:$F$225,$M155)</f>
        <v>47</v>
      </c>
      <c r="D155" t="str">
        <f>INDEX('Draft Engine'!$B$3:$B$225,$M155)</f>
        <v>Brian Thomas Jr.</v>
      </c>
      <c r="E155" s="4">
        <f>INDEX('Draft Engine'!$E$3:$E$225,$M155)</f>
        <v>66.967500000000001</v>
      </c>
      <c r="F155" t="str">
        <f t="shared" si="2"/>
        <v>TIER 6</v>
      </c>
      <c r="G155" s="4">
        <f>INDEX('Draft Engine'!$N$3:$N$225,$M155)</f>
        <v>47.95879166666667</v>
      </c>
      <c r="H155" s="4">
        <f>INDEX('Draft Engine'!$R$3:$R$225,$M155)</f>
        <v>155.1</v>
      </c>
      <c r="I155" s="4">
        <f>INDEX('Draft Engine'!$S$3:$S$225,$M155)</f>
        <v>2.0999999999999943</v>
      </c>
      <c r="J155" s="5"/>
      <c r="K155">
        <f>INDEX('Draft Engine'!$Z$3:$Z$225,$M155)</f>
        <v>153</v>
      </c>
      <c r="L155" t="str">
        <f>INDEX('LIVE SOURCE'!$H$3:$H$225,$M155)</f>
        <v>FLEX/bench receiver; needs target growth or efficiency spikes.</v>
      </c>
      <c r="M155" s="6">
        <f>MATCH($A155,'Draft Engine'!$Q$3:$Q$225,0)</f>
        <v>122</v>
      </c>
    </row>
    <row r="156" spans="1:13" x14ac:dyDescent="0.25">
      <c r="A156">
        <v>154</v>
      </c>
      <c r="B156" t="str">
        <f>INDEX('Draft Engine'!$A$3:$A$225,$M156)</f>
        <v>WR</v>
      </c>
      <c r="C156">
        <f>INDEX('Draft Engine'!$F$3:$F$225,$M156)</f>
        <v>48</v>
      </c>
      <c r="D156" t="str">
        <f>INDEX('Draft Engine'!$B$3:$B$225,$M156)</f>
        <v>Josh Downs</v>
      </c>
      <c r="E156" s="4">
        <f>INDEX('Draft Engine'!$E$3:$E$225,$M156)</f>
        <v>66.84</v>
      </c>
      <c r="F156" t="str">
        <f t="shared" si="2"/>
        <v>TIER 6</v>
      </c>
      <c r="G156" s="4">
        <f>INDEX('Draft Engine'!$N$3:$N$225,$M156)</f>
        <v>47.44733333333334</v>
      </c>
      <c r="H156" s="4">
        <f>INDEX('Draft Engine'!$R$3:$R$225,$M156)</f>
        <v>190.2</v>
      </c>
      <c r="I156" s="4">
        <f>INDEX('Draft Engine'!$S$3:$S$225,$M156)</f>
        <v>36.199999999999989</v>
      </c>
      <c r="J156" s="5"/>
      <c r="K156">
        <f>INDEX('Draft Engine'!$Z$3:$Z$225,$M156)</f>
        <v>154</v>
      </c>
      <c r="L156" t="str">
        <f>INDEX('LIVE SOURCE'!$H$3:$H$225,$M156)</f>
        <v>FLEX/bench receiver; needs target growth or efficiency spikes.</v>
      </c>
      <c r="M156" s="6">
        <f>MATCH($A156,'Draft Engine'!$Q$3:$Q$225,0)</f>
        <v>131</v>
      </c>
    </row>
    <row r="157" spans="1:13" x14ac:dyDescent="0.25">
      <c r="A157">
        <v>155</v>
      </c>
      <c r="B157" t="str">
        <f>INDEX('Draft Engine'!$A$3:$A$225,$M157)</f>
        <v>TE</v>
      </c>
      <c r="C157">
        <f>INDEX('Draft Engine'!$F$3:$F$225,$M157)</f>
        <v>24</v>
      </c>
      <c r="D157" t="str">
        <f>INDEX('Draft Engine'!$B$3:$B$225,$M157)</f>
        <v>AJ Barner</v>
      </c>
      <c r="E157" s="4">
        <f>INDEX('Draft Engine'!$E$3:$E$225,$M157)</f>
        <v>70.124499999999998</v>
      </c>
      <c r="F157" t="str">
        <f t="shared" si="2"/>
        <v>TIER 5</v>
      </c>
      <c r="G157" s="4">
        <f>INDEX('Draft Engine'!$N$3:$N$225,$M157)</f>
        <v>47.394475</v>
      </c>
      <c r="H157" s="4">
        <f>INDEX('Draft Engine'!$R$3:$R$225,$M157)</f>
        <v>224</v>
      </c>
      <c r="I157" s="4">
        <f>INDEX('Draft Engine'!$S$3:$S$225,$M157)</f>
        <v>69</v>
      </c>
      <c r="J157" s="5"/>
      <c r="K157">
        <f>INDEX('Draft Engine'!$Z$3:$Z$225,$M157)</f>
        <v>155</v>
      </c>
      <c r="L157" t="str">
        <f>INDEX('LIVE SOURCE'!$H$3:$H$225,$M157)</f>
        <v>Deep TE stash; needs a larger route/target role to matter in 10-team leagues.</v>
      </c>
      <c r="M157" s="6">
        <f>MATCH($A157,'Draft Engine'!$Q$3:$Q$225,0)</f>
        <v>176</v>
      </c>
    </row>
    <row r="158" spans="1:13" x14ac:dyDescent="0.25">
      <c r="A158">
        <v>156</v>
      </c>
      <c r="B158" t="str">
        <f>INDEX('Draft Engine'!$A$3:$A$225,$M158)</f>
        <v>QB</v>
      </c>
      <c r="C158">
        <f>INDEX('Draft Engine'!$F$3:$F$225,$M158)</f>
        <v>21</v>
      </c>
      <c r="D158" t="str">
        <f>INDEX('Draft Engine'!$B$3:$B$225,$M158)</f>
        <v>C.J. Stroud</v>
      </c>
      <c r="E158" s="4">
        <f>INDEX('Draft Engine'!$E$3:$E$225,$M158)</f>
        <v>75.762100000000004</v>
      </c>
      <c r="F158" t="str">
        <f t="shared" si="2"/>
        <v>TIER 4</v>
      </c>
      <c r="G158" s="4">
        <f>INDEX('Draft Engine'!$N$3:$N$225,$M158)</f>
        <v>46.433154999999999</v>
      </c>
      <c r="H158" s="4">
        <f>INDEX('Draft Engine'!$R$3:$R$225,$M158)</f>
        <v>182</v>
      </c>
      <c r="I158" s="4">
        <f>INDEX('Draft Engine'!$S$3:$S$225,$M158)</f>
        <v>26</v>
      </c>
      <c r="J158" s="5"/>
      <c r="K158">
        <f>INDEX('Draft Engine'!$Z$3:$Z$225,$M158)</f>
        <v>156</v>
      </c>
      <c r="L158" t="str">
        <f>INDEX('LIVE SOURCE'!$H$3:$H$225,$M158)</f>
        <v>Bench/streaming option; needs matchup, rushing or TD spike weeks.</v>
      </c>
      <c r="M158" s="6">
        <f>MATCH($A158,'Draft Engine'!$Q$3:$Q$225,0)</f>
        <v>21</v>
      </c>
    </row>
    <row r="159" spans="1:13" x14ac:dyDescent="0.25">
      <c r="A159">
        <v>157</v>
      </c>
      <c r="B159" t="str">
        <f>INDEX('Draft Engine'!$A$3:$A$225,$M159)</f>
        <v>WR</v>
      </c>
      <c r="C159">
        <f>INDEX('Draft Engine'!$F$3:$F$225,$M159)</f>
        <v>49</v>
      </c>
      <c r="D159" t="str">
        <f>INDEX('Draft Engine'!$B$3:$B$225,$M159)</f>
        <v>Jayden Reed</v>
      </c>
      <c r="E159" s="4">
        <f>INDEX('Draft Engine'!$E$3:$E$225,$M159)</f>
        <v>66.17</v>
      </c>
      <c r="F159" t="str">
        <f t="shared" si="2"/>
        <v>TIER 6</v>
      </c>
      <c r="G159" s="4">
        <f>INDEX('Draft Engine'!$N$3:$N$225,$M159)</f>
        <v>46.241500000000002</v>
      </c>
      <c r="H159" s="4">
        <f>INDEX('Draft Engine'!$R$3:$R$225,$M159)</f>
        <v>194.1</v>
      </c>
      <c r="I159" s="4">
        <f>INDEX('Draft Engine'!$S$3:$S$225,$M159)</f>
        <v>37.099999999999994</v>
      </c>
      <c r="J159" s="5"/>
      <c r="K159">
        <f>INDEX('Draft Engine'!$Z$3:$Z$225,$M159)</f>
        <v>157</v>
      </c>
      <c r="L159" t="str">
        <f>INDEX('LIVE SOURCE'!$H$3:$H$225,$M159)</f>
        <v>FLEX/bench receiver; needs target growth or efficiency spikes.</v>
      </c>
      <c r="M159" s="6">
        <f>MATCH($A159,'Draft Engine'!$Q$3:$Q$225,0)</f>
        <v>132</v>
      </c>
    </row>
    <row r="160" spans="1:13" x14ac:dyDescent="0.25">
      <c r="A160">
        <v>158</v>
      </c>
      <c r="B160" t="str">
        <f>INDEX('Draft Engine'!$A$3:$A$225,$M160)</f>
        <v>QB</v>
      </c>
      <c r="C160">
        <f>INDEX('Draft Engine'!$F$3:$F$225,$M160)</f>
        <v>22</v>
      </c>
      <c r="D160" t="str">
        <f>INDEX('Draft Engine'!$B$3:$B$225,$M160)</f>
        <v>Sam Darnold</v>
      </c>
      <c r="E160" s="4">
        <f>INDEX('Draft Engine'!$E$3:$E$225,$M160)</f>
        <v>75.554199999999994</v>
      </c>
      <c r="F160" t="str">
        <f t="shared" si="2"/>
        <v>TIER 4</v>
      </c>
      <c r="G160" s="4">
        <f>INDEX('Draft Engine'!$N$3:$N$225,$M160)</f>
        <v>46.15681</v>
      </c>
      <c r="H160" s="4">
        <f>INDEX('Draft Engine'!$R$3:$R$225,$M160)</f>
        <v>190</v>
      </c>
      <c r="I160" s="4">
        <f>INDEX('Draft Engine'!$S$3:$S$225,$M160)</f>
        <v>32</v>
      </c>
      <c r="J160" s="5"/>
      <c r="K160">
        <f>INDEX('Draft Engine'!$Z$3:$Z$225,$M160)</f>
        <v>158</v>
      </c>
      <c r="L160" t="str">
        <f>INDEX('LIVE SOURCE'!$H$3:$H$225,$M160)</f>
        <v>Bench/streaming option; needs matchup, rushing or TD spike weeks.</v>
      </c>
      <c r="M160" s="6">
        <f>MATCH($A160,'Draft Engine'!$Q$3:$Q$225,0)</f>
        <v>22</v>
      </c>
    </row>
    <row r="161" spans="1:13" x14ac:dyDescent="0.25">
      <c r="A161">
        <v>159</v>
      </c>
      <c r="B161" t="str">
        <f>INDEX('Draft Engine'!$A$3:$A$225,$M161)</f>
        <v>QB</v>
      </c>
      <c r="C161">
        <f>INDEX('Draft Engine'!$F$3:$F$225,$M161)</f>
        <v>23</v>
      </c>
      <c r="D161" t="str">
        <f>INDEX('Draft Engine'!$B$3:$B$225,$M161)</f>
        <v>Daniel Jones</v>
      </c>
      <c r="E161" s="4">
        <f>INDEX('Draft Engine'!$E$3:$E$225,$M161)</f>
        <v>74.790400000000005</v>
      </c>
      <c r="F161" t="str">
        <f t="shared" si="2"/>
        <v>TIER 5</v>
      </c>
      <c r="G161" s="4">
        <f>INDEX('Draft Engine'!$N$3:$N$225,$M161)</f>
        <v>45.124720000000011</v>
      </c>
      <c r="H161" s="4">
        <f>INDEX('Draft Engine'!$R$3:$R$225,$M161)</f>
        <v>198</v>
      </c>
      <c r="I161" s="4">
        <f>INDEX('Draft Engine'!$S$3:$S$225,$M161)</f>
        <v>39</v>
      </c>
      <c r="J161" s="5"/>
      <c r="K161">
        <f>INDEX('Draft Engine'!$Z$3:$Z$225,$M161)</f>
        <v>159</v>
      </c>
      <c r="L161" t="str">
        <f>INDEX('LIVE SOURCE'!$H$3:$H$225,$M161)</f>
        <v>Bench/streaming option; needs matchup, rushing or TD spike weeks.</v>
      </c>
      <c r="M161" s="6">
        <f>MATCH($A161,'Draft Engine'!$Q$3:$Q$225,0)</f>
        <v>23</v>
      </c>
    </row>
    <row r="162" spans="1:13" x14ac:dyDescent="0.25">
      <c r="A162">
        <v>160</v>
      </c>
      <c r="B162" t="str">
        <f>INDEX('Draft Engine'!$A$3:$A$225,$M162)</f>
        <v>WR</v>
      </c>
      <c r="C162">
        <f>INDEX('Draft Engine'!$F$3:$F$225,$M162)</f>
        <v>50</v>
      </c>
      <c r="D162" t="str">
        <f>INDEX('Draft Engine'!$B$3:$B$225,$M162)</f>
        <v>Khalil Shakir</v>
      </c>
      <c r="E162" s="4">
        <f>INDEX('Draft Engine'!$E$3:$E$225,$M162)</f>
        <v>65.5</v>
      </c>
      <c r="F162" t="str">
        <f t="shared" si="2"/>
        <v>TIER 6</v>
      </c>
      <c r="G162" s="4">
        <f>INDEX('Draft Engine'!$N$3:$N$225,$M162)</f>
        <v>45.035666666666671</v>
      </c>
      <c r="H162" s="4">
        <f>INDEX('Draft Engine'!$R$3:$R$225,$M162)</f>
        <v>198</v>
      </c>
      <c r="I162" s="4">
        <f>INDEX('Draft Engine'!$S$3:$S$225,$M162)</f>
        <v>38</v>
      </c>
      <c r="J162" s="5"/>
      <c r="K162">
        <f>INDEX('Draft Engine'!$Z$3:$Z$225,$M162)</f>
        <v>160</v>
      </c>
      <c r="L162" t="str">
        <f>INDEX('LIVE SOURCE'!$H$3:$H$225,$M162)</f>
        <v>Late-round bench upside; role growth is required for weekly relevance.</v>
      </c>
      <c r="M162" s="6">
        <f>MATCH($A162,'Draft Engine'!$Q$3:$Q$225,0)</f>
        <v>133</v>
      </c>
    </row>
    <row r="163" spans="1:13" x14ac:dyDescent="0.25">
      <c r="A163">
        <v>161</v>
      </c>
      <c r="B163" t="str">
        <f>INDEX('Draft Engine'!$A$3:$A$225,$M163)</f>
        <v>QB</v>
      </c>
      <c r="C163">
        <f>INDEX('Draft Engine'!$F$3:$F$225,$M163)</f>
        <v>24</v>
      </c>
      <c r="D163" t="str">
        <f>INDEX('Draft Engine'!$B$3:$B$225,$M163)</f>
        <v>Malik Willis</v>
      </c>
      <c r="E163" s="4">
        <f>INDEX('Draft Engine'!$E$3:$E$225,$M163)</f>
        <v>74.240300000000005</v>
      </c>
      <c r="F163" t="str">
        <f t="shared" si="2"/>
        <v>TIER 5</v>
      </c>
      <c r="G163" s="4">
        <f>INDEX('Draft Engine'!$N$3:$N$225,$M163)</f>
        <v>44.372165000000003</v>
      </c>
      <c r="H163" s="4">
        <f>INDEX('Draft Engine'!$R$3:$R$225,$M163)</f>
        <v>206</v>
      </c>
      <c r="I163" s="4">
        <f>INDEX('Draft Engine'!$S$3:$S$225,$M163)</f>
        <v>45</v>
      </c>
      <c r="J163" s="5"/>
      <c r="K163">
        <f>INDEX('Draft Engine'!$Z$3:$Z$225,$M163)</f>
        <v>161</v>
      </c>
      <c r="L163" t="str">
        <f>INDEX('LIVE SOURCE'!$H$3:$H$225,$M163)</f>
        <v>Bench/streaming option; needs matchup, rushing or TD spike weeks.</v>
      </c>
      <c r="M163" s="6">
        <f>MATCH($A163,'Draft Engine'!$Q$3:$Q$225,0)</f>
        <v>24</v>
      </c>
    </row>
    <row r="164" spans="1:13" x14ac:dyDescent="0.25">
      <c r="A164">
        <v>162</v>
      </c>
      <c r="B164" t="str">
        <f>INDEX('Draft Engine'!$A$3:$A$225,$M164)</f>
        <v>WR</v>
      </c>
      <c r="C164">
        <f>INDEX('Draft Engine'!$F$3:$F$225,$M164)</f>
        <v>51</v>
      </c>
      <c r="D164" t="str">
        <f>INDEX('Draft Engine'!$B$3:$B$225,$M164)</f>
        <v>Jalin Hyatt</v>
      </c>
      <c r="E164" s="4">
        <f>INDEX('Draft Engine'!$E$3:$E$225,$M164)</f>
        <v>64.83</v>
      </c>
      <c r="F164" t="str">
        <f t="shared" si="2"/>
        <v>TIER 7</v>
      </c>
      <c r="G164" s="4">
        <f>INDEX('Draft Engine'!$N$3:$N$225,$M164)</f>
        <v>43.996499999999997</v>
      </c>
      <c r="H164" s="4">
        <f>INDEX('Draft Engine'!$R$3:$R$225,$M164)</f>
        <v>201.9</v>
      </c>
      <c r="I164" s="4">
        <f>INDEX('Draft Engine'!$S$3:$S$225,$M164)</f>
        <v>39.900000000000006</v>
      </c>
      <c r="J164" s="5"/>
      <c r="K164">
        <f>INDEX('Draft Engine'!$Z$3:$Z$225,$M164)</f>
        <v>162</v>
      </c>
      <c r="L164" t="str">
        <f>INDEX('LIVE SOURCE'!$H$3:$H$225,$M164)</f>
        <v>Late-round bench upside; role growth is required for weekly relevance.</v>
      </c>
      <c r="M164" s="6">
        <f>MATCH($A164,'Draft Engine'!$Q$3:$Q$225,0)</f>
        <v>134</v>
      </c>
    </row>
    <row r="165" spans="1:13" x14ac:dyDescent="0.25">
      <c r="A165">
        <v>163</v>
      </c>
      <c r="B165" t="str">
        <f>INDEX('Draft Engine'!$A$3:$A$225,$M165)</f>
        <v>RB</v>
      </c>
      <c r="C165">
        <f>INDEX('Draft Engine'!$F$3:$F$225,$M165)</f>
        <v>44</v>
      </c>
      <c r="D165" t="str">
        <f>INDEX('Draft Engine'!$B$3:$B$225,$M165)</f>
        <v>Tyler Allgeier</v>
      </c>
      <c r="E165" s="4">
        <f>INDEX('Draft Engine'!$E$3:$E$225,$M165)</f>
        <v>63.032200000000003</v>
      </c>
      <c r="F165" t="str">
        <f t="shared" si="2"/>
        <v>TIER 7</v>
      </c>
      <c r="G165" s="4">
        <f>INDEX('Draft Engine'!$N$3:$N$225,$M165)</f>
        <v>43.49058500000001</v>
      </c>
      <c r="H165" s="4">
        <f>INDEX('Draft Engine'!$R$3:$R$225,$M165)</f>
        <v>182.6</v>
      </c>
      <c r="I165" s="4">
        <f>INDEX('Draft Engine'!$S$3:$S$225,$M165)</f>
        <v>19.599999999999994</v>
      </c>
      <c r="J165" s="5"/>
      <c r="K165">
        <f>INDEX('Draft Engine'!$Z$3:$Z$225,$M165)</f>
        <v>163</v>
      </c>
      <c r="L165" t="str">
        <f>INDEX('LIVE SOURCE'!$H$3:$H$225,$M165)</f>
        <v>Bench stash/handcuff profile; value is tied to role change or injury ahead.</v>
      </c>
      <c r="M165" s="6">
        <f>MATCH($A165,'Draft Engine'!$Q$3:$Q$225,0)</f>
        <v>76</v>
      </c>
    </row>
    <row r="166" spans="1:13" x14ac:dyDescent="0.25">
      <c r="A166">
        <v>164</v>
      </c>
      <c r="B166" t="str">
        <f>INDEX('Draft Engine'!$A$3:$A$225,$M166)</f>
        <v>TE</v>
      </c>
      <c r="C166">
        <f>INDEX('Draft Engine'!$F$3:$F$225,$M166)</f>
        <v>25</v>
      </c>
      <c r="D166" t="str">
        <f>INDEX('Draft Engine'!$B$3:$B$225,$M166)</f>
        <v>Cade Otton</v>
      </c>
      <c r="E166" s="4">
        <f>INDEX('Draft Engine'!$E$3:$E$225,$M166)</f>
        <v>66.649000000000001</v>
      </c>
      <c r="F166" t="str">
        <f t="shared" si="2"/>
        <v>TIER 6</v>
      </c>
      <c r="G166" s="4">
        <f>INDEX('Draft Engine'!$N$3:$N$225,$M166)</f>
        <v>43.304950000000005</v>
      </c>
      <c r="H166" s="4">
        <f>INDEX('Draft Engine'!$R$3:$R$225,$M166)</f>
        <v>233</v>
      </c>
      <c r="I166" s="4">
        <f>INDEX('Draft Engine'!$S$3:$S$225,$M166)</f>
        <v>69</v>
      </c>
      <c r="J166" s="5"/>
      <c r="K166">
        <f>INDEX('Draft Engine'!$Z$3:$Z$225,$M166)</f>
        <v>164</v>
      </c>
      <c r="L166" t="str">
        <f>INDEX('LIVE SOURCE'!$H$3:$H$225,$M166)</f>
        <v>Deep TE stash; needs a larger route/target role to matter in 10-team leagues.</v>
      </c>
      <c r="M166" s="6">
        <f>MATCH($A166,'Draft Engine'!$Q$3:$Q$225,0)</f>
        <v>177</v>
      </c>
    </row>
    <row r="167" spans="1:13" x14ac:dyDescent="0.25">
      <c r="A167">
        <v>165</v>
      </c>
      <c r="B167" t="str">
        <f>INDEX('Draft Engine'!$A$3:$A$225,$M167)</f>
        <v>TE</v>
      </c>
      <c r="C167">
        <f>INDEX('Draft Engine'!$F$3:$F$225,$M167)</f>
        <v>26</v>
      </c>
      <c r="D167" t="str">
        <f>INDEX('Draft Engine'!$B$3:$B$225,$M167)</f>
        <v>Gunnar Helm</v>
      </c>
      <c r="E167" s="4">
        <f>INDEX('Draft Engine'!$E$3:$E$225,$M167)</f>
        <v>66.622299999999996</v>
      </c>
      <c r="F167" t="str">
        <f t="shared" si="2"/>
        <v>TIER 6</v>
      </c>
      <c r="G167" s="4">
        <f>INDEX('Draft Engine'!$N$3:$N$225,$M167)</f>
        <v>43.272265000000004</v>
      </c>
      <c r="H167" s="4">
        <f>INDEX('Draft Engine'!$R$3:$R$225,$M167)</f>
        <v>242</v>
      </c>
      <c r="I167" s="4">
        <f>INDEX('Draft Engine'!$S$3:$S$225,$M167)</f>
        <v>77</v>
      </c>
      <c r="J167" s="5"/>
      <c r="K167">
        <f>INDEX('Draft Engine'!$Z$3:$Z$225,$M167)</f>
        <v>165</v>
      </c>
      <c r="L167" t="str">
        <f>INDEX('LIVE SOURCE'!$H$3:$H$225,$M167)</f>
        <v>Deep TE stash; needs a larger route/target role to matter in 10-team leagues.</v>
      </c>
      <c r="M167" s="6">
        <f>MATCH($A167,'Draft Engine'!$Q$3:$Q$225,0)</f>
        <v>178</v>
      </c>
    </row>
    <row r="168" spans="1:13" x14ac:dyDescent="0.25">
      <c r="A168">
        <v>166</v>
      </c>
      <c r="B168" t="str">
        <f>INDEX('Draft Engine'!$A$3:$A$225,$M168)</f>
        <v>WR</v>
      </c>
      <c r="C168">
        <f>INDEX('Draft Engine'!$F$3:$F$225,$M168)</f>
        <v>52</v>
      </c>
      <c r="D168" t="str">
        <f>INDEX('Draft Engine'!$B$3:$B$225,$M168)</f>
        <v>Romeo Doubs</v>
      </c>
      <c r="E168" s="4">
        <f>INDEX('Draft Engine'!$E$3:$E$225,$M168)</f>
        <v>64.16</v>
      </c>
      <c r="F168" t="str">
        <f t="shared" si="2"/>
        <v>TIER 7</v>
      </c>
      <c r="G168" s="4">
        <f>INDEX('Draft Engine'!$N$3:$N$225,$M168)</f>
        <v>43.124000000000002</v>
      </c>
      <c r="H168" s="4">
        <f>INDEX('Draft Engine'!$R$3:$R$225,$M168)</f>
        <v>205.8</v>
      </c>
      <c r="I168" s="4">
        <f>INDEX('Draft Engine'!$S$3:$S$225,$M168)</f>
        <v>39.800000000000011</v>
      </c>
      <c r="J168" s="5"/>
      <c r="K168">
        <f>INDEX('Draft Engine'!$Z$3:$Z$225,$M168)</f>
        <v>166</v>
      </c>
      <c r="L168" t="str">
        <f>INDEX('LIVE SOURCE'!$H$3:$H$225,$M168)</f>
        <v>Late-round bench upside; role growth is required for weekly relevance.</v>
      </c>
      <c r="M168" s="6">
        <f>MATCH($A168,'Draft Engine'!$Q$3:$Q$225,0)</f>
        <v>135</v>
      </c>
    </row>
    <row r="169" spans="1:13" x14ac:dyDescent="0.25">
      <c r="A169">
        <v>167</v>
      </c>
      <c r="B169" t="str">
        <f>INDEX('Draft Engine'!$A$3:$A$225,$M169)</f>
        <v>RB</v>
      </c>
      <c r="C169">
        <f>INDEX('Draft Engine'!$F$3:$F$225,$M169)</f>
        <v>45</v>
      </c>
      <c r="D169" t="str">
        <f>INDEX('Draft Engine'!$B$3:$B$225,$M169)</f>
        <v>Zach Charbonnet</v>
      </c>
      <c r="E169" s="4">
        <f>INDEX('Draft Engine'!$E$3:$E$225,$M169)</f>
        <v>62.549799999999998</v>
      </c>
      <c r="F169" t="str">
        <f t="shared" si="2"/>
        <v>TIER 7</v>
      </c>
      <c r="G169" s="4">
        <f>INDEX('Draft Engine'!$N$3:$N$225,$M169)</f>
        <v>42.505890000000008</v>
      </c>
      <c r="H169" s="4">
        <f>INDEX('Draft Engine'!$R$3:$R$225,$M169)</f>
        <v>186.8</v>
      </c>
      <c r="I169" s="4">
        <f>INDEX('Draft Engine'!$S$3:$S$225,$M169)</f>
        <v>19.800000000000011</v>
      </c>
      <c r="J169" s="5"/>
      <c r="K169">
        <f>INDEX('Draft Engine'!$Z$3:$Z$225,$M169)</f>
        <v>167</v>
      </c>
      <c r="L169" t="str">
        <f>INDEX('LIVE SOURCE'!$H$3:$H$225,$M169)</f>
        <v>Bench stash/handcuff profile; value is tied to role change or injury ahead.</v>
      </c>
      <c r="M169" s="6">
        <f>MATCH($A169,'Draft Engine'!$Q$3:$Q$225,0)</f>
        <v>77</v>
      </c>
    </row>
    <row r="170" spans="1:13" x14ac:dyDescent="0.25">
      <c r="A170">
        <v>168</v>
      </c>
      <c r="B170" t="str">
        <f>INDEX('Draft Engine'!$A$3:$A$225,$M170)</f>
        <v>QB</v>
      </c>
      <c r="C170">
        <f>INDEX('Draft Engine'!$F$3:$F$225,$M170)</f>
        <v>25</v>
      </c>
      <c r="D170" t="str">
        <f>INDEX('Draft Engine'!$B$3:$B$225,$M170)</f>
        <v>Bryce Young</v>
      </c>
      <c r="E170" s="4">
        <f>INDEX('Draft Engine'!$E$3:$E$225,$M170)</f>
        <v>72.797600000000003</v>
      </c>
      <c r="F170" t="str">
        <f t="shared" si="2"/>
        <v>TIER 5</v>
      </c>
      <c r="G170" s="4">
        <f>INDEX('Draft Engine'!$N$3:$N$225,$M170)</f>
        <v>42.408680000000004</v>
      </c>
      <c r="H170" s="4">
        <f>INDEX('Draft Engine'!$R$3:$R$225,$M170)</f>
        <v>214</v>
      </c>
      <c r="I170" s="4">
        <f>INDEX('Draft Engine'!$S$3:$S$225,$M170)</f>
        <v>46</v>
      </c>
      <c r="J170" s="5"/>
      <c r="K170">
        <f>INDEX('Draft Engine'!$Z$3:$Z$225,$M170)</f>
        <v>168</v>
      </c>
      <c r="L170" t="str">
        <f>INDEX('LIVE SOURCE'!$H$3:$H$225,$M170)</f>
        <v>Deep QB2; waiver-level in a normal 10-team format.</v>
      </c>
      <c r="M170" s="6">
        <f>MATCH($A170,'Draft Engine'!$Q$3:$Q$225,0)</f>
        <v>25</v>
      </c>
    </row>
    <row r="171" spans="1:13" x14ac:dyDescent="0.25">
      <c r="A171">
        <v>169</v>
      </c>
      <c r="B171" t="str">
        <f>INDEX('Draft Engine'!$A$3:$A$225,$M171)</f>
        <v>WR</v>
      </c>
      <c r="C171">
        <f>INDEX('Draft Engine'!$F$3:$F$225,$M171)</f>
        <v>53</v>
      </c>
      <c r="D171" t="str">
        <f>INDEX('Draft Engine'!$B$3:$B$225,$M171)</f>
        <v>Jalen Coker</v>
      </c>
      <c r="E171" s="4">
        <f>INDEX('Draft Engine'!$E$3:$E$225,$M171)</f>
        <v>63.49</v>
      </c>
      <c r="F171" t="str">
        <f t="shared" si="2"/>
        <v>TIER 7</v>
      </c>
      <c r="G171" s="4">
        <f>INDEX('Draft Engine'!$N$3:$N$225,$M171)</f>
        <v>42.251500000000007</v>
      </c>
      <c r="H171" s="4">
        <f>INDEX('Draft Engine'!$R$3:$R$225,$M171)</f>
        <v>209.7</v>
      </c>
      <c r="I171" s="4">
        <f>INDEX('Draft Engine'!$S$3:$S$225,$M171)</f>
        <v>40.699999999999989</v>
      </c>
      <c r="J171" s="5"/>
      <c r="K171">
        <f>INDEX('Draft Engine'!$Z$3:$Z$225,$M171)</f>
        <v>169</v>
      </c>
      <c r="L171" t="str">
        <f>INDEX('LIVE SOURCE'!$H$3:$H$225,$M171)</f>
        <v>Late-round bench upside; role growth is required for weekly relevance.</v>
      </c>
      <c r="M171" s="6">
        <f>MATCH($A171,'Draft Engine'!$Q$3:$Q$225,0)</f>
        <v>136</v>
      </c>
    </row>
    <row r="172" spans="1:13" x14ac:dyDescent="0.25">
      <c r="A172">
        <v>170</v>
      </c>
      <c r="B172" t="str">
        <f>INDEX('Draft Engine'!$A$3:$A$225,$M172)</f>
        <v>QB</v>
      </c>
      <c r="C172">
        <f>INDEX('Draft Engine'!$F$3:$F$225,$M172)</f>
        <v>26</v>
      </c>
      <c r="D172" t="str">
        <f>INDEX('Draft Engine'!$B$3:$B$225,$M172)</f>
        <v>Cam Ward</v>
      </c>
      <c r="E172" s="4">
        <f>INDEX('Draft Engine'!$E$3:$E$225,$M172)</f>
        <v>72.664599999999993</v>
      </c>
      <c r="F172" t="str">
        <f t="shared" si="2"/>
        <v>TIER 5</v>
      </c>
      <c r="G172" s="4">
        <f>INDEX('Draft Engine'!$N$3:$N$225,$M172)</f>
        <v>42.227530000000002</v>
      </c>
      <c r="H172" s="4">
        <f>INDEX('Draft Engine'!$R$3:$R$225,$M172)</f>
        <v>222</v>
      </c>
      <c r="I172" s="4">
        <f>INDEX('Draft Engine'!$S$3:$S$225,$M172)</f>
        <v>52</v>
      </c>
      <c r="J172" s="5"/>
      <c r="K172">
        <f>INDEX('Draft Engine'!$Z$3:$Z$225,$M172)</f>
        <v>170</v>
      </c>
      <c r="L172" t="str">
        <f>INDEX('LIVE SOURCE'!$H$3:$H$225,$M172)</f>
        <v>Deep QB2; waiver-level in a normal 10-team format.</v>
      </c>
      <c r="M172" s="6">
        <f>MATCH($A172,'Draft Engine'!$Q$3:$Q$225,0)</f>
        <v>26</v>
      </c>
    </row>
    <row r="173" spans="1:13" x14ac:dyDescent="0.25">
      <c r="A173">
        <v>171</v>
      </c>
      <c r="B173" t="str">
        <f>INDEX('Draft Engine'!$A$3:$A$225,$M173)</f>
        <v>RB</v>
      </c>
      <c r="C173">
        <f>INDEX('Draft Engine'!$F$3:$F$225,$M173)</f>
        <v>46</v>
      </c>
      <c r="D173" t="str">
        <f>INDEX('Draft Engine'!$B$3:$B$225,$M173)</f>
        <v>Jonathon Brooks</v>
      </c>
      <c r="E173" s="4">
        <f>INDEX('Draft Engine'!$E$3:$E$225,$M173)</f>
        <v>62.2</v>
      </c>
      <c r="F173" t="str">
        <f t="shared" si="2"/>
        <v>TIER 7</v>
      </c>
      <c r="G173" s="4">
        <f>INDEX('Draft Engine'!$N$3:$N$225,$M173)</f>
        <v>41.684125000000002</v>
      </c>
      <c r="H173" s="4">
        <f>INDEX('Draft Engine'!$R$3:$R$225,$M173)</f>
        <v>191</v>
      </c>
      <c r="I173" s="4">
        <f>INDEX('Draft Engine'!$S$3:$S$225,$M173)</f>
        <v>20</v>
      </c>
      <c r="J173" s="5"/>
      <c r="K173">
        <f>INDEX('Draft Engine'!$Z$3:$Z$225,$M173)</f>
        <v>171</v>
      </c>
      <c r="L173" t="str">
        <f>INDEX('LIVE SOURCE'!$H$3:$H$225,$M173)</f>
        <v>Bench stash/handcuff profile; value is tied to role change or injury ahead.</v>
      </c>
      <c r="M173" s="6">
        <f>MATCH($A173,'Draft Engine'!$Q$3:$Q$225,0)</f>
        <v>78</v>
      </c>
    </row>
    <row r="174" spans="1:13" x14ac:dyDescent="0.25">
      <c r="A174">
        <v>172</v>
      </c>
      <c r="B174" t="str">
        <f>INDEX('Draft Engine'!$A$3:$A$225,$M174)</f>
        <v>WR</v>
      </c>
      <c r="C174">
        <f>INDEX('Draft Engine'!$F$3:$F$225,$M174)</f>
        <v>54</v>
      </c>
      <c r="D174" t="str">
        <f>INDEX('Draft Engine'!$B$3:$B$225,$M174)</f>
        <v>KC Concepcion</v>
      </c>
      <c r="E174" s="4">
        <f>INDEX('Draft Engine'!$E$3:$E$225,$M174)</f>
        <v>62.82</v>
      </c>
      <c r="F174" t="str">
        <f t="shared" si="2"/>
        <v>TIER 7</v>
      </c>
      <c r="G174" s="4">
        <f>INDEX('Draft Engine'!$N$3:$N$225,$M174)</f>
        <v>41.361000000000004</v>
      </c>
      <c r="H174" s="4">
        <f>INDEX('Draft Engine'!$R$3:$R$225,$M174)</f>
        <v>213.6</v>
      </c>
      <c r="I174" s="4">
        <f>INDEX('Draft Engine'!$S$3:$S$225,$M174)</f>
        <v>41.599999999999994</v>
      </c>
      <c r="J174" s="5"/>
      <c r="K174">
        <f>INDEX('Draft Engine'!$Z$3:$Z$225,$M174)</f>
        <v>172</v>
      </c>
      <c r="L174" t="str">
        <f>INDEX('LIVE SOURCE'!$H$3:$H$225,$M174)</f>
        <v>Late-round bench upside; role growth is required for weekly relevance.</v>
      </c>
      <c r="M174" s="6">
        <f>MATCH($A174,'Draft Engine'!$Q$3:$Q$225,0)</f>
        <v>137</v>
      </c>
    </row>
    <row r="175" spans="1:13" x14ac:dyDescent="0.25">
      <c r="A175">
        <v>173</v>
      </c>
      <c r="B175" t="str">
        <f>INDEX('Draft Engine'!$A$3:$A$225,$M175)</f>
        <v>RB</v>
      </c>
      <c r="C175">
        <f>INDEX('Draft Engine'!$F$3:$F$225,$M175)</f>
        <v>47</v>
      </c>
      <c r="D175" t="str">
        <f>INDEX('Draft Engine'!$B$3:$B$225,$M175)</f>
        <v>Emanuel Wilson</v>
      </c>
      <c r="E175" s="4">
        <f>INDEX('Draft Engine'!$E$3:$E$225,$M175)</f>
        <v>61.982100000000003</v>
      </c>
      <c r="F175" t="str">
        <f t="shared" si="2"/>
        <v>TIER 7</v>
      </c>
      <c r="G175" s="4">
        <f>INDEX('Draft Engine'!$N$3:$N$225,$M175)</f>
        <v>41.042905000000005</v>
      </c>
      <c r="H175" s="4">
        <f>INDEX('Draft Engine'!$R$3:$R$225,$M175)</f>
        <v>195.2</v>
      </c>
      <c r="I175" s="4">
        <f>INDEX('Draft Engine'!$S$3:$S$225,$M175)</f>
        <v>22.199999999999989</v>
      </c>
      <c r="J175" s="5"/>
      <c r="K175">
        <f>INDEX('Draft Engine'!$Z$3:$Z$225,$M175)</f>
        <v>173</v>
      </c>
      <c r="L175" t="str">
        <f>INDEX('LIVE SOURCE'!$H$3:$H$225,$M175)</f>
        <v>Bench stash/handcuff profile; value is tied to role change or injury ahead.</v>
      </c>
      <c r="M175" s="6">
        <f>MATCH($A175,'Draft Engine'!$Q$3:$Q$225,0)</f>
        <v>79</v>
      </c>
    </row>
    <row r="176" spans="1:13" x14ac:dyDescent="0.25">
      <c r="A176">
        <v>174</v>
      </c>
      <c r="B176" t="str">
        <f>INDEX('Draft Engine'!$A$3:$A$225,$M176)</f>
        <v>TE</v>
      </c>
      <c r="C176">
        <f>INDEX('Draft Engine'!$F$3:$F$225,$M176)</f>
        <v>27</v>
      </c>
      <c r="D176" t="str">
        <f>INDEX('Draft Engine'!$B$3:$B$225,$M176)</f>
        <v>Terrance Ferguson</v>
      </c>
      <c r="E176" s="4">
        <f>INDEX('Draft Engine'!$E$3:$E$225,$M176)</f>
        <v>64.362099999999998</v>
      </c>
      <c r="F176" t="str">
        <f t="shared" si="2"/>
        <v>TIER 7</v>
      </c>
      <c r="G176" s="4">
        <f>INDEX('Draft Engine'!$N$3:$N$225,$M176)</f>
        <v>40.607154999999999</v>
      </c>
      <c r="H176" s="4">
        <f>INDEX('Draft Engine'!$R$3:$R$225,$M176)</f>
        <v>251</v>
      </c>
      <c r="I176" s="4">
        <f>INDEX('Draft Engine'!$S$3:$S$225,$M176)</f>
        <v>77</v>
      </c>
      <c r="J176" s="5"/>
      <c r="K176">
        <f>INDEX('Draft Engine'!$Z$3:$Z$225,$M176)</f>
        <v>174</v>
      </c>
      <c r="L176" t="str">
        <f>INDEX('LIVE SOURCE'!$H$3:$H$225,$M176)</f>
        <v>Deep TE stash; needs a larger route/target role to matter in 10-team leagues.</v>
      </c>
      <c r="M176" s="6">
        <f>MATCH($A176,'Draft Engine'!$Q$3:$Q$225,0)</f>
        <v>179</v>
      </c>
    </row>
    <row r="177" spans="1:13" x14ac:dyDescent="0.25">
      <c r="A177">
        <v>175</v>
      </c>
      <c r="B177" t="str">
        <f>INDEX('Draft Engine'!$A$3:$A$225,$M177)</f>
        <v>WR</v>
      </c>
      <c r="C177">
        <f>INDEX('Draft Engine'!$F$3:$F$225,$M177)</f>
        <v>55</v>
      </c>
      <c r="D177" t="str">
        <f>INDEX('Draft Engine'!$B$3:$B$225,$M177)</f>
        <v>Rashid Shaheed</v>
      </c>
      <c r="E177" s="4">
        <f>INDEX('Draft Engine'!$E$3:$E$225,$M177)</f>
        <v>62.15</v>
      </c>
      <c r="F177" t="str">
        <f t="shared" si="2"/>
        <v>TIER 7</v>
      </c>
      <c r="G177" s="4">
        <f>INDEX('Draft Engine'!$N$3:$N$225,$M177)</f>
        <v>40.488500000000002</v>
      </c>
      <c r="H177" s="4">
        <f>INDEX('Draft Engine'!$R$3:$R$225,$M177)</f>
        <v>217.5</v>
      </c>
      <c r="I177" s="4">
        <f>INDEX('Draft Engine'!$S$3:$S$225,$M177)</f>
        <v>42.5</v>
      </c>
      <c r="J177" s="5"/>
      <c r="K177">
        <f>INDEX('Draft Engine'!$Z$3:$Z$225,$M177)</f>
        <v>175</v>
      </c>
      <c r="L177" t="str">
        <f>INDEX('LIVE SOURCE'!$H$3:$H$225,$M177)</f>
        <v>Late-round bench upside; role growth is required for weekly relevance.</v>
      </c>
      <c r="M177" s="6">
        <f>MATCH($A177,'Draft Engine'!$Q$3:$Q$225,0)</f>
        <v>138</v>
      </c>
    </row>
    <row r="178" spans="1:13" x14ac:dyDescent="0.25">
      <c r="A178">
        <v>176</v>
      </c>
      <c r="B178" t="str">
        <f>INDEX('Draft Engine'!$A$3:$A$225,$M178)</f>
        <v>QB</v>
      </c>
      <c r="C178">
        <f>INDEX('Draft Engine'!$F$3:$F$225,$M178)</f>
        <v>27</v>
      </c>
      <c r="D178" t="str">
        <f>INDEX('Draft Engine'!$B$3:$B$225,$M178)</f>
        <v>Jacoby Brissett</v>
      </c>
      <c r="E178" s="4">
        <f>INDEX('Draft Engine'!$E$3:$E$225,$M178)</f>
        <v>71.333399999999997</v>
      </c>
      <c r="F178" t="str">
        <f t="shared" si="2"/>
        <v>TIER 5</v>
      </c>
      <c r="G178" s="4">
        <f>INDEX('Draft Engine'!$N$3:$N$225,$M178)</f>
        <v>40.415370000000003</v>
      </c>
      <c r="H178" s="4">
        <f>INDEX('Draft Engine'!$R$3:$R$225,$M178)</f>
        <v>230</v>
      </c>
      <c r="I178" s="4">
        <f>INDEX('Draft Engine'!$S$3:$S$225,$M178)</f>
        <v>54</v>
      </c>
      <c r="J178" s="5"/>
      <c r="K178">
        <f>INDEX('Draft Engine'!$Z$3:$Z$225,$M178)</f>
        <v>176</v>
      </c>
      <c r="L178" t="str">
        <f>INDEX('LIVE SOURCE'!$H$3:$H$225,$M178)</f>
        <v>Deep QB2; waiver-level in a normal 10-team format.</v>
      </c>
      <c r="M178" s="6">
        <f>MATCH($A178,'Draft Engine'!$Q$3:$Q$225,0)</f>
        <v>27</v>
      </c>
    </row>
    <row r="179" spans="1:13" x14ac:dyDescent="0.25">
      <c r="A179">
        <v>177</v>
      </c>
      <c r="B179" t="str">
        <f>INDEX('Draft Engine'!$A$3:$A$225,$M179)</f>
        <v>QB</v>
      </c>
      <c r="C179">
        <f>INDEX('Draft Engine'!$F$3:$F$225,$M179)</f>
        <v>28</v>
      </c>
      <c r="D179" t="str">
        <f>INDEX('Draft Engine'!$B$3:$B$225,$M179)</f>
        <v>Geno Smith</v>
      </c>
      <c r="E179" s="4">
        <f>INDEX('Draft Engine'!$E$3:$E$225,$M179)</f>
        <v>71.098600000000005</v>
      </c>
      <c r="F179" t="str">
        <f t="shared" si="2"/>
        <v>TIER 5</v>
      </c>
      <c r="G179" s="4">
        <f>INDEX('Draft Engine'!$N$3:$N$225,$M179)</f>
        <v>40.08823000000001</v>
      </c>
      <c r="H179" s="4">
        <f>INDEX('Draft Engine'!$R$3:$R$225,$M179)</f>
        <v>238</v>
      </c>
      <c r="I179" s="4">
        <f>INDEX('Draft Engine'!$S$3:$S$225,$M179)</f>
        <v>61</v>
      </c>
      <c r="J179" s="5"/>
      <c r="K179">
        <f>INDEX('Draft Engine'!$Z$3:$Z$225,$M179)</f>
        <v>177</v>
      </c>
      <c r="L179" t="str">
        <f>INDEX('LIVE SOURCE'!$H$3:$H$225,$M179)</f>
        <v>Deep QB2; waiver-level in a normal 10-team format.</v>
      </c>
      <c r="M179" s="6">
        <f>MATCH($A179,'Draft Engine'!$Q$3:$Q$225,0)</f>
        <v>28</v>
      </c>
    </row>
    <row r="180" spans="1:13" x14ac:dyDescent="0.25">
      <c r="A180">
        <v>178</v>
      </c>
      <c r="B180" t="str">
        <f>INDEX('Draft Engine'!$A$3:$A$225,$M180)</f>
        <v>QB</v>
      </c>
      <c r="C180">
        <f>INDEX('Draft Engine'!$F$3:$F$225,$M180)</f>
        <v>29</v>
      </c>
      <c r="D180" t="str">
        <f>INDEX('Draft Engine'!$B$3:$B$225,$M180)</f>
        <v>Aaron Rodgers</v>
      </c>
      <c r="E180" s="4">
        <f>INDEX('Draft Engine'!$E$3:$E$225,$M180)</f>
        <v>70.884799999999998</v>
      </c>
      <c r="F180" t="str">
        <f t="shared" si="2"/>
        <v>TIER 5</v>
      </c>
      <c r="G180" s="4">
        <f>INDEX('Draft Engine'!$N$3:$N$225,$M180)</f>
        <v>39.808640000000004</v>
      </c>
      <c r="H180" s="4">
        <f>INDEX('Draft Engine'!$R$3:$R$225,$M180)</f>
        <v>246</v>
      </c>
      <c r="I180" s="4">
        <f>INDEX('Draft Engine'!$S$3:$S$225,$M180)</f>
        <v>68</v>
      </c>
      <c r="J180" s="5"/>
      <c r="K180">
        <f>INDEX('Draft Engine'!$Z$3:$Z$225,$M180)</f>
        <v>178</v>
      </c>
      <c r="L180" t="str">
        <f>INDEX('LIVE SOURCE'!$H$3:$H$225,$M180)</f>
        <v>Deep QB2; waiver-level in a normal 10-team format.</v>
      </c>
      <c r="M180" s="6">
        <f>MATCH($A180,'Draft Engine'!$Q$3:$Q$225,0)</f>
        <v>29</v>
      </c>
    </row>
    <row r="181" spans="1:13" x14ac:dyDescent="0.25">
      <c r="A181">
        <v>179</v>
      </c>
      <c r="B181" t="str">
        <f>INDEX('Draft Engine'!$A$3:$A$225,$M181)</f>
        <v>WR</v>
      </c>
      <c r="C181">
        <f>INDEX('Draft Engine'!$F$3:$F$225,$M181)</f>
        <v>56</v>
      </c>
      <c r="D181" t="str">
        <f>INDEX('Draft Engine'!$B$3:$B$225,$M181)</f>
        <v>Calvin Ridley</v>
      </c>
      <c r="E181" s="4">
        <f>INDEX('Draft Engine'!$E$3:$E$225,$M181)</f>
        <v>61.48</v>
      </c>
      <c r="F181" t="str">
        <f t="shared" si="2"/>
        <v>TIER 7</v>
      </c>
      <c r="G181" s="4">
        <f>INDEX('Draft Engine'!$N$3:$N$225,$M181)</f>
        <v>39.616</v>
      </c>
      <c r="H181" s="4">
        <f>INDEX('Draft Engine'!$R$3:$R$225,$M181)</f>
        <v>221.4</v>
      </c>
      <c r="I181" s="4">
        <f>INDEX('Draft Engine'!$S$3:$S$225,$M181)</f>
        <v>42.400000000000006</v>
      </c>
      <c r="J181" s="5"/>
      <c r="K181">
        <f>INDEX('Draft Engine'!$Z$3:$Z$225,$M181)</f>
        <v>179</v>
      </c>
      <c r="L181" t="str">
        <f>INDEX('LIVE SOURCE'!$H$3:$H$225,$M181)</f>
        <v>Late-round bench upside; role growth is required for weekly relevance.</v>
      </c>
      <c r="M181" s="6">
        <f>MATCH($A181,'Draft Engine'!$Q$3:$Q$225,0)</f>
        <v>139</v>
      </c>
    </row>
    <row r="182" spans="1:13" x14ac:dyDescent="0.25">
      <c r="A182">
        <v>180</v>
      </c>
      <c r="B182" t="str">
        <f>INDEX('Draft Engine'!$A$3:$A$225,$M182)</f>
        <v>WR</v>
      </c>
      <c r="C182">
        <f>INDEX('Draft Engine'!$F$3:$F$225,$M182)</f>
        <v>57</v>
      </c>
      <c r="D182" t="str">
        <f>INDEX('Draft Engine'!$B$3:$B$225,$M182)</f>
        <v>Omar Cooper Jr.</v>
      </c>
      <c r="E182" s="4">
        <f>INDEX('Draft Engine'!$E$3:$E$225,$M182)</f>
        <v>60.81</v>
      </c>
      <c r="F182" t="str">
        <f t="shared" si="2"/>
        <v>TIER 7</v>
      </c>
      <c r="G182" s="4">
        <f>INDEX('Draft Engine'!$N$3:$N$225,$M182)</f>
        <v>38.743500000000004</v>
      </c>
      <c r="H182" s="4">
        <f>INDEX('Draft Engine'!$R$3:$R$225,$M182)</f>
        <v>225.3</v>
      </c>
      <c r="I182" s="4">
        <f>INDEX('Draft Engine'!$S$3:$S$225,$M182)</f>
        <v>45.300000000000011</v>
      </c>
      <c r="J182" s="5"/>
      <c r="K182">
        <f>INDEX('Draft Engine'!$Z$3:$Z$225,$M182)</f>
        <v>180</v>
      </c>
      <c r="L182" t="str">
        <f>INDEX('LIVE SOURCE'!$H$3:$H$225,$M182)</f>
        <v>Late-round bench upside; role growth is required for weekly relevance.</v>
      </c>
      <c r="M182" s="6">
        <f>MATCH($A182,'Draft Engine'!$Q$3:$Q$225,0)</f>
        <v>140</v>
      </c>
    </row>
    <row r="183" spans="1:13" x14ac:dyDescent="0.25">
      <c r="A183">
        <v>181</v>
      </c>
      <c r="B183" t="str">
        <f>INDEX('Draft Engine'!$A$3:$A$225,$M183)</f>
        <v>RB</v>
      </c>
      <c r="C183">
        <f>INDEX('Draft Engine'!$F$3:$F$225,$M183)</f>
        <v>48</v>
      </c>
      <c r="D183" t="str">
        <f>INDEX('Draft Engine'!$B$3:$B$225,$M183)</f>
        <v>Isiah Pacheco</v>
      </c>
      <c r="E183" s="4">
        <f>INDEX('Draft Engine'!$E$3:$E$225,$M183)</f>
        <v>60.0092</v>
      </c>
      <c r="F183" t="str">
        <f t="shared" si="2"/>
        <v>TIER 7</v>
      </c>
      <c r="G183" s="4">
        <f>INDEX('Draft Engine'!$N$3:$N$225,$M183)</f>
        <v>38.104435000000002</v>
      </c>
      <c r="H183" s="4">
        <f>INDEX('Draft Engine'!$R$3:$R$225,$M183)</f>
        <v>199.4</v>
      </c>
      <c r="I183" s="4">
        <f>INDEX('Draft Engine'!$S$3:$S$225,$M183)</f>
        <v>18.400000000000006</v>
      </c>
      <c r="J183" s="5"/>
      <c r="K183">
        <f>INDEX('Draft Engine'!$Z$3:$Z$225,$M183)</f>
        <v>181</v>
      </c>
      <c r="L183" t="str">
        <f>INDEX('LIVE SOURCE'!$H$3:$H$225,$M183)</f>
        <v>Bench stash/handcuff profile; value is tied to role change or injury ahead.</v>
      </c>
      <c r="M183" s="6">
        <f>MATCH($A183,'Draft Engine'!$Q$3:$Q$225,0)</f>
        <v>80</v>
      </c>
    </row>
    <row r="184" spans="1:13" x14ac:dyDescent="0.25">
      <c r="A184">
        <v>182</v>
      </c>
      <c r="B184" t="str">
        <f>INDEX('Draft Engine'!$A$3:$A$225,$M184)</f>
        <v>WR</v>
      </c>
      <c r="C184">
        <f>INDEX('Draft Engine'!$F$3:$F$225,$M184)</f>
        <v>58</v>
      </c>
      <c r="D184" t="str">
        <f>INDEX('Draft Engine'!$B$3:$B$225,$M184)</f>
        <v>Jerry Jeudy</v>
      </c>
      <c r="E184" s="4">
        <f>INDEX('Draft Engine'!$E$3:$E$225,$M184)</f>
        <v>60.14</v>
      </c>
      <c r="F184" t="str">
        <f t="shared" si="2"/>
        <v>TIER 7</v>
      </c>
      <c r="G184" s="4">
        <f>INDEX('Draft Engine'!$N$3:$N$225,$M184)</f>
        <v>37.871000000000002</v>
      </c>
      <c r="H184" s="4">
        <f>INDEX('Draft Engine'!$R$3:$R$225,$M184)</f>
        <v>229.2</v>
      </c>
      <c r="I184" s="4">
        <f>INDEX('Draft Engine'!$S$3:$S$225,$M184)</f>
        <v>47.199999999999989</v>
      </c>
      <c r="J184" s="5"/>
      <c r="K184">
        <f>INDEX('Draft Engine'!$Z$3:$Z$225,$M184)</f>
        <v>182</v>
      </c>
      <c r="L184" t="str">
        <f>INDEX('LIVE SOURCE'!$H$3:$H$225,$M184)</f>
        <v>Late-round bench upside; role growth is required for weekly relevance.</v>
      </c>
      <c r="M184" s="6">
        <f>MATCH($A184,'Draft Engine'!$Q$3:$Q$225,0)</f>
        <v>141</v>
      </c>
    </row>
    <row r="185" spans="1:13" x14ac:dyDescent="0.25">
      <c r="A185">
        <v>183</v>
      </c>
      <c r="B185" t="str">
        <f>INDEX('Draft Engine'!$A$3:$A$225,$M185)</f>
        <v>WR</v>
      </c>
      <c r="C185">
        <f>INDEX('Draft Engine'!$F$3:$F$225,$M185)</f>
        <v>59</v>
      </c>
      <c r="D185" t="str">
        <f>INDEX('Draft Engine'!$B$3:$B$225,$M185)</f>
        <v>Jalen Nailor</v>
      </c>
      <c r="E185" s="4">
        <f>INDEX('Draft Engine'!$E$3:$E$225,$M185)</f>
        <v>59.47</v>
      </c>
      <c r="F185" t="str">
        <f t="shared" si="2"/>
        <v>TIER 7</v>
      </c>
      <c r="G185" s="4">
        <f>INDEX('Draft Engine'!$N$3:$N$225,$M185)</f>
        <v>36.9985</v>
      </c>
      <c r="H185" s="4">
        <f>INDEX('Draft Engine'!$R$3:$R$225,$M185)</f>
        <v>233.1</v>
      </c>
      <c r="I185" s="4">
        <f>INDEX('Draft Engine'!$S$3:$S$225,$M185)</f>
        <v>50.099999999999994</v>
      </c>
      <c r="J185" s="5"/>
      <c r="K185">
        <f>INDEX('Draft Engine'!$Z$3:$Z$225,$M185)</f>
        <v>183</v>
      </c>
      <c r="L185" t="str">
        <f>INDEX('LIVE SOURCE'!$H$3:$H$225,$M185)</f>
        <v>Late-round bench upside; role growth is required for weekly relevance.</v>
      </c>
      <c r="M185" s="6">
        <f>MATCH($A185,'Draft Engine'!$Q$3:$Q$225,0)</f>
        <v>142</v>
      </c>
    </row>
    <row r="186" spans="1:13" x14ac:dyDescent="0.25">
      <c r="A186">
        <v>184</v>
      </c>
      <c r="B186" t="str">
        <f>INDEX('Draft Engine'!$A$3:$A$225,$M186)</f>
        <v>RB</v>
      </c>
      <c r="C186">
        <f>INDEX('Draft Engine'!$F$3:$F$225,$M186)</f>
        <v>49</v>
      </c>
      <c r="D186" t="str">
        <f>INDEX('Draft Engine'!$B$3:$B$225,$M186)</f>
        <v>Alvin Kamara</v>
      </c>
      <c r="E186" s="4">
        <f>INDEX('Draft Engine'!$E$3:$E$225,$M186)</f>
        <v>59.15</v>
      </c>
      <c r="F186" t="str">
        <f t="shared" si="2"/>
        <v>TIER 7</v>
      </c>
      <c r="G186" s="4">
        <f>INDEX('Draft Engine'!$N$3:$N$225,$M186)</f>
        <v>36.624499999999998</v>
      </c>
      <c r="H186" s="4">
        <f>INDEX('Draft Engine'!$R$3:$R$225,$M186)</f>
        <v>203.6</v>
      </c>
      <c r="I186" s="4">
        <f>INDEX('Draft Engine'!$S$3:$S$225,$M186)</f>
        <v>19.599999999999994</v>
      </c>
      <c r="J186" s="5"/>
      <c r="K186">
        <f>INDEX('Draft Engine'!$Z$3:$Z$225,$M186)</f>
        <v>184</v>
      </c>
      <c r="L186" t="str">
        <f>INDEX('LIVE SOURCE'!$H$3:$H$225,$M186)</f>
        <v>Bench stash/handcuff profile; value is tied to role change or injury ahead.</v>
      </c>
      <c r="M186" s="6">
        <f>MATCH($A186,'Draft Engine'!$Q$3:$Q$225,0)</f>
        <v>81</v>
      </c>
    </row>
    <row r="187" spans="1:13" x14ac:dyDescent="0.25">
      <c r="A187">
        <v>185</v>
      </c>
      <c r="B187" t="str">
        <f>INDEX('Draft Engine'!$A$3:$A$225,$M187)</f>
        <v>WR</v>
      </c>
      <c r="C187">
        <f>INDEX('Draft Engine'!$F$3:$F$225,$M187)</f>
        <v>60</v>
      </c>
      <c r="D187" t="str">
        <f>INDEX('Draft Engine'!$B$3:$B$225,$M187)</f>
        <v>Jalen McMillan</v>
      </c>
      <c r="E187" s="4">
        <f>INDEX('Draft Engine'!$E$3:$E$225,$M187)</f>
        <v>58.8</v>
      </c>
      <c r="F187" t="str">
        <f t="shared" si="2"/>
        <v>TIER 7</v>
      </c>
      <c r="G187" s="4">
        <f>INDEX('Draft Engine'!$N$3:$N$225,$M187)</f>
        <v>36.126000000000005</v>
      </c>
      <c r="H187" s="4">
        <f>INDEX('Draft Engine'!$R$3:$R$225,$M187)</f>
        <v>237</v>
      </c>
      <c r="I187" s="4">
        <f>INDEX('Draft Engine'!$S$3:$S$225,$M187)</f>
        <v>52</v>
      </c>
      <c r="J187" s="5"/>
      <c r="K187">
        <f>INDEX('Draft Engine'!$Z$3:$Z$225,$M187)</f>
        <v>185</v>
      </c>
      <c r="L187" t="str">
        <f>INDEX('LIVE SOURCE'!$H$3:$H$225,$M187)</f>
        <v>Late-round bench upside; role growth is required for weekly relevance.</v>
      </c>
      <c r="M187" s="6">
        <f>MATCH($A187,'Draft Engine'!$Q$3:$Q$225,0)</f>
        <v>143</v>
      </c>
    </row>
    <row r="188" spans="1:13" x14ac:dyDescent="0.25">
      <c r="A188">
        <v>186</v>
      </c>
      <c r="B188" t="str">
        <f>INDEX('Draft Engine'!$A$3:$A$225,$M188)</f>
        <v>QB</v>
      </c>
      <c r="C188">
        <f>INDEX('Draft Engine'!$F$3:$F$225,$M188)</f>
        <v>30</v>
      </c>
      <c r="D188" t="str">
        <f>INDEX('Draft Engine'!$B$3:$B$225,$M188)</f>
        <v>Tua Tagovailoa</v>
      </c>
      <c r="E188" s="4">
        <f>INDEX('Draft Engine'!$E$3:$E$225,$M188)</f>
        <v>67.851200000000006</v>
      </c>
      <c r="F188" t="str">
        <f t="shared" si="2"/>
        <v>TIER 6</v>
      </c>
      <c r="G188" s="4">
        <f>INDEX('Draft Engine'!$N$3:$N$225,$M188)</f>
        <v>35.674160000000008</v>
      </c>
      <c r="H188" s="4">
        <f>INDEX('Draft Engine'!$R$3:$R$225,$M188)</f>
        <v>254</v>
      </c>
      <c r="I188" s="4">
        <f>INDEX('Draft Engine'!$S$3:$S$225,$M188)</f>
        <v>68</v>
      </c>
      <c r="J188" s="5"/>
      <c r="K188">
        <f>INDEX('Draft Engine'!$Z$3:$Z$225,$M188)</f>
        <v>186</v>
      </c>
      <c r="L188" t="str">
        <f>INDEX('LIVE SOURCE'!$H$3:$H$225,$M188)</f>
        <v>Deep QB2; waiver-level in a normal 10-team format.</v>
      </c>
      <c r="M188" s="6">
        <f>MATCH($A188,'Draft Engine'!$Q$3:$Q$225,0)</f>
        <v>30</v>
      </c>
    </row>
    <row r="189" spans="1:13" x14ac:dyDescent="0.25">
      <c r="A189">
        <v>187</v>
      </c>
      <c r="B189" t="str">
        <f>INDEX('Draft Engine'!$A$3:$A$225,$M189)</f>
        <v>WR</v>
      </c>
      <c r="C189">
        <f>INDEX('Draft Engine'!$F$3:$F$225,$M189)</f>
        <v>61</v>
      </c>
      <c r="D189" t="str">
        <f>INDEX('Draft Engine'!$B$3:$B$225,$M189)</f>
        <v>Adonai Mitchell</v>
      </c>
      <c r="E189" s="4">
        <f>INDEX('Draft Engine'!$E$3:$E$225,$M189)</f>
        <v>58.13</v>
      </c>
      <c r="F189" t="str">
        <f t="shared" si="2"/>
        <v>TIER 7</v>
      </c>
      <c r="G189" s="4">
        <f>INDEX('Draft Engine'!$N$3:$N$225,$M189)</f>
        <v>35.235500000000002</v>
      </c>
      <c r="H189" s="4">
        <f>INDEX('Draft Engine'!$R$3:$R$225,$M189)</f>
        <v>240.9</v>
      </c>
      <c r="I189" s="4">
        <f>INDEX('Draft Engine'!$S$3:$S$225,$M189)</f>
        <v>53.900000000000006</v>
      </c>
      <c r="J189" s="5"/>
      <c r="K189">
        <f>INDEX('Draft Engine'!$Z$3:$Z$225,$M189)</f>
        <v>187</v>
      </c>
      <c r="L189" t="str">
        <f>INDEX('LIVE SOURCE'!$H$3:$H$225,$M189)</f>
        <v>Late-round bench upside; role growth is required for weekly relevance.</v>
      </c>
      <c r="M189" s="6">
        <f>MATCH($A189,'Draft Engine'!$Q$3:$Q$225,0)</f>
        <v>144</v>
      </c>
    </row>
    <row r="190" spans="1:13" x14ac:dyDescent="0.25">
      <c r="A190">
        <v>188</v>
      </c>
      <c r="B190" t="str">
        <f>INDEX('Draft Engine'!$A$3:$A$225,$M190)</f>
        <v>WR</v>
      </c>
      <c r="C190">
        <f>INDEX('Draft Engine'!$F$3:$F$225,$M190)</f>
        <v>62</v>
      </c>
      <c r="D190" t="str">
        <f>INDEX('Draft Engine'!$B$3:$B$225,$M190)</f>
        <v>Isaac TeSlaa</v>
      </c>
      <c r="E190" s="4">
        <f>INDEX('Draft Engine'!$E$3:$E$225,$M190)</f>
        <v>57.46</v>
      </c>
      <c r="F190" t="str">
        <f t="shared" si="2"/>
        <v>TIER 7</v>
      </c>
      <c r="G190" s="4">
        <f>INDEX('Draft Engine'!$N$3:$N$225,$M190)</f>
        <v>34.363</v>
      </c>
      <c r="H190" s="4">
        <f>INDEX('Draft Engine'!$R$3:$R$225,$M190)</f>
        <v>244.8</v>
      </c>
      <c r="I190" s="4">
        <f>INDEX('Draft Engine'!$S$3:$S$225,$M190)</f>
        <v>56.800000000000011</v>
      </c>
      <c r="J190" s="5"/>
      <c r="K190">
        <f>INDEX('Draft Engine'!$Z$3:$Z$225,$M190)</f>
        <v>188</v>
      </c>
      <c r="L190" t="str">
        <f>INDEX('LIVE SOURCE'!$H$3:$H$225,$M190)</f>
        <v>Late-round bench upside; role growth is required for weekly relevance.</v>
      </c>
      <c r="M190" s="6">
        <f>MATCH($A190,'Draft Engine'!$Q$3:$Q$225,0)</f>
        <v>145</v>
      </c>
    </row>
    <row r="191" spans="1:13" x14ac:dyDescent="0.25">
      <c r="A191">
        <v>189</v>
      </c>
      <c r="B191" t="str">
        <f>INDEX('Draft Engine'!$A$3:$A$225,$M191)</f>
        <v>WR</v>
      </c>
      <c r="C191">
        <f>INDEX('Draft Engine'!$F$3:$F$225,$M191)</f>
        <v>63</v>
      </c>
      <c r="D191" t="str">
        <f>INDEX('Draft Engine'!$B$3:$B$225,$M191)</f>
        <v>Denzel Boston</v>
      </c>
      <c r="E191" s="4">
        <f>INDEX('Draft Engine'!$E$3:$E$225,$M191)</f>
        <v>56.79</v>
      </c>
      <c r="F191" t="str">
        <f t="shared" si="2"/>
        <v>TIER 7</v>
      </c>
      <c r="G191" s="4">
        <f>INDEX('Draft Engine'!$N$3:$N$225,$M191)</f>
        <v>33.490500000000004</v>
      </c>
      <c r="H191" s="4">
        <f>INDEX('Draft Engine'!$R$3:$R$225,$M191)</f>
        <v>248.7</v>
      </c>
      <c r="I191" s="4">
        <f>INDEX('Draft Engine'!$S$3:$S$225,$M191)</f>
        <v>59.699999999999989</v>
      </c>
      <c r="J191" s="5"/>
      <c r="K191">
        <f>INDEX('Draft Engine'!$Z$3:$Z$225,$M191)</f>
        <v>189</v>
      </c>
      <c r="L191" t="str">
        <f>INDEX('LIVE SOURCE'!$H$3:$H$225,$M191)</f>
        <v>Late-round bench upside; role growth is required for weekly relevance.</v>
      </c>
      <c r="M191" s="6">
        <f>MATCH($A191,'Draft Engine'!$Q$3:$Q$225,0)</f>
        <v>146</v>
      </c>
    </row>
    <row r="192" spans="1:13" x14ac:dyDescent="0.25">
      <c r="A192">
        <v>190</v>
      </c>
      <c r="B192" t="str">
        <f>INDEX('Draft Engine'!$A$3:$A$225,$M192)</f>
        <v>QB</v>
      </c>
      <c r="C192">
        <f>INDEX('Draft Engine'!$F$3:$F$225,$M192)</f>
        <v>31</v>
      </c>
      <c r="D192" t="str">
        <f>INDEX('Draft Engine'!$B$3:$B$225,$M192)</f>
        <v>Kirk Cousins</v>
      </c>
      <c r="E192" s="4">
        <f>INDEX('Draft Engine'!$E$3:$E$225,$M192)</f>
        <v>65.792900000000003</v>
      </c>
      <c r="F192" t="str">
        <f t="shared" si="2"/>
        <v>TIER 6</v>
      </c>
      <c r="G192" s="4">
        <f>INDEX('Draft Engine'!$N$3:$N$225,$M192)</f>
        <v>33.186095000000002</v>
      </c>
      <c r="H192" s="4">
        <f>INDEX('Draft Engine'!$R$3:$R$225,$M192)</f>
        <v>262</v>
      </c>
      <c r="I192" s="4">
        <f>INDEX('Draft Engine'!$S$3:$S$225,$M192)</f>
        <v>72</v>
      </c>
      <c r="J192" s="5"/>
      <c r="K192">
        <f>INDEX('Draft Engine'!$Z$3:$Z$225,$M192)</f>
        <v>190</v>
      </c>
      <c r="L192" t="str">
        <f>INDEX('LIVE SOURCE'!$H$3:$H$225,$M192)</f>
        <v>Deep QB2; waiver-level in a normal 10-team format.</v>
      </c>
      <c r="M192" s="6">
        <f>MATCH($A192,'Draft Engine'!$Q$3:$Q$225,0)</f>
        <v>31</v>
      </c>
    </row>
    <row r="193" spans="1:13" x14ac:dyDescent="0.25">
      <c r="A193">
        <v>191</v>
      </c>
      <c r="B193" t="str">
        <f>INDEX('Draft Engine'!$A$3:$A$225,$M193)</f>
        <v>WR</v>
      </c>
      <c r="C193">
        <f>INDEX('Draft Engine'!$F$3:$F$225,$M193)</f>
        <v>64</v>
      </c>
      <c r="D193" t="str">
        <f>INDEX('Draft Engine'!$B$3:$B$225,$M193)</f>
        <v>Tre Tucker</v>
      </c>
      <c r="E193" s="4">
        <f>INDEX('Draft Engine'!$E$3:$E$225,$M193)</f>
        <v>56.12</v>
      </c>
      <c r="F193" t="str">
        <f t="shared" si="2"/>
        <v>TIER 7</v>
      </c>
      <c r="G193" s="4">
        <f>INDEX('Draft Engine'!$N$3:$N$225,$M193)</f>
        <v>32.618000000000002</v>
      </c>
      <c r="H193" s="4">
        <f>INDEX('Draft Engine'!$R$3:$R$225,$M193)</f>
        <v>252.6</v>
      </c>
      <c r="I193" s="4">
        <f>INDEX('Draft Engine'!$S$3:$S$225,$M193)</f>
        <v>61.599999999999994</v>
      </c>
      <c r="J193" s="5"/>
      <c r="K193">
        <f>INDEX('Draft Engine'!$Z$3:$Z$225,$M193)</f>
        <v>191</v>
      </c>
      <c r="L193" t="str">
        <f>INDEX('LIVE SOURCE'!$H$3:$H$225,$M193)</f>
        <v>Late-round bench upside; role growth is required for weekly relevance.</v>
      </c>
      <c r="M193" s="6">
        <f>MATCH($A193,'Draft Engine'!$Q$3:$Q$225,0)</f>
        <v>147</v>
      </c>
    </row>
    <row r="194" spans="1:13" x14ac:dyDescent="0.25">
      <c r="A194">
        <v>192</v>
      </c>
      <c r="B194" t="str">
        <f>INDEX('Draft Engine'!$A$3:$A$225,$M194)</f>
        <v>WR</v>
      </c>
      <c r="C194">
        <f>INDEX('Draft Engine'!$F$3:$F$225,$M194)</f>
        <v>65</v>
      </c>
      <c r="D194" t="str">
        <f>INDEX('Draft Engine'!$B$3:$B$225,$M194)</f>
        <v>Antonio Williams</v>
      </c>
      <c r="E194" s="4">
        <f>INDEX('Draft Engine'!$E$3:$E$225,$M194)</f>
        <v>55.45</v>
      </c>
      <c r="F194" t="str">
        <f t="shared" si="2"/>
        <v>TIER 7</v>
      </c>
      <c r="G194" s="4">
        <f>INDEX('Draft Engine'!$N$3:$N$225,$M194)</f>
        <v>31.7455</v>
      </c>
      <c r="H194" s="4">
        <f>INDEX('Draft Engine'!$R$3:$R$225,$M194)</f>
        <v>256.5</v>
      </c>
      <c r="I194" s="4">
        <f>INDEX('Draft Engine'!$S$3:$S$225,$M194)</f>
        <v>64.5</v>
      </c>
      <c r="J194" s="5"/>
      <c r="K194">
        <f>INDEX('Draft Engine'!$Z$3:$Z$225,$M194)</f>
        <v>192</v>
      </c>
      <c r="L194" t="str">
        <f>INDEX('LIVE SOURCE'!$H$3:$H$225,$M194)</f>
        <v>Late-round bench upside; role growth is required for weekly relevance.</v>
      </c>
      <c r="M194" s="6">
        <f>MATCH($A194,'Draft Engine'!$Q$3:$Q$225,0)</f>
        <v>148</v>
      </c>
    </row>
    <row r="195" spans="1:13" x14ac:dyDescent="0.25">
      <c r="A195">
        <v>193</v>
      </c>
      <c r="B195" t="str">
        <f>INDEX('Draft Engine'!$A$3:$A$225,$M195)</f>
        <v>RB</v>
      </c>
      <c r="C195">
        <f>INDEX('Draft Engine'!$F$3:$F$225,$M195)</f>
        <v>50</v>
      </c>
      <c r="D195" t="str">
        <f>INDEX('Draft Engine'!$B$3:$B$225,$M195)</f>
        <v>Justice Hill</v>
      </c>
      <c r="E195" s="4">
        <f>INDEX('Draft Engine'!$E$3:$E$225,$M195)</f>
        <v>54.88</v>
      </c>
      <c r="F195" t="str">
        <f t="shared" ref="F195:F225" si="3">IF($E195&gt;=95,"ELITE",IF($E195&gt;=90,"TIER 1",IF($E195&gt;=85,"TIER 2",IF($E195&gt;=80,"TIER 3",IF($E195&gt;=75,"TIER 4",IF($E195&gt;=70,"TIER 5",IF($E195&gt;=65,"TIER 6","TIER 7")))))))</f>
        <v>TIER 7</v>
      </c>
      <c r="G195" s="4">
        <f>INDEX('Draft Engine'!$N$3:$N$225,$M195)</f>
        <v>31.054000000000006</v>
      </c>
      <c r="H195" s="4">
        <f>INDEX('Draft Engine'!$R$3:$R$225,$M195)</f>
        <v>207.8</v>
      </c>
      <c r="I195" s="4">
        <f>INDEX('Draft Engine'!$S$3:$S$225,$M195)</f>
        <v>14.800000000000011</v>
      </c>
      <c r="J195" s="5"/>
      <c r="K195">
        <f>INDEX('Draft Engine'!$Z$3:$Z$225,$M195)</f>
        <v>193</v>
      </c>
      <c r="L195" t="str">
        <f>INDEX('LIVE SOURCE'!$H$3:$H$225,$M195)</f>
        <v>Bench stash/handcuff profile; value is tied to role change or injury ahead.</v>
      </c>
      <c r="M195" s="6">
        <f>MATCH($A195,'Draft Engine'!$Q$3:$Q$225,0)</f>
        <v>82</v>
      </c>
    </row>
    <row r="196" spans="1:13" x14ac:dyDescent="0.25">
      <c r="A196">
        <v>194</v>
      </c>
      <c r="B196" t="str">
        <f>INDEX('Draft Engine'!$A$3:$A$225,$M196)</f>
        <v>WR</v>
      </c>
      <c r="C196">
        <f>INDEX('Draft Engine'!$F$3:$F$225,$M196)</f>
        <v>66</v>
      </c>
      <c r="D196" t="str">
        <f>INDEX('Draft Engine'!$B$3:$B$225,$M196)</f>
        <v>Travis Hunter</v>
      </c>
      <c r="E196" s="4">
        <f>INDEX('Draft Engine'!$E$3:$E$225,$M196)</f>
        <v>54.78</v>
      </c>
      <c r="F196" t="str">
        <f t="shared" si="3"/>
        <v>TIER 7</v>
      </c>
      <c r="G196" s="4">
        <f>INDEX('Draft Engine'!$N$3:$N$225,$M196)</f>
        <v>30.873000000000001</v>
      </c>
      <c r="H196" s="4">
        <f>INDEX('Draft Engine'!$R$3:$R$225,$M196)</f>
        <v>260.39999999999998</v>
      </c>
      <c r="I196" s="4">
        <f>INDEX('Draft Engine'!$S$3:$S$225,$M196)</f>
        <v>66.399999999999977</v>
      </c>
      <c r="J196" s="5"/>
      <c r="K196">
        <f>INDEX('Draft Engine'!$Z$3:$Z$225,$M196)</f>
        <v>194</v>
      </c>
      <c r="L196" t="str">
        <f>INDEX('LIVE SOURCE'!$H$3:$H$225,$M196)</f>
        <v>Late-round bench upside; role growth is required for weekly relevance.</v>
      </c>
      <c r="M196" s="6">
        <f>MATCH($A196,'Draft Engine'!$Q$3:$Q$225,0)</f>
        <v>149</v>
      </c>
    </row>
    <row r="197" spans="1:13" x14ac:dyDescent="0.25">
      <c r="A197">
        <v>195</v>
      </c>
      <c r="B197" t="str">
        <f>INDEX('Draft Engine'!$A$3:$A$225,$M197)</f>
        <v>QB</v>
      </c>
      <c r="C197">
        <f>INDEX('Draft Engine'!$F$3:$F$225,$M197)</f>
        <v>32</v>
      </c>
      <c r="D197" t="str">
        <f>INDEX('Draft Engine'!$B$3:$B$225,$M197)</f>
        <v>Deshaun Watson</v>
      </c>
      <c r="E197" s="4">
        <f>INDEX('Draft Engine'!$E$3:$E$225,$M197)</f>
        <v>60.25</v>
      </c>
      <c r="F197" t="str">
        <f t="shared" si="3"/>
        <v>TIER 7</v>
      </c>
      <c r="G197" s="4">
        <f>INDEX('Draft Engine'!$N$3:$N$225,$M197)</f>
        <v>30.137500000000003</v>
      </c>
      <c r="H197" s="4">
        <f>INDEX('Draft Engine'!$R$3:$R$225,$M197)</f>
        <v>270</v>
      </c>
      <c r="I197" s="4">
        <f>INDEX('Draft Engine'!$S$3:$S$225,$M197)</f>
        <v>75</v>
      </c>
      <c r="J197" s="5"/>
      <c r="K197">
        <f>INDEX('Draft Engine'!$Z$3:$Z$225,$M197)</f>
        <v>195</v>
      </c>
      <c r="L197" t="str">
        <f>INDEX('LIVE SOURCE'!$H$3:$H$225,$M197)</f>
        <v>Deep QB2; waiver-level in a normal 10-team format.</v>
      </c>
      <c r="M197" s="6">
        <f>MATCH($A197,'Draft Engine'!$Q$3:$Q$225,0)</f>
        <v>32</v>
      </c>
    </row>
    <row r="198" spans="1:13" x14ac:dyDescent="0.25">
      <c r="A198">
        <v>196</v>
      </c>
      <c r="B198" t="str">
        <f>INDEX('Draft Engine'!$A$3:$A$225,$M198)</f>
        <v>WR</v>
      </c>
      <c r="C198">
        <f>INDEX('Draft Engine'!$F$3:$F$225,$M198)</f>
        <v>67</v>
      </c>
      <c r="D198" t="str">
        <f>INDEX('Draft Engine'!$B$3:$B$225,$M198)</f>
        <v>Ryan Flournoy</v>
      </c>
      <c r="E198" s="4">
        <f>INDEX('Draft Engine'!$E$3:$E$225,$M198)</f>
        <v>54.11</v>
      </c>
      <c r="F198" t="str">
        <f t="shared" si="3"/>
        <v>TIER 7</v>
      </c>
      <c r="G198" s="4">
        <f>INDEX('Draft Engine'!$N$3:$N$225,$M198)</f>
        <v>30.000500000000002</v>
      </c>
      <c r="H198" s="4">
        <f>INDEX('Draft Engine'!$R$3:$R$225,$M198)</f>
        <v>264.3</v>
      </c>
      <c r="I198" s="4">
        <f>INDEX('Draft Engine'!$S$3:$S$225,$M198)</f>
        <v>68.300000000000011</v>
      </c>
      <c r="J198" s="5"/>
      <c r="K198">
        <f>INDEX('Draft Engine'!$Z$3:$Z$225,$M198)</f>
        <v>196</v>
      </c>
      <c r="L198" t="str">
        <f>INDEX('LIVE SOURCE'!$H$3:$H$225,$M198)</f>
        <v>Late-round bench upside; role growth is required for weekly relevance.</v>
      </c>
      <c r="M198" s="6">
        <f>MATCH($A198,'Draft Engine'!$Q$3:$Q$225,0)</f>
        <v>150</v>
      </c>
    </row>
    <row r="199" spans="1:13" x14ac:dyDescent="0.25">
      <c r="A199">
        <v>197</v>
      </c>
      <c r="B199" t="str">
        <f>INDEX('Draft Engine'!$A$3:$A$225,$M199)</f>
        <v>WR</v>
      </c>
      <c r="C199">
        <f>INDEX('Draft Engine'!$F$3:$F$225,$M199)</f>
        <v>68</v>
      </c>
      <c r="D199" t="str">
        <f>INDEX('Draft Engine'!$B$3:$B$225,$M199)</f>
        <v>Jauan Jennings</v>
      </c>
      <c r="E199" s="4">
        <f>INDEX('Draft Engine'!$E$3:$E$225,$M199)</f>
        <v>53.44</v>
      </c>
      <c r="F199" t="str">
        <f t="shared" si="3"/>
        <v>TIER 7</v>
      </c>
      <c r="G199" s="4">
        <f>INDEX('Draft Engine'!$N$3:$N$225,$M199)</f>
        <v>29.391999999999999</v>
      </c>
      <c r="H199" s="4">
        <f>INDEX('Draft Engine'!$R$3:$R$225,$M199)</f>
        <v>268.2</v>
      </c>
      <c r="I199" s="4">
        <f>INDEX('Draft Engine'!$S$3:$S$225,$M199)</f>
        <v>71.199999999999989</v>
      </c>
      <c r="J199" s="5"/>
      <c r="K199">
        <f>INDEX('Draft Engine'!$Z$3:$Z$225,$M199)</f>
        <v>197</v>
      </c>
      <c r="L199" t="str">
        <f>INDEX('LIVE SOURCE'!$H$3:$H$225,$M199)</f>
        <v>Late-round bench upside; role growth is required for weekly relevance.</v>
      </c>
      <c r="M199" s="6">
        <f>MATCH($A199,'Draft Engine'!$Q$3:$Q$225,0)</f>
        <v>151</v>
      </c>
    </row>
    <row r="200" spans="1:13" x14ac:dyDescent="0.25">
      <c r="A200">
        <v>198</v>
      </c>
      <c r="B200" t="str">
        <f>INDEX('Draft Engine'!$A$3:$A$225,$M200)</f>
        <v>WR</v>
      </c>
      <c r="C200">
        <f>INDEX('Draft Engine'!$F$3:$F$225,$M200)</f>
        <v>69</v>
      </c>
      <c r="D200" t="str">
        <f>INDEX('Draft Engine'!$B$3:$B$225,$M200)</f>
        <v>Darnell Mooney</v>
      </c>
      <c r="E200" s="4">
        <f>INDEX('Draft Engine'!$E$3:$E$225,$M200)</f>
        <v>52.77</v>
      </c>
      <c r="F200" t="str">
        <f t="shared" si="3"/>
        <v>TIER 7</v>
      </c>
      <c r="G200" s="4">
        <f>INDEX('Draft Engine'!$N$3:$N$225,$M200)</f>
        <v>29.023500000000006</v>
      </c>
      <c r="H200" s="4">
        <f>INDEX('Draft Engine'!$R$3:$R$225,$M200)</f>
        <v>272.10000000000002</v>
      </c>
      <c r="I200" s="4">
        <f>INDEX('Draft Engine'!$S$3:$S$225,$M200)</f>
        <v>74.100000000000023</v>
      </c>
      <c r="J200" s="5"/>
      <c r="K200">
        <f>INDEX('Draft Engine'!$Z$3:$Z$225,$M200)</f>
        <v>198</v>
      </c>
      <c r="L200" t="str">
        <f>INDEX('LIVE SOURCE'!$H$3:$H$225,$M200)</f>
        <v>Late-round bench upside; role growth is required for weekly relevance.</v>
      </c>
      <c r="M200" s="6">
        <f>MATCH($A200,'Draft Engine'!$Q$3:$Q$225,0)</f>
        <v>152</v>
      </c>
    </row>
    <row r="201" spans="1:13" x14ac:dyDescent="0.25">
      <c r="A201">
        <v>199</v>
      </c>
      <c r="B201" t="str">
        <f>INDEX('Draft Engine'!$A$3:$A$225,$M201)</f>
        <v>WR</v>
      </c>
      <c r="C201">
        <f>INDEX('Draft Engine'!$F$3:$F$225,$M201)</f>
        <v>70</v>
      </c>
      <c r="D201" t="str">
        <f>INDEX('Draft Engine'!$B$3:$B$225,$M201)</f>
        <v>Ricky Pearsall</v>
      </c>
      <c r="E201" s="4">
        <f>INDEX('Draft Engine'!$E$3:$E$225,$M201)</f>
        <v>40</v>
      </c>
      <c r="F201" t="str">
        <f t="shared" si="3"/>
        <v>TIER 7</v>
      </c>
      <c r="G201" s="4">
        <f>INDEX('Draft Engine'!$N$3:$N$225,$M201)</f>
        <v>22</v>
      </c>
      <c r="H201" s="4">
        <f>INDEX('Draft Engine'!$R$3:$R$225,$M201)</f>
        <v>174.6</v>
      </c>
      <c r="I201" s="4">
        <f>INDEX('Draft Engine'!$S$3:$S$225,$M201)</f>
        <v>-24.400000000000006</v>
      </c>
      <c r="J201" s="5"/>
      <c r="K201">
        <f>INDEX('Draft Engine'!$Z$3:$Z$225,$M201)</f>
        <v>199</v>
      </c>
      <c r="L201" t="str">
        <f>INDEX('LIVE SOURCE'!$H$3:$H$225,$M201)</f>
        <v>FLEX/bench receiver; needs target growth or efficiency spikes.</v>
      </c>
      <c r="M201" s="6">
        <f>MATCH($A201,'Draft Engine'!$Q$3:$Q$225,0)</f>
        <v>127</v>
      </c>
    </row>
    <row r="202" spans="1:13" x14ac:dyDescent="0.25">
      <c r="A202">
        <v>200</v>
      </c>
      <c r="B202" t="str">
        <f>INDEX('Draft Engine'!$A$3:$A$225,$M202)</f>
        <v>DST</v>
      </c>
      <c r="C202">
        <f>INDEX('Draft Engine'!$F$3:$F$225,$M202)</f>
        <v>11</v>
      </c>
      <c r="D202" t="str">
        <f>INDEX('Draft Engine'!$B$3:$B$225,$M202)</f>
        <v>Baltimore Ravens</v>
      </c>
      <c r="E202" s="4">
        <f>INDEX('Draft Engine'!$E$3:$E$225,$M202)</f>
        <v>82</v>
      </c>
      <c r="F202" t="str">
        <f t="shared" si="3"/>
        <v>TIER 3</v>
      </c>
      <c r="G202" s="4">
        <f>INDEX('Draft Engine'!$N$3:$N$225,$M202)</f>
        <v>42.24</v>
      </c>
      <c r="H202" s="4">
        <f>INDEX('Draft Engine'!$R$3:$R$225,$M202)</f>
        <v>200</v>
      </c>
      <c r="I202" s="4">
        <f>INDEX('Draft Engine'!$S$3:$S$225,$M202)</f>
        <v>0</v>
      </c>
      <c r="J202" s="5"/>
      <c r="K202">
        <f>INDEX('Draft Engine'!$Z$3:$Z$225,$M202)</f>
        <v>200</v>
      </c>
      <c r="L202" t="str">
        <f>INDEX('LIVE SOURCE'!$H$3:$H$225,$M202)</f>
        <v>Streaming/late-round defense; matchup matters more than preseason rank.</v>
      </c>
      <c r="M202" s="6">
        <f>MATCH($A202,'Draft Engine'!$Q$3:$Q$225,0)</f>
        <v>202</v>
      </c>
    </row>
    <row r="203" spans="1:13" x14ac:dyDescent="0.25">
      <c r="A203">
        <v>201</v>
      </c>
      <c r="B203" t="str">
        <f>INDEX('Draft Engine'!$A$3:$A$225,$M203)</f>
        <v>DST</v>
      </c>
      <c r="C203">
        <f>INDEX('Draft Engine'!$F$3:$F$225,$M203)</f>
        <v>12</v>
      </c>
      <c r="D203" t="str">
        <f>INDEX('Draft Engine'!$B$3:$B$225,$M203)</f>
        <v>Green Bay Packers</v>
      </c>
      <c r="E203" s="4">
        <f>INDEX('Draft Engine'!$E$3:$E$225,$M203)</f>
        <v>80.900000000000006</v>
      </c>
      <c r="F203" t="str">
        <f t="shared" si="3"/>
        <v>TIER 3</v>
      </c>
      <c r="G203" s="4">
        <f>INDEX('Draft Engine'!$N$3:$N$225,$M203)</f>
        <v>40.775000000000006</v>
      </c>
      <c r="H203" s="4">
        <f>INDEX('Draft Engine'!$R$3:$R$225,$M203)</f>
        <v>204</v>
      </c>
      <c r="I203" s="4">
        <f>INDEX('Draft Engine'!$S$3:$S$225,$M203)</f>
        <v>3</v>
      </c>
      <c r="J203" s="5"/>
      <c r="K203">
        <f>INDEX('Draft Engine'!$Z$3:$Z$225,$M203)</f>
        <v>201</v>
      </c>
      <c r="L203" t="str">
        <f>INDEX('LIVE SOURCE'!$H$3:$H$225,$M203)</f>
        <v>Streaming/late-round defense; matchup matters more than preseason rank.</v>
      </c>
      <c r="M203" s="6">
        <f>MATCH($A203,'Draft Engine'!$Q$3:$Q$225,0)</f>
        <v>203</v>
      </c>
    </row>
    <row r="204" spans="1:13" x14ac:dyDescent="0.25">
      <c r="A204">
        <v>202</v>
      </c>
      <c r="B204" t="str">
        <f>INDEX('Draft Engine'!$A$3:$A$225,$M204)</f>
        <v>DST</v>
      </c>
      <c r="C204">
        <f>INDEX('Draft Engine'!$F$3:$F$225,$M204)</f>
        <v>13</v>
      </c>
      <c r="D204" t="str">
        <f>INDEX('Draft Engine'!$B$3:$B$225,$M204)</f>
        <v>Detroit Lions</v>
      </c>
      <c r="E204" s="4">
        <f>INDEX('Draft Engine'!$E$3:$E$225,$M204)</f>
        <v>79.8</v>
      </c>
      <c r="F204" t="str">
        <f t="shared" si="3"/>
        <v>TIER 4</v>
      </c>
      <c r="G204" s="4">
        <f>INDEX('Draft Engine'!$N$3:$N$225,$M204)</f>
        <v>39.31</v>
      </c>
      <c r="H204" s="4">
        <f>INDEX('Draft Engine'!$R$3:$R$225,$M204)</f>
        <v>208</v>
      </c>
      <c r="I204" s="4">
        <f>INDEX('Draft Engine'!$S$3:$S$225,$M204)</f>
        <v>6</v>
      </c>
      <c r="J204" s="5"/>
      <c r="K204">
        <f>INDEX('Draft Engine'!$Z$3:$Z$225,$M204)</f>
        <v>202</v>
      </c>
      <c r="L204" t="str">
        <f>INDEX('LIVE SOURCE'!$H$3:$H$225,$M204)</f>
        <v>Streaming/late-round defense; matchup matters more than preseason rank.</v>
      </c>
      <c r="M204" s="6">
        <f>MATCH($A204,'Draft Engine'!$Q$3:$Q$225,0)</f>
        <v>204</v>
      </c>
    </row>
    <row r="205" spans="1:13" x14ac:dyDescent="0.25">
      <c r="A205">
        <v>203</v>
      </c>
      <c r="B205" t="str">
        <f>INDEX('Draft Engine'!$A$3:$A$225,$M205)</f>
        <v>DST</v>
      </c>
      <c r="C205">
        <f>INDEX('Draft Engine'!$F$3:$F$225,$M205)</f>
        <v>14</v>
      </c>
      <c r="D205" t="str">
        <f>INDEX('Draft Engine'!$B$3:$B$225,$M205)</f>
        <v>Buffalo Bills</v>
      </c>
      <c r="E205" s="4">
        <f>INDEX('Draft Engine'!$E$3:$E$225,$M205)</f>
        <v>78.7</v>
      </c>
      <c r="F205" t="str">
        <f t="shared" si="3"/>
        <v>TIER 4</v>
      </c>
      <c r="G205" s="4">
        <f>INDEX('Draft Engine'!$N$3:$N$225,$M205)</f>
        <v>37.863</v>
      </c>
      <c r="H205" s="4">
        <f>INDEX('Draft Engine'!$R$3:$R$225,$M205)</f>
        <v>212</v>
      </c>
      <c r="I205" s="4">
        <f>INDEX('Draft Engine'!$S$3:$S$225,$M205)</f>
        <v>9</v>
      </c>
      <c r="J205" s="5"/>
      <c r="K205">
        <f>INDEX('Draft Engine'!$Z$3:$Z$225,$M205)</f>
        <v>203</v>
      </c>
      <c r="L205" t="str">
        <f>INDEX('LIVE SOURCE'!$H$3:$H$225,$M205)</f>
        <v>Streaming/late-round defense; matchup matters more than preseason rank.</v>
      </c>
      <c r="M205" s="6">
        <f>MATCH($A205,'Draft Engine'!$Q$3:$Q$225,0)</f>
        <v>205</v>
      </c>
    </row>
    <row r="206" spans="1:13" x14ac:dyDescent="0.25">
      <c r="A206">
        <v>204</v>
      </c>
      <c r="B206" t="str">
        <f>INDEX('Draft Engine'!$A$3:$A$225,$M206)</f>
        <v>DST</v>
      </c>
      <c r="C206">
        <f>INDEX('Draft Engine'!$F$3:$F$225,$M206)</f>
        <v>15</v>
      </c>
      <c r="D206" t="str">
        <f>INDEX('Draft Engine'!$B$3:$B$225,$M206)</f>
        <v>Kansas City Chiefs</v>
      </c>
      <c r="E206" s="4">
        <f>INDEX('Draft Engine'!$E$3:$E$225,$M206)</f>
        <v>77.599999999999994</v>
      </c>
      <c r="F206" t="str">
        <f t="shared" si="3"/>
        <v>TIER 4</v>
      </c>
      <c r="G206" s="4">
        <f>INDEX('Draft Engine'!$N$3:$N$225,$M206)</f>
        <v>36.397999999999996</v>
      </c>
      <c r="H206" s="4">
        <f>INDEX('Draft Engine'!$R$3:$R$225,$M206)</f>
        <v>216</v>
      </c>
      <c r="I206" s="4">
        <f>INDEX('Draft Engine'!$S$3:$S$225,$M206)</f>
        <v>12</v>
      </c>
      <c r="J206" s="5"/>
      <c r="K206">
        <f>INDEX('Draft Engine'!$Z$3:$Z$225,$M206)</f>
        <v>204</v>
      </c>
      <c r="L206" t="str">
        <f>INDEX('LIVE SOURCE'!$H$3:$H$225,$M206)</f>
        <v>Streaming/late-round defense; matchup matters more than preseason rank.</v>
      </c>
      <c r="M206" s="6">
        <f>MATCH($A206,'Draft Engine'!$Q$3:$Q$225,0)</f>
        <v>206</v>
      </c>
    </row>
    <row r="207" spans="1:13" x14ac:dyDescent="0.25">
      <c r="A207">
        <v>205</v>
      </c>
      <c r="B207" t="str">
        <f>INDEX('Draft Engine'!$A$3:$A$225,$M207)</f>
        <v>DST</v>
      </c>
      <c r="C207">
        <f>INDEX('Draft Engine'!$F$3:$F$225,$M207)</f>
        <v>16</v>
      </c>
      <c r="D207" t="str">
        <f>INDEX('Draft Engine'!$B$3:$B$225,$M207)</f>
        <v>Cleveland Browns</v>
      </c>
      <c r="E207" s="4">
        <f>INDEX('Draft Engine'!$E$3:$E$225,$M207)</f>
        <v>76.5</v>
      </c>
      <c r="F207" t="str">
        <f t="shared" si="3"/>
        <v>TIER 4</v>
      </c>
      <c r="G207" s="4">
        <f>INDEX('Draft Engine'!$N$3:$N$225,$M207)</f>
        <v>34.933</v>
      </c>
      <c r="H207" s="4">
        <f>INDEX('Draft Engine'!$R$3:$R$225,$M207)</f>
        <v>220</v>
      </c>
      <c r="I207" s="4">
        <f>INDEX('Draft Engine'!$S$3:$S$225,$M207)</f>
        <v>15</v>
      </c>
      <c r="J207" s="5"/>
      <c r="K207">
        <f>INDEX('Draft Engine'!$Z$3:$Z$225,$M207)</f>
        <v>205</v>
      </c>
      <c r="L207" t="str">
        <f>INDEX('LIVE SOURCE'!$H$3:$H$225,$M207)</f>
        <v>Streaming/late-round defense; matchup matters more than preseason rank.</v>
      </c>
      <c r="M207" s="6">
        <f>MATCH($A207,'Draft Engine'!$Q$3:$Q$225,0)</f>
        <v>207</v>
      </c>
    </row>
    <row r="208" spans="1:13" x14ac:dyDescent="0.25">
      <c r="A208">
        <v>206</v>
      </c>
      <c r="B208" t="str">
        <f>INDEX('Draft Engine'!$A$3:$A$225,$M208)</f>
        <v>DST</v>
      </c>
      <c r="C208">
        <f>INDEX('Draft Engine'!$F$3:$F$225,$M208)</f>
        <v>17</v>
      </c>
      <c r="D208" t="str">
        <f>INDEX('Draft Engine'!$B$3:$B$225,$M208)</f>
        <v>San Francisco 49ers</v>
      </c>
      <c r="E208" s="4">
        <f>INDEX('Draft Engine'!$E$3:$E$225,$M208)</f>
        <v>75.400000000000006</v>
      </c>
      <c r="F208" t="str">
        <f t="shared" si="3"/>
        <v>TIER 4</v>
      </c>
      <c r="G208" s="4">
        <f>INDEX('Draft Engine'!$N$3:$N$225,$M208)</f>
        <v>33.968000000000004</v>
      </c>
      <c r="H208" s="4">
        <f>INDEX('Draft Engine'!$R$3:$R$225,$M208)</f>
        <v>224</v>
      </c>
      <c r="I208" s="4">
        <f>INDEX('Draft Engine'!$S$3:$S$225,$M208)</f>
        <v>18</v>
      </c>
      <c r="J208" s="5"/>
      <c r="K208">
        <f>INDEX('Draft Engine'!$Z$3:$Z$225,$M208)</f>
        <v>206</v>
      </c>
      <c r="L208" t="str">
        <f>INDEX('LIVE SOURCE'!$H$3:$H$225,$M208)</f>
        <v>Streaming/late-round defense; matchup matters more than preseason rank.</v>
      </c>
      <c r="M208" s="6">
        <f>MATCH($A208,'Draft Engine'!$Q$3:$Q$225,0)</f>
        <v>208</v>
      </c>
    </row>
    <row r="209" spans="1:13" x14ac:dyDescent="0.25">
      <c r="A209">
        <v>207</v>
      </c>
      <c r="B209" t="str">
        <f>INDEX('Draft Engine'!$A$3:$A$225,$M209)</f>
        <v>DST</v>
      </c>
      <c r="C209">
        <f>INDEX('Draft Engine'!$F$3:$F$225,$M209)</f>
        <v>18</v>
      </c>
      <c r="D209" t="str">
        <f>INDEX('Draft Engine'!$B$3:$B$225,$M209)</f>
        <v>New Orleans Saints</v>
      </c>
      <c r="E209" s="4">
        <f>INDEX('Draft Engine'!$E$3:$E$225,$M209)</f>
        <v>74.3</v>
      </c>
      <c r="F209" t="str">
        <f t="shared" si="3"/>
        <v>TIER 5</v>
      </c>
      <c r="G209" s="4">
        <f>INDEX('Draft Engine'!$N$3:$N$225,$M209)</f>
        <v>33.003</v>
      </c>
      <c r="H209" s="4">
        <f>INDEX('Draft Engine'!$R$3:$R$225,$M209)</f>
        <v>228</v>
      </c>
      <c r="I209" s="4">
        <f>INDEX('Draft Engine'!$S$3:$S$225,$M209)</f>
        <v>21</v>
      </c>
      <c r="J209" s="5"/>
      <c r="K209">
        <f>INDEX('Draft Engine'!$Z$3:$Z$225,$M209)</f>
        <v>207</v>
      </c>
      <c r="L209" t="str">
        <f>INDEX('LIVE SOURCE'!$H$3:$H$225,$M209)</f>
        <v>Streaming/late-round defense; matchup matters more than preseason rank.</v>
      </c>
      <c r="M209" s="6">
        <f>MATCH($A209,'Draft Engine'!$Q$3:$Q$225,0)</f>
        <v>209</v>
      </c>
    </row>
    <row r="210" spans="1:13" x14ac:dyDescent="0.25">
      <c r="A210">
        <v>208</v>
      </c>
      <c r="B210" t="str">
        <f>INDEX('Draft Engine'!$A$3:$A$225,$M210)</f>
        <v>DST</v>
      </c>
      <c r="C210">
        <f>INDEX('Draft Engine'!$F$3:$F$225,$M210)</f>
        <v>19</v>
      </c>
      <c r="D210" t="str">
        <f>INDEX('Draft Engine'!$B$3:$B$225,$M210)</f>
        <v>Atlanta Falcons</v>
      </c>
      <c r="E210" s="4">
        <f>INDEX('Draft Engine'!$E$3:$E$225,$M210)</f>
        <v>73.2</v>
      </c>
      <c r="F210" t="str">
        <f t="shared" si="3"/>
        <v>TIER 5</v>
      </c>
      <c r="G210" s="4">
        <f>INDEX('Draft Engine'!$N$3:$N$225,$M210)</f>
        <v>32.056000000000004</v>
      </c>
      <c r="H210" s="4">
        <f>INDEX('Draft Engine'!$R$3:$R$225,$M210)</f>
        <v>232</v>
      </c>
      <c r="I210" s="4">
        <f>INDEX('Draft Engine'!$S$3:$S$225,$M210)</f>
        <v>24</v>
      </c>
      <c r="J210" s="5"/>
      <c r="K210">
        <f>INDEX('Draft Engine'!$Z$3:$Z$225,$M210)</f>
        <v>208</v>
      </c>
      <c r="L210" t="str">
        <f>INDEX('LIVE SOURCE'!$H$3:$H$225,$M210)</f>
        <v>Streaming/late-round defense; matchup matters more than preseason rank.</v>
      </c>
      <c r="M210" s="6">
        <f>MATCH($A210,'Draft Engine'!$Q$3:$Q$225,0)</f>
        <v>210</v>
      </c>
    </row>
    <row r="211" spans="1:13" x14ac:dyDescent="0.25">
      <c r="A211">
        <v>209</v>
      </c>
      <c r="B211" t="str">
        <f>INDEX('Draft Engine'!$A$3:$A$225,$M211)</f>
        <v>DST</v>
      </c>
      <c r="C211">
        <f>INDEX('Draft Engine'!$F$3:$F$225,$M211)</f>
        <v>20</v>
      </c>
      <c r="D211" t="str">
        <f>INDEX('Draft Engine'!$B$3:$B$225,$M211)</f>
        <v>Chicago Bears</v>
      </c>
      <c r="E211" s="4">
        <f>INDEX('Draft Engine'!$E$3:$E$225,$M211)</f>
        <v>72.099999999999994</v>
      </c>
      <c r="F211" t="str">
        <f t="shared" si="3"/>
        <v>TIER 5</v>
      </c>
      <c r="G211" s="4">
        <f>INDEX('Draft Engine'!$N$3:$N$225,$M211)</f>
        <v>31.091000000000001</v>
      </c>
      <c r="H211" s="4">
        <f>INDEX('Draft Engine'!$R$3:$R$225,$M211)</f>
        <v>236</v>
      </c>
      <c r="I211" s="4">
        <f>INDEX('Draft Engine'!$S$3:$S$225,$M211)</f>
        <v>27</v>
      </c>
      <c r="J211" s="5"/>
      <c r="K211">
        <f>INDEX('Draft Engine'!$Z$3:$Z$225,$M211)</f>
        <v>209</v>
      </c>
      <c r="L211" t="str">
        <f>INDEX('LIVE SOURCE'!$H$3:$H$225,$M211)</f>
        <v>Streaming/late-round defense; matchup matters more than preseason rank.</v>
      </c>
      <c r="M211" s="6">
        <f>MATCH($A211,'Draft Engine'!$Q$3:$Q$225,0)</f>
        <v>211</v>
      </c>
    </row>
    <row r="212" spans="1:13" x14ac:dyDescent="0.25">
      <c r="A212">
        <v>210</v>
      </c>
      <c r="B212" t="str">
        <f>INDEX('Draft Engine'!$A$3:$A$225,$M212)</f>
        <v>DST</v>
      </c>
      <c r="C212">
        <f>INDEX('Draft Engine'!$F$3:$F$225,$M212)</f>
        <v>21</v>
      </c>
      <c r="D212" t="str">
        <f>INDEX('Draft Engine'!$B$3:$B$225,$M212)</f>
        <v>Indianapolis Colts</v>
      </c>
      <c r="E212" s="4">
        <f>INDEX('Draft Engine'!$E$3:$E$225,$M212)</f>
        <v>71</v>
      </c>
      <c r="F212" t="str">
        <f t="shared" si="3"/>
        <v>TIER 5</v>
      </c>
      <c r="G212" s="4">
        <f>INDEX('Draft Engine'!$N$3:$N$225,$M212)</f>
        <v>30.126000000000005</v>
      </c>
      <c r="H212" s="4">
        <f>INDEX('Draft Engine'!$R$3:$R$225,$M212)</f>
        <v>240</v>
      </c>
      <c r="I212" s="4">
        <f>INDEX('Draft Engine'!$S$3:$S$225,$M212)</f>
        <v>30</v>
      </c>
      <c r="J212" s="5"/>
      <c r="K212">
        <f>INDEX('Draft Engine'!$Z$3:$Z$225,$M212)</f>
        <v>210</v>
      </c>
      <c r="L212" t="str">
        <f>INDEX('LIVE SOURCE'!$H$3:$H$225,$M212)</f>
        <v>Streaming/late-round defense; matchup matters more than preseason rank.</v>
      </c>
      <c r="M212" s="6">
        <f>MATCH($A212,'Draft Engine'!$Q$3:$Q$225,0)</f>
        <v>212</v>
      </c>
    </row>
    <row r="213" spans="1:13" x14ac:dyDescent="0.25">
      <c r="A213">
        <v>211</v>
      </c>
      <c r="B213" t="str">
        <f>INDEX('Draft Engine'!$A$3:$A$225,$M213)</f>
        <v>DST</v>
      </c>
      <c r="C213">
        <f>INDEX('Draft Engine'!$F$3:$F$225,$M213)</f>
        <v>22</v>
      </c>
      <c r="D213" t="str">
        <f>INDEX('Draft Engine'!$B$3:$B$225,$M213)</f>
        <v>New York Giants</v>
      </c>
      <c r="E213" s="4">
        <f>INDEX('Draft Engine'!$E$3:$E$225,$M213)</f>
        <v>69.900000000000006</v>
      </c>
      <c r="F213" t="str">
        <f t="shared" si="3"/>
        <v>TIER 6</v>
      </c>
      <c r="G213" s="4">
        <f>INDEX('Draft Engine'!$N$3:$N$225,$M213)</f>
        <v>29.161000000000008</v>
      </c>
      <c r="H213" s="4">
        <f>INDEX('Draft Engine'!$R$3:$R$225,$M213)</f>
        <v>244</v>
      </c>
      <c r="I213" s="4">
        <f>INDEX('Draft Engine'!$S$3:$S$225,$M213)</f>
        <v>33</v>
      </c>
      <c r="J213" s="5"/>
      <c r="K213">
        <f>INDEX('Draft Engine'!$Z$3:$Z$225,$M213)</f>
        <v>211</v>
      </c>
      <c r="L213" t="str">
        <f>INDEX('LIVE SOURCE'!$H$3:$H$225,$M213)</f>
        <v>Streaming/late-round defense; matchup matters more than preseason rank.</v>
      </c>
      <c r="M213" s="6">
        <f>MATCH($A213,'Draft Engine'!$Q$3:$Q$225,0)</f>
        <v>213</v>
      </c>
    </row>
    <row r="214" spans="1:13" x14ac:dyDescent="0.25">
      <c r="A214">
        <v>212</v>
      </c>
      <c r="B214" t="str">
        <f>INDEX('Draft Engine'!$A$3:$A$225,$M214)</f>
        <v>DST</v>
      </c>
      <c r="C214">
        <f>INDEX('Draft Engine'!$F$3:$F$225,$M214)</f>
        <v>23</v>
      </c>
      <c r="D214" t="str">
        <f>INDEX('Draft Engine'!$B$3:$B$225,$M214)</f>
        <v>Tampa Bay Buccaneers</v>
      </c>
      <c r="E214" s="4">
        <f>INDEX('Draft Engine'!$E$3:$E$225,$M214)</f>
        <v>68.8</v>
      </c>
      <c r="F214" t="str">
        <f t="shared" si="3"/>
        <v>TIER 6</v>
      </c>
      <c r="G214" s="4">
        <f>INDEX('Draft Engine'!$N$3:$N$225,$M214)</f>
        <v>28.195999999999998</v>
      </c>
      <c r="H214" s="4">
        <f>INDEX('Draft Engine'!$R$3:$R$225,$M214)</f>
        <v>248</v>
      </c>
      <c r="I214" s="4">
        <f>INDEX('Draft Engine'!$S$3:$S$225,$M214)</f>
        <v>36</v>
      </c>
      <c r="J214" s="5"/>
      <c r="K214">
        <f>INDEX('Draft Engine'!$Z$3:$Z$225,$M214)</f>
        <v>212</v>
      </c>
      <c r="L214" t="str">
        <f>INDEX('LIVE SOURCE'!$H$3:$H$225,$M214)</f>
        <v>Streaming/late-round defense; matchup matters more than preseason rank.</v>
      </c>
      <c r="M214" s="6">
        <f>MATCH($A214,'Draft Engine'!$Q$3:$Q$225,0)</f>
        <v>214</v>
      </c>
    </row>
    <row r="215" spans="1:13" x14ac:dyDescent="0.25">
      <c r="A215">
        <v>213</v>
      </c>
      <c r="B215" t="str">
        <f>INDEX('Draft Engine'!$A$3:$A$225,$M215)</f>
        <v>DST</v>
      </c>
      <c r="C215">
        <f>INDEX('Draft Engine'!$F$3:$F$225,$M215)</f>
        <v>24</v>
      </c>
      <c r="D215" t="str">
        <f>INDEX('Draft Engine'!$B$3:$B$225,$M215)</f>
        <v>Dallas Cowboys</v>
      </c>
      <c r="E215" s="4">
        <f>INDEX('Draft Engine'!$E$3:$E$225,$M215)</f>
        <v>67.7</v>
      </c>
      <c r="F215" t="str">
        <f t="shared" si="3"/>
        <v>TIER 6</v>
      </c>
      <c r="G215" s="4">
        <f>INDEX('Draft Engine'!$N$3:$N$225,$M215)</f>
        <v>27.249000000000009</v>
      </c>
      <c r="H215" s="4">
        <f>INDEX('Draft Engine'!$R$3:$R$225,$M215)</f>
        <v>252</v>
      </c>
      <c r="I215" s="4">
        <f>INDEX('Draft Engine'!$S$3:$S$225,$M215)</f>
        <v>39</v>
      </c>
      <c r="J215" s="5"/>
      <c r="K215">
        <f>INDEX('Draft Engine'!$Z$3:$Z$225,$M215)</f>
        <v>213</v>
      </c>
      <c r="L215" t="str">
        <f>INDEX('LIVE SOURCE'!$H$3:$H$225,$M215)</f>
        <v>Streaming/late-round defense; matchup matters more than preseason rank.</v>
      </c>
      <c r="M215" s="6">
        <f>MATCH($A215,'Draft Engine'!$Q$3:$Q$225,0)</f>
        <v>215</v>
      </c>
    </row>
    <row r="216" spans="1:13" x14ac:dyDescent="0.25">
      <c r="A216">
        <v>214</v>
      </c>
      <c r="B216" t="str">
        <f>INDEX('Draft Engine'!$A$3:$A$225,$M216)</f>
        <v>DST</v>
      </c>
      <c r="C216">
        <f>INDEX('Draft Engine'!$F$3:$F$225,$M216)</f>
        <v>25</v>
      </c>
      <c r="D216" t="str">
        <f>INDEX('Draft Engine'!$B$3:$B$225,$M216)</f>
        <v>Carolina Panthers</v>
      </c>
      <c r="E216" s="4">
        <f>INDEX('Draft Engine'!$E$3:$E$225,$M216)</f>
        <v>66.599999999999994</v>
      </c>
      <c r="F216" t="str">
        <f t="shared" si="3"/>
        <v>TIER 6</v>
      </c>
      <c r="G216" s="4">
        <f>INDEX('Draft Engine'!$N$3:$N$225,$M216)</f>
        <v>26.284000000000006</v>
      </c>
      <c r="H216" s="4">
        <f>INDEX('Draft Engine'!$R$3:$R$225,$M216)</f>
        <v>256</v>
      </c>
      <c r="I216" s="4">
        <f>INDEX('Draft Engine'!$S$3:$S$225,$M216)</f>
        <v>42</v>
      </c>
      <c r="J216" s="5"/>
      <c r="K216">
        <f>INDEX('Draft Engine'!$Z$3:$Z$225,$M216)</f>
        <v>214</v>
      </c>
      <c r="L216" t="str">
        <f>INDEX('LIVE SOURCE'!$H$3:$H$225,$M216)</f>
        <v>Streaming/late-round defense; matchup matters more than preseason rank.</v>
      </c>
      <c r="M216" s="6">
        <f>MATCH($A216,'Draft Engine'!$Q$3:$Q$225,0)</f>
        <v>216</v>
      </c>
    </row>
    <row r="217" spans="1:13" x14ac:dyDescent="0.25">
      <c r="A217">
        <v>215</v>
      </c>
      <c r="B217" t="str">
        <f>INDEX('Draft Engine'!$A$3:$A$225,$M217)</f>
        <v>DST</v>
      </c>
      <c r="C217">
        <f>INDEX('Draft Engine'!$F$3:$F$225,$M217)</f>
        <v>26</v>
      </c>
      <c r="D217" t="str">
        <f>INDEX('Draft Engine'!$B$3:$B$225,$M217)</f>
        <v>Tennessee Titans</v>
      </c>
      <c r="E217" s="4">
        <f>INDEX('Draft Engine'!$E$3:$E$225,$M217)</f>
        <v>65.5</v>
      </c>
      <c r="F217" t="str">
        <f t="shared" si="3"/>
        <v>TIER 6</v>
      </c>
      <c r="G217" s="4">
        <f>INDEX('Draft Engine'!$N$3:$N$225,$M217)</f>
        <v>25.319000000000003</v>
      </c>
      <c r="H217" s="4">
        <f>INDEX('Draft Engine'!$R$3:$R$225,$M217)</f>
        <v>260</v>
      </c>
      <c r="I217" s="4">
        <f>INDEX('Draft Engine'!$S$3:$S$225,$M217)</f>
        <v>45</v>
      </c>
      <c r="J217" s="5"/>
      <c r="K217">
        <f>INDEX('Draft Engine'!$Z$3:$Z$225,$M217)</f>
        <v>215</v>
      </c>
      <c r="L217" t="str">
        <f>INDEX('LIVE SOURCE'!$H$3:$H$225,$M217)</f>
        <v>Streaming/late-round defense; matchup matters more than preseason rank.</v>
      </c>
      <c r="M217" s="6">
        <f>MATCH($A217,'Draft Engine'!$Q$3:$Q$225,0)</f>
        <v>217</v>
      </c>
    </row>
    <row r="218" spans="1:13" x14ac:dyDescent="0.25">
      <c r="A218">
        <v>216</v>
      </c>
      <c r="B218" t="str">
        <f>INDEX('Draft Engine'!$A$3:$A$225,$M218)</f>
        <v>DST</v>
      </c>
      <c r="C218">
        <f>INDEX('Draft Engine'!$F$3:$F$225,$M218)</f>
        <v>27</v>
      </c>
      <c r="D218" t="str">
        <f>INDEX('Draft Engine'!$B$3:$B$225,$M218)</f>
        <v>Miami Dolphins</v>
      </c>
      <c r="E218" s="4">
        <f>INDEX('Draft Engine'!$E$3:$E$225,$M218)</f>
        <v>64.400000000000006</v>
      </c>
      <c r="F218" t="str">
        <f t="shared" si="3"/>
        <v>TIER 7</v>
      </c>
      <c r="G218" s="4">
        <f>INDEX('Draft Engine'!$N$3:$N$225,$M218)</f>
        <v>24.354000000000006</v>
      </c>
      <c r="H218" s="4">
        <f>INDEX('Draft Engine'!$R$3:$R$225,$M218)</f>
        <v>264</v>
      </c>
      <c r="I218" s="4">
        <f>INDEX('Draft Engine'!$S$3:$S$225,$M218)</f>
        <v>48</v>
      </c>
      <c r="J218" s="5"/>
      <c r="K218">
        <f>INDEX('Draft Engine'!$Z$3:$Z$225,$M218)</f>
        <v>216</v>
      </c>
      <c r="L218" t="str">
        <f>INDEX('LIVE SOURCE'!$H$3:$H$225,$M218)</f>
        <v>Streaming/late-round defense; matchup matters more than preseason rank.</v>
      </c>
      <c r="M218" s="6">
        <f>MATCH($A218,'Draft Engine'!$Q$3:$Q$225,0)</f>
        <v>218</v>
      </c>
    </row>
    <row r="219" spans="1:13" x14ac:dyDescent="0.25">
      <c r="A219">
        <v>217</v>
      </c>
      <c r="B219" t="str">
        <f>INDEX('Draft Engine'!$A$3:$A$225,$M219)</f>
        <v>DST</v>
      </c>
      <c r="C219">
        <f>INDEX('Draft Engine'!$F$3:$F$225,$M219)</f>
        <v>28</v>
      </c>
      <c r="D219" t="str">
        <f>INDEX('Draft Engine'!$B$3:$B$225,$M219)</f>
        <v>Washington Commanders</v>
      </c>
      <c r="E219" s="4">
        <f>INDEX('Draft Engine'!$E$3:$E$225,$M219)</f>
        <v>63.3</v>
      </c>
      <c r="F219" t="str">
        <f t="shared" si="3"/>
        <v>TIER 7</v>
      </c>
      <c r="G219" s="4">
        <f>INDEX('Draft Engine'!$N$3:$N$225,$M219)</f>
        <v>23.388999999999996</v>
      </c>
      <c r="H219" s="4">
        <f>INDEX('Draft Engine'!$R$3:$R$225,$M219)</f>
        <v>268</v>
      </c>
      <c r="I219" s="4">
        <f>INDEX('Draft Engine'!$S$3:$S$225,$M219)</f>
        <v>51</v>
      </c>
      <c r="J219" s="5"/>
      <c r="K219">
        <f>INDEX('Draft Engine'!$Z$3:$Z$225,$M219)</f>
        <v>217</v>
      </c>
      <c r="L219" t="str">
        <f>INDEX('LIVE SOURCE'!$H$3:$H$225,$M219)</f>
        <v>Streaming/late-round defense; matchup matters more than preseason rank.</v>
      </c>
      <c r="M219" s="6">
        <f>MATCH($A219,'Draft Engine'!$Q$3:$Q$225,0)</f>
        <v>219</v>
      </c>
    </row>
    <row r="220" spans="1:13" x14ac:dyDescent="0.25">
      <c r="A220">
        <v>218</v>
      </c>
      <c r="B220" t="str">
        <f>INDEX('Draft Engine'!$A$3:$A$225,$M220)</f>
        <v>DST</v>
      </c>
      <c r="C220">
        <f>INDEX('Draft Engine'!$F$3:$F$225,$M220)</f>
        <v>29</v>
      </c>
      <c r="D220" t="str">
        <f>INDEX('Draft Engine'!$B$3:$B$225,$M220)</f>
        <v>New York Jets</v>
      </c>
      <c r="E220" s="4">
        <f>INDEX('Draft Engine'!$E$3:$E$225,$M220)</f>
        <v>62.2</v>
      </c>
      <c r="F220" t="str">
        <f t="shared" si="3"/>
        <v>TIER 7</v>
      </c>
      <c r="G220" s="4">
        <f>INDEX('Draft Engine'!$N$3:$N$225,$M220)</f>
        <v>22.442</v>
      </c>
      <c r="H220" s="4">
        <f>INDEX('Draft Engine'!$R$3:$R$225,$M220)</f>
        <v>272</v>
      </c>
      <c r="I220" s="4">
        <f>INDEX('Draft Engine'!$S$3:$S$225,$M220)</f>
        <v>54</v>
      </c>
      <c r="J220" s="5"/>
      <c r="K220">
        <f>INDEX('Draft Engine'!$Z$3:$Z$225,$M220)</f>
        <v>218</v>
      </c>
      <c r="L220" t="str">
        <f>INDEX('LIVE SOURCE'!$H$3:$H$225,$M220)</f>
        <v>Streaming/late-round defense; matchup matters more than preseason rank.</v>
      </c>
      <c r="M220" s="6">
        <f>MATCH($A220,'Draft Engine'!$Q$3:$Q$225,0)</f>
        <v>220</v>
      </c>
    </row>
    <row r="221" spans="1:13" x14ac:dyDescent="0.25">
      <c r="A221">
        <v>219</v>
      </c>
      <c r="B221" t="str">
        <f>INDEX('Draft Engine'!$A$3:$A$225,$M221)</f>
        <v>DST</v>
      </c>
      <c r="C221">
        <f>INDEX('Draft Engine'!$F$3:$F$225,$M221)</f>
        <v>30</v>
      </c>
      <c r="D221" t="str">
        <f>INDEX('Draft Engine'!$B$3:$B$225,$M221)</f>
        <v>Arizona Cardinals</v>
      </c>
      <c r="E221" s="4">
        <f>INDEX('Draft Engine'!$E$3:$E$225,$M221)</f>
        <v>61.1</v>
      </c>
      <c r="F221" t="str">
        <f t="shared" si="3"/>
        <v>TIER 7</v>
      </c>
      <c r="G221" s="4">
        <f>INDEX('Draft Engine'!$N$3:$N$225,$M221)</f>
        <v>21.477000000000004</v>
      </c>
      <c r="H221" s="4">
        <f>INDEX('Draft Engine'!$R$3:$R$225,$M221)</f>
        <v>276</v>
      </c>
      <c r="I221" s="4">
        <f>INDEX('Draft Engine'!$S$3:$S$225,$M221)</f>
        <v>57</v>
      </c>
      <c r="J221" s="5"/>
      <c r="K221">
        <f>INDEX('Draft Engine'!$Z$3:$Z$225,$M221)</f>
        <v>219</v>
      </c>
      <c r="L221" t="str">
        <f>INDEX('LIVE SOURCE'!$H$3:$H$225,$M221)</f>
        <v>Streaming/late-round defense; matchup matters more than preseason rank.</v>
      </c>
      <c r="M221" s="6">
        <f>MATCH($A221,'Draft Engine'!$Q$3:$Q$225,0)</f>
        <v>221</v>
      </c>
    </row>
    <row r="222" spans="1:13" x14ac:dyDescent="0.25">
      <c r="A222">
        <v>220</v>
      </c>
      <c r="B222" t="str">
        <f>INDEX('Draft Engine'!$A$3:$A$225,$M222)</f>
        <v>DST</v>
      </c>
      <c r="C222">
        <f>INDEX('Draft Engine'!$F$3:$F$225,$M222)</f>
        <v>31</v>
      </c>
      <c r="D222" t="str">
        <f>INDEX('Draft Engine'!$B$3:$B$225,$M222)</f>
        <v>Cincinnati Bengals</v>
      </c>
      <c r="E222" s="4">
        <f>INDEX('Draft Engine'!$E$3:$E$225,$M222)</f>
        <v>60</v>
      </c>
      <c r="F222" t="str">
        <f t="shared" si="3"/>
        <v>TIER 7</v>
      </c>
      <c r="G222" s="4">
        <f>INDEX('Draft Engine'!$N$3:$N$225,$M222)</f>
        <v>20.512</v>
      </c>
      <c r="H222" s="4">
        <f>INDEX('Draft Engine'!$R$3:$R$225,$M222)</f>
        <v>280</v>
      </c>
      <c r="I222" s="4">
        <f>INDEX('Draft Engine'!$S$3:$S$225,$M222)</f>
        <v>60</v>
      </c>
      <c r="J222" s="5"/>
      <c r="K222">
        <f>INDEX('Draft Engine'!$Z$3:$Z$225,$M222)</f>
        <v>220</v>
      </c>
      <c r="L222" t="str">
        <f>INDEX('LIVE SOURCE'!$H$3:$H$225,$M222)</f>
        <v>Streaming/late-round defense; matchup matters more than preseason rank.</v>
      </c>
      <c r="M222" s="6">
        <f>MATCH($A222,'Draft Engine'!$Q$3:$Q$225,0)</f>
        <v>222</v>
      </c>
    </row>
    <row r="223" spans="1:13" x14ac:dyDescent="0.25">
      <c r="A223">
        <v>221</v>
      </c>
      <c r="B223" t="str">
        <f>INDEX('Draft Engine'!$A$3:$A$225,$M223)</f>
        <v>DST</v>
      </c>
      <c r="C223">
        <f>INDEX('Draft Engine'!$F$3:$F$225,$M223)</f>
        <v>32</v>
      </c>
      <c r="D223" t="str">
        <f>INDEX('Draft Engine'!$B$3:$B$225,$M223)</f>
        <v>Las Vegas Raiders</v>
      </c>
      <c r="E223" s="4">
        <f>INDEX('Draft Engine'!$E$3:$E$225,$M223)</f>
        <v>58.9</v>
      </c>
      <c r="F223" t="str">
        <f t="shared" si="3"/>
        <v>TIER 7</v>
      </c>
      <c r="G223" s="4">
        <f>INDEX('Draft Engine'!$N$3:$N$225,$M223)</f>
        <v>19.547000000000004</v>
      </c>
      <c r="H223" s="4">
        <f>INDEX('Draft Engine'!$R$3:$R$225,$M223)</f>
        <v>284</v>
      </c>
      <c r="I223" s="4">
        <f>INDEX('Draft Engine'!$S$3:$S$225,$M223)</f>
        <v>63</v>
      </c>
      <c r="J223" s="5"/>
      <c r="K223">
        <f>INDEX('Draft Engine'!$Z$3:$Z$225,$M223)</f>
        <v>221</v>
      </c>
      <c r="L223" t="str">
        <f>INDEX('LIVE SOURCE'!$H$3:$H$225,$M223)</f>
        <v>Streaming/late-round defense; matchup matters more than preseason rank.</v>
      </c>
      <c r="M223" s="6">
        <f>MATCH($A223,'Draft Engine'!$Q$3:$Q$225,0)</f>
        <v>223</v>
      </c>
    </row>
    <row r="224" spans="1:13" x14ac:dyDescent="0.25">
      <c r="A224">
        <v>222</v>
      </c>
      <c r="B224" t="str">
        <f>INDEX('Draft Engine'!$A$3:$A$225,$M224)</f>
        <v>K</v>
      </c>
      <c r="C224">
        <f>INDEX('Draft Engine'!$F$3:$F$225,$M224)</f>
        <v>11</v>
      </c>
      <c r="D224" t="str">
        <f>INDEX('Draft Engine'!$B$3:$B$225,$M224)</f>
        <v>Andy Borregales</v>
      </c>
      <c r="E224" s="4">
        <f>INDEX('Draft Engine'!$E$3:$E$225,$M224)</f>
        <v>72</v>
      </c>
      <c r="F224" t="str">
        <f t="shared" si="3"/>
        <v>TIER 5</v>
      </c>
      <c r="G224" s="4">
        <f>INDEX('Draft Engine'!$N$3:$N$225,$M224)</f>
        <v>38.558</v>
      </c>
      <c r="H224" s="4">
        <f>INDEX('Draft Engine'!$R$3:$R$225,$M224)</f>
        <v>205</v>
      </c>
      <c r="I224" s="4">
        <f>INDEX('Draft Engine'!$S$3:$S$225,$M224)</f>
        <v>-17</v>
      </c>
      <c r="J224" s="5"/>
      <c r="K224">
        <f>INDEX('Draft Engine'!$Z$3:$Z$225,$M224)</f>
        <v>222</v>
      </c>
      <c r="L224" t="str">
        <f>INDEX('LIVE SOURCE'!$H$3:$H$225,$M224)</f>
        <v>Late-round kicker; treat as replaceable unless scoring strongly rewards distance.</v>
      </c>
      <c r="M224" s="6">
        <f>MATCH($A224,'Draft Engine'!$Q$3:$Q$225,0)</f>
        <v>190</v>
      </c>
    </row>
    <row r="225" spans="1:13" x14ac:dyDescent="0.25">
      <c r="A225">
        <v>223</v>
      </c>
      <c r="B225" t="str">
        <f>INDEX('Draft Engine'!$A$3:$A$225,$M225)</f>
        <v>K</v>
      </c>
      <c r="C225">
        <f>INDEX('Draft Engine'!$F$3:$F$225,$M225)</f>
        <v>12</v>
      </c>
      <c r="D225" t="str">
        <f>INDEX('Draft Engine'!$B$3:$B$225,$M225)</f>
        <v>Evan McPherson</v>
      </c>
      <c r="E225" s="4">
        <f>INDEX('Draft Engine'!$E$3:$E$225,$M225)</f>
        <v>69.8</v>
      </c>
      <c r="F225" t="str">
        <f t="shared" si="3"/>
        <v>TIER 6</v>
      </c>
      <c r="G225" s="4">
        <f>INDEX('Draft Engine'!$N$3:$N$225,$M225)</f>
        <v>36.006</v>
      </c>
      <c r="H225" s="4">
        <f>INDEX('Draft Engine'!$R$3:$R$225,$M225)</f>
        <v>210</v>
      </c>
      <c r="I225" s="4">
        <f>INDEX('Draft Engine'!$S$3:$S$225,$M225)</f>
        <v>-13</v>
      </c>
      <c r="J225" s="5"/>
      <c r="K225">
        <f>INDEX('Draft Engine'!$Z$3:$Z$225,$M225)</f>
        <v>223</v>
      </c>
      <c r="L225" t="str">
        <f>INDEX('LIVE SOURCE'!$H$3:$H$225,$M225)</f>
        <v>Late-round kicker; treat as replaceable unless scoring strongly rewards distance.</v>
      </c>
      <c r="M225" s="6">
        <f>MATCH($A225,'Draft Engine'!$Q$3:$Q$225,0)</f>
        <v>191</v>
      </c>
    </row>
  </sheetData>
  <conditionalFormatting sqref="A3:L225">
    <cfRule type="expression" dxfId="6" priority="1" stopIfTrue="1">
      <formula>$J3="My Pick"</formula>
    </cfRule>
    <cfRule type="expression" dxfId="5" priority="2">
      <formula>$J3&lt;&gt;""</formula>
    </cfRule>
  </conditionalFormatting>
  <dataValidations count="1">
    <dataValidation type="list" allowBlank="1" sqref="J3:J225" xr:uid="{00000000-0002-0000-0000-000000000000}">
      <formula1>"Drafted,My Pick"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L22"/>
  <sheetViews>
    <sheetView workbookViewId="0"/>
  </sheetViews>
  <sheetFormatPr defaultRowHeight="15" x14ac:dyDescent="0.25"/>
  <cols>
    <col min="1" max="1" width="18" customWidth="1"/>
    <col min="2" max="2" width="10" customWidth="1"/>
    <col min="3" max="3" width="44" customWidth="1"/>
    <col min="4" max="4" width="2" customWidth="1"/>
    <col min="5" max="5" width="9" customWidth="1"/>
    <col min="6" max="6" width="12" customWidth="1"/>
    <col min="7" max="7" width="9" customWidth="1"/>
    <col min="8" max="8" width="11" customWidth="1"/>
    <col min="9" max="9" width="13" customWidth="1"/>
    <col min="10" max="10" width="11" customWidth="1"/>
    <col min="11" max="11" width="9" customWidth="1"/>
    <col min="12" max="12" width="11" customWidth="1"/>
  </cols>
  <sheetData>
    <row r="1" spans="1:12" ht="18.75" x14ac:dyDescent="0.3">
      <c r="A1" s="1" t="s">
        <v>15</v>
      </c>
    </row>
    <row r="2" spans="1:12" x14ac:dyDescent="0.25">
      <c r="A2" s="2" t="s">
        <v>16</v>
      </c>
    </row>
    <row r="3" spans="1:12" ht="26.25" x14ac:dyDescent="0.25">
      <c r="A3" s="7" t="s">
        <v>17</v>
      </c>
      <c r="B3" s="7" t="s">
        <v>18</v>
      </c>
      <c r="C3" s="7" t="s">
        <v>19</v>
      </c>
      <c r="E3" s="3" t="s">
        <v>20</v>
      </c>
      <c r="F3" s="3" t="s">
        <v>21</v>
      </c>
      <c r="G3" s="3" t="s">
        <v>22</v>
      </c>
      <c r="H3" s="3" t="s">
        <v>23</v>
      </c>
      <c r="I3" s="3" t="s">
        <v>24</v>
      </c>
      <c r="J3" s="3" t="s">
        <v>25</v>
      </c>
      <c r="K3" s="3" t="s">
        <v>26</v>
      </c>
      <c r="L3" s="3" t="s">
        <v>27</v>
      </c>
    </row>
    <row r="4" spans="1:12" x14ac:dyDescent="0.25">
      <c r="A4" t="s">
        <v>28</v>
      </c>
      <c r="B4" s="5">
        <v>10</v>
      </c>
      <c r="C4" t="s">
        <v>29</v>
      </c>
      <c r="E4" t="s">
        <v>30</v>
      </c>
      <c r="F4">
        <f>ROUND($B$4*$B$6+$B$4*0.3,0)</f>
        <v>13</v>
      </c>
      <c r="G4" s="5"/>
      <c r="H4">
        <f t="shared" ref="H4:H9" si="0">IF($G4="",$F4,$G4)</f>
        <v>13</v>
      </c>
      <c r="I4">
        <f>ROUND(_xlfn.AGGREGATE(14,6,'Draft Engine'!$G$3:$G$225/('Draft Engine'!$A$3:$A$225=$E4),MIN($H4,COUNTIF('Draft Engine'!$A$3:$A$225,$E4))),1)</f>
        <v>351.1</v>
      </c>
      <c r="J4" s="5">
        <v>1</v>
      </c>
      <c r="K4" s="5">
        <v>4.5</v>
      </c>
      <c r="L4" s="5">
        <v>-30</v>
      </c>
    </row>
    <row r="5" spans="1:12" x14ac:dyDescent="0.25">
      <c r="A5" t="s">
        <v>31</v>
      </c>
      <c r="B5" s="5" t="s">
        <v>32</v>
      </c>
      <c r="C5" t="s">
        <v>33</v>
      </c>
      <c r="E5" t="s">
        <v>34</v>
      </c>
      <c r="F5">
        <f>ROUND($B$4*$B$7+$B$4*$B$10*0.55+$B$4*0.6,0)</f>
        <v>32</v>
      </c>
      <c r="G5" s="5"/>
      <c r="H5">
        <f t="shared" si="0"/>
        <v>32</v>
      </c>
      <c r="I5">
        <f>ROUND(_xlfn.AGGREGATE(14,6,'Draft Engine'!$G$3:$G$225/('Draft Engine'!$A$3:$A$225=$E5),MIN($H5,COUNTIF('Draft Engine'!$A$3:$A$225,$E5))),1)</f>
        <v>239</v>
      </c>
      <c r="J5" s="5">
        <v>1.1499999999999999</v>
      </c>
      <c r="K5" s="5">
        <v>4.2</v>
      </c>
      <c r="L5" s="5">
        <v>-70</v>
      </c>
    </row>
    <row r="6" spans="1:12" x14ac:dyDescent="0.25">
      <c r="A6" t="s">
        <v>35</v>
      </c>
      <c r="B6" s="5">
        <v>1</v>
      </c>
      <c r="C6" t="s">
        <v>36</v>
      </c>
      <c r="E6" t="s">
        <v>37</v>
      </c>
      <c r="F6">
        <f>ROUND($B$4*$B$8+$B$4*$B$10*0.45+$B$4*0.8,0)</f>
        <v>33</v>
      </c>
      <c r="G6" s="5"/>
      <c r="H6">
        <f t="shared" si="0"/>
        <v>33</v>
      </c>
      <c r="I6">
        <f>ROUND(_xlfn.AGGREGATE(14,6,'Draft Engine'!$G$3:$G$225/('Draft Engine'!$A$3:$A$225=$E6),MIN($H6,COUNTIF('Draft Engine'!$A$3:$A$225,$E6))),1)</f>
        <v>239.3</v>
      </c>
      <c r="J6" s="5">
        <v>1.1000000000000001</v>
      </c>
      <c r="K6" s="5">
        <v>4.2</v>
      </c>
      <c r="L6" s="5">
        <v>-70</v>
      </c>
    </row>
    <row r="7" spans="1:12" x14ac:dyDescent="0.25">
      <c r="A7" t="s">
        <v>38</v>
      </c>
      <c r="B7" s="5">
        <v>2</v>
      </c>
      <c r="C7" t="s">
        <v>36</v>
      </c>
      <c r="E7" t="s">
        <v>39</v>
      </c>
      <c r="F7">
        <f>ROUND($B$4*$B$9+$B$4*0.3,0)</f>
        <v>13</v>
      </c>
      <c r="G7" s="5"/>
      <c r="H7">
        <f t="shared" si="0"/>
        <v>13</v>
      </c>
      <c r="I7">
        <f>ROUND(_xlfn.AGGREGATE(14,6,'Draft Engine'!$G$3:$G$225/('Draft Engine'!$A$3:$A$225=$E7),MIN($H7,COUNTIF('Draft Engine'!$A$3:$A$225,$E7))),1)</f>
        <v>179.7</v>
      </c>
      <c r="J7" s="5">
        <v>0.9</v>
      </c>
      <c r="K7" s="5">
        <v>3.5</v>
      </c>
      <c r="L7" s="5">
        <v>-100</v>
      </c>
    </row>
    <row r="8" spans="1:12" x14ac:dyDescent="0.25">
      <c r="A8" t="s">
        <v>40</v>
      </c>
      <c r="B8" s="5">
        <v>2</v>
      </c>
      <c r="C8" t="s">
        <v>36</v>
      </c>
      <c r="E8" t="s">
        <v>41</v>
      </c>
      <c r="F8">
        <f>ROUND($B$4*$B$11,0)</f>
        <v>10</v>
      </c>
      <c r="G8" s="5"/>
      <c r="H8">
        <f t="shared" si="0"/>
        <v>10</v>
      </c>
      <c r="I8">
        <f>ROUND(_xlfn.AGGREGATE(14,6,'Draft Engine'!$G$3:$G$225/('Draft Engine'!$A$3:$A$225=$E8),MIN($H8,COUNTIF('Draft Engine'!$A$3:$A$225,$E8))),1)</f>
        <v>108.4</v>
      </c>
      <c r="J8" s="5">
        <v>0.55000000000000004</v>
      </c>
      <c r="K8" s="5">
        <v>2</v>
      </c>
      <c r="L8" s="5">
        <v>-40</v>
      </c>
    </row>
    <row r="9" spans="1:12" x14ac:dyDescent="0.25">
      <c r="A9" t="s">
        <v>42</v>
      </c>
      <c r="B9" s="5">
        <v>1</v>
      </c>
      <c r="C9" t="s">
        <v>36</v>
      </c>
      <c r="E9" t="s">
        <v>43</v>
      </c>
      <c r="F9">
        <f>ROUND($B$4*$B$12,0)</f>
        <v>10</v>
      </c>
      <c r="G9" s="5"/>
      <c r="H9">
        <f t="shared" si="0"/>
        <v>10</v>
      </c>
      <c r="I9">
        <f>ROUND(_xlfn.AGGREGATE(14,6,'Draft Engine'!$G$3:$G$225/('Draft Engine'!$A$3:$A$225=$E9),MIN($H9,COUNTIF('Draft Engine'!$A$3:$A$225,$E9))),1)</f>
        <v>99.6</v>
      </c>
      <c r="J9" s="5">
        <v>0.5</v>
      </c>
      <c r="K9" s="5">
        <v>1.8</v>
      </c>
      <c r="L9" s="5">
        <v>-50</v>
      </c>
    </row>
    <row r="10" spans="1:12" x14ac:dyDescent="0.25">
      <c r="A10" t="s">
        <v>44</v>
      </c>
      <c r="B10" s="5">
        <v>1</v>
      </c>
      <c r="C10" t="s">
        <v>45</v>
      </c>
    </row>
    <row r="11" spans="1:12" x14ac:dyDescent="0.25">
      <c r="A11" t="s">
        <v>46</v>
      </c>
      <c r="B11" s="5">
        <v>1</v>
      </c>
      <c r="C11" t="s">
        <v>36</v>
      </c>
      <c r="E11" s="2" t="s">
        <v>47</v>
      </c>
    </row>
    <row r="12" spans="1:12" x14ac:dyDescent="0.25">
      <c r="A12" t="s">
        <v>48</v>
      </c>
      <c r="B12" s="5">
        <v>1</v>
      </c>
      <c r="C12" t="s">
        <v>36</v>
      </c>
    </row>
    <row r="13" spans="1:12" x14ac:dyDescent="0.25">
      <c r="A13" t="s">
        <v>49</v>
      </c>
      <c r="B13" s="5">
        <v>6</v>
      </c>
      <c r="C13" t="s">
        <v>36</v>
      </c>
    </row>
    <row r="14" spans="1:12" x14ac:dyDescent="0.25">
      <c r="A14" t="s">
        <v>50</v>
      </c>
      <c r="B14" s="5">
        <v>18</v>
      </c>
      <c r="C14" t="s">
        <v>51</v>
      </c>
    </row>
    <row r="15" spans="1:12" x14ac:dyDescent="0.25">
      <c r="A15" t="s">
        <v>52</v>
      </c>
      <c r="B15" s="5">
        <v>20</v>
      </c>
      <c r="C15" t="s">
        <v>51</v>
      </c>
    </row>
    <row r="16" spans="1:12" x14ac:dyDescent="0.25">
      <c r="A16" t="s">
        <v>53</v>
      </c>
      <c r="B16" s="5">
        <v>3</v>
      </c>
      <c r="C16" t="s">
        <v>54</v>
      </c>
    </row>
    <row r="17" spans="1:3" x14ac:dyDescent="0.25">
      <c r="A17" t="s">
        <v>55</v>
      </c>
      <c r="B17" s="5">
        <v>131</v>
      </c>
      <c r="C17" t="s">
        <v>56</v>
      </c>
    </row>
    <row r="18" spans="1:3" x14ac:dyDescent="0.25">
      <c r="A18" t="s">
        <v>57</v>
      </c>
      <c r="B18" s="5">
        <v>141</v>
      </c>
      <c r="C18" t="s">
        <v>58</v>
      </c>
    </row>
    <row r="19" spans="1:3" x14ac:dyDescent="0.25">
      <c r="A19" t="s">
        <v>59</v>
      </c>
      <c r="B19" s="5">
        <v>10</v>
      </c>
      <c r="C19" t="s">
        <v>60</v>
      </c>
    </row>
    <row r="21" spans="1:3" x14ac:dyDescent="0.25">
      <c r="A21" t="s">
        <v>61</v>
      </c>
      <c r="B21">
        <f>COUNTIF('LIVE SOURCE'!$A$3:$A$225,"QB")+COUNTIF('LIVE SOURCE'!$A$3:$A$225,"RB")+COUNTIF('LIVE SOURCE'!$A$3:$A$225,"WR")+COUNTIF('LIVE SOURCE'!$A$3:$A$225,"TE")</f>
        <v>179</v>
      </c>
    </row>
    <row r="22" spans="1:3" x14ac:dyDescent="0.25">
      <c r="A22" t="s">
        <v>62</v>
      </c>
      <c r="B22">
        <f>COUNTIF('LIVE SOURCE'!$A$3:$A$225,"DST")</f>
        <v>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75B6"/>
  </sheetPr>
  <dimension ref="A1:J225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6" customWidth="1"/>
    <col min="2" max="2" width="22" customWidth="1"/>
    <col min="3" max="3" width="11" customWidth="1"/>
    <col min="4" max="7" width="9" customWidth="1"/>
    <col min="8" max="8" width="55" customWidth="1"/>
    <col min="9" max="9" width="12" customWidth="1"/>
    <col min="10" max="10" width="30" customWidth="1"/>
  </cols>
  <sheetData>
    <row r="1" spans="1:10" ht="18.75" x14ac:dyDescent="0.3">
      <c r="A1" s="1" t="s">
        <v>63</v>
      </c>
    </row>
    <row r="2" spans="1:10" ht="27.95" customHeight="1" x14ac:dyDescent="0.25">
      <c r="A2" s="3" t="s">
        <v>3</v>
      </c>
      <c r="B2" s="3" t="s">
        <v>64</v>
      </c>
      <c r="C2" s="3" t="s">
        <v>65</v>
      </c>
      <c r="D2" s="3" t="s">
        <v>66</v>
      </c>
      <c r="E2" s="3" t="s">
        <v>67</v>
      </c>
      <c r="F2" s="3" t="s">
        <v>68</v>
      </c>
      <c r="G2" s="3" t="s">
        <v>69</v>
      </c>
      <c r="H2" s="3" t="s">
        <v>70</v>
      </c>
      <c r="I2" s="3" t="s">
        <v>71</v>
      </c>
      <c r="J2" s="3" t="s">
        <v>72</v>
      </c>
    </row>
    <row r="3" spans="1:10" x14ac:dyDescent="0.25">
      <c r="A3" t="str">
        <f>'LIVE SOURCE'!A3</f>
        <v>QB</v>
      </c>
      <c r="B3" t="str">
        <f>'LIVE SOURCE'!B3</f>
        <v>Josh Allen</v>
      </c>
      <c r="C3" s="4">
        <f>'LIVE SOURCE'!D3</f>
        <v>97.309899999999999</v>
      </c>
      <c r="D3" s="5"/>
      <c r="E3" s="5"/>
      <c r="F3" s="5"/>
      <c r="G3">
        <f t="shared" ref="G3:G66" si="0">SUM(D3:F3)</f>
        <v>0</v>
      </c>
      <c r="H3" s="5"/>
      <c r="I3" s="5" t="s">
        <v>73</v>
      </c>
      <c r="J3" s="5"/>
    </row>
    <row r="4" spans="1:10" x14ac:dyDescent="0.25">
      <c r="A4" t="str">
        <f>'LIVE SOURCE'!A4</f>
        <v>QB</v>
      </c>
      <c r="B4" t="str">
        <f>'LIVE SOURCE'!B4</f>
        <v>Caleb Williams</v>
      </c>
      <c r="C4" s="4">
        <f>'LIVE SOURCE'!D4</f>
        <v>92.192700000000002</v>
      </c>
      <c r="D4" s="5"/>
      <c r="E4" s="5"/>
      <c r="F4" s="5"/>
      <c r="G4">
        <f t="shared" si="0"/>
        <v>0</v>
      </c>
      <c r="H4" s="5"/>
      <c r="I4" s="5" t="s">
        <v>73</v>
      </c>
      <c r="J4" s="5"/>
    </row>
    <row r="5" spans="1:10" x14ac:dyDescent="0.25">
      <c r="A5" t="str">
        <f>'LIVE SOURCE'!A5</f>
        <v>QB</v>
      </c>
      <c r="B5" t="str">
        <f>'LIVE SOURCE'!B5</f>
        <v>Drake Maye</v>
      </c>
      <c r="C5" s="4">
        <f>'LIVE SOURCE'!D5</f>
        <v>91.043000000000006</v>
      </c>
      <c r="D5" s="5"/>
      <c r="E5" s="5"/>
      <c r="F5" s="5"/>
      <c r="G5">
        <f t="shared" si="0"/>
        <v>0</v>
      </c>
      <c r="H5" s="5"/>
      <c r="I5" s="5" t="s">
        <v>73</v>
      </c>
      <c r="J5" s="5"/>
    </row>
    <row r="6" spans="1:10" x14ac:dyDescent="0.25">
      <c r="A6" t="str">
        <f>'LIVE SOURCE'!A6</f>
        <v>QB</v>
      </c>
      <c r="B6" t="str">
        <f>'LIVE SOURCE'!B6</f>
        <v>Justin Herbert</v>
      </c>
      <c r="C6" s="4">
        <f>'LIVE SOURCE'!D6</f>
        <v>90.116900000000001</v>
      </c>
      <c r="D6" s="5"/>
      <c r="E6" s="5"/>
      <c r="F6" s="5"/>
      <c r="G6">
        <f t="shared" si="0"/>
        <v>0</v>
      </c>
      <c r="H6" s="5"/>
      <c r="I6" s="5" t="s">
        <v>73</v>
      </c>
      <c r="J6" s="5"/>
    </row>
    <row r="7" spans="1:10" x14ac:dyDescent="0.25">
      <c r="A7" t="str">
        <f>'LIVE SOURCE'!A7</f>
        <v>QB</v>
      </c>
      <c r="B7" t="str">
        <f>'LIVE SOURCE'!B7</f>
        <v>Lamar Jackson</v>
      </c>
      <c r="C7" s="4">
        <f>'LIVE SOURCE'!D7</f>
        <v>88.711200000000005</v>
      </c>
      <c r="D7" s="5"/>
      <c r="E7" s="5"/>
      <c r="F7" s="5"/>
      <c r="G7">
        <f t="shared" si="0"/>
        <v>0</v>
      </c>
      <c r="H7" s="5"/>
      <c r="I7" s="5" t="s">
        <v>73</v>
      </c>
      <c r="J7" s="5"/>
    </row>
    <row r="8" spans="1:10" x14ac:dyDescent="0.25">
      <c r="A8" t="str">
        <f>'LIVE SOURCE'!A8</f>
        <v>QB</v>
      </c>
      <c r="B8" t="str">
        <f>'LIVE SOURCE'!B8</f>
        <v>Jalen Hurts</v>
      </c>
      <c r="C8" s="4">
        <f>'LIVE SOURCE'!D8</f>
        <v>88.4499</v>
      </c>
      <c r="D8" s="5"/>
      <c r="E8" s="5"/>
      <c r="F8" s="5"/>
      <c r="G8">
        <f t="shared" si="0"/>
        <v>0</v>
      </c>
      <c r="H8" s="5"/>
      <c r="I8" s="5" t="s">
        <v>73</v>
      </c>
      <c r="J8" s="5"/>
    </row>
    <row r="9" spans="1:10" x14ac:dyDescent="0.25">
      <c r="A9" t="str">
        <f>'LIVE SOURCE'!A9</f>
        <v>QB</v>
      </c>
      <c r="B9" t="str">
        <f>'LIVE SOURCE'!B9</f>
        <v>Patrick Mahomes II</v>
      </c>
      <c r="C9" s="4">
        <f>'LIVE SOURCE'!D9</f>
        <v>87.006299999999996</v>
      </c>
      <c r="D9" s="5"/>
      <c r="E9" s="5"/>
      <c r="F9" s="5"/>
      <c r="G9">
        <f t="shared" si="0"/>
        <v>0</v>
      </c>
      <c r="H9" s="5"/>
      <c r="I9" s="5" t="s">
        <v>73</v>
      </c>
      <c r="J9" s="5"/>
    </row>
    <row r="10" spans="1:10" x14ac:dyDescent="0.25">
      <c r="A10" t="str">
        <f>'LIVE SOURCE'!A10</f>
        <v>QB</v>
      </c>
      <c r="B10" t="str">
        <f>'LIVE SOURCE'!B10</f>
        <v>Jayden Daniels</v>
      </c>
      <c r="C10" s="4">
        <f>'LIVE SOURCE'!D10</f>
        <v>86.700299999999999</v>
      </c>
      <c r="D10" s="5"/>
      <c r="E10" s="5"/>
      <c r="F10" s="5"/>
      <c r="G10">
        <f t="shared" si="0"/>
        <v>0</v>
      </c>
      <c r="H10" s="5"/>
      <c r="I10" s="5" t="s">
        <v>73</v>
      </c>
      <c r="J10" s="5"/>
    </row>
    <row r="11" spans="1:10" x14ac:dyDescent="0.25">
      <c r="A11" t="str">
        <f>'LIVE SOURCE'!A11</f>
        <v>QB</v>
      </c>
      <c r="B11" t="str">
        <f>'LIVE SOURCE'!B11</f>
        <v>Joe Burrow</v>
      </c>
      <c r="C11" s="4">
        <f>'LIVE SOURCE'!D11</f>
        <v>85.591300000000004</v>
      </c>
      <c r="D11" s="5"/>
      <c r="E11" s="5"/>
      <c r="F11" s="5"/>
      <c r="G11">
        <f t="shared" si="0"/>
        <v>0</v>
      </c>
      <c r="H11" s="5"/>
      <c r="I11" s="5" t="s">
        <v>73</v>
      </c>
      <c r="J11" s="5"/>
    </row>
    <row r="12" spans="1:10" x14ac:dyDescent="0.25">
      <c r="A12" t="str">
        <f>'LIVE SOURCE'!A12</f>
        <v>QB</v>
      </c>
      <c r="B12" t="str">
        <f>'LIVE SOURCE'!B12</f>
        <v>Matthew Stafford</v>
      </c>
      <c r="C12" s="4">
        <f>'LIVE SOURCE'!D12</f>
        <v>85.419700000000006</v>
      </c>
      <c r="D12" s="5"/>
      <c r="E12" s="5"/>
      <c r="F12" s="5"/>
      <c r="G12">
        <f t="shared" si="0"/>
        <v>0</v>
      </c>
      <c r="H12" s="5"/>
      <c r="I12" s="5" t="s">
        <v>73</v>
      </c>
      <c r="J12" s="5"/>
    </row>
    <row r="13" spans="1:10" x14ac:dyDescent="0.25">
      <c r="A13" t="str">
        <f>'LIVE SOURCE'!A13</f>
        <v>QB</v>
      </c>
      <c r="B13" t="str">
        <f>'LIVE SOURCE'!B13</f>
        <v>Bo Nix</v>
      </c>
      <c r="C13" s="4">
        <f>'LIVE SOURCE'!D13</f>
        <v>85.248500000000007</v>
      </c>
      <c r="D13" s="5"/>
      <c r="E13" s="5"/>
      <c r="F13" s="5"/>
      <c r="G13">
        <f t="shared" si="0"/>
        <v>0</v>
      </c>
      <c r="H13" s="5"/>
      <c r="I13" s="5" t="s">
        <v>73</v>
      </c>
      <c r="J13" s="5"/>
    </row>
    <row r="14" spans="1:10" x14ac:dyDescent="0.25">
      <c r="A14" t="str">
        <f>'LIVE SOURCE'!A14</f>
        <v>QB</v>
      </c>
      <c r="B14" t="str">
        <f>'LIVE SOURCE'!B14</f>
        <v>Dak Prescott</v>
      </c>
      <c r="C14" s="4">
        <f>'LIVE SOURCE'!D14</f>
        <v>85.115600000000001</v>
      </c>
      <c r="D14" s="5"/>
      <c r="E14" s="5"/>
      <c r="F14" s="5"/>
      <c r="G14">
        <f t="shared" si="0"/>
        <v>0</v>
      </c>
      <c r="H14" s="5"/>
      <c r="I14" s="5" t="s">
        <v>73</v>
      </c>
      <c r="J14" s="5"/>
    </row>
    <row r="15" spans="1:10" x14ac:dyDescent="0.25">
      <c r="A15" t="str">
        <f>'LIVE SOURCE'!A15</f>
        <v>QB</v>
      </c>
      <c r="B15" t="str">
        <f>'LIVE SOURCE'!B15</f>
        <v>Trevor Lawrence</v>
      </c>
      <c r="C15" s="4">
        <f>'LIVE SOURCE'!D15</f>
        <v>84.692099999999996</v>
      </c>
      <c r="D15" s="5"/>
      <c r="E15" s="5"/>
      <c r="F15" s="5"/>
      <c r="G15">
        <f t="shared" si="0"/>
        <v>0</v>
      </c>
      <c r="H15" s="5"/>
      <c r="I15" s="5" t="s">
        <v>73</v>
      </c>
      <c r="J15" s="5"/>
    </row>
    <row r="16" spans="1:10" x14ac:dyDescent="0.25">
      <c r="A16" t="str">
        <f>'LIVE SOURCE'!A16</f>
        <v>QB</v>
      </c>
      <c r="B16" t="str">
        <f>'LIVE SOURCE'!B16</f>
        <v>Brock Purdy</v>
      </c>
      <c r="C16" s="4">
        <f>'LIVE SOURCE'!D16</f>
        <v>83.8386</v>
      </c>
      <c r="D16" s="5"/>
      <c r="E16" s="5"/>
      <c r="F16" s="5"/>
      <c r="G16">
        <f t="shared" si="0"/>
        <v>0</v>
      </c>
      <c r="H16" s="5"/>
      <c r="I16" s="5" t="s">
        <v>73</v>
      </c>
      <c r="J16" s="5"/>
    </row>
    <row r="17" spans="1:10" x14ac:dyDescent="0.25">
      <c r="A17" t="str">
        <f>'LIVE SOURCE'!A17</f>
        <v>QB</v>
      </c>
      <c r="B17" t="str">
        <f>'LIVE SOURCE'!B17</f>
        <v>Jaxson Dart</v>
      </c>
      <c r="C17" s="4">
        <f>'LIVE SOURCE'!D17</f>
        <v>83.060699999999997</v>
      </c>
      <c r="D17" s="5"/>
      <c r="E17" s="5"/>
      <c r="F17" s="5"/>
      <c r="G17">
        <f t="shared" si="0"/>
        <v>0</v>
      </c>
      <c r="H17" s="5"/>
      <c r="I17" s="5" t="s">
        <v>73</v>
      </c>
      <c r="J17" s="5"/>
    </row>
    <row r="18" spans="1:10" x14ac:dyDescent="0.25">
      <c r="A18" t="str">
        <f>'LIVE SOURCE'!A18</f>
        <v>QB</v>
      </c>
      <c r="B18" t="str">
        <f>'LIVE SOURCE'!B18</f>
        <v>Jared Goff</v>
      </c>
      <c r="C18" s="4">
        <f>'LIVE SOURCE'!D18</f>
        <v>82.642499999999998</v>
      </c>
      <c r="D18" s="5"/>
      <c r="E18" s="5"/>
      <c r="F18" s="5"/>
      <c r="G18">
        <f t="shared" si="0"/>
        <v>0</v>
      </c>
      <c r="H18" s="5"/>
      <c r="I18" s="5" t="s">
        <v>73</v>
      </c>
      <c r="J18" s="5"/>
    </row>
    <row r="19" spans="1:10" x14ac:dyDescent="0.25">
      <c r="A19" t="str">
        <f>'LIVE SOURCE'!A19</f>
        <v>QB</v>
      </c>
      <c r="B19" t="str">
        <f>'LIVE SOURCE'!B19</f>
        <v>Kyler Murray</v>
      </c>
      <c r="C19" s="4">
        <f>'LIVE SOURCE'!D19</f>
        <v>80.710099999999997</v>
      </c>
      <c r="D19" s="5"/>
      <c r="E19" s="5"/>
      <c r="F19" s="5"/>
      <c r="G19">
        <f t="shared" si="0"/>
        <v>0</v>
      </c>
      <c r="H19" s="5"/>
      <c r="I19" s="5" t="s">
        <v>73</v>
      </c>
      <c r="J19" s="5"/>
    </row>
    <row r="20" spans="1:10" x14ac:dyDescent="0.25">
      <c r="A20" t="str">
        <f>'LIVE SOURCE'!A20</f>
        <v>QB</v>
      </c>
      <c r="B20" t="str">
        <f>'LIVE SOURCE'!B20</f>
        <v>Jordan Love</v>
      </c>
      <c r="C20" s="4">
        <f>'LIVE SOURCE'!D20</f>
        <v>80.040800000000004</v>
      </c>
      <c r="D20" s="5"/>
      <c r="E20" s="5"/>
      <c r="F20" s="5"/>
      <c r="G20">
        <f t="shared" si="0"/>
        <v>0</v>
      </c>
      <c r="H20" s="5"/>
      <c r="I20" s="5" t="s">
        <v>73</v>
      </c>
      <c r="J20" s="5"/>
    </row>
    <row r="21" spans="1:10" x14ac:dyDescent="0.25">
      <c r="A21" t="str">
        <f>'LIVE SOURCE'!A21</f>
        <v>QB</v>
      </c>
      <c r="B21" t="str">
        <f>'LIVE SOURCE'!B21</f>
        <v>Baker Mayfield</v>
      </c>
      <c r="C21" s="4">
        <f>'LIVE SOURCE'!D21</f>
        <v>79.825999999999993</v>
      </c>
      <c r="D21" s="5"/>
      <c r="E21" s="5"/>
      <c r="F21" s="5"/>
      <c r="G21">
        <f t="shared" si="0"/>
        <v>0</v>
      </c>
      <c r="H21" s="5"/>
      <c r="I21" s="5" t="s">
        <v>73</v>
      </c>
      <c r="J21" s="5"/>
    </row>
    <row r="22" spans="1:10" x14ac:dyDescent="0.25">
      <c r="A22" t="str">
        <f>'LIVE SOURCE'!A22</f>
        <v>QB</v>
      </c>
      <c r="B22" t="str">
        <f>'LIVE SOURCE'!B22</f>
        <v>Tyler Shough</v>
      </c>
      <c r="C22" s="4">
        <f>'LIVE SOURCE'!D22</f>
        <v>77.365600000000001</v>
      </c>
      <c r="D22" s="5"/>
      <c r="E22" s="5"/>
      <c r="F22" s="5"/>
      <c r="G22">
        <f t="shared" si="0"/>
        <v>0</v>
      </c>
      <c r="H22" s="5"/>
      <c r="I22" s="5" t="s">
        <v>73</v>
      </c>
      <c r="J22" s="5"/>
    </row>
    <row r="23" spans="1:10" x14ac:dyDescent="0.25">
      <c r="A23" t="str">
        <f>'LIVE SOURCE'!A23</f>
        <v>QB</v>
      </c>
      <c r="B23" t="str">
        <f>'LIVE SOURCE'!B23</f>
        <v>C.J. Stroud</v>
      </c>
      <c r="C23" s="4">
        <f>'LIVE SOURCE'!D23</f>
        <v>75.762100000000004</v>
      </c>
      <c r="D23" s="5"/>
      <c r="E23" s="5"/>
      <c r="F23" s="5"/>
      <c r="G23">
        <f t="shared" si="0"/>
        <v>0</v>
      </c>
      <c r="H23" s="5"/>
      <c r="I23" s="5" t="s">
        <v>73</v>
      </c>
      <c r="J23" s="5"/>
    </row>
    <row r="24" spans="1:10" x14ac:dyDescent="0.25">
      <c r="A24" t="str">
        <f>'LIVE SOURCE'!A24</f>
        <v>QB</v>
      </c>
      <c r="B24" t="str">
        <f>'LIVE SOURCE'!B24</f>
        <v>Sam Darnold</v>
      </c>
      <c r="C24" s="4">
        <f>'LIVE SOURCE'!D24</f>
        <v>75.554199999999994</v>
      </c>
      <c r="D24" s="5"/>
      <c r="E24" s="5"/>
      <c r="F24" s="5"/>
      <c r="G24">
        <f t="shared" si="0"/>
        <v>0</v>
      </c>
      <c r="H24" s="5"/>
      <c r="I24" s="5" t="s">
        <v>73</v>
      </c>
      <c r="J24" s="5"/>
    </row>
    <row r="25" spans="1:10" x14ac:dyDescent="0.25">
      <c r="A25" t="str">
        <f>'LIVE SOURCE'!A25</f>
        <v>QB</v>
      </c>
      <c r="B25" t="str">
        <f>'LIVE SOURCE'!B25</f>
        <v>Daniel Jones</v>
      </c>
      <c r="C25" s="4">
        <f>'LIVE SOURCE'!D25</f>
        <v>74.790400000000005</v>
      </c>
      <c r="D25" s="5"/>
      <c r="E25" s="5"/>
      <c r="F25" s="5"/>
      <c r="G25">
        <f t="shared" si="0"/>
        <v>0</v>
      </c>
      <c r="H25" s="5"/>
      <c r="I25" s="5" t="s">
        <v>73</v>
      </c>
      <c r="J25" s="5"/>
    </row>
    <row r="26" spans="1:10" x14ac:dyDescent="0.25">
      <c r="A26" t="str">
        <f>'LIVE SOURCE'!A26</f>
        <v>QB</v>
      </c>
      <c r="B26" t="str">
        <f>'LIVE SOURCE'!B26</f>
        <v>Malik Willis</v>
      </c>
      <c r="C26" s="4">
        <f>'LIVE SOURCE'!D26</f>
        <v>74.240300000000005</v>
      </c>
      <c r="D26" s="5"/>
      <c r="E26" s="5"/>
      <c r="F26" s="5"/>
      <c r="G26">
        <f t="shared" si="0"/>
        <v>0</v>
      </c>
      <c r="H26" s="5"/>
      <c r="I26" s="5" t="s">
        <v>73</v>
      </c>
      <c r="J26" s="5"/>
    </row>
    <row r="27" spans="1:10" x14ac:dyDescent="0.25">
      <c r="A27" t="str">
        <f>'LIVE SOURCE'!A27</f>
        <v>QB</v>
      </c>
      <c r="B27" t="str">
        <f>'LIVE SOURCE'!B27</f>
        <v>Bryce Young</v>
      </c>
      <c r="C27" s="4">
        <f>'LIVE SOURCE'!D27</f>
        <v>72.797600000000003</v>
      </c>
      <c r="D27" s="5"/>
      <c r="E27" s="5"/>
      <c r="F27" s="5"/>
      <c r="G27">
        <f t="shared" si="0"/>
        <v>0</v>
      </c>
      <c r="H27" s="5"/>
      <c r="I27" s="5" t="s">
        <v>73</v>
      </c>
      <c r="J27" s="5"/>
    </row>
    <row r="28" spans="1:10" x14ac:dyDescent="0.25">
      <c r="A28" t="str">
        <f>'LIVE SOURCE'!A28</f>
        <v>QB</v>
      </c>
      <c r="B28" t="str">
        <f>'LIVE SOURCE'!B28</f>
        <v>Cam Ward</v>
      </c>
      <c r="C28" s="4">
        <f>'LIVE SOURCE'!D28</f>
        <v>72.664599999999993</v>
      </c>
      <c r="D28" s="5"/>
      <c r="E28" s="5"/>
      <c r="F28" s="5"/>
      <c r="G28">
        <f t="shared" si="0"/>
        <v>0</v>
      </c>
      <c r="H28" s="5"/>
      <c r="I28" s="5" t="s">
        <v>73</v>
      </c>
      <c r="J28" s="5"/>
    </row>
    <row r="29" spans="1:10" x14ac:dyDescent="0.25">
      <c r="A29" t="str">
        <f>'LIVE SOURCE'!A29</f>
        <v>QB</v>
      </c>
      <c r="B29" t="str">
        <f>'LIVE SOURCE'!B29</f>
        <v>Jacoby Brissett</v>
      </c>
      <c r="C29" s="4">
        <f>'LIVE SOURCE'!D29</f>
        <v>71.333399999999997</v>
      </c>
      <c r="D29" s="5"/>
      <c r="E29" s="5"/>
      <c r="F29" s="5"/>
      <c r="G29">
        <f t="shared" si="0"/>
        <v>0</v>
      </c>
      <c r="H29" s="5"/>
      <c r="I29" s="5" t="s">
        <v>73</v>
      </c>
      <c r="J29" s="5"/>
    </row>
    <row r="30" spans="1:10" x14ac:dyDescent="0.25">
      <c r="A30" t="str">
        <f>'LIVE SOURCE'!A30</f>
        <v>QB</v>
      </c>
      <c r="B30" t="str">
        <f>'LIVE SOURCE'!B30</f>
        <v>Geno Smith</v>
      </c>
      <c r="C30" s="4">
        <f>'LIVE SOURCE'!D30</f>
        <v>71.098600000000005</v>
      </c>
      <c r="D30" s="5"/>
      <c r="E30" s="5"/>
      <c r="F30" s="5"/>
      <c r="G30">
        <f t="shared" si="0"/>
        <v>0</v>
      </c>
      <c r="H30" s="5"/>
      <c r="I30" s="5" t="s">
        <v>73</v>
      </c>
      <c r="J30" s="5"/>
    </row>
    <row r="31" spans="1:10" x14ac:dyDescent="0.25">
      <c r="A31" t="str">
        <f>'LIVE SOURCE'!A31</f>
        <v>QB</v>
      </c>
      <c r="B31" t="str">
        <f>'LIVE SOURCE'!B31</f>
        <v>Aaron Rodgers</v>
      </c>
      <c r="C31" s="4">
        <f>'LIVE SOURCE'!D31</f>
        <v>70.884799999999998</v>
      </c>
      <c r="D31" s="5"/>
      <c r="E31" s="5"/>
      <c r="F31" s="5"/>
      <c r="G31">
        <f t="shared" si="0"/>
        <v>0</v>
      </c>
      <c r="H31" s="5"/>
      <c r="I31" s="5" t="s">
        <v>73</v>
      </c>
      <c r="J31" s="5"/>
    </row>
    <row r="32" spans="1:10" x14ac:dyDescent="0.25">
      <c r="A32" t="str">
        <f>'LIVE SOURCE'!A32</f>
        <v>QB</v>
      </c>
      <c r="B32" t="str">
        <f>'LIVE SOURCE'!B32</f>
        <v>Tua Tagovailoa</v>
      </c>
      <c r="C32" s="4">
        <f>'LIVE SOURCE'!D32</f>
        <v>67.851200000000006</v>
      </c>
      <c r="D32" s="5"/>
      <c r="E32" s="5"/>
      <c r="F32" s="5"/>
      <c r="G32">
        <f t="shared" si="0"/>
        <v>0</v>
      </c>
      <c r="H32" s="5"/>
      <c r="I32" s="5" t="s">
        <v>73</v>
      </c>
      <c r="J32" s="5"/>
    </row>
    <row r="33" spans="1:10" x14ac:dyDescent="0.25">
      <c r="A33" t="str">
        <f>'LIVE SOURCE'!A33</f>
        <v>QB</v>
      </c>
      <c r="B33" t="str">
        <f>'LIVE SOURCE'!B33</f>
        <v>Kirk Cousins</v>
      </c>
      <c r="C33" s="4">
        <f>'LIVE SOURCE'!D33</f>
        <v>65.792900000000003</v>
      </c>
      <c r="D33" s="5"/>
      <c r="E33" s="5"/>
      <c r="F33" s="5"/>
      <c r="G33">
        <f t="shared" si="0"/>
        <v>0</v>
      </c>
      <c r="H33" s="5"/>
      <c r="I33" s="5" t="s">
        <v>73</v>
      </c>
      <c r="J33" s="5"/>
    </row>
    <row r="34" spans="1:10" x14ac:dyDescent="0.25">
      <c r="A34" t="str">
        <f>'LIVE SOURCE'!A34</f>
        <v>QB</v>
      </c>
      <c r="B34" t="str">
        <f>'LIVE SOURCE'!B34</f>
        <v>Deshaun Watson</v>
      </c>
      <c r="C34" s="4">
        <f>'LIVE SOURCE'!D34</f>
        <v>60.25</v>
      </c>
      <c r="D34" s="5"/>
      <c r="E34" s="5"/>
      <c r="F34" s="5"/>
      <c r="G34">
        <f t="shared" si="0"/>
        <v>0</v>
      </c>
      <c r="H34" s="5"/>
      <c r="I34" s="5" t="s">
        <v>73</v>
      </c>
      <c r="J34" s="5"/>
    </row>
    <row r="35" spans="1:10" x14ac:dyDescent="0.25">
      <c r="A35" t="str">
        <f>'LIVE SOURCE'!A35</f>
        <v>RB</v>
      </c>
      <c r="B35" t="str">
        <f>'LIVE SOURCE'!B35</f>
        <v>Bijan Robinson</v>
      </c>
      <c r="C35" s="4">
        <f>'LIVE SOURCE'!D35</f>
        <v>97.3673</v>
      </c>
      <c r="D35" s="5"/>
      <c r="E35" s="5"/>
      <c r="F35" s="5"/>
      <c r="G35">
        <f t="shared" si="0"/>
        <v>0</v>
      </c>
      <c r="H35" s="5"/>
      <c r="I35" s="5" t="s">
        <v>73</v>
      </c>
      <c r="J35" s="5"/>
    </row>
    <row r="36" spans="1:10" x14ac:dyDescent="0.25">
      <c r="A36" t="str">
        <f>'LIVE SOURCE'!A36</f>
        <v>RB</v>
      </c>
      <c r="B36" t="str">
        <f>'LIVE SOURCE'!B36</f>
        <v>Jahmyr Gibbs</v>
      </c>
      <c r="C36" s="4">
        <f>'LIVE SOURCE'!D36</f>
        <v>96.332300000000004</v>
      </c>
      <c r="D36" s="5"/>
      <c r="E36" s="5"/>
      <c r="F36" s="5"/>
      <c r="G36">
        <f t="shared" si="0"/>
        <v>0</v>
      </c>
      <c r="H36" s="5"/>
      <c r="I36" s="5" t="s">
        <v>73</v>
      </c>
      <c r="J36" s="5"/>
    </row>
    <row r="37" spans="1:10" x14ac:dyDescent="0.25">
      <c r="A37" t="str">
        <f>'LIVE SOURCE'!A37</f>
        <v>RB</v>
      </c>
      <c r="B37" t="str">
        <f>'LIVE SOURCE'!B37</f>
        <v>Christian McCaffrey</v>
      </c>
      <c r="C37" s="4">
        <f>'LIVE SOURCE'!D37</f>
        <v>94.244699999999995</v>
      </c>
      <c r="D37" s="5"/>
      <c r="E37" s="5"/>
      <c r="F37" s="5"/>
      <c r="G37">
        <f t="shared" si="0"/>
        <v>0</v>
      </c>
      <c r="H37" s="5"/>
      <c r="I37" s="5" t="s">
        <v>73</v>
      </c>
      <c r="J37" s="5"/>
    </row>
    <row r="38" spans="1:10" x14ac:dyDescent="0.25">
      <c r="A38" t="str">
        <f>'LIVE SOURCE'!A38</f>
        <v>RB</v>
      </c>
      <c r="B38" t="str">
        <f>'LIVE SOURCE'!B38</f>
        <v>Jonathan Taylor</v>
      </c>
      <c r="C38" s="4">
        <f>'LIVE SOURCE'!D38</f>
        <v>92.147000000000006</v>
      </c>
      <c r="D38" s="5"/>
      <c r="E38" s="5"/>
      <c r="F38" s="5"/>
      <c r="G38">
        <f t="shared" si="0"/>
        <v>0</v>
      </c>
      <c r="H38" s="5"/>
      <c r="I38" s="5" t="s">
        <v>73</v>
      </c>
      <c r="J38" s="5"/>
    </row>
    <row r="39" spans="1:10" x14ac:dyDescent="0.25">
      <c r="A39" t="str">
        <f>'LIVE SOURCE'!A39</f>
        <v>RB</v>
      </c>
      <c r="B39" t="str">
        <f>'LIVE SOURCE'!B39</f>
        <v>Jeremiyah Love</v>
      </c>
      <c r="C39" s="4">
        <f>'LIVE SOURCE'!D39</f>
        <v>90.865899999999996</v>
      </c>
      <c r="D39" s="5"/>
      <c r="E39" s="5"/>
      <c r="F39" s="5"/>
      <c r="G39">
        <f t="shared" si="0"/>
        <v>0</v>
      </c>
      <c r="H39" s="5"/>
      <c r="I39" s="5" t="s">
        <v>73</v>
      </c>
      <c r="J39" s="5"/>
    </row>
    <row r="40" spans="1:10" x14ac:dyDescent="0.25">
      <c r="A40" t="str">
        <f>'LIVE SOURCE'!A40</f>
        <v>RB</v>
      </c>
      <c r="B40" t="str">
        <f>'LIVE SOURCE'!B40</f>
        <v>Omarion Hampton</v>
      </c>
      <c r="C40" s="4">
        <f>'LIVE SOURCE'!D40</f>
        <v>88.642099999999999</v>
      </c>
      <c r="D40" s="5"/>
      <c r="E40" s="5"/>
      <c r="F40" s="5"/>
      <c r="G40">
        <f t="shared" si="0"/>
        <v>0</v>
      </c>
      <c r="H40" s="5"/>
      <c r="I40" s="5" t="s">
        <v>73</v>
      </c>
      <c r="J40" s="5"/>
    </row>
    <row r="41" spans="1:10" x14ac:dyDescent="0.25">
      <c r="A41" t="str">
        <f>'LIVE SOURCE'!A41</f>
        <v>RB</v>
      </c>
      <c r="B41" t="str">
        <f>'LIVE SOURCE'!B41</f>
        <v>De'Von Achane</v>
      </c>
      <c r="C41" s="4">
        <f>'LIVE SOURCE'!D41</f>
        <v>87.944000000000003</v>
      </c>
      <c r="D41" s="5"/>
      <c r="E41" s="5"/>
      <c r="F41" s="5"/>
      <c r="G41">
        <f t="shared" si="0"/>
        <v>0</v>
      </c>
      <c r="H41" s="5"/>
      <c r="I41" s="5" t="s">
        <v>73</v>
      </c>
      <c r="J41" s="5"/>
    </row>
    <row r="42" spans="1:10" x14ac:dyDescent="0.25">
      <c r="A42" t="str">
        <f>'LIVE SOURCE'!A42</f>
        <v>RB</v>
      </c>
      <c r="B42" t="str">
        <f>'LIVE SOURCE'!B42</f>
        <v>Kenneth Walker III</v>
      </c>
      <c r="C42" s="4">
        <f>'LIVE SOURCE'!D42</f>
        <v>87.292599999999993</v>
      </c>
      <c r="D42" s="5"/>
      <c r="E42" s="5"/>
      <c r="F42" s="5"/>
      <c r="G42">
        <f t="shared" si="0"/>
        <v>0</v>
      </c>
      <c r="H42" s="5"/>
      <c r="I42" s="5" t="s">
        <v>73</v>
      </c>
      <c r="J42" s="5"/>
    </row>
    <row r="43" spans="1:10" x14ac:dyDescent="0.25">
      <c r="A43" t="str">
        <f>'LIVE SOURCE'!A43</f>
        <v>RB</v>
      </c>
      <c r="B43" t="str">
        <f>'LIVE SOURCE'!B43</f>
        <v>James Cook III</v>
      </c>
      <c r="C43" s="4">
        <f>'LIVE SOURCE'!D43</f>
        <v>87.058000000000007</v>
      </c>
      <c r="D43" s="5"/>
      <c r="E43" s="5"/>
      <c r="F43" s="5"/>
      <c r="G43">
        <f t="shared" si="0"/>
        <v>0</v>
      </c>
      <c r="H43" s="5"/>
      <c r="I43" s="5" t="s">
        <v>73</v>
      </c>
      <c r="J43" s="5"/>
    </row>
    <row r="44" spans="1:10" x14ac:dyDescent="0.25">
      <c r="A44" t="str">
        <f>'LIVE SOURCE'!A44</f>
        <v>RB</v>
      </c>
      <c r="B44" t="str">
        <f>'LIVE SOURCE'!B44</f>
        <v>Kyren Williams</v>
      </c>
      <c r="C44" s="4">
        <f>'LIVE SOURCE'!D44</f>
        <v>85.948599999999999</v>
      </c>
      <c r="D44" s="5"/>
      <c r="E44" s="5"/>
      <c r="F44" s="5"/>
      <c r="G44">
        <f t="shared" si="0"/>
        <v>0</v>
      </c>
      <c r="H44" s="5"/>
      <c r="I44" s="5" t="s">
        <v>73</v>
      </c>
      <c r="J44" s="5"/>
    </row>
    <row r="45" spans="1:10" x14ac:dyDescent="0.25">
      <c r="A45" t="str">
        <f>'LIVE SOURCE'!A45</f>
        <v>RB</v>
      </c>
      <c r="B45" t="str">
        <f>'LIVE SOURCE'!B45</f>
        <v>Breece Hall</v>
      </c>
      <c r="C45" s="4">
        <f>'LIVE SOURCE'!D45</f>
        <v>85.895200000000003</v>
      </c>
      <c r="D45" s="5"/>
      <c r="E45" s="5"/>
      <c r="F45" s="5"/>
      <c r="G45">
        <f t="shared" si="0"/>
        <v>0</v>
      </c>
      <c r="H45" s="5"/>
      <c r="I45" s="5" t="s">
        <v>73</v>
      </c>
      <c r="J45" s="5"/>
    </row>
    <row r="46" spans="1:10" x14ac:dyDescent="0.25">
      <c r="A46" t="str">
        <f>'LIVE SOURCE'!A46</f>
        <v>RB</v>
      </c>
      <c r="B46" t="str">
        <f>'LIVE SOURCE'!B46</f>
        <v>Ashton Jeanty</v>
      </c>
      <c r="C46" s="4">
        <f>'LIVE SOURCE'!D46</f>
        <v>85.843299999999999</v>
      </c>
      <c r="D46" s="5"/>
      <c r="E46" s="5"/>
      <c r="F46" s="5"/>
      <c r="G46">
        <f t="shared" si="0"/>
        <v>0</v>
      </c>
      <c r="H46" s="5"/>
      <c r="I46" s="5" t="s">
        <v>73</v>
      </c>
      <c r="J46" s="5"/>
    </row>
    <row r="47" spans="1:10" x14ac:dyDescent="0.25">
      <c r="A47" t="str">
        <f>'LIVE SOURCE'!A47</f>
        <v>RB</v>
      </c>
      <c r="B47" t="str">
        <f>'LIVE SOURCE'!B47</f>
        <v>Derrick Henry</v>
      </c>
      <c r="C47" s="4">
        <f>'LIVE SOURCE'!D47</f>
        <v>85.667400000000001</v>
      </c>
      <c r="D47" s="5"/>
      <c r="E47" s="5"/>
      <c r="F47" s="5"/>
      <c r="G47">
        <f t="shared" si="0"/>
        <v>0</v>
      </c>
      <c r="H47" s="5"/>
      <c r="I47" s="5" t="s">
        <v>73</v>
      </c>
      <c r="J47" s="5"/>
    </row>
    <row r="48" spans="1:10" x14ac:dyDescent="0.25">
      <c r="A48" t="str">
        <f>'LIVE SOURCE'!A48</f>
        <v>RB</v>
      </c>
      <c r="B48" t="str">
        <f>'LIVE SOURCE'!B48</f>
        <v>Chase Brown</v>
      </c>
      <c r="C48" s="4">
        <f>'LIVE SOURCE'!D48</f>
        <v>85.664400000000001</v>
      </c>
      <c r="D48" s="5"/>
      <c r="E48" s="5"/>
      <c r="F48" s="5"/>
      <c r="G48">
        <f t="shared" si="0"/>
        <v>0</v>
      </c>
      <c r="H48" s="5"/>
      <c r="I48" s="5" t="s">
        <v>73</v>
      </c>
      <c r="J48" s="5"/>
    </row>
    <row r="49" spans="1:10" x14ac:dyDescent="0.25">
      <c r="A49" t="str">
        <f>'LIVE SOURCE'!A49</f>
        <v>RB</v>
      </c>
      <c r="B49" t="str">
        <f>'LIVE SOURCE'!B49</f>
        <v>Josh Jacobs</v>
      </c>
      <c r="C49" s="4">
        <f>'LIVE SOURCE'!D49</f>
        <v>84.426400000000001</v>
      </c>
      <c r="D49" s="5"/>
      <c r="E49" s="5"/>
      <c r="F49" s="5"/>
      <c r="G49">
        <f t="shared" si="0"/>
        <v>0</v>
      </c>
      <c r="H49" s="5"/>
      <c r="I49" s="5" t="s">
        <v>73</v>
      </c>
      <c r="J49" s="5"/>
    </row>
    <row r="50" spans="1:10" x14ac:dyDescent="0.25">
      <c r="A50" t="str">
        <f>'LIVE SOURCE'!A50</f>
        <v>RB</v>
      </c>
      <c r="B50" t="str">
        <f>'LIVE SOURCE'!B50</f>
        <v>Saquon Barkley</v>
      </c>
      <c r="C50" s="4">
        <f>'LIVE SOURCE'!D50</f>
        <v>84.034000000000006</v>
      </c>
      <c r="D50" s="5"/>
      <c r="E50" s="5"/>
      <c r="F50" s="5"/>
      <c r="G50">
        <f t="shared" si="0"/>
        <v>0</v>
      </c>
      <c r="H50" s="5"/>
      <c r="I50" s="5" t="s">
        <v>73</v>
      </c>
      <c r="J50" s="5"/>
    </row>
    <row r="51" spans="1:10" x14ac:dyDescent="0.25">
      <c r="A51" t="str">
        <f>'LIVE SOURCE'!A51</f>
        <v>RB</v>
      </c>
      <c r="B51" t="str">
        <f>'LIVE SOURCE'!B51</f>
        <v>Javonte Williams</v>
      </c>
      <c r="C51" s="4">
        <f>'LIVE SOURCE'!D51</f>
        <v>83.803200000000004</v>
      </c>
      <c r="D51" s="5"/>
      <c r="E51" s="5"/>
      <c r="F51" s="5"/>
      <c r="G51">
        <f t="shared" si="0"/>
        <v>0</v>
      </c>
      <c r="H51" s="5"/>
      <c r="I51" s="5" t="s">
        <v>73</v>
      </c>
      <c r="J51" s="5"/>
    </row>
    <row r="52" spans="1:10" x14ac:dyDescent="0.25">
      <c r="A52" t="str">
        <f>'LIVE SOURCE'!A52</f>
        <v>RB</v>
      </c>
      <c r="B52" t="str">
        <f>'LIVE SOURCE'!B52</f>
        <v>Travis Etienne Jr.</v>
      </c>
      <c r="C52" s="4">
        <f>'LIVE SOURCE'!D52</f>
        <v>83.043599999999998</v>
      </c>
      <c r="D52" s="5"/>
      <c r="E52" s="5"/>
      <c r="F52" s="5"/>
      <c r="G52">
        <f t="shared" si="0"/>
        <v>0</v>
      </c>
      <c r="H52" s="5"/>
      <c r="I52" s="5" t="s">
        <v>73</v>
      </c>
      <c r="J52" s="5"/>
    </row>
    <row r="53" spans="1:10" x14ac:dyDescent="0.25">
      <c r="A53" t="str">
        <f>'LIVE SOURCE'!A53</f>
        <v>RB</v>
      </c>
      <c r="B53" t="str">
        <f>'LIVE SOURCE'!B53</f>
        <v>Cam Skattebo</v>
      </c>
      <c r="C53" s="4">
        <f>'LIVE SOURCE'!D53</f>
        <v>81.888400000000004</v>
      </c>
      <c r="D53" s="5"/>
      <c r="E53" s="5"/>
      <c r="F53" s="5"/>
      <c r="G53">
        <f t="shared" si="0"/>
        <v>0</v>
      </c>
      <c r="H53" s="5"/>
      <c r="I53" s="5" t="s">
        <v>73</v>
      </c>
      <c r="J53" s="5"/>
    </row>
    <row r="54" spans="1:10" x14ac:dyDescent="0.25">
      <c r="A54" t="str">
        <f>'LIVE SOURCE'!A54</f>
        <v>RB</v>
      </c>
      <c r="B54" t="str">
        <f>'LIVE SOURCE'!B54</f>
        <v>D'Andre Swift</v>
      </c>
      <c r="C54" s="4">
        <f>'LIVE SOURCE'!D54</f>
        <v>79.985600000000005</v>
      </c>
      <c r="D54" s="5"/>
      <c r="E54" s="5"/>
      <c r="F54" s="5"/>
      <c r="G54">
        <f t="shared" si="0"/>
        <v>0</v>
      </c>
      <c r="H54" s="5"/>
      <c r="I54" s="5" t="s">
        <v>73</v>
      </c>
      <c r="J54" s="5"/>
    </row>
    <row r="55" spans="1:10" x14ac:dyDescent="0.25">
      <c r="A55" t="str">
        <f>'LIVE SOURCE'!A55</f>
        <v>RB</v>
      </c>
      <c r="B55" t="str">
        <f>'LIVE SOURCE'!B55</f>
        <v>Bucky Irving</v>
      </c>
      <c r="C55" s="4">
        <f>'LIVE SOURCE'!D55</f>
        <v>79.935500000000005</v>
      </c>
      <c r="D55" s="5"/>
      <c r="E55" s="5"/>
      <c r="F55" s="5"/>
      <c r="G55">
        <f t="shared" si="0"/>
        <v>0</v>
      </c>
      <c r="H55" s="5"/>
      <c r="I55" s="5" t="s">
        <v>73</v>
      </c>
      <c r="J55" s="5"/>
    </row>
    <row r="56" spans="1:10" x14ac:dyDescent="0.25">
      <c r="A56" t="str">
        <f>'LIVE SOURCE'!A56</f>
        <v>RB</v>
      </c>
      <c r="B56" t="str">
        <f>'LIVE SOURCE'!B56</f>
        <v>Quinshon Judkins</v>
      </c>
      <c r="C56" s="4">
        <f>'LIVE SOURCE'!D56</f>
        <v>79.930300000000003</v>
      </c>
      <c r="D56" s="5"/>
      <c r="E56" s="5"/>
      <c r="F56" s="5"/>
      <c r="G56">
        <f t="shared" si="0"/>
        <v>0</v>
      </c>
      <c r="H56" s="5"/>
      <c r="I56" s="5" t="s">
        <v>73</v>
      </c>
      <c r="J56" s="5"/>
    </row>
    <row r="57" spans="1:10" x14ac:dyDescent="0.25">
      <c r="A57" t="str">
        <f>'LIVE SOURCE'!A57</f>
        <v>RB</v>
      </c>
      <c r="B57" t="str">
        <f>'LIVE SOURCE'!B57</f>
        <v>David Montgomery</v>
      </c>
      <c r="C57" s="4">
        <f>'LIVE SOURCE'!D57</f>
        <v>77.910200000000003</v>
      </c>
      <c r="D57" s="5"/>
      <c r="E57" s="5"/>
      <c r="F57" s="5"/>
      <c r="G57">
        <f t="shared" si="0"/>
        <v>0</v>
      </c>
      <c r="H57" s="5"/>
      <c r="I57" s="5" t="s">
        <v>73</v>
      </c>
      <c r="J57" s="5"/>
    </row>
    <row r="58" spans="1:10" x14ac:dyDescent="0.25">
      <c r="A58" t="str">
        <f>'LIVE SOURCE'!A58</f>
        <v>RB</v>
      </c>
      <c r="B58" t="str">
        <f>'LIVE SOURCE'!B58</f>
        <v>TreVeyon Henderson</v>
      </c>
      <c r="C58" s="4">
        <f>'LIVE SOURCE'!D58</f>
        <v>77.832499999999996</v>
      </c>
      <c r="D58" s="5"/>
      <c r="E58" s="5"/>
      <c r="F58" s="5"/>
      <c r="G58">
        <f t="shared" si="0"/>
        <v>0</v>
      </c>
      <c r="H58" s="5"/>
      <c r="I58" s="5" t="s">
        <v>73</v>
      </c>
      <c r="J58" s="5"/>
    </row>
    <row r="59" spans="1:10" x14ac:dyDescent="0.25">
      <c r="A59" t="str">
        <f>'LIVE SOURCE'!A59</f>
        <v>RB</v>
      </c>
      <c r="B59" t="str">
        <f>'LIVE SOURCE'!B59</f>
        <v>Jadarian Price</v>
      </c>
      <c r="C59" s="4">
        <f>'LIVE SOURCE'!D59</f>
        <v>76.662199999999999</v>
      </c>
      <c r="D59" s="5"/>
      <c r="E59" s="5"/>
      <c r="F59" s="5"/>
      <c r="G59">
        <f t="shared" si="0"/>
        <v>0</v>
      </c>
      <c r="H59" s="5"/>
      <c r="I59" s="5" t="s">
        <v>73</v>
      </c>
      <c r="J59" s="5"/>
    </row>
    <row r="60" spans="1:10" x14ac:dyDescent="0.25">
      <c r="A60" t="str">
        <f>'LIVE SOURCE'!A60</f>
        <v>RB</v>
      </c>
      <c r="B60" t="str">
        <f>'LIVE SOURCE'!B60</f>
        <v>Jaylen Warren</v>
      </c>
      <c r="C60" s="4">
        <f>'LIVE SOURCE'!D60</f>
        <v>76.091800000000006</v>
      </c>
      <c r="D60" s="5"/>
      <c r="E60" s="5"/>
      <c r="F60" s="5"/>
      <c r="G60">
        <f t="shared" si="0"/>
        <v>0</v>
      </c>
      <c r="H60" s="5"/>
      <c r="I60" s="5" t="s">
        <v>73</v>
      </c>
      <c r="J60" s="5"/>
    </row>
    <row r="61" spans="1:10" x14ac:dyDescent="0.25">
      <c r="A61" t="str">
        <f>'LIVE SOURCE'!A61</f>
        <v>RB</v>
      </c>
      <c r="B61" t="str">
        <f>'LIVE SOURCE'!B61</f>
        <v>Rico Dowdle</v>
      </c>
      <c r="C61" s="4">
        <f>'LIVE SOURCE'!D61</f>
        <v>75.785799999999995</v>
      </c>
      <c r="D61" s="5"/>
      <c r="E61" s="5"/>
      <c r="F61" s="5"/>
      <c r="G61">
        <f t="shared" si="0"/>
        <v>0</v>
      </c>
      <c r="H61" s="5"/>
      <c r="I61" s="5" t="s">
        <v>73</v>
      </c>
      <c r="J61" s="5"/>
    </row>
    <row r="62" spans="1:10" x14ac:dyDescent="0.25">
      <c r="A62" t="str">
        <f>'LIVE SOURCE'!A62</f>
        <v>RB</v>
      </c>
      <c r="B62" t="str">
        <f>'LIVE SOURCE'!B62</f>
        <v>Tony Pollard</v>
      </c>
      <c r="C62" s="4">
        <f>'LIVE SOURCE'!D62</f>
        <v>75.098600000000005</v>
      </c>
      <c r="D62" s="5"/>
      <c r="E62" s="5"/>
      <c r="F62" s="5"/>
      <c r="G62">
        <f t="shared" si="0"/>
        <v>0</v>
      </c>
      <c r="H62" s="5"/>
      <c r="I62" s="5" t="s">
        <v>73</v>
      </c>
      <c r="J62" s="5"/>
    </row>
    <row r="63" spans="1:10" x14ac:dyDescent="0.25">
      <c r="A63" t="str">
        <f>'LIVE SOURCE'!A63</f>
        <v>RB</v>
      </c>
      <c r="B63" t="str">
        <f>'LIVE SOURCE'!B63</f>
        <v>Rhamondre Stevenson</v>
      </c>
      <c r="C63" s="4">
        <f>'LIVE SOURCE'!D63</f>
        <v>74.588099999999997</v>
      </c>
      <c r="D63" s="5"/>
      <c r="E63" s="5"/>
      <c r="F63" s="5"/>
      <c r="G63">
        <f t="shared" si="0"/>
        <v>0</v>
      </c>
      <c r="H63" s="5"/>
      <c r="I63" s="5" t="s">
        <v>73</v>
      </c>
      <c r="J63" s="5"/>
    </row>
    <row r="64" spans="1:10" x14ac:dyDescent="0.25">
      <c r="A64" t="str">
        <f>'LIVE SOURCE'!A64</f>
        <v>RB</v>
      </c>
      <c r="B64" t="str">
        <f>'LIVE SOURCE'!B64</f>
        <v>Kenneth Gainwell</v>
      </c>
      <c r="C64" s="4">
        <f>'LIVE SOURCE'!D64</f>
        <v>74.504900000000006</v>
      </c>
      <c r="D64" s="5"/>
      <c r="E64" s="5"/>
      <c r="F64" s="5"/>
      <c r="G64">
        <f t="shared" si="0"/>
        <v>0</v>
      </c>
      <c r="H64" s="5"/>
      <c r="I64" s="5" t="s">
        <v>73</v>
      </c>
      <c r="J64" s="5"/>
    </row>
    <row r="65" spans="1:10" x14ac:dyDescent="0.25">
      <c r="A65" t="str">
        <f>'LIVE SOURCE'!A65</f>
        <v>RB</v>
      </c>
      <c r="B65" t="str">
        <f>'LIVE SOURCE'!B65</f>
        <v>Bhayshul Tuten</v>
      </c>
      <c r="C65" s="4">
        <f>'LIVE SOURCE'!D65</f>
        <v>74.467699999999994</v>
      </c>
      <c r="D65" s="5"/>
      <c r="E65" s="5"/>
      <c r="F65" s="5"/>
      <c r="G65">
        <f t="shared" si="0"/>
        <v>0</v>
      </c>
      <c r="H65" s="5"/>
      <c r="I65" s="5" t="s">
        <v>73</v>
      </c>
      <c r="J65" s="5"/>
    </row>
    <row r="66" spans="1:10" x14ac:dyDescent="0.25">
      <c r="A66" t="str">
        <f>'LIVE SOURCE'!A66</f>
        <v>RB</v>
      </c>
      <c r="B66" t="str">
        <f>'LIVE SOURCE'!B66</f>
        <v>RJ Harvey</v>
      </c>
      <c r="C66" s="4">
        <f>'LIVE SOURCE'!D66</f>
        <v>73.567800000000005</v>
      </c>
      <c r="D66" s="5"/>
      <c r="E66" s="5"/>
      <c r="F66" s="5"/>
      <c r="G66">
        <f t="shared" si="0"/>
        <v>0</v>
      </c>
      <c r="H66" s="5"/>
      <c r="I66" s="5" t="s">
        <v>73</v>
      </c>
      <c r="J66" s="5"/>
    </row>
    <row r="67" spans="1:10" x14ac:dyDescent="0.25">
      <c r="A67" t="str">
        <f>'LIVE SOURCE'!A67</f>
        <v>RB</v>
      </c>
      <c r="B67" t="str">
        <f>'LIVE SOURCE'!B67</f>
        <v>Kyle Monangai</v>
      </c>
      <c r="C67" s="4">
        <f>'LIVE SOURCE'!D67</f>
        <v>72.610200000000006</v>
      </c>
      <c r="D67" s="5"/>
      <c r="E67" s="5"/>
      <c r="F67" s="5"/>
      <c r="G67">
        <f t="shared" ref="G67:G130" si="1">SUM(D67:F67)</f>
        <v>0</v>
      </c>
      <c r="H67" s="5"/>
      <c r="I67" s="5" t="s">
        <v>73</v>
      </c>
      <c r="J67" s="5"/>
    </row>
    <row r="68" spans="1:10" x14ac:dyDescent="0.25">
      <c r="A68" t="str">
        <f>'LIVE SOURCE'!A68</f>
        <v>RB</v>
      </c>
      <c r="B68" t="str">
        <f>'LIVE SOURCE'!B68</f>
        <v>Chuba Hubbard</v>
      </c>
      <c r="C68" s="4">
        <f>'LIVE SOURCE'!D68</f>
        <v>71.866699999999994</v>
      </c>
      <c r="D68" s="5"/>
      <c r="E68" s="5"/>
      <c r="F68" s="5"/>
      <c r="G68">
        <f t="shared" si="1"/>
        <v>0</v>
      </c>
      <c r="H68" s="5"/>
      <c r="I68" s="5" t="s">
        <v>73</v>
      </c>
      <c r="J68" s="5"/>
    </row>
    <row r="69" spans="1:10" x14ac:dyDescent="0.25">
      <c r="A69" t="str">
        <f>'LIVE SOURCE'!A69</f>
        <v>RB</v>
      </c>
      <c r="B69" t="str">
        <f>'LIVE SOURCE'!B69</f>
        <v>Aaron Jones Sr.</v>
      </c>
      <c r="C69" s="4">
        <f>'LIVE SOURCE'!D69</f>
        <v>71.697699999999998</v>
      </c>
      <c r="D69" s="5"/>
      <c r="E69" s="5"/>
      <c r="F69" s="5"/>
      <c r="G69">
        <f t="shared" si="1"/>
        <v>0</v>
      </c>
      <c r="H69" s="5"/>
      <c r="I69" s="5" t="s">
        <v>73</v>
      </c>
      <c r="J69" s="5"/>
    </row>
    <row r="70" spans="1:10" x14ac:dyDescent="0.25">
      <c r="A70" t="str">
        <f>'LIVE SOURCE'!A70</f>
        <v>RB</v>
      </c>
      <c r="B70" t="str">
        <f>'LIVE SOURCE'!B70</f>
        <v>J.K. Dobbins</v>
      </c>
      <c r="C70" s="4">
        <f>'LIVE SOURCE'!D70</f>
        <v>71.166600000000003</v>
      </c>
      <c r="D70" s="5"/>
      <c r="E70" s="5"/>
      <c r="F70" s="5"/>
      <c r="G70">
        <f t="shared" si="1"/>
        <v>0</v>
      </c>
      <c r="H70" s="5"/>
      <c r="I70" s="5" t="s">
        <v>73</v>
      </c>
      <c r="J70" s="5"/>
    </row>
    <row r="71" spans="1:10" x14ac:dyDescent="0.25">
      <c r="A71" t="str">
        <f>'LIVE SOURCE'!A71</f>
        <v>RB</v>
      </c>
      <c r="B71" t="str">
        <f>'LIVE SOURCE'!B71</f>
        <v>Blake Corum</v>
      </c>
      <c r="C71" s="4">
        <f>'LIVE SOURCE'!D71</f>
        <v>69.519599999999997</v>
      </c>
      <c r="D71" s="5"/>
      <c r="E71" s="5"/>
      <c r="F71" s="5"/>
      <c r="G71">
        <f t="shared" si="1"/>
        <v>0</v>
      </c>
      <c r="H71" s="5"/>
      <c r="I71" s="5" t="s">
        <v>73</v>
      </c>
      <c r="J71" s="5"/>
    </row>
    <row r="72" spans="1:10" x14ac:dyDescent="0.25">
      <c r="A72" t="str">
        <f>'LIVE SOURCE'!A72</f>
        <v>RB</v>
      </c>
      <c r="B72" t="str">
        <f>'LIVE SOURCE'!B72</f>
        <v>Rachaad White</v>
      </c>
      <c r="C72" s="4">
        <f>'LIVE SOURCE'!D72</f>
        <v>69.203699999999998</v>
      </c>
      <c r="D72" s="5"/>
      <c r="E72" s="5"/>
      <c r="F72" s="5"/>
      <c r="G72">
        <f t="shared" si="1"/>
        <v>0</v>
      </c>
      <c r="H72" s="5"/>
      <c r="I72" s="5" t="s">
        <v>73</v>
      </c>
      <c r="J72" s="5"/>
    </row>
    <row r="73" spans="1:10" x14ac:dyDescent="0.25">
      <c r="A73" t="str">
        <f>'LIVE SOURCE'!A73</f>
        <v>RB</v>
      </c>
      <c r="B73" t="str">
        <f>'LIVE SOURCE'!B73</f>
        <v>Jacory Croskey-Merritt</v>
      </c>
      <c r="C73" s="4">
        <f>'LIVE SOURCE'!D73</f>
        <v>68.992199999999997</v>
      </c>
      <c r="D73" s="5"/>
      <c r="E73" s="5"/>
      <c r="F73" s="5"/>
      <c r="G73">
        <f t="shared" si="1"/>
        <v>0</v>
      </c>
      <c r="H73" s="5"/>
      <c r="I73" s="5" t="s">
        <v>73</v>
      </c>
      <c r="J73" s="5"/>
    </row>
    <row r="74" spans="1:10" x14ac:dyDescent="0.25">
      <c r="A74" t="str">
        <f>'LIVE SOURCE'!A74</f>
        <v>RB</v>
      </c>
      <c r="B74" t="str">
        <f>'LIVE SOURCE'!B74</f>
        <v>Jordan Mason</v>
      </c>
      <c r="C74" s="4">
        <f>'LIVE SOURCE'!D74</f>
        <v>67.657399999999996</v>
      </c>
      <c r="D74" s="5"/>
      <c r="E74" s="5"/>
      <c r="F74" s="5"/>
      <c r="G74">
        <f t="shared" si="1"/>
        <v>0</v>
      </c>
      <c r="H74" s="5"/>
      <c r="I74" s="5" t="s">
        <v>73</v>
      </c>
      <c r="J74" s="5"/>
    </row>
    <row r="75" spans="1:10" x14ac:dyDescent="0.25">
      <c r="A75" t="str">
        <f>'LIVE SOURCE'!A75</f>
        <v>RB</v>
      </c>
      <c r="B75" t="str">
        <f>'LIVE SOURCE'!B75</f>
        <v>Woody Marks</v>
      </c>
      <c r="C75" s="4">
        <f>'LIVE SOURCE'!D75</f>
        <v>66.866200000000006</v>
      </c>
      <c r="D75" s="5"/>
      <c r="E75" s="5"/>
      <c r="F75" s="5"/>
      <c r="G75">
        <f t="shared" si="1"/>
        <v>0</v>
      </c>
      <c r="H75" s="5"/>
      <c r="I75" s="5" t="s">
        <v>73</v>
      </c>
      <c r="J75" s="5"/>
    </row>
    <row r="76" spans="1:10" x14ac:dyDescent="0.25">
      <c r="A76" t="str">
        <f>'LIVE SOURCE'!A76</f>
        <v>RB</v>
      </c>
      <c r="B76" t="str">
        <f>'LIVE SOURCE'!B76</f>
        <v>Chris Rodriguez Jr.</v>
      </c>
      <c r="C76" s="4">
        <f>'LIVE SOURCE'!D76</f>
        <v>66.537000000000006</v>
      </c>
      <c r="D76" s="5"/>
      <c r="E76" s="5"/>
      <c r="F76" s="5"/>
      <c r="G76">
        <f t="shared" si="1"/>
        <v>0</v>
      </c>
      <c r="H76" s="5"/>
      <c r="I76" s="5" t="s">
        <v>73</v>
      </c>
      <c r="J76" s="5"/>
    </row>
    <row r="77" spans="1:10" x14ac:dyDescent="0.25">
      <c r="A77" t="str">
        <f>'LIVE SOURCE'!A77</f>
        <v>RB</v>
      </c>
      <c r="B77" t="str">
        <f>'LIVE SOURCE'!B77</f>
        <v>Tyrone Tracy Jr.</v>
      </c>
      <c r="C77" s="4">
        <f>'LIVE SOURCE'!D77</f>
        <v>66.531000000000006</v>
      </c>
      <c r="D77" s="5"/>
      <c r="E77" s="5"/>
      <c r="F77" s="5"/>
      <c r="G77">
        <f t="shared" si="1"/>
        <v>0</v>
      </c>
      <c r="H77" s="5"/>
      <c r="I77" s="5" t="s">
        <v>73</v>
      </c>
      <c r="J77" s="5"/>
    </row>
    <row r="78" spans="1:10" x14ac:dyDescent="0.25">
      <c r="A78" t="str">
        <f>'LIVE SOURCE'!A78</f>
        <v>RB</v>
      </c>
      <c r="B78" t="str">
        <f>'LIVE SOURCE'!B78</f>
        <v>Tyler Allgeier</v>
      </c>
      <c r="C78" s="4">
        <f>'LIVE SOURCE'!D78</f>
        <v>63.032200000000003</v>
      </c>
      <c r="D78" s="5"/>
      <c r="E78" s="5"/>
      <c r="F78" s="5"/>
      <c r="G78">
        <f t="shared" si="1"/>
        <v>0</v>
      </c>
      <c r="H78" s="5"/>
      <c r="I78" s="5" t="s">
        <v>73</v>
      </c>
      <c r="J78" s="5"/>
    </row>
    <row r="79" spans="1:10" x14ac:dyDescent="0.25">
      <c r="A79" t="str">
        <f>'LIVE SOURCE'!A79</f>
        <v>RB</v>
      </c>
      <c r="B79" t="str">
        <f>'LIVE SOURCE'!B79</f>
        <v>Zach Charbonnet</v>
      </c>
      <c r="C79" s="4">
        <f>'LIVE SOURCE'!D79</f>
        <v>62.549799999999998</v>
      </c>
      <c r="D79" s="5"/>
      <c r="E79" s="5"/>
      <c r="F79" s="5"/>
      <c r="G79">
        <f t="shared" si="1"/>
        <v>0</v>
      </c>
      <c r="H79" s="5"/>
      <c r="I79" s="5" t="s">
        <v>73</v>
      </c>
      <c r="J79" s="5"/>
    </row>
    <row r="80" spans="1:10" x14ac:dyDescent="0.25">
      <c r="A80" t="str">
        <f>'LIVE SOURCE'!A80</f>
        <v>RB</v>
      </c>
      <c r="B80" t="str">
        <f>'LIVE SOURCE'!B80</f>
        <v>Jonathon Brooks</v>
      </c>
      <c r="C80" s="4">
        <f>'LIVE SOURCE'!D80</f>
        <v>62.2</v>
      </c>
      <c r="D80" s="5"/>
      <c r="E80" s="5"/>
      <c r="F80" s="5"/>
      <c r="G80">
        <f t="shared" si="1"/>
        <v>0</v>
      </c>
      <c r="H80" s="5"/>
      <c r="I80" s="5" t="s">
        <v>73</v>
      </c>
      <c r="J80" s="5"/>
    </row>
    <row r="81" spans="1:10" x14ac:dyDescent="0.25">
      <c r="A81" t="str">
        <f>'LIVE SOURCE'!A81</f>
        <v>RB</v>
      </c>
      <c r="B81" t="str">
        <f>'LIVE SOURCE'!B81</f>
        <v>Emanuel Wilson</v>
      </c>
      <c r="C81" s="4">
        <f>'LIVE SOURCE'!D81</f>
        <v>61.982100000000003</v>
      </c>
      <c r="D81" s="5"/>
      <c r="E81" s="5"/>
      <c r="F81" s="5"/>
      <c r="G81">
        <f t="shared" si="1"/>
        <v>0</v>
      </c>
      <c r="H81" s="5"/>
      <c r="I81" s="5" t="s">
        <v>73</v>
      </c>
      <c r="J81" s="5"/>
    </row>
    <row r="82" spans="1:10" x14ac:dyDescent="0.25">
      <c r="A82" t="str">
        <f>'LIVE SOURCE'!A82</f>
        <v>RB</v>
      </c>
      <c r="B82" t="str">
        <f>'LIVE SOURCE'!B82</f>
        <v>Isiah Pacheco</v>
      </c>
      <c r="C82" s="4">
        <f>'LIVE SOURCE'!D82</f>
        <v>60.0092</v>
      </c>
      <c r="D82" s="5"/>
      <c r="E82" s="5"/>
      <c r="F82" s="5"/>
      <c r="G82">
        <f t="shared" si="1"/>
        <v>0</v>
      </c>
      <c r="H82" s="5"/>
      <c r="I82" s="5" t="s">
        <v>73</v>
      </c>
      <c r="J82" s="5"/>
    </row>
    <row r="83" spans="1:10" x14ac:dyDescent="0.25">
      <c r="A83" t="str">
        <f>'LIVE SOURCE'!A83</f>
        <v>RB</v>
      </c>
      <c r="B83" t="str">
        <f>'LIVE SOURCE'!B83</f>
        <v>Alvin Kamara</v>
      </c>
      <c r="C83" s="4">
        <f>'LIVE SOURCE'!D83</f>
        <v>59.15</v>
      </c>
      <c r="D83" s="5"/>
      <c r="E83" s="5"/>
      <c r="F83" s="5"/>
      <c r="G83">
        <f t="shared" si="1"/>
        <v>0</v>
      </c>
      <c r="H83" s="5"/>
      <c r="I83" s="5" t="s">
        <v>73</v>
      </c>
      <c r="J83" s="5"/>
    </row>
    <row r="84" spans="1:10" x14ac:dyDescent="0.25">
      <c r="A84" t="str">
        <f>'LIVE SOURCE'!A84</f>
        <v>RB</v>
      </c>
      <c r="B84" t="str">
        <f>'LIVE SOURCE'!B84</f>
        <v>Justice Hill</v>
      </c>
      <c r="C84" s="4">
        <f>'LIVE SOURCE'!D84</f>
        <v>54.88</v>
      </c>
      <c r="D84" s="5"/>
      <c r="E84" s="5"/>
      <c r="F84" s="5"/>
      <c r="G84">
        <f t="shared" si="1"/>
        <v>0</v>
      </c>
      <c r="H84" s="5"/>
      <c r="I84" s="5" t="s">
        <v>73</v>
      </c>
      <c r="J84" s="5"/>
    </row>
    <row r="85" spans="1:10" x14ac:dyDescent="0.25">
      <c r="A85" t="str">
        <f>'LIVE SOURCE'!A85</f>
        <v>WR</v>
      </c>
      <c r="B85" t="str">
        <f>'LIVE SOURCE'!B85</f>
        <v>Ja'Marr Chase</v>
      </c>
      <c r="C85" s="4">
        <f>'LIVE SOURCE'!D85</f>
        <v>96.732299999999995</v>
      </c>
      <c r="D85" s="5"/>
      <c r="E85" s="5"/>
      <c r="F85" s="5"/>
      <c r="G85">
        <f t="shared" si="1"/>
        <v>0</v>
      </c>
      <c r="H85" s="5"/>
      <c r="I85" s="5" t="s">
        <v>73</v>
      </c>
      <c r="J85" s="5"/>
    </row>
    <row r="86" spans="1:10" x14ac:dyDescent="0.25">
      <c r="A86" t="str">
        <f>'LIVE SOURCE'!A86</f>
        <v>WR</v>
      </c>
      <c r="B86" t="str">
        <f>'LIVE SOURCE'!B86</f>
        <v>Puka Nacua</v>
      </c>
      <c r="C86" s="4">
        <f>'LIVE SOURCE'!D86</f>
        <v>98.485900000000001</v>
      </c>
      <c r="D86" s="5"/>
      <c r="E86" s="5"/>
      <c r="F86" s="5"/>
      <c r="G86">
        <f t="shared" si="1"/>
        <v>0</v>
      </c>
      <c r="H86" s="5"/>
      <c r="I86" s="5" t="s">
        <v>73</v>
      </c>
      <c r="J86" s="5"/>
    </row>
    <row r="87" spans="1:10" x14ac:dyDescent="0.25">
      <c r="A87" t="str">
        <f>'LIVE SOURCE'!A87</f>
        <v>WR</v>
      </c>
      <c r="B87" t="str">
        <f>'LIVE SOURCE'!B87</f>
        <v>Jaxon Smith-Njigba</v>
      </c>
      <c r="C87" s="4">
        <f>'LIVE SOURCE'!D87</f>
        <v>94.079899999999995</v>
      </c>
      <c r="D87" s="5"/>
      <c r="E87" s="5"/>
      <c r="F87" s="5"/>
      <c r="G87">
        <f t="shared" si="1"/>
        <v>0</v>
      </c>
      <c r="H87" s="5"/>
      <c r="I87" s="5" t="s">
        <v>73</v>
      </c>
      <c r="J87" s="5"/>
    </row>
    <row r="88" spans="1:10" x14ac:dyDescent="0.25">
      <c r="A88" t="str">
        <f>'LIVE SOURCE'!A88</f>
        <v>WR</v>
      </c>
      <c r="B88" t="str">
        <f>'LIVE SOURCE'!B88</f>
        <v>Amon-Ra St. Brown</v>
      </c>
      <c r="C88" s="4">
        <f>'LIVE SOURCE'!D88</f>
        <v>93.263900000000007</v>
      </c>
      <c r="D88" s="5"/>
      <c r="E88" s="5"/>
      <c r="F88" s="5"/>
      <c r="G88">
        <f t="shared" si="1"/>
        <v>0</v>
      </c>
      <c r="H88" s="5"/>
      <c r="I88" s="5" t="s">
        <v>73</v>
      </c>
      <c r="J88" s="5"/>
    </row>
    <row r="89" spans="1:10" x14ac:dyDescent="0.25">
      <c r="A89" t="str">
        <f>'LIVE SOURCE'!A89</f>
        <v>WR</v>
      </c>
      <c r="B89" t="str">
        <f>'LIVE SOURCE'!B89</f>
        <v>A.J. Brown</v>
      </c>
      <c r="C89" s="4">
        <f>'LIVE SOURCE'!D89</f>
        <v>83.235699999999994</v>
      </c>
      <c r="D89" s="5"/>
      <c r="E89" s="5"/>
      <c r="F89" s="5"/>
      <c r="G89">
        <f t="shared" si="1"/>
        <v>0</v>
      </c>
      <c r="H89" s="5"/>
      <c r="I89" s="5" t="s">
        <v>73</v>
      </c>
      <c r="J89" s="5"/>
    </row>
    <row r="90" spans="1:10" x14ac:dyDescent="0.25">
      <c r="A90" t="str">
        <f>'LIVE SOURCE'!A90</f>
        <v>WR</v>
      </c>
      <c r="B90" t="str">
        <f>'LIVE SOURCE'!B90</f>
        <v>CeeDee Lamb</v>
      </c>
      <c r="C90" s="4">
        <f>'LIVE SOURCE'!D90</f>
        <v>85.742599999999996</v>
      </c>
      <c r="D90" s="5"/>
      <c r="E90" s="5"/>
      <c r="F90" s="5"/>
      <c r="G90">
        <f t="shared" si="1"/>
        <v>0</v>
      </c>
      <c r="H90" s="5"/>
      <c r="I90" s="5" t="s">
        <v>73</v>
      </c>
      <c r="J90" s="5"/>
    </row>
    <row r="91" spans="1:10" x14ac:dyDescent="0.25">
      <c r="A91" t="str">
        <f>'LIVE SOURCE'!A91</f>
        <v>WR</v>
      </c>
      <c r="B91" t="str">
        <f>'LIVE SOURCE'!B91</f>
        <v>Justin Jefferson</v>
      </c>
      <c r="C91" s="4">
        <f>'LIVE SOURCE'!D91</f>
        <v>84.793599999999998</v>
      </c>
      <c r="D91" s="5"/>
      <c r="E91" s="5"/>
      <c r="F91" s="5"/>
      <c r="G91">
        <f t="shared" si="1"/>
        <v>0</v>
      </c>
      <c r="H91" s="5"/>
      <c r="I91" s="5" t="s">
        <v>73</v>
      </c>
      <c r="J91" s="5"/>
    </row>
    <row r="92" spans="1:10" x14ac:dyDescent="0.25">
      <c r="A92" t="str">
        <f>'LIVE SOURCE'!A92</f>
        <v>WR</v>
      </c>
      <c r="B92" t="str">
        <f>'LIVE SOURCE'!B92</f>
        <v>George Pickens</v>
      </c>
      <c r="C92" s="4">
        <f>'LIVE SOURCE'!D92</f>
        <v>81.836600000000004</v>
      </c>
      <c r="D92" s="5"/>
      <c r="E92" s="5"/>
      <c r="F92" s="5"/>
      <c r="G92">
        <f t="shared" si="1"/>
        <v>0</v>
      </c>
      <c r="H92" s="5"/>
      <c r="I92" s="5" t="s">
        <v>73</v>
      </c>
      <c r="J92" s="5"/>
    </row>
    <row r="93" spans="1:10" x14ac:dyDescent="0.25">
      <c r="A93" t="str">
        <f>'LIVE SOURCE'!A93</f>
        <v>WR</v>
      </c>
      <c r="B93" t="str">
        <f>'LIVE SOURCE'!B93</f>
        <v>Drake London</v>
      </c>
      <c r="C93" s="4">
        <f>'LIVE SOURCE'!D93</f>
        <v>87.510599999999997</v>
      </c>
      <c r="D93" s="5"/>
      <c r="E93" s="5"/>
      <c r="F93" s="5"/>
      <c r="G93">
        <f t="shared" si="1"/>
        <v>0</v>
      </c>
      <c r="H93" s="5"/>
      <c r="I93" s="5" t="s">
        <v>73</v>
      </c>
      <c r="J93" s="5"/>
    </row>
    <row r="94" spans="1:10" x14ac:dyDescent="0.25">
      <c r="A94" t="str">
        <f>'LIVE SOURCE'!A94</f>
        <v>WR</v>
      </c>
      <c r="B94" t="str">
        <f>'LIVE SOURCE'!B94</f>
        <v>Nico Collins</v>
      </c>
      <c r="C94" s="4">
        <f>'LIVE SOURCE'!D94</f>
        <v>91.492500000000007</v>
      </c>
      <c r="D94" s="5"/>
      <c r="E94" s="5"/>
      <c r="F94" s="5"/>
      <c r="G94">
        <f t="shared" si="1"/>
        <v>0</v>
      </c>
      <c r="H94" s="5"/>
      <c r="I94" s="5" t="s">
        <v>73</v>
      </c>
      <c r="J94" s="5"/>
    </row>
    <row r="95" spans="1:10" x14ac:dyDescent="0.25">
      <c r="A95" t="str">
        <f>'LIVE SOURCE'!A95</f>
        <v>WR</v>
      </c>
      <c r="B95" t="str">
        <f>'LIVE SOURCE'!B95</f>
        <v>Rashee Rice</v>
      </c>
      <c r="C95" s="4">
        <f>'LIVE SOURCE'!D95</f>
        <v>84.094700000000003</v>
      </c>
      <c r="D95" s="5"/>
      <c r="E95" s="5"/>
      <c r="F95" s="5"/>
      <c r="G95">
        <f t="shared" si="1"/>
        <v>0</v>
      </c>
      <c r="H95" s="5"/>
      <c r="I95" s="5" t="s">
        <v>73</v>
      </c>
      <c r="J95" s="5"/>
    </row>
    <row r="96" spans="1:10" x14ac:dyDescent="0.25">
      <c r="A96" t="str">
        <f>'LIVE SOURCE'!A96</f>
        <v>WR</v>
      </c>
      <c r="B96" t="str">
        <f>'LIVE SOURCE'!B96</f>
        <v>Chris Olave</v>
      </c>
      <c r="C96" s="4">
        <f>'LIVE SOURCE'!D96</f>
        <v>88.907499999999999</v>
      </c>
      <c r="D96" s="5"/>
      <c r="E96" s="5"/>
      <c r="F96" s="5"/>
      <c r="G96">
        <f t="shared" si="1"/>
        <v>0</v>
      </c>
      <c r="H96" s="5"/>
      <c r="I96" s="5" t="s">
        <v>73</v>
      </c>
      <c r="J96" s="5"/>
    </row>
    <row r="97" spans="1:10" x14ac:dyDescent="0.25">
      <c r="A97" t="str">
        <f>'LIVE SOURCE'!A97</f>
        <v>WR</v>
      </c>
      <c r="B97" t="str">
        <f>'LIVE SOURCE'!B97</f>
        <v>Tetairoa McMillan</v>
      </c>
      <c r="C97" s="4">
        <f>'LIVE SOURCE'!D97</f>
        <v>85.74</v>
      </c>
      <c r="D97" s="5"/>
      <c r="E97" s="5"/>
      <c r="F97" s="5"/>
      <c r="G97">
        <f t="shared" si="1"/>
        <v>0</v>
      </c>
      <c r="H97" s="5"/>
      <c r="I97" s="5" t="s">
        <v>73</v>
      </c>
      <c r="J97" s="5"/>
    </row>
    <row r="98" spans="1:10" x14ac:dyDescent="0.25">
      <c r="A98" t="str">
        <f>'LIVE SOURCE'!A98</f>
        <v>WR</v>
      </c>
      <c r="B98" t="str">
        <f>'LIVE SOURCE'!B98</f>
        <v>Tee Higgins</v>
      </c>
      <c r="C98" s="4">
        <f>'LIVE SOURCE'!D98</f>
        <v>84.822500000000005</v>
      </c>
      <c r="D98" s="5"/>
      <c r="E98" s="5"/>
      <c r="F98" s="5"/>
      <c r="G98">
        <f t="shared" si="1"/>
        <v>0</v>
      </c>
      <c r="H98" s="5"/>
      <c r="I98" s="5" t="s">
        <v>73</v>
      </c>
      <c r="J98" s="5"/>
    </row>
    <row r="99" spans="1:10" x14ac:dyDescent="0.25">
      <c r="A99" t="str">
        <f>'LIVE SOURCE'!A99</f>
        <v>WR</v>
      </c>
      <c r="B99" t="str">
        <f>'LIVE SOURCE'!B99</f>
        <v>Garrett Wilson</v>
      </c>
      <c r="C99" s="4">
        <f>'LIVE SOURCE'!D99</f>
        <v>86.155000000000001</v>
      </c>
      <c r="D99" s="5"/>
      <c r="E99" s="5"/>
      <c r="F99" s="5"/>
      <c r="G99">
        <f t="shared" si="1"/>
        <v>0</v>
      </c>
      <c r="H99" s="5"/>
      <c r="I99" s="5" t="s">
        <v>73</v>
      </c>
      <c r="J99" s="5"/>
    </row>
    <row r="100" spans="1:10" x14ac:dyDescent="0.25">
      <c r="A100" t="str">
        <f>'LIVE SOURCE'!A100</f>
        <v>WR</v>
      </c>
      <c r="B100" t="str">
        <f>'LIVE SOURCE'!B100</f>
        <v>DeVonta Smith</v>
      </c>
      <c r="C100" s="4">
        <f>'LIVE SOURCE'!D100</f>
        <v>87.487499999999997</v>
      </c>
      <c r="D100" s="5"/>
      <c r="E100" s="5"/>
      <c r="F100" s="5"/>
      <c r="G100">
        <f t="shared" si="1"/>
        <v>0</v>
      </c>
      <c r="H100" s="5"/>
      <c r="I100" s="5" t="s">
        <v>73</v>
      </c>
      <c r="J100" s="5"/>
    </row>
    <row r="101" spans="1:10" x14ac:dyDescent="0.25">
      <c r="A101" t="str">
        <f>'LIVE SOURCE'!A101</f>
        <v>WR</v>
      </c>
      <c r="B101" t="str">
        <f>'LIVE SOURCE'!B101</f>
        <v>Zay Flowers</v>
      </c>
      <c r="C101" s="4">
        <f>'LIVE SOURCE'!D101</f>
        <v>86.57</v>
      </c>
      <c r="D101" s="5"/>
      <c r="E101" s="5"/>
      <c r="F101" s="5"/>
      <c r="G101">
        <f t="shared" si="1"/>
        <v>0</v>
      </c>
      <c r="H101" s="5"/>
      <c r="I101" s="5" t="s">
        <v>73</v>
      </c>
      <c r="J101" s="5"/>
    </row>
    <row r="102" spans="1:10" x14ac:dyDescent="0.25">
      <c r="A102" t="str">
        <f>'LIVE SOURCE'!A102</f>
        <v>WR</v>
      </c>
      <c r="B102" t="str">
        <f>'LIVE SOURCE'!B102</f>
        <v>Malik Nabers</v>
      </c>
      <c r="C102" s="4">
        <f>'LIVE SOURCE'!D102</f>
        <v>81.152500000000003</v>
      </c>
      <c r="D102" s="5"/>
      <c r="E102" s="5"/>
      <c r="F102" s="5"/>
      <c r="G102">
        <f t="shared" si="1"/>
        <v>0</v>
      </c>
      <c r="H102" s="5"/>
      <c r="I102" s="5" t="s">
        <v>73</v>
      </c>
      <c r="J102" s="5"/>
    </row>
    <row r="103" spans="1:10" x14ac:dyDescent="0.25">
      <c r="A103" t="str">
        <f>'LIVE SOURCE'!A103</f>
        <v>WR</v>
      </c>
      <c r="B103" t="str">
        <f>'LIVE SOURCE'!B103</f>
        <v>Emeka Egbuka</v>
      </c>
      <c r="C103" s="4">
        <f>'LIVE SOURCE'!D103</f>
        <v>81.734999999999999</v>
      </c>
      <c r="D103" s="5"/>
      <c r="E103" s="5"/>
      <c r="F103" s="5"/>
      <c r="G103">
        <f t="shared" si="1"/>
        <v>0</v>
      </c>
      <c r="H103" s="5"/>
      <c r="I103" s="5" t="s">
        <v>73</v>
      </c>
      <c r="J103" s="5"/>
    </row>
    <row r="104" spans="1:10" x14ac:dyDescent="0.25">
      <c r="A104" t="str">
        <f>'LIVE SOURCE'!A104</f>
        <v>WR</v>
      </c>
      <c r="B104" t="str">
        <f>'LIVE SOURCE'!B104</f>
        <v>Jaylen Waddle</v>
      </c>
      <c r="C104" s="4">
        <f>'LIVE SOURCE'!D104</f>
        <v>82.317499999999995</v>
      </c>
      <c r="D104" s="5"/>
      <c r="E104" s="5"/>
      <c r="F104" s="5"/>
      <c r="G104">
        <f t="shared" si="1"/>
        <v>0</v>
      </c>
      <c r="H104" s="5"/>
      <c r="I104" s="5" t="s">
        <v>73</v>
      </c>
      <c r="J104" s="5"/>
    </row>
    <row r="105" spans="1:10" x14ac:dyDescent="0.25">
      <c r="A105" t="str">
        <f>'LIVE SOURCE'!A105</f>
        <v>WR</v>
      </c>
      <c r="B105" t="str">
        <f>'LIVE SOURCE'!B105</f>
        <v>Terry McLaurin</v>
      </c>
      <c r="C105" s="4">
        <f>'LIVE SOURCE'!D105</f>
        <v>79.900000000000006</v>
      </c>
      <c r="D105" s="5"/>
      <c r="E105" s="5"/>
      <c r="F105" s="5"/>
      <c r="G105">
        <f t="shared" si="1"/>
        <v>0</v>
      </c>
      <c r="H105" s="5"/>
      <c r="I105" s="5" t="s">
        <v>73</v>
      </c>
      <c r="J105" s="5"/>
    </row>
    <row r="106" spans="1:10" x14ac:dyDescent="0.25">
      <c r="A106" t="str">
        <f>'LIVE SOURCE'!A106</f>
        <v>WR</v>
      </c>
      <c r="B106" t="str">
        <f>'LIVE SOURCE'!B106</f>
        <v>Ladd McConkey</v>
      </c>
      <c r="C106" s="4">
        <f>'LIVE SOURCE'!D106</f>
        <v>82.732500000000002</v>
      </c>
      <c r="D106" s="5"/>
      <c r="E106" s="5"/>
      <c r="F106" s="5"/>
      <c r="G106">
        <f t="shared" si="1"/>
        <v>0</v>
      </c>
      <c r="H106" s="5"/>
      <c r="I106" s="5" t="s">
        <v>73</v>
      </c>
      <c r="J106" s="5"/>
    </row>
    <row r="107" spans="1:10" x14ac:dyDescent="0.25">
      <c r="A107" t="str">
        <f>'LIVE SOURCE'!A107</f>
        <v>WR</v>
      </c>
      <c r="B107" t="str">
        <f>'LIVE SOURCE'!B107</f>
        <v>Davante Adams</v>
      </c>
      <c r="C107" s="4">
        <f>'LIVE SOURCE'!D107</f>
        <v>78.064999999999998</v>
      </c>
      <c r="D107" s="5"/>
      <c r="E107" s="5"/>
      <c r="F107" s="5"/>
      <c r="G107">
        <f t="shared" si="1"/>
        <v>0</v>
      </c>
      <c r="H107" s="5"/>
      <c r="I107" s="5" t="s">
        <v>73</v>
      </c>
      <c r="J107" s="5"/>
    </row>
    <row r="108" spans="1:10" x14ac:dyDescent="0.25">
      <c r="A108" t="str">
        <f>'LIVE SOURCE'!A108</f>
        <v>WR</v>
      </c>
      <c r="B108" t="str">
        <f>'LIVE SOURCE'!B108</f>
        <v>Luther Burden III</v>
      </c>
      <c r="C108" s="4">
        <f>'LIVE SOURCE'!D108</f>
        <v>78.647499999999994</v>
      </c>
      <c r="D108" s="5"/>
      <c r="E108" s="5"/>
      <c r="F108" s="5"/>
      <c r="G108">
        <f t="shared" si="1"/>
        <v>0</v>
      </c>
      <c r="H108" s="5"/>
      <c r="I108" s="5" t="s">
        <v>73</v>
      </c>
      <c r="J108" s="5"/>
    </row>
    <row r="109" spans="1:10" x14ac:dyDescent="0.25">
      <c r="A109" t="str">
        <f>'LIVE SOURCE'!A109</f>
        <v>WR</v>
      </c>
      <c r="B109" t="str">
        <f>'LIVE SOURCE'!B109</f>
        <v>DJ Moore</v>
      </c>
      <c r="C109" s="4">
        <f>'LIVE SOURCE'!D109</f>
        <v>75.48</v>
      </c>
      <c r="D109" s="5"/>
      <c r="E109" s="5"/>
      <c r="F109" s="5"/>
      <c r="G109">
        <f t="shared" si="1"/>
        <v>0</v>
      </c>
      <c r="H109" s="5"/>
      <c r="I109" s="5" t="s">
        <v>73</v>
      </c>
      <c r="J109" s="5"/>
    </row>
    <row r="110" spans="1:10" x14ac:dyDescent="0.25">
      <c r="A110" t="str">
        <f>'LIVE SOURCE'!A110</f>
        <v>WR</v>
      </c>
      <c r="B110" t="str">
        <f>'LIVE SOURCE'!B110</f>
        <v>Jameson Williams</v>
      </c>
      <c r="C110" s="4">
        <f>'LIVE SOURCE'!D110</f>
        <v>76.0625</v>
      </c>
      <c r="D110" s="5"/>
      <c r="E110" s="5"/>
      <c r="F110" s="5"/>
      <c r="G110">
        <f t="shared" si="1"/>
        <v>0</v>
      </c>
      <c r="H110" s="5"/>
      <c r="I110" s="5" t="s">
        <v>73</v>
      </c>
      <c r="J110" s="5"/>
    </row>
    <row r="111" spans="1:10" x14ac:dyDescent="0.25">
      <c r="A111" t="str">
        <f>'LIVE SOURCE'!A111</f>
        <v>WR</v>
      </c>
      <c r="B111" t="str">
        <f>'LIVE SOURCE'!B111</f>
        <v>Rome Odunze</v>
      </c>
      <c r="C111" s="4">
        <f>'LIVE SOURCE'!D111</f>
        <v>73.644999999999996</v>
      </c>
      <c r="D111" s="5"/>
      <c r="E111" s="5"/>
      <c r="F111" s="5"/>
      <c r="G111">
        <f t="shared" si="1"/>
        <v>0</v>
      </c>
      <c r="H111" s="5"/>
      <c r="I111" s="5" t="s">
        <v>73</v>
      </c>
      <c r="J111" s="5"/>
    </row>
    <row r="112" spans="1:10" x14ac:dyDescent="0.25">
      <c r="A112" t="str">
        <f>'LIVE SOURCE'!A112</f>
        <v>WR</v>
      </c>
      <c r="B112" t="str">
        <f>'LIVE SOURCE'!B112</f>
        <v>Mike Evans</v>
      </c>
      <c r="C112" s="4">
        <f>'LIVE SOURCE'!D112</f>
        <v>76.477500000000006</v>
      </c>
      <c r="D112" s="5"/>
      <c r="E112" s="5"/>
      <c r="F112" s="5"/>
      <c r="G112">
        <f t="shared" si="1"/>
        <v>0</v>
      </c>
      <c r="H112" s="5"/>
      <c r="I112" s="5" t="s">
        <v>73</v>
      </c>
      <c r="J112" s="5"/>
    </row>
    <row r="113" spans="1:10" x14ac:dyDescent="0.25">
      <c r="A113" t="str">
        <f>'LIVE SOURCE'!A113</f>
        <v>WR</v>
      </c>
      <c r="B113" t="str">
        <f>'LIVE SOURCE'!B113</f>
        <v>Marvin Harrison Jr.</v>
      </c>
      <c r="C113" s="4">
        <f>'LIVE SOURCE'!D113</f>
        <v>71.81</v>
      </c>
      <c r="D113" s="5"/>
      <c r="E113" s="5"/>
      <c r="F113" s="5"/>
      <c r="G113">
        <f t="shared" si="1"/>
        <v>0</v>
      </c>
      <c r="H113" s="5"/>
      <c r="I113" s="5" t="s">
        <v>73</v>
      </c>
      <c r="J113" s="5"/>
    </row>
    <row r="114" spans="1:10" x14ac:dyDescent="0.25">
      <c r="A114" t="str">
        <f>'LIVE SOURCE'!A114</f>
        <v>WR</v>
      </c>
      <c r="B114" t="str">
        <f>'LIVE SOURCE'!B114</f>
        <v>Christian Watson</v>
      </c>
      <c r="C114" s="4">
        <f>'LIVE SOURCE'!D114</f>
        <v>73.892499999999998</v>
      </c>
      <c r="D114" s="5"/>
      <c r="E114" s="5"/>
      <c r="F114" s="5"/>
      <c r="G114">
        <f t="shared" si="1"/>
        <v>0</v>
      </c>
      <c r="H114" s="5"/>
      <c r="I114" s="5" t="s">
        <v>73</v>
      </c>
      <c r="J114" s="5"/>
    </row>
    <row r="115" spans="1:10" x14ac:dyDescent="0.25">
      <c r="A115" t="str">
        <f>'LIVE SOURCE'!A115</f>
        <v>WR</v>
      </c>
      <c r="B115" t="str">
        <f>'LIVE SOURCE'!B115</f>
        <v>Alec Pierce</v>
      </c>
      <c r="C115" s="4">
        <f>'LIVE SOURCE'!D115</f>
        <v>70.724999999999994</v>
      </c>
      <c r="D115" s="5"/>
      <c r="E115" s="5"/>
      <c r="F115" s="5"/>
      <c r="G115">
        <f t="shared" si="1"/>
        <v>0</v>
      </c>
      <c r="H115" s="5"/>
      <c r="I115" s="5" t="s">
        <v>73</v>
      </c>
      <c r="J115" s="5"/>
    </row>
    <row r="116" spans="1:10" x14ac:dyDescent="0.25">
      <c r="A116" t="str">
        <f>'LIVE SOURCE'!A116</f>
        <v>WR</v>
      </c>
      <c r="B116" t="str">
        <f>'LIVE SOURCE'!B116</f>
        <v>DK Metcalf</v>
      </c>
      <c r="C116" s="4">
        <f>'LIVE SOURCE'!D116</f>
        <v>69.807500000000005</v>
      </c>
      <c r="D116" s="5"/>
      <c r="E116" s="5"/>
      <c r="F116" s="5"/>
      <c r="G116">
        <f t="shared" si="1"/>
        <v>0</v>
      </c>
      <c r="H116" s="5"/>
      <c r="I116" s="5" t="s">
        <v>73</v>
      </c>
      <c r="J116" s="5"/>
    </row>
    <row r="117" spans="1:10" x14ac:dyDescent="0.25">
      <c r="A117" t="str">
        <f>'LIVE SOURCE'!A117</f>
        <v>WR</v>
      </c>
      <c r="B117" t="str">
        <f>'LIVE SOURCE'!B117</f>
        <v>Carnell Tate</v>
      </c>
      <c r="C117" s="4">
        <f>'LIVE SOURCE'!D117</f>
        <v>71.89</v>
      </c>
      <c r="D117" s="5"/>
      <c r="E117" s="5"/>
      <c r="F117" s="5"/>
      <c r="G117">
        <f t="shared" si="1"/>
        <v>0</v>
      </c>
      <c r="H117" s="5"/>
      <c r="I117" s="5" t="s">
        <v>73</v>
      </c>
      <c r="J117" s="5"/>
    </row>
    <row r="118" spans="1:10" x14ac:dyDescent="0.25">
      <c r="A118" t="str">
        <f>'LIVE SOURCE'!A118</f>
        <v>WR</v>
      </c>
      <c r="B118" t="str">
        <f>'LIVE SOURCE'!B118</f>
        <v>Courtland Sutton</v>
      </c>
      <c r="C118" s="4">
        <f>'LIVE SOURCE'!D118</f>
        <v>68.722499999999997</v>
      </c>
      <c r="D118" s="5"/>
      <c r="E118" s="5"/>
      <c r="F118" s="5"/>
      <c r="G118">
        <f t="shared" si="1"/>
        <v>0</v>
      </c>
      <c r="H118" s="5"/>
      <c r="I118" s="5" t="s">
        <v>73</v>
      </c>
      <c r="J118" s="5"/>
    </row>
    <row r="119" spans="1:10" x14ac:dyDescent="0.25">
      <c r="A119" t="str">
        <f>'LIVE SOURCE'!A119</f>
        <v>WR</v>
      </c>
      <c r="B119" t="str">
        <f>'LIVE SOURCE'!B119</f>
        <v>Jordyn Tyson</v>
      </c>
      <c r="C119" s="4">
        <f>'LIVE SOURCE'!D119</f>
        <v>76.22</v>
      </c>
      <c r="D119" s="5"/>
      <c r="E119" s="5"/>
      <c r="F119" s="5"/>
      <c r="G119">
        <f t="shared" si="1"/>
        <v>0</v>
      </c>
      <c r="H119" s="5"/>
      <c r="I119" s="5" t="s">
        <v>73</v>
      </c>
      <c r="J119" s="5"/>
    </row>
    <row r="120" spans="1:10" x14ac:dyDescent="0.25">
      <c r="A120" t="str">
        <f>'LIVE SOURCE'!A120</f>
        <v>WR</v>
      </c>
      <c r="B120" t="str">
        <f>'LIVE SOURCE'!B120</f>
        <v>Michael Pittman Jr.</v>
      </c>
      <c r="C120" s="4">
        <f>'LIVE SOURCE'!D120</f>
        <v>75.55</v>
      </c>
      <c r="D120" s="5"/>
      <c r="E120" s="5"/>
      <c r="F120" s="5"/>
      <c r="G120">
        <f t="shared" si="1"/>
        <v>0</v>
      </c>
      <c r="H120" s="5"/>
      <c r="I120" s="5" t="s">
        <v>73</v>
      </c>
      <c r="J120" s="5"/>
    </row>
    <row r="121" spans="1:10" x14ac:dyDescent="0.25">
      <c r="A121" t="str">
        <f>'LIVE SOURCE'!A121</f>
        <v>WR</v>
      </c>
      <c r="B121" t="str">
        <f>'LIVE SOURCE'!B121</f>
        <v>Jakobi Meyers</v>
      </c>
      <c r="C121" s="4">
        <f>'LIVE SOURCE'!D121</f>
        <v>74.88</v>
      </c>
      <c r="D121" s="5"/>
      <c r="E121" s="5"/>
      <c r="F121" s="5"/>
      <c r="G121">
        <f t="shared" si="1"/>
        <v>0</v>
      </c>
      <c r="H121" s="5"/>
      <c r="I121" s="5" t="s">
        <v>73</v>
      </c>
      <c r="J121" s="5"/>
    </row>
    <row r="122" spans="1:10" x14ac:dyDescent="0.25">
      <c r="A122" t="str">
        <f>'LIVE SOURCE'!A122</f>
        <v>WR</v>
      </c>
      <c r="B122" t="str">
        <f>'LIVE SOURCE'!B122</f>
        <v>Jordan Addison</v>
      </c>
      <c r="C122" s="4">
        <f>'LIVE SOURCE'!D122</f>
        <v>74.209999999999994</v>
      </c>
      <c r="D122" s="5"/>
      <c r="E122" s="5"/>
      <c r="F122" s="5"/>
      <c r="G122">
        <f t="shared" si="1"/>
        <v>0</v>
      </c>
      <c r="H122" s="5"/>
      <c r="I122" s="5" t="s">
        <v>73</v>
      </c>
      <c r="J122" s="5"/>
    </row>
    <row r="123" spans="1:10" x14ac:dyDescent="0.25">
      <c r="A123" t="str">
        <f>'LIVE SOURCE'!A123</f>
        <v>WR</v>
      </c>
      <c r="B123" t="str">
        <f>'LIVE SOURCE'!B123</f>
        <v>Wan'Dale Robinson</v>
      </c>
      <c r="C123" s="4">
        <f>'LIVE SOURCE'!D123</f>
        <v>73.540000000000006</v>
      </c>
      <c r="D123" s="5"/>
      <c r="E123" s="5"/>
      <c r="F123" s="5"/>
      <c r="G123">
        <f t="shared" si="1"/>
        <v>0</v>
      </c>
      <c r="H123" s="5"/>
      <c r="I123" s="5" t="s">
        <v>73</v>
      </c>
      <c r="J123" s="5"/>
    </row>
    <row r="124" spans="1:10" x14ac:dyDescent="0.25">
      <c r="A124" t="str">
        <f>'LIVE SOURCE'!A124</f>
        <v>WR</v>
      </c>
      <c r="B124" t="str">
        <f>'LIVE SOURCE'!B124</f>
        <v>Brian Thomas Jr.</v>
      </c>
      <c r="C124" s="4">
        <f>'LIVE SOURCE'!D124</f>
        <v>66.967500000000001</v>
      </c>
      <c r="D124" s="5"/>
      <c r="E124" s="5"/>
      <c r="F124" s="5"/>
      <c r="G124">
        <f t="shared" si="1"/>
        <v>0</v>
      </c>
      <c r="H124" s="5"/>
      <c r="I124" s="5" t="s">
        <v>73</v>
      </c>
      <c r="J124" s="5"/>
    </row>
    <row r="125" spans="1:10" x14ac:dyDescent="0.25">
      <c r="A125" t="str">
        <f>'LIVE SOURCE'!A125</f>
        <v>WR</v>
      </c>
      <c r="B125" t="str">
        <f>'LIVE SOURCE'!B125</f>
        <v>Makai Lemon</v>
      </c>
      <c r="C125" s="4">
        <f>'LIVE SOURCE'!D125</f>
        <v>72.2</v>
      </c>
      <c r="D125" s="5">
        <v>-3</v>
      </c>
      <c r="E125" s="5"/>
      <c r="F125" s="5"/>
      <c r="G125">
        <f t="shared" si="1"/>
        <v>-3</v>
      </c>
      <c r="H125" s="5" t="s">
        <v>74</v>
      </c>
      <c r="I125" s="5" t="s">
        <v>73</v>
      </c>
      <c r="J125" s="5"/>
    </row>
    <row r="126" spans="1:10" x14ac:dyDescent="0.25">
      <c r="A126" t="str">
        <f>'LIVE SOURCE'!A126</f>
        <v>WR</v>
      </c>
      <c r="B126" t="str">
        <f>'LIVE SOURCE'!B126</f>
        <v>Parker Washington</v>
      </c>
      <c r="C126" s="4">
        <f>'LIVE SOURCE'!D126</f>
        <v>71.53</v>
      </c>
      <c r="D126" s="5"/>
      <c r="E126" s="5"/>
      <c r="F126" s="5"/>
      <c r="G126">
        <f t="shared" si="1"/>
        <v>0</v>
      </c>
      <c r="H126" s="5"/>
      <c r="I126" s="5" t="s">
        <v>73</v>
      </c>
      <c r="J126" s="5"/>
    </row>
    <row r="127" spans="1:10" x14ac:dyDescent="0.25">
      <c r="A127" t="str">
        <f>'LIVE SOURCE'!A127</f>
        <v>WR</v>
      </c>
      <c r="B127" t="str">
        <f>'LIVE SOURCE'!B127</f>
        <v>Chris Godwin Jr.</v>
      </c>
      <c r="C127" s="4">
        <f>'LIVE SOURCE'!D127</f>
        <v>70.86</v>
      </c>
      <c r="D127" s="5"/>
      <c r="E127" s="5"/>
      <c r="F127" s="5"/>
      <c r="G127">
        <f t="shared" si="1"/>
        <v>0</v>
      </c>
      <c r="H127" s="5"/>
      <c r="I127" s="5" t="s">
        <v>73</v>
      </c>
      <c r="J127" s="5"/>
    </row>
    <row r="128" spans="1:10" x14ac:dyDescent="0.25">
      <c r="A128" t="str">
        <f>'LIVE SOURCE'!A128</f>
        <v>WR</v>
      </c>
      <c r="B128" t="str">
        <f>'LIVE SOURCE'!B128</f>
        <v>Quentin Johnston</v>
      </c>
      <c r="C128" s="4">
        <f>'LIVE SOURCE'!D128</f>
        <v>70.19</v>
      </c>
      <c r="D128" s="5"/>
      <c r="E128" s="5"/>
      <c r="F128" s="5"/>
      <c r="G128">
        <f t="shared" si="1"/>
        <v>0</v>
      </c>
      <c r="H128" s="5"/>
      <c r="I128" s="5" t="s">
        <v>73</v>
      </c>
      <c r="J128" s="5"/>
    </row>
    <row r="129" spans="1:10" x14ac:dyDescent="0.25">
      <c r="A129" t="str">
        <f>'LIVE SOURCE'!A129</f>
        <v>WR</v>
      </c>
      <c r="B129" t="str">
        <f>'LIVE SOURCE'!B129</f>
        <v>Ricky Pearsall</v>
      </c>
      <c r="C129" s="4">
        <f>'LIVE SOURCE'!D129</f>
        <v>69.52</v>
      </c>
      <c r="D129" s="5">
        <v>-60</v>
      </c>
      <c r="E129" s="5"/>
      <c r="F129" s="5"/>
      <c r="G129">
        <f t="shared" si="1"/>
        <v>-60</v>
      </c>
      <c r="H129" s="5" t="s">
        <v>654</v>
      </c>
      <c r="I129" s="12">
        <v>46245</v>
      </c>
      <c r="J129" s="5"/>
    </row>
    <row r="130" spans="1:10" x14ac:dyDescent="0.25">
      <c r="A130" t="str">
        <f>'LIVE SOURCE'!A130</f>
        <v>WR</v>
      </c>
      <c r="B130" t="str">
        <f>'LIVE SOURCE'!B130</f>
        <v>Michael Wilson</v>
      </c>
      <c r="C130" s="4">
        <f>'LIVE SOURCE'!D130</f>
        <v>68.849999999999994</v>
      </c>
      <c r="D130" s="5"/>
      <c r="E130" s="5"/>
      <c r="F130" s="5"/>
      <c r="G130">
        <f t="shared" si="1"/>
        <v>0</v>
      </c>
      <c r="H130" s="5"/>
      <c r="I130" s="5" t="s">
        <v>73</v>
      </c>
      <c r="J130" s="5"/>
    </row>
    <row r="131" spans="1:10" x14ac:dyDescent="0.25">
      <c r="A131" t="str">
        <f>'LIVE SOURCE'!A131</f>
        <v>WR</v>
      </c>
      <c r="B131" t="str">
        <f>'LIVE SOURCE'!B131</f>
        <v>Xavier Worthy</v>
      </c>
      <c r="C131" s="4">
        <f>'LIVE SOURCE'!D131</f>
        <v>68.180000000000007</v>
      </c>
      <c r="D131" s="5"/>
      <c r="E131" s="5"/>
      <c r="F131" s="5"/>
      <c r="G131">
        <f t="shared" ref="G131:G194" si="2">SUM(D131:F131)</f>
        <v>0</v>
      </c>
      <c r="H131" s="5"/>
      <c r="I131" s="5" t="s">
        <v>73</v>
      </c>
      <c r="J131" s="5"/>
    </row>
    <row r="132" spans="1:10" x14ac:dyDescent="0.25">
      <c r="A132" t="str">
        <f>'LIVE SOURCE'!A132</f>
        <v>WR</v>
      </c>
      <c r="B132" t="str">
        <f>'LIVE SOURCE'!B132</f>
        <v>Matthew Golden</v>
      </c>
      <c r="C132" s="4">
        <f>'LIVE SOURCE'!D132</f>
        <v>67.510000000000005</v>
      </c>
      <c r="D132" s="5"/>
      <c r="E132" s="5"/>
      <c r="F132" s="5"/>
      <c r="G132">
        <f t="shared" si="2"/>
        <v>0</v>
      </c>
      <c r="H132" s="5"/>
      <c r="I132" s="5" t="s">
        <v>73</v>
      </c>
      <c r="J132" s="5"/>
    </row>
    <row r="133" spans="1:10" x14ac:dyDescent="0.25">
      <c r="A133" t="str">
        <f>'LIVE SOURCE'!A133</f>
        <v>WR</v>
      </c>
      <c r="B133" t="str">
        <f>'LIVE SOURCE'!B133</f>
        <v>Josh Downs</v>
      </c>
      <c r="C133" s="4">
        <f>'LIVE SOURCE'!D133</f>
        <v>66.84</v>
      </c>
      <c r="D133" s="5"/>
      <c r="E133" s="5"/>
      <c r="F133" s="5"/>
      <c r="G133">
        <f t="shared" si="2"/>
        <v>0</v>
      </c>
      <c r="H133" s="5"/>
      <c r="I133" s="5" t="s">
        <v>73</v>
      </c>
      <c r="J133" s="5"/>
    </row>
    <row r="134" spans="1:10" x14ac:dyDescent="0.25">
      <c r="A134" t="str">
        <f>'LIVE SOURCE'!A134</f>
        <v>WR</v>
      </c>
      <c r="B134" t="str">
        <f>'LIVE SOURCE'!B134</f>
        <v>Jayden Reed</v>
      </c>
      <c r="C134" s="4">
        <f>'LIVE SOURCE'!D134</f>
        <v>66.17</v>
      </c>
      <c r="D134" s="5"/>
      <c r="E134" s="5"/>
      <c r="F134" s="5"/>
      <c r="G134">
        <f t="shared" si="2"/>
        <v>0</v>
      </c>
      <c r="H134" s="5"/>
      <c r="I134" s="5" t="s">
        <v>73</v>
      </c>
      <c r="J134" s="5"/>
    </row>
    <row r="135" spans="1:10" x14ac:dyDescent="0.25">
      <c r="A135" t="str">
        <f>'LIVE SOURCE'!A135</f>
        <v>WR</v>
      </c>
      <c r="B135" t="str">
        <f>'LIVE SOURCE'!B135</f>
        <v>Khalil Shakir</v>
      </c>
      <c r="C135" s="4">
        <f>'LIVE SOURCE'!D135</f>
        <v>65.5</v>
      </c>
      <c r="D135" s="5"/>
      <c r="E135" s="5"/>
      <c r="F135" s="5"/>
      <c r="G135">
        <f t="shared" si="2"/>
        <v>0</v>
      </c>
      <c r="H135" s="5"/>
      <c r="I135" s="5" t="s">
        <v>73</v>
      </c>
      <c r="J135" s="5"/>
    </row>
    <row r="136" spans="1:10" x14ac:dyDescent="0.25">
      <c r="A136" t="str">
        <f>'LIVE SOURCE'!A136</f>
        <v>WR</v>
      </c>
      <c r="B136" t="str">
        <f>'LIVE SOURCE'!B136</f>
        <v>Jalin Hyatt</v>
      </c>
      <c r="C136" s="4">
        <f>'LIVE SOURCE'!D136</f>
        <v>64.83</v>
      </c>
      <c r="D136" s="5"/>
      <c r="E136" s="5"/>
      <c r="F136" s="5"/>
      <c r="G136">
        <f t="shared" si="2"/>
        <v>0</v>
      </c>
      <c r="H136" s="5"/>
      <c r="I136" s="5" t="s">
        <v>73</v>
      </c>
      <c r="J136" s="5"/>
    </row>
    <row r="137" spans="1:10" x14ac:dyDescent="0.25">
      <c r="A137" t="str">
        <f>'LIVE SOURCE'!A137</f>
        <v>WR</v>
      </c>
      <c r="B137" t="str">
        <f>'LIVE SOURCE'!B137</f>
        <v>Romeo Doubs</v>
      </c>
      <c r="C137" s="4">
        <f>'LIVE SOURCE'!D137</f>
        <v>64.16</v>
      </c>
      <c r="D137" s="5"/>
      <c r="E137" s="5"/>
      <c r="F137" s="5"/>
      <c r="G137">
        <f t="shared" si="2"/>
        <v>0</v>
      </c>
      <c r="H137" s="5"/>
      <c r="I137" s="5" t="s">
        <v>73</v>
      </c>
      <c r="J137" s="5"/>
    </row>
    <row r="138" spans="1:10" x14ac:dyDescent="0.25">
      <c r="A138" t="str">
        <f>'LIVE SOURCE'!A138</f>
        <v>WR</v>
      </c>
      <c r="B138" t="str">
        <f>'LIVE SOURCE'!B138</f>
        <v>Jalen Coker</v>
      </c>
      <c r="C138" s="4">
        <f>'LIVE SOURCE'!D138</f>
        <v>63.49</v>
      </c>
      <c r="D138" s="5"/>
      <c r="E138" s="5"/>
      <c r="F138" s="5"/>
      <c r="G138">
        <f t="shared" si="2"/>
        <v>0</v>
      </c>
      <c r="H138" s="5"/>
      <c r="I138" s="5" t="s">
        <v>73</v>
      </c>
      <c r="J138" s="5"/>
    </row>
    <row r="139" spans="1:10" x14ac:dyDescent="0.25">
      <c r="A139" t="str">
        <f>'LIVE SOURCE'!A139</f>
        <v>WR</v>
      </c>
      <c r="B139" t="str">
        <f>'LIVE SOURCE'!B139</f>
        <v>KC Concepcion</v>
      </c>
      <c r="C139" s="4">
        <f>'LIVE SOURCE'!D139</f>
        <v>62.82</v>
      </c>
      <c r="D139" s="5"/>
      <c r="E139" s="5"/>
      <c r="F139" s="5"/>
      <c r="G139">
        <f t="shared" si="2"/>
        <v>0</v>
      </c>
      <c r="H139" s="5"/>
      <c r="I139" s="5" t="s">
        <v>73</v>
      </c>
      <c r="J139" s="5"/>
    </row>
    <row r="140" spans="1:10" x14ac:dyDescent="0.25">
      <c r="A140" t="str">
        <f>'LIVE SOURCE'!A140</f>
        <v>WR</v>
      </c>
      <c r="B140" t="str">
        <f>'LIVE SOURCE'!B140</f>
        <v>Rashid Shaheed</v>
      </c>
      <c r="C140" s="4">
        <f>'LIVE SOURCE'!D140</f>
        <v>62.15</v>
      </c>
      <c r="D140" s="5"/>
      <c r="E140" s="5"/>
      <c r="F140" s="5"/>
      <c r="G140">
        <f t="shared" si="2"/>
        <v>0</v>
      </c>
      <c r="H140" s="5"/>
      <c r="I140" s="5" t="s">
        <v>73</v>
      </c>
      <c r="J140" s="5"/>
    </row>
    <row r="141" spans="1:10" x14ac:dyDescent="0.25">
      <c r="A141" t="str">
        <f>'LIVE SOURCE'!A141</f>
        <v>WR</v>
      </c>
      <c r="B141" t="str">
        <f>'LIVE SOURCE'!B141</f>
        <v>Calvin Ridley</v>
      </c>
      <c r="C141" s="4">
        <f>'LIVE SOURCE'!D141</f>
        <v>61.48</v>
      </c>
      <c r="D141" s="5"/>
      <c r="E141" s="5"/>
      <c r="F141" s="5"/>
      <c r="G141">
        <f t="shared" si="2"/>
        <v>0</v>
      </c>
      <c r="H141" s="5"/>
      <c r="I141" s="5" t="s">
        <v>73</v>
      </c>
      <c r="J141" s="5"/>
    </row>
    <row r="142" spans="1:10" x14ac:dyDescent="0.25">
      <c r="A142" t="str">
        <f>'LIVE SOURCE'!A142</f>
        <v>WR</v>
      </c>
      <c r="B142" t="str">
        <f>'LIVE SOURCE'!B142</f>
        <v>Omar Cooper Jr.</v>
      </c>
      <c r="C142" s="4">
        <f>'LIVE SOURCE'!D142</f>
        <v>60.81</v>
      </c>
      <c r="D142" s="5"/>
      <c r="E142" s="5"/>
      <c r="F142" s="5"/>
      <c r="G142">
        <f t="shared" si="2"/>
        <v>0</v>
      </c>
      <c r="H142" s="5"/>
      <c r="I142" s="5" t="s">
        <v>73</v>
      </c>
      <c r="J142" s="5"/>
    </row>
    <row r="143" spans="1:10" x14ac:dyDescent="0.25">
      <c r="A143" t="str">
        <f>'LIVE SOURCE'!A143</f>
        <v>WR</v>
      </c>
      <c r="B143" t="str">
        <f>'LIVE SOURCE'!B143</f>
        <v>Jerry Jeudy</v>
      </c>
      <c r="C143" s="4">
        <f>'LIVE SOURCE'!D143</f>
        <v>60.14</v>
      </c>
      <c r="D143" s="5"/>
      <c r="E143" s="5"/>
      <c r="F143" s="5"/>
      <c r="G143">
        <f t="shared" si="2"/>
        <v>0</v>
      </c>
      <c r="H143" s="5"/>
      <c r="I143" s="5" t="s">
        <v>73</v>
      </c>
      <c r="J143" s="5"/>
    </row>
    <row r="144" spans="1:10" x14ac:dyDescent="0.25">
      <c r="A144" t="str">
        <f>'LIVE SOURCE'!A144</f>
        <v>WR</v>
      </c>
      <c r="B144" t="str">
        <f>'LIVE SOURCE'!B144</f>
        <v>Jalen Nailor</v>
      </c>
      <c r="C144" s="4">
        <f>'LIVE SOURCE'!D144</f>
        <v>59.47</v>
      </c>
      <c r="D144" s="5"/>
      <c r="E144" s="5"/>
      <c r="F144" s="5"/>
      <c r="G144">
        <f t="shared" si="2"/>
        <v>0</v>
      </c>
      <c r="H144" s="5"/>
      <c r="I144" s="5" t="s">
        <v>73</v>
      </c>
      <c r="J144" s="5"/>
    </row>
    <row r="145" spans="1:10" x14ac:dyDescent="0.25">
      <c r="A145" t="str">
        <f>'LIVE SOURCE'!A145</f>
        <v>WR</v>
      </c>
      <c r="B145" t="str">
        <f>'LIVE SOURCE'!B145</f>
        <v>Jalen McMillan</v>
      </c>
      <c r="C145" s="4">
        <f>'LIVE SOURCE'!D145</f>
        <v>58.8</v>
      </c>
      <c r="D145" s="5"/>
      <c r="E145" s="5"/>
      <c r="F145" s="5"/>
      <c r="G145">
        <f t="shared" si="2"/>
        <v>0</v>
      </c>
      <c r="H145" s="5"/>
      <c r="I145" s="5" t="s">
        <v>73</v>
      </c>
      <c r="J145" s="5"/>
    </row>
    <row r="146" spans="1:10" x14ac:dyDescent="0.25">
      <c r="A146" t="str">
        <f>'LIVE SOURCE'!A146</f>
        <v>WR</v>
      </c>
      <c r="B146" t="str">
        <f>'LIVE SOURCE'!B146</f>
        <v>Adonai Mitchell</v>
      </c>
      <c r="C146" s="4">
        <f>'LIVE SOURCE'!D146</f>
        <v>58.13</v>
      </c>
      <c r="D146" s="5"/>
      <c r="E146" s="5"/>
      <c r="F146" s="5"/>
      <c r="G146">
        <f t="shared" si="2"/>
        <v>0</v>
      </c>
      <c r="H146" s="5"/>
      <c r="I146" s="5" t="s">
        <v>73</v>
      </c>
      <c r="J146" s="5"/>
    </row>
    <row r="147" spans="1:10" x14ac:dyDescent="0.25">
      <c r="A147" t="str">
        <f>'LIVE SOURCE'!A147</f>
        <v>WR</v>
      </c>
      <c r="B147" t="str">
        <f>'LIVE SOURCE'!B147</f>
        <v>Isaac TeSlaa</v>
      </c>
      <c r="C147" s="4">
        <f>'LIVE SOURCE'!D147</f>
        <v>57.46</v>
      </c>
      <c r="D147" s="5"/>
      <c r="E147" s="5"/>
      <c r="F147" s="5"/>
      <c r="G147">
        <f t="shared" si="2"/>
        <v>0</v>
      </c>
      <c r="H147" s="5"/>
      <c r="I147" s="5" t="s">
        <v>73</v>
      </c>
      <c r="J147" s="5"/>
    </row>
    <row r="148" spans="1:10" x14ac:dyDescent="0.25">
      <c r="A148" t="str">
        <f>'LIVE SOURCE'!A148</f>
        <v>WR</v>
      </c>
      <c r="B148" t="str">
        <f>'LIVE SOURCE'!B148</f>
        <v>Denzel Boston</v>
      </c>
      <c r="C148" s="4">
        <f>'LIVE SOURCE'!D148</f>
        <v>56.79</v>
      </c>
      <c r="D148" s="5"/>
      <c r="E148" s="5"/>
      <c r="F148" s="5"/>
      <c r="G148">
        <f t="shared" si="2"/>
        <v>0</v>
      </c>
      <c r="H148" s="5"/>
      <c r="I148" s="5" t="s">
        <v>73</v>
      </c>
      <c r="J148" s="5"/>
    </row>
    <row r="149" spans="1:10" x14ac:dyDescent="0.25">
      <c r="A149" t="str">
        <f>'LIVE SOURCE'!A149</f>
        <v>WR</v>
      </c>
      <c r="B149" t="str">
        <f>'LIVE SOURCE'!B149</f>
        <v>Tre Tucker</v>
      </c>
      <c r="C149" s="4">
        <f>'LIVE SOURCE'!D149</f>
        <v>56.12</v>
      </c>
      <c r="D149" s="5"/>
      <c r="E149" s="5"/>
      <c r="F149" s="5"/>
      <c r="G149">
        <f t="shared" si="2"/>
        <v>0</v>
      </c>
      <c r="H149" s="5"/>
      <c r="I149" s="5" t="s">
        <v>73</v>
      </c>
      <c r="J149" s="5"/>
    </row>
    <row r="150" spans="1:10" x14ac:dyDescent="0.25">
      <c r="A150" t="str">
        <f>'LIVE SOURCE'!A150</f>
        <v>WR</v>
      </c>
      <c r="B150" t="str">
        <f>'LIVE SOURCE'!B150</f>
        <v>Antonio Williams</v>
      </c>
      <c r="C150" s="4">
        <f>'LIVE SOURCE'!D150</f>
        <v>55.45</v>
      </c>
      <c r="D150" s="5"/>
      <c r="E150" s="5"/>
      <c r="F150" s="5"/>
      <c r="G150">
        <f t="shared" si="2"/>
        <v>0</v>
      </c>
      <c r="H150" s="5"/>
      <c r="I150" s="5" t="s">
        <v>73</v>
      </c>
      <c r="J150" s="5"/>
    </row>
    <row r="151" spans="1:10" x14ac:dyDescent="0.25">
      <c r="A151" t="str">
        <f>'LIVE SOURCE'!A151</f>
        <v>WR</v>
      </c>
      <c r="B151" t="str">
        <f>'LIVE SOURCE'!B151</f>
        <v>Travis Hunter</v>
      </c>
      <c r="C151" s="4">
        <f>'LIVE SOURCE'!D151</f>
        <v>54.78</v>
      </c>
      <c r="D151" s="5"/>
      <c r="E151" s="5"/>
      <c r="F151" s="5"/>
      <c r="G151">
        <f t="shared" si="2"/>
        <v>0</v>
      </c>
      <c r="H151" s="5"/>
      <c r="I151" s="5" t="s">
        <v>73</v>
      </c>
      <c r="J151" s="5"/>
    </row>
    <row r="152" spans="1:10" x14ac:dyDescent="0.25">
      <c r="A152" t="str">
        <f>'LIVE SOURCE'!A152</f>
        <v>WR</v>
      </c>
      <c r="B152" t="str">
        <f>'LIVE SOURCE'!B152</f>
        <v>Ryan Flournoy</v>
      </c>
      <c r="C152" s="4">
        <f>'LIVE SOURCE'!D152</f>
        <v>54.11</v>
      </c>
      <c r="D152" s="5"/>
      <c r="E152" s="5"/>
      <c r="F152" s="5"/>
      <c r="G152">
        <f t="shared" si="2"/>
        <v>0</v>
      </c>
      <c r="H152" s="5"/>
      <c r="I152" s="5" t="s">
        <v>73</v>
      </c>
      <c r="J152" s="5"/>
    </row>
    <row r="153" spans="1:10" x14ac:dyDescent="0.25">
      <c r="A153" t="str">
        <f>'LIVE SOURCE'!A153</f>
        <v>WR</v>
      </c>
      <c r="B153" t="str">
        <f>'LIVE SOURCE'!B153</f>
        <v>Jauan Jennings</v>
      </c>
      <c r="C153" s="4">
        <f>'LIVE SOURCE'!D153</f>
        <v>53.44</v>
      </c>
      <c r="D153" s="5"/>
      <c r="E153" s="5"/>
      <c r="F153" s="5"/>
      <c r="G153">
        <f t="shared" si="2"/>
        <v>0</v>
      </c>
      <c r="H153" s="5"/>
      <c r="I153" s="5" t="s">
        <v>73</v>
      </c>
      <c r="J153" s="5"/>
    </row>
    <row r="154" spans="1:10" x14ac:dyDescent="0.25">
      <c r="A154" t="str">
        <f>'LIVE SOURCE'!A154</f>
        <v>WR</v>
      </c>
      <c r="B154" t="str">
        <f>'LIVE SOURCE'!B154</f>
        <v>Darnell Mooney</v>
      </c>
      <c r="C154" s="4">
        <f>'LIVE SOURCE'!D154</f>
        <v>52.77</v>
      </c>
      <c r="D154" s="5"/>
      <c r="E154" s="5"/>
      <c r="F154" s="5"/>
      <c r="G154">
        <f t="shared" si="2"/>
        <v>0</v>
      </c>
      <c r="H154" s="5"/>
      <c r="I154" s="5" t="s">
        <v>73</v>
      </c>
      <c r="J154" s="5"/>
    </row>
    <row r="155" spans="1:10" x14ac:dyDescent="0.25">
      <c r="A155" t="str">
        <f>'LIVE SOURCE'!A155</f>
        <v>TE</v>
      </c>
      <c r="B155" t="str">
        <f>'LIVE SOURCE'!B155</f>
        <v>Trey McBride</v>
      </c>
      <c r="C155" s="4">
        <f>'LIVE SOURCE'!D155</f>
        <v>97.737099999999998</v>
      </c>
      <c r="D155" s="5"/>
      <c r="E155" s="5"/>
      <c r="F155" s="5"/>
      <c r="G155">
        <f t="shared" si="2"/>
        <v>0</v>
      </c>
      <c r="H155" s="5"/>
      <c r="I155" s="5" t="s">
        <v>73</v>
      </c>
      <c r="J155" s="5"/>
    </row>
    <row r="156" spans="1:10" x14ac:dyDescent="0.25">
      <c r="A156" t="str">
        <f>'LIVE SOURCE'!A156</f>
        <v>TE</v>
      </c>
      <c r="B156" t="str">
        <f>'LIVE SOURCE'!B156</f>
        <v>Brock Bowers</v>
      </c>
      <c r="C156" s="4">
        <f>'LIVE SOURCE'!D156</f>
        <v>94.884600000000006</v>
      </c>
      <c r="D156" s="5"/>
      <c r="E156" s="5"/>
      <c r="F156" s="5"/>
      <c r="G156">
        <f t="shared" si="2"/>
        <v>0</v>
      </c>
      <c r="H156" s="5"/>
      <c r="I156" s="5" t="s">
        <v>73</v>
      </c>
      <c r="J156" s="5"/>
    </row>
    <row r="157" spans="1:10" x14ac:dyDescent="0.25">
      <c r="A157" t="str">
        <f>'LIVE SOURCE'!A157</f>
        <v>TE</v>
      </c>
      <c r="B157" t="str">
        <f>'LIVE SOURCE'!B157</f>
        <v>Colston Loveland</v>
      </c>
      <c r="C157" s="4">
        <f>'LIVE SOURCE'!D157</f>
        <v>88.753100000000003</v>
      </c>
      <c r="D157" s="5"/>
      <c r="E157" s="5"/>
      <c r="F157" s="5"/>
      <c r="G157">
        <f t="shared" si="2"/>
        <v>0</v>
      </c>
      <c r="H157" s="5"/>
      <c r="I157" s="5" t="s">
        <v>73</v>
      </c>
      <c r="J157" s="5"/>
    </row>
    <row r="158" spans="1:10" x14ac:dyDescent="0.25">
      <c r="A158" t="str">
        <f>'LIVE SOURCE'!A158</f>
        <v>TE</v>
      </c>
      <c r="B158" t="str">
        <f>'LIVE SOURCE'!B158</f>
        <v>Tyler Warren</v>
      </c>
      <c r="C158" s="4">
        <f>'LIVE SOURCE'!D158</f>
        <v>87.202399999999997</v>
      </c>
      <c r="D158" s="5"/>
      <c r="E158" s="5"/>
      <c r="F158" s="5"/>
      <c r="G158">
        <f t="shared" si="2"/>
        <v>0</v>
      </c>
      <c r="H158" s="5"/>
      <c r="I158" s="5" t="s">
        <v>73</v>
      </c>
      <c r="J158" s="5"/>
    </row>
    <row r="159" spans="1:10" x14ac:dyDescent="0.25">
      <c r="A159" t="str">
        <f>'LIVE SOURCE'!A159</f>
        <v>TE</v>
      </c>
      <c r="B159" t="str">
        <f>'LIVE SOURCE'!B159</f>
        <v>George Kittle</v>
      </c>
      <c r="C159" s="4">
        <f>'LIVE SOURCE'!D159</f>
        <v>86.266400000000004</v>
      </c>
      <c r="D159" s="5"/>
      <c r="E159" s="5"/>
      <c r="F159" s="5"/>
      <c r="G159">
        <f t="shared" si="2"/>
        <v>0</v>
      </c>
      <c r="H159" s="5"/>
      <c r="I159" s="5" t="s">
        <v>73</v>
      </c>
      <c r="J159" s="5"/>
    </row>
    <row r="160" spans="1:10" x14ac:dyDescent="0.25">
      <c r="A160" t="str">
        <f>'LIVE SOURCE'!A160</f>
        <v>TE</v>
      </c>
      <c r="B160" t="str">
        <f>'LIVE SOURCE'!B160</f>
        <v>Kyle Pitts Sr.</v>
      </c>
      <c r="C160" s="4">
        <f>'LIVE SOURCE'!D160</f>
        <v>85.304500000000004</v>
      </c>
      <c r="D160" s="5"/>
      <c r="E160" s="5"/>
      <c r="F160" s="5"/>
      <c r="G160">
        <f t="shared" si="2"/>
        <v>0</v>
      </c>
      <c r="H160" s="5"/>
      <c r="I160" s="5" t="s">
        <v>73</v>
      </c>
      <c r="J160" s="5"/>
    </row>
    <row r="161" spans="1:10" x14ac:dyDescent="0.25">
      <c r="A161" t="str">
        <f>'LIVE SOURCE'!A161</f>
        <v>TE</v>
      </c>
      <c r="B161" t="str">
        <f>'LIVE SOURCE'!B161</f>
        <v>Harold Fannin Jr.</v>
      </c>
      <c r="C161" s="4">
        <f>'LIVE SOURCE'!D161</f>
        <v>84.377700000000004</v>
      </c>
      <c r="D161" s="5"/>
      <c r="E161" s="5"/>
      <c r="F161" s="5"/>
      <c r="G161">
        <f t="shared" si="2"/>
        <v>0</v>
      </c>
      <c r="H161" s="5"/>
      <c r="I161" s="5" t="s">
        <v>73</v>
      </c>
      <c r="J161" s="5"/>
    </row>
    <row r="162" spans="1:10" x14ac:dyDescent="0.25">
      <c r="A162" t="str">
        <f>'LIVE SOURCE'!A162</f>
        <v>TE</v>
      </c>
      <c r="B162" t="str">
        <f>'LIVE SOURCE'!B162</f>
        <v>Jake Ferguson</v>
      </c>
      <c r="C162" s="4">
        <f>'LIVE SOURCE'!D162</f>
        <v>84.072999999999993</v>
      </c>
      <c r="D162" s="5"/>
      <c r="E162" s="5"/>
      <c r="F162" s="5"/>
      <c r="G162">
        <f t="shared" si="2"/>
        <v>0</v>
      </c>
      <c r="H162" s="5"/>
      <c r="I162" s="5" t="s">
        <v>73</v>
      </c>
      <c r="J162" s="5"/>
    </row>
    <row r="163" spans="1:10" x14ac:dyDescent="0.25">
      <c r="A163" t="str">
        <f>'LIVE SOURCE'!A163</f>
        <v>TE</v>
      </c>
      <c r="B163" t="str">
        <f>'LIVE SOURCE'!B163</f>
        <v>Tucker Kraft</v>
      </c>
      <c r="C163" s="4">
        <f>'LIVE SOURCE'!D163</f>
        <v>83.808599999999998</v>
      </c>
      <c r="D163" s="5"/>
      <c r="E163" s="5"/>
      <c r="F163" s="5"/>
      <c r="G163">
        <f t="shared" si="2"/>
        <v>0</v>
      </c>
      <c r="H163" s="5"/>
      <c r="I163" s="5" t="s">
        <v>73</v>
      </c>
      <c r="J163" s="5"/>
    </row>
    <row r="164" spans="1:10" x14ac:dyDescent="0.25">
      <c r="A164" t="str">
        <f>'LIVE SOURCE'!A164</f>
        <v>TE</v>
      </c>
      <c r="B164" t="str">
        <f>'LIVE SOURCE'!B164</f>
        <v>Sam LaPorta</v>
      </c>
      <c r="C164" s="4">
        <f>'LIVE SOURCE'!D164</f>
        <v>82.865300000000005</v>
      </c>
      <c r="D164" s="5"/>
      <c r="E164" s="5"/>
      <c r="F164" s="5"/>
      <c r="G164">
        <f t="shared" si="2"/>
        <v>0</v>
      </c>
      <c r="H164" s="5"/>
      <c r="I164" s="5" t="s">
        <v>73</v>
      </c>
      <c r="J164" s="5"/>
    </row>
    <row r="165" spans="1:10" x14ac:dyDescent="0.25">
      <c r="A165" t="str">
        <f>'LIVE SOURCE'!A165</f>
        <v>TE</v>
      </c>
      <c r="B165" t="str">
        <f>'LIVE SOURCE'!B165</f>
        <v>Dalton Kincaid</v>
      </c>
      <c r="C165" s="4">
        <f>'LIVE SOURCE'!D165</f>
        <v>81.914100000000005</v>
      </c>
      <c r="D165" s="5"/>
      <c r="E165" s="5"/>
      <c r="F165" s="5"/>
      <c r="G165">
        <f t="shared" si="2"/>
        <v>0</v>
      </c>
      <c r="H165" s="5"/>
      <c r="I165" s="5" t="s">
        <v>73</v>
      </c>
      <c r="J165" s="5"/>
    </row>
    <row r="166" spans="1:10" x14ac:dyDescent="0.25">
      <c r="A166" t="str">
        <f>'LIVE SOURCE'!A166</f>
        <v>TE</v>
      </c>
      <c r="B166" t="str">
        <f>'LIVE SOURCE'!B166</f>
        <v>Travis Kelce</v>
      </c>
      <c r="C166" s="4">
        <f>'LIVE SOURCE'!D166</f>
        <v>81.747799999999998</v>
      </c>
      <c r="D166" s="5"/>
      <c r="E166" s="5"/>
      <c r="F166" s="5"/>
      <c r="G166">
        <f t="shared" si="2"/>
        <v>0</v>
      </c>
      <c r="H166" s="5"/>
      <c r="I166" s="5" t="s">
        <v>73</v>
      </c>
      <c r="J166" s="5"/>
    </row>
    <row r="167" spans="1:10" x14ac:dyDescent="0.25">
      <c r="A167" t="str">
        <f>'LIVE SOURCE'!A167</f>
        <v>TE</v>
      </c>
      <c r="B167" t="str">
        <f>'LIVE SOURCE'!B167</f>
        <v>Dallas Goedert</v>
      </c>
      <c r="C167" s="4">
        <f>'LIVE SOURCE'!D167</f>
        <v>79.918099999999995</v>
      </c>
      <c r="D167" s="5"/>
      <c r="E167" s="5"/>
      <c r="F167" s="5"/>
      <c r="G167">
        <f t="shared" si="2"/>
        <v>0</v>
      </c>
      <c r="H167" s="5"/>
      <c r="I167" s="5" t="s">
        <v>73</v>
      </c>
      <c r="J167" s="5"/>
    </row>
    <row r="168" spans="1:10" x14ac:dyDescent="0.25">
      <c r="A168" t="str">
        <f>'LIVE SOURCE'!A168</f>
        <v>TE</v>
      </c>
      <c r="B168" t="str">
        <f>'LIVE SOURCE'!B168</f>
        <v>Mark Andrews</v>
      </c>
      <c r="C168" s="4">
        <f>'LIVE SOURCE'!D168</f>
        <v>79.065399999999997</v>
      </c>
      <c r="D168" s="5"/>
      <c r="E168" s="5"/>
      <c r="F168" s="5"/>
      <c r="G168">
        <f t="shared" si="2"/>
        <v>0</v>
      </c>
      <c r="H168" s="5"/>
      <c r="I168" s="5" t="s">
        <v>73</v>
      </c>
      <c r="J168" s="5"/>
    </row>
    <row r="169" spans="1:10" x14ac:dyDescent="0.25">
      <c r="A169" t="str">
        <f>'LIVE SOURCE'!A169</f>
        <v>TE</v>
      </c>
      <c r="B169" t="str">
        <f>'LIVE SOURCE'!B169</f>
        <v>Isaiah Likely</v>
      </c>
      <c r="C169" s="4">
        <f>'LIVE SOURCE'!D169</f>
        <v>78.579499999999996</v>
      </c>
      <c r="D169" s="5"/>
      <c r="E169" s="5"/>
      <c r="F169" s="5"/>
      <c r="G169">
        <f t="shared" si="2"/>
        <v>0</v>
      </c>
      <c r="H169" s="5"/>
      <c r="I169" s="5" t="s">
        <v>73</v>
      </c>
      <c r="J169" s="5"/>
    </row>
    <row r="170" spans="1:10" x14ac:dyDescent="0.25">
      <c r="A170" t="str">
        <f>'LIVE SOURCE'!A170</f>
        <v>TE</v>
      </c>
      <c r="B170" t="str">
        <f>'LIVE SOURCE'!B170</f>
        <v>Juwan Johnson</v>
      </c>
      <c r="C170" s="4">
        <f>'LIVE SOURCE'!D170</f>
        <v>78.320300000000003</v>
      </c>
      <c r="D170" s="5"/>
      <c r="E170" s="5"/>
      <c r="F170" s="5"/>
      <c r="G170">
        <f t="shared" si="2"/>
        <v>0</v>
      </c>
      <c r="H170" s="5"/>
      <c r="I170" s="5" t="s">
        <v>73</v>
      </c>
      <c r="J170" s="5"/>
    </row>
    <row r="171" spans="1:10" x14ac:dyDescent="0.25">
      <c r="A171" t="str">
        <f>'LIVE SOURCE'!A171</f>
        <v>TE</v>
      </c>
      <c r="B171" t="str">
        <f>'LIVE SOURCE'!B171</f>
        <v>Hunter Henry</v>
      </c>
      <c r="C171" s="4">
        <f>'LIVE SOURCE'!D171</f>
        <v>76.252600000000001</v>
      </c>
      <c r="D171" s="5"/>
      <c r="E171" s="5"/>
      <c r="F171" s="5"/>
      <c r="G171">
        <f t="shared" si="2"/>
        <v>0</v>
      </c>
      <c r="H171" s="5"/>
      <c r="I171" s="5" t="s">
        <v>73</v>
      </c>
      <c r="J171" s="5"/>
    </row>
    <row r="172" spans="1:10" x14ac:dyDescent="0.25">
      <c r="A172" t="str">
        <f>'LIVE SOURCE'!A172</f>
        <v>TE</v>
      </c>
      <c r="B172" t="str">
        <f>'LIVE SOURCE'!B172</f>
        <v>Brenton Strange</v>
      </c>
      <c r="C172" s="4">
        <f>'LIVE SOURCE'!D172</f>
        <v>76.0321</v>
      </c>
      <c r="D172" s="5"/>
      <c r="E172" s="5"/>
      <c r="F172" s="5"/>
      <c r="G172">
        <f t="shared" si="2"/>
        <v>0</v>
      </c>
      <c r="H172" s="5"/>
      <c r="I172" s="5" t="s">
        <v>73</v>
      </c>
      <c r="J172" s="5"/>
    </row>
    <row r="173" spans="1:10" x14ac:dyDescent="0.25">
      <c r="A173" t="str">
        <f>'LIVE SOURCE'!A173</f>
        <v>TE</v>
      </c>
      <c r="B173" t="str">
        <f>'LIVE SOURCE'!B173</f>
        <v>Chig Okonkwo</v>
      </c>
      <c r="C173" s="4">
        <f>'LIVE SOURCE'!D173</f>
        <v>75.513199999999998</v>
      </c>
      <c r="D173" s="5"/>
      <c r="E173" s="5"/>
      <c r="F173" s="5"/>
      <c r="G173">
        <f t="shared" si="2"/>
        <v>0</v>
      </c>
      <c r="H173" s="5"/>
      <c r="I173" s="5" t="s">
        <v>73</v>
      </c>
      <c r="J173" s="5"/>
    </row>
    <row r="174" spans="1:10" x14ac:dyDescent="0.25">
      <c r="A174" t="str">
        <f>'LIVE SOURCE'!A174</f>
        <v>TE</v>
      </c>
      <c r="B174" t="str">
        <f>'LIVE SOURCE'!B174</f>
        <v>Kenyon Sadiq</v>
      </c>
      <c r="C174" s="4">
        <f>'LIVE SOURCE'!D174</f>
        <v>74.093800000000002</v>
      </c>
      <c r="D174" s="5"/>
      <c r="E174" s="5"/>
      <c r="F174" s="5"/>
      <c r="G174">
        <f t="shared" si="2"/>
        <v>0</v>
      </c>
      <c r="H174" s="5"/>
      <c r="I174" s="5" t="s">
        <v>73</v>
      </c>
      <c r="J174" s="5"/>
    </row>
    <row r="175" spans="1:10" x14ac:dyDescent="0.25">
      <c r="A175" t="str">
        <f>'LIVE SOURCE'!A175</f>
        <v>TE</v>
      </c>
      <c r="B175" t="str">
        <f>'LIVE SOURCE'!B175</f>
        <v>T.J. Hockenson</v>
      </c>
      <c r="C175" s="4">
        <f>'LIVE SOURCE'!D175</f>
        <v>73.852699999999999</v>
      </c>
      <c r="D175" s="5"/>
      <c r="E175" s="5"/>
      <c r="F175" s="5"/>
      <c r="G175">
        <f t="shared" si="2"/>
        <v>0</v>
      </c>
      <c r="H175" s="5"/>
      <c r="I175" s="5" t="s">
        <v>73</v>
      </c>
      <c r="J175" s="5"/>
    </row>
    <row r="176" spans="1:10" x14ac:dyDescent="0.25">
      <c r="A176" t="str">
        <f>'LIVE SOURCE'!A176</f>
        <v>TE</v>
      </c>
      <c r="B176" t="str">
        <f>'LIVE SOURCE'!B176</f>
        <v>Dalton Schultz</v>
      </c>
      <c r="C176" s="4">
        <f>'LIVE SOURCE'!D176</f>
        <v>73.279499999999999</v>
      </c>
      <c r="D176" s="5"/>
      <c r="E176" s="5"/>
      <c r="F176" s="5"/>
      <c r="G176">
        <f t="shared" si="2"/>
        <v>0</v>
      </c>
      <c r="H176" s="5"/>
      <c r="I176" s="5" t="s">
        <v>73</v>
      </c>
      <c r="J176" s="5"/>
    </row>
    <row r="177" spans="1:10" x14ac:dyDescent="0.25">
      <c r="A177" t="str">
        <f>'LIVE SOURCE'!A177</f>
        <v>TE</v>
      </c>
      <c r="B177" t="str">
        <f>'LIVE SOURCE'!B177</f>
        <v>Oronde Gadsden II</v>
      </c>
      <c r="C177" s="4">
        <f>'LIVE SOURCE'!D177</f>
        <v>72.513800000000003</v>
      </c>
      <c r="D177" s="5"/>
      <c r="E177" s="5"/>
      <c r="F177" s="5"/>
      <c r="G177">
        <f t="shared" si="2"/>
        <v>0</v>
      </c>
      <c r="H177" s="5"/>
      <c r="I177" s="5" t="s">
        <v>73</v>
      </c>
      <c r="J177" s="5"/>
    </row>
    <row r="178" spans="1:10" x14ac:dyDescent="0.25">
      <c r="A178" t="str">
        <f>'LIVE SOURCE'!A178</f>
        <v>TE</v>
      </c>
      <c r="B178" t="str">
        <f>'LIVE SOURCE'!B178</f>
        <v>AJ Barner</v>
      </c>
      <c r="C178" s="4">
        <f>'LIVE SOURCE'!D178</f>
        <v>70.124499999999998</v>
      </c>
      <c r="D178" s="5"/>
      <c r="E178" s="5"/>
      <c r="F178" s="5"/>
      <c r="G178">
        <f t="shared" si="2"/>
        <v>0</v>
      </c>
      <c r="H178" s="5"/>
      <c r="I178" s="5" t="s">
        <v>73</v>
      </c>
      <c r="J178" s="5"/>
    </row>
    <row r="179" spans="1:10" x14ac:dyDescent="0.25">
      <c r="A179" t="str">
        <f>'LIVE SOURCE'!A179</f>
        <v>TE</v>
      </c>
      <c r="B179" t="str">
        <f>'LIVE SOURCE'!B179</f>
        <v>Cade Otton</v>
      </c>
      <c r="C179" s="4">
        <f>'LIVE SOURCE'!D179</f>
        <v>66.649000000000001</v>
      </c>
      <c r="D179" s="5"/>
      <c r="E179" s="5"/>
      <c r="F179" s="5"/>
      <c r="G179">
        <f t="shared" si="2"/>
        <v>0</v>
      </c>
      <c r="H179" s="5"/>
      <c r="I179" s="5" t="s">
        <v>73</v>
      </c>
      <c r="J179" s="5"/>
    </row>
    <row r="180" spans="1:10" x14ac:dyDescent="0.25">
      <c r="A180" t="str">
        <f>'LIVE SOURCE'!A180</f>
        <v>TE</v>
      </c>
      <c r="B180" t="str">
        <f>'LIVE SOURCE'!B180</f>
        <v>Gunnar Helm</v>
      </c>
      <c r="C180" s="4">
        <f>'LIVE SOURCE'!D180</f>
        <v>66.622299999999996</v>
      </c>
      <c r="D180" s="5"/>
      <c r="E180" s="5"/>
      <c r="F180" s="5"/>
      <c r="G180">
        <f t="shared" si="2"/>
        <v>0</v>
      </c>
      <c r="H180" s="5"/>
      <c r="I180" s="5" t="s">
        <v>73</v>
      </c>
      <c r="J180" s="5"/>
    </row>
    <row r="181" spans="1:10" x14ac:dyDescent="0.25">
      <c r="A181" t="str">
        <f>'LIVE SOURCE'!A181</f>
        <v>TE</v>
      </c>
      <c r="B181" t="str">
        <f>'LIVE SOURCE'!B181</f>
        <v>Terrance Ferguson</v>
      </c>
      <c r="C181" s="4">
        <f>'LIVE SOURCE'!D181</f>
        <v>64.362099999999998</v>
      </c>
      <c r="D181" s="5"/>
      <c r="E181" s="5"/>
      <c r="F181" s="5"/>
      <c r="G181">
        <f t="shared" si="2"/>
        <v>0</v>
      </c>
      <c r="H181" s="5"/>
      <c r="I181" s="5" t="s">
        <v>73</v>
      </c>
      <c r="J181" s="5"/>
    </row>
    <row r="182" spans="1:10" x14ac:dyDescent="0.25">
      <c r="A182" t="str">
        <f>'LIVE SOURCE'!A182</f>
        <v>K</v>
      </c>
      <c r="B182" t="str">
        <f>'LIVE SOURCE'!B182</f>
        <v>Brandon Aubrey</v>
      </c>
      <c r="C182" s="4">
        <f>'LIVE SOURCE'!D182</f>
        <v>94</v>
      </c>
      <c r="D182" s="5"/>
      <c r="E182" s="5"/>
      <c r="F182" s="5"/>
      <c r="G182">
        <f t="shared" si="2"/>
        <v>0</v>
      </c>
      <c r="H182" s="5"/>
      <c r="I182" s="5" t="s">
        <v>73</v>
      </c>
      <c r="J182" s="5"/>
    </row>
    <row r="183" spans="1:10" x14ac:dyDescent="0.25">
      <c r="A183" t="str">
        <f>'LIVE SOURCE'!A183</f>
        <v>K</v>
      </c>
      <c r="B183" t="str">
        <f>'LIVE SOURCE'!B183</f>
        <v>Ka'imi Fairbairn</v>
      </c>
      <c r="C183" s="4">
        <f>'LIVE SOURCE'!D183</f>
        <v>91.8</v>
      </c>
      <c r="D183" s="5"/>
      <c r="E183" s="5"/>
      <c r="F183" s="5"/>
      <c r="G183">
        <f t="shared" si="2"/>
        <v>0</v>
      </c>
      <c r="H183" s="5"/>
      <c r="I183" s="5" t="s">
        <v>73</v>
      </c>
      <c r="J183" s="5"/>
    </row>
    <row r="184" spans="1:10" x14ac:dyDescent="0.25">
      <c r="A184" t="str">
        <f>'LIVE SOURCE'!A184</f>
        <v>K</v>
      </c>
      <c r="B184" t="str">
        <f>'LIVE SOURCE'!B184</f>
        <v>Cameron Dicker</v>
      </c>
      <c r="C184" s="4">
        <f>'LIVE SOURCE'!D184</f>
        <v>89.6</v>
      </c>
      <c r="D184" s="5"/>
      <c r="E184" s="5"/>
      <c r="F184" s="5"/>
      <c r="G184">
        <f t="shared" si="2"/>
        <v>0</v>
      </c>
      <c r="H184" s="5"/>
      <c r="I184" s="5" t="s">
        <v>73</v>
      </c>
      <c r="J184" s="5"/>
    </row>
    <row r="185" spans="1:10" x14ac:dyDescent="0.25">
      <c r="A185" t="str">
        <f>'LIVE SOURCE'!A185</f>
        <v>K</v>
      </c>
      <c r="B185" t="str">
        <f>'LIVE SOURCE'!B185</f>
        <v>Jason Myers</v>
      </c>
      <c r="C185" s="4">
        <f>'LIVE SOURCE'!D185</f>
        <v>87.4</v>
      </c>
      <c r="D185" s="5"/>
      <c r="E185" s="5"/>
      <c r="F185" s="5"/>
      <c r="G185">
        <f t="shared" si="2"/>
        <v>0</v>
      </c>
      <c r="H185" s="5"/>
      <c r="I185" s="5" t="s">
        <v>73</v>
      </c>
      <c r="J185" s="5"/>
    </row>
    <row r="186" spans="1:10" x14ac:dyDescent="0.25">
      <c r="A186" t="str">
        <f>'LIVE SOURCE'!A186</f>
        <v>K</v>
      </c>
      <c r="B186" t="str">
        <f>'LIVE SOURCE'!B186</f>
        <v>Cam Little</v>
      </c>
      <c r="C186" s="4">
        <f>'LIVE SOURCE'!D186</f>
        <v>85.2</v>
      </c>
      <c r="D186" s="5"/>
      <c r="E186" s="5"/>
      <c r="F186" s="5"/>
      <c r="G186">
        <f t="shared" si="2"/>
        <v>0</v>
      </c>
      <c r="H186" s="5"/>
      <c r="I186" s="5" t="s">
        <v>73</v>
      </c>
      <c r="J186" s="5"/>
    </row>
    <row r="187" spans="1:10" x14ac:dyDescent="0.25">
      <c r="A187" t="str">
        <f>'LIVE SOURCE'!A187</f>
        <v>K</v>
      </c>
      <c r="B187" t="str">
        <f>'LIVE SOURCE'!B187</f>
        <v>Eddy Pineiro</v>
      </c>
      <c r="C187" s="4">
        <f>'LIVE SOURCE'!D187</f>
        <v>83</v>
      </c>
      <c r="D187" s="5"/>
      <c r="E187" s="5"/>
      <c r="F187" s="5"/>
      <c r="G187">
        <f t="shared" si="2"/>
        <v>0</v>
      </c>
      <c r="H187" s="5"/>
      <c r="I187" s="5" t="s">
        <v>73</v>
      </c>
      <c r="J187" s="5"/>
    </row>
    <row r="188" spans="1:10" x14ac:dyDescent="0.25">
      <c r="A188" t="str">
        <f>'LIVE SOURCE'!A188</f>
        <v>K</v>
      </c>
      <c r="B188" t="str">
        <f>'LIVE SOURCE'!B188</f>
        <v>Tyler Loop</v>
      </c>
      <c r="C188" s="4">
        <f>'LIVE SOURCE'!D188</f>
        <v>80.8</v>
      </c>
      <c r="D188" s="5"/>
      <c r="E188" s="5"/>
      <c r="F188" s="5"/>
      <c r="G188">
        <f t="shared" si="2"/>
        <v>0</v>
      </c>
      <c r="H188" s="5"/>
      <c r="I188" s="5" t="s">
        <v>73</v>
      </c>
      <c r="J188" s="5"/>
    </row>
    <row r="189" spans="1:10" x14ac:dyDescent="0.25">
      <c r="A189" t="str">
        <f>'LIVE SOURCE'!A189</f>
        <v>K</v>
      </c>
      <c r="B189" t="str">
        <f>'LIVE SOURCE'!B189</f>
        <v>Harrison Mevis</v>
      </c>
      <c r="C189" s="4">
        <f>'LIVE SOURCE'!D189</f>
        <v>78.599999999999994</v>
      </c>
      <c r="D189" s="5"/>
      <c r="E189" s="5"/>
      <c r="F189" s="5"/>
      <c r="G189">
        <f t="shared" si="2"/>
        <v>0</v>
      </c>
      <c r="H189" s="5"/>
      <c r="I189" s="5" t="s">
        <v>73</v>
      </c>
      <c r="J189" s="5"/>
    </row>
    <row r="190" spans="1:10" x14ac:dyDescent="0.25">
      <c r="A190" t="str">
        <f>'LIVE SOURCE'!A190</f>
        <v>K</v>
      </c>
      <c r="B190" t="str">
        <f>'LIVE SOURCE'!B190</f>
        <v>Chase McLaughlin</v>
      </c>
      <c r="C190" s="4">
        <f>'LIVE SOURCE'!D190</f>
        <v>76.400000000000006</v>
      </c>
      <c r="D190" s="5"/>
      <c r="E190" s="5"/>
      <c r="F190" s="5"/>
      <c r="G190">
        <f t="shared" si="2"/>
        <v>0</v>
      </c>
      <c r="H190" s="5"/>
      <c r="I190" s="5" t="s">
        <v>73</v>
      </c>
      <c r="J190" s="5"/>
    </row>
    <row r="191" spans="1:10" x14ac:dyDescent="0.25">
      <c r="A191" t="str">
        <f>'LIVE SOURCE'!A191</f>
        <v>K</v>
      </c>
      <c r="B191" t="str">
        <f>'LIVE SOURCE'!B191</f>
        <v>Cairo Santos</v>
      </c>
      <c r="C191" s="4">
        <f>'LIVE SOURCE'!D191</f>
        <v>74.2</v>
      </c>
      <c r="D191" s="5"/>
      <c r="E191" s="5"/>
      <c r="F191" s="5"/>
      <c r="G191">
        <f t="shared" si="2"/>
        <v>0</v>
      </c>
      <c r="H191" s="5"/>
      <c r="I191" s="5" t="s">
        <v>73</v>
      </c>
      <c r="J191" s="5"/>
    </row>
    <row r="192" spans="1:10" x14ac:dyDescent="0.25">
      <c r="A192" t="str">
        <f>'LIVE SOURCE'!A192</f>
        <v>K</v>
      </c>
      <c r="B192" t="str">
        <f>'LIVE SOURCE'!B192</f>
        <v>Andy Borregales</v>
      </c>
      <c r="C192" s="4">
        <f>'LIVE SOURCE'!D192</f>
        <v>72</v>
      </c>
      <c r="D192" s="5"/>
      <c r="E192" s="5"/>
      <c r="F192" s="5"/>
      <c r="G192">
        <f t="shared" si="2"/>
        <v>0</v>
      </c>
      <c r="H192" s="5"/>
      <c r="I192" s="5" t="s">
        <v>73</v>
      </c>
      <c r="J192" s="5"/>
    </row>
    <row r="193" spans="1:10" x14ac:dyDescent="0.25">
      <c r="A193" t="str">
        <f>'LIVE SOURCE'!A193</f>
        <v>K</v>
      </c>
      <c r="B193" t="str">
        <f>'LIVE SOURCE'!B193</f>
        <v>Evan McPherson</v>
      </c>
      <c r="C193" s="4">
        <f>'LIVE SOURCE'!D193</f>
        <v>69.8</v>
      </c>
      <c r="D193" s="5"/>
      <c r="E193" s="5"/>
      <c r="F193" s="5"/>
      <c r="G193">
        <f t="shared" si="2"/>
        <v>0</v>
      </c>
      <c r="H193" s="5"/>
      <c r="I193" s="5" t="s">
        <v>73</v>
      </c>
      <c r="J193" s="5"/>
    </row>
    <row r="194" spans="1:10" x14ac:dyDescent="0.25">
      <c r="A194" t="str">
        <f>'LIVE SOURCE'!A194</f>
        <v>DST</v>
      </c>
      <c r="B194" t="str">
        <f>'LIVE SOURCE'!B194</f>
        <v>Houston Texans</v>
      </c>
      <c r="C194" s="4">
        <f>'LIVE SOURCE'!D194</f>
        <v>93</v>
      </c>
      <c r="D194" s="5"/>
      <c r="E194" s="5"/>
      <c r="F194" s="5"/>
      <c r="G194">
        <f t="shared" si="2"/>
        <v>0</v>
      </c>
      <c r="H194" s="5"/>
      <c r="I194" s="5" t="s">
        <v>73</v>
      </c>
      <c r="J194" s="5"/>
    </row>
    <row r="195" spans="1:10" x14ac:dyDescent="0.25">
      <c r="A195" t="str">
        <f>'LIVE SOURCE'!A195</f>
        <v>DST</v>
      </c>
      <c r="B195" t="str">
        <f>'LIVE SOURCE'!B195</f>
        <v>Denver Broncos</v>
      </c>
      <c r="C195" s="4">
        <f>'LIVE SOURCE'!D195</f>
        <v>91.9</v>
      </c>
      <c r="D195" s="5"/>
      <c r="E195" s="5"/>
      <c r="F195" s="5"/>
      <c r="G195">
        <f t="shared" ref="G195:G225" si="3">SUM(D195:F195)</f>
        <v>0</v>
      </c>
      <c r="H195" s="5"/>
      <c r="I195" s="5" t="s">
        <v>73</v>
      </c>
      <c r="J195" s="5"/>
    </row>
    <row r="196" spans="1:10" x14ac:dyDescent="0.25">
      <c r="A196" t="str">
        <f>'LIVE SOURCE'!A196</f>
        <v>DST</v>
      </c>
      <c r="B196" t="str">
        <f>'LIVE SOURCE'!B196</f>
        <v>Seattle Seahawks</v>
      </c>
      <c r="C196" s="4">
        <f>'LIVE SOURCE'!D196</f>
        <v>90.8</v>
      </c>
      <c r="D196" s="5"/>
      <c r="E196" s="5"/>
      <c r="F196" s="5"/>
      <c r="G196">
        <f t="shared" si="3"/>
        <v>0</v>
      </c>
      <c r="H196" s="5"/>
      <c r="I196" s="5" t="s">
        <v>73</v>
      </c>
      <c r="J196" s="5"/>
    </row>
    <row r="197" spans="1:10" x14ac:dyDescent="0.25">
      <c r="A197" t="str">
        <f>'LIVE SOURCE'!A197</f>
        <v>DST</v>
      </c>
      <c r="B197" t="str">
        <f>'LIVE SOURCE'!B197</f>
        <v>Los Angeles Rams</v>
      </c>
      <c r="C197" s="4">
        <f>'LIVE SOURCE'!D197</f>
        <v>89.7</v>
      </c>
      <c r="D197" s="5"/>
      <c r="E197" s="5"/>
      <c r="F197" s="5"/>
      <c r="G197">
        <f t="shared" si="3"/>
        <v>0</v>
      </c>
      <c r="H197" s="5"/>
      <c r="I197" s="5" t="s">
        <v>73</v>
      </c>
      <c r="J197" s="5"/>
    </row>
    <row r="198" spans="1:10" x14ac:dyDescent="0.25">
      <c r="A198" t="str">
        <f>'LIVE SOURCE'!A198</f>
        <v>DST</v>
      </c>
      <c r="B198" t="str">
        <f>'LIVE SOURCE'!B198</f>
        <v>Philadelphia Eagles</v>
      </c>
      <c r="C198" s="4">
        <f>'LIVE SOURCE'!D198</f>
        <v>88.6</v>
      </c>
      <c r="D198" s="5"/>
      <c r="E198" s="5"/>
      <c r="F198" s="5"/>
      <c r="G198">
        <f t="shared" si="3"/>
        <v>0</v>
      </c>
      <c r="H198" s="5"/>
      <c r="I198" s="5" t="s">
        <v>73</v>
      </c>
      <c r="J198" s="5"/>
    </row>
    <row r="199" spans="1:10" x14ac:dyDescent="0.25">
      <c r="A199" t="str">
        <f>'LIVE SOURCE'!A199</f>
        <v>DST</v>
      </c>
      <c r="B199" t="str">
        <f>'LIVE SOURCE'!B199</f>
        <v>Minnesota Vikings</v>
      </c>
      <c r="C199" s="4">
        <f>'LIVE SOURCE'!D199</f>
        <v>87.5</v>
      </c>
      <c r="D199" s="5"/>
      <c r="E199" s="5"/>
      <c r="F199" s="5"/>
      <c r="G199">
        <f t="shared" si="3"/>
        <v>0</v>
      </c>
      <c r="H199" s="5"/>
      <c r="I199" s="5" t="s">
        <v>73</v>
      </c>
      <c r="J199" s="5"/>
    </row>
    <row r="200" spans="1:10" x14ac:dyDescent="0.25">
      <c r="A200" t="str">
        <f>'LIVE SOURCE'!A200</f>
        <v>DST</v>
      </c>
      <c r="B200" t="str">
        <f>'LIVE SOURCE'!B200</f>
        <v>New England Patriots</v>
      </c>
      <c r="C200" s="4">
        <f>'LIVE SOURCE'!D200</f>
        <v>86.4</v>
      </c>
      <c r="D200" s="5"/>
      <c r="E200" s="5"/>
      <c r="F200" s="5"/>
      <c r="G200">
        <f t="shared" si="3"/>
        <v>0</v>
      </c>
      <c r="H200" s="5"/>
      <c r="I200" s="5" t="s">
        <v>73</v>
      </c>
      <c r="J200" s="5"/>
    </row>
    <row r="201" spans="1:10" x14ac:dyDescent="0.25">
      <c r="A201" t="str">
        <f>'LIVE SOURCE'!A201</f>
        <v>DST</v>
      </c>
      <c r="B201" t="str">
        <f>'LIVE SOURCE'!B201</f>
        <v>Jacksonville Jaguars</v>
      </c>
      <c r="C201" s="4">
        <f>'LIVE SOURCE'!D201</f>
        <v>85.3</v>
      </c>
      <c r="D201" s="5"/>
      <c r="E201" s="5"/>
      <c r="F201" s="5"/>
      <c r="G201">
        <f t="shared" si="3"/>
        <v>0</v>
      </c>
      <c r="H201" s="5"/>
      <c r="I201" s="5" t="s">
        <v>73</v>
      </c>
      <c r="J201" s="5"/>
    </row>
    <row r="202" spans="1:10" x14ac:dyDescent="0.25">
      <c r="A202" t="str">
        <f>'LIVE SOURCE'!A202</f>
        <v>DST</v>
      </c>
      <c r="B202" t="str">
        <f>'LIVE SOURCE'!B202</f>
        <v>Pittsburgh Steelers</v>
      </c>
      <c r="C202" s="4">
        <f>'LIVE SOURCE'!D202</f>
        <v>84.2</v>
      </c>
      <c r="D202" s="5"/>
      <c r="E202" s="5"/>
      <c r="F202" s="5"/>
      <c r="G202">
        <f t="shared" si="3"/>
        <v>0</v>
      </c>
      <c r="H202" s="5"/>
      <c r="I202" s="5" t="s">
        <v>73</v>
      </c>
      <c r="J202" s="5"/>
    </row>
    <row r="203" spans="1:10" x14ac:dyDescent="0.25">
      <c r="A203" t="str">
        <f>'LIVE SOURCE'!A203</f>
        <v>DST</v>
      </c>
      <c r="B203" t="str">
        <f>'LIVE SOURCE'!B203</f>
        <v>Los Angeles Chargers</v>
      </c>
      <c r="C203" s="4">
        <f>'LIVE SOURCE'!D203</f>
        <v>83.1</v>
      </c>
      <c r="D203" s="5"/>
      <c r="E203" s="5"/>
      <c r="F203" s="5"/>
      <c r="G203">
        <f t="shared" si="3"/>
        <v>0</v>
      </c>
      <c r="H203" s="5"/>
      <c r="I203" s="5" t="s">
        <v>73</v>
      </c>
      <c r="J203" s="5"/>
    </row>
    <row r="204" spans="1:10" x14ac:dyDescent="0.25">
      <c r="A204" t="str">
        <f>'LIVE SOURCE'!A204</f>
        <v>DST</v>
      </c>
      <c r="B204" t="str">
        <f>'LIVE SOURCE'!B204</f>
        <v>Baltimore Ravens</v>
      </c>
      <c r="C204" s="4">
        <f>'LIVE SOURCE'!D204</f>
        <v>82</v>
      </c>
      <c r="D204" s="5"/>
      <c r="E204" s="5"/>
      <c r="F204" s="5"/>
      <c r="G204">
        <f t="shared" si="3"/>
        <v>0</v>
      </c>
      <c r="H204" s="5"/>
      <c r="I204" s="5" t="s">
        <v>73</v>
      </c>
      <c r="J204" s="5"/>
    </row>
    <row r="205" spans="1:10" x14ac:dyDescent="0.25">
      <c r="A205" t="str">
        <f>'LIVE SOURCE'!A205</f>
        <v>DST</v>
      </c>
      <c r="B205" t="str">
        <f>'LIVE SOURCE'!B205</f>
        <v>Green Bay Packers</v>
      </c>
      <c r="C205" s="4">
        <f>'LIVE SOURCE'!D205</f>
        <v>80.900000000000006</v>
      </c>
      <c r="D205" s="5"/>
      <c r="E205" s="5"/>
      <c r="F205" s="5"/>
      <c r="G205">
        <f t="shared" si="3"/>
        <v>0</v>
      </c>
      <c r="H205" s="5"/>
      <c r="I205" s="5" t="s">
        <v>73</v>
      </c>
      <c r="J205" s="5"/>
    </row>
    <row r="206" spans="1:10" x14ac:dyDescent="0.25">
      <c r="A206" t="str">
        <f>'LIVE SOURCE'!A206</f>
        <v>DST</v>
      </c>
      <c r="B206" t="str">
        <f>'LIVE SOURCE'!B206</f>
        <v>Detroit Lions</v>
      </c>
      <c r="C206" s="4">
        <f>'LIVE SOURCE'!D206</f>
        <v>79.8</v>
      </c>
      <c r="D206" s="5"/>
      <c r="E206" s="5"/>
      <c r="F206" s="5"/>
      <c r="G206">
        <f t="shared" si="3"/>
        <v>0</v>
      </c>
      <c r="H206" s="5"/>
      <c r="I206" s="5" t="s">
        <v>73</v>
      </c>
      <c r="J206" s="5"/>
    </row>
    <row r="207" spans="1:10" x14ac:dyDescent="0.25">
      <c r="A207" t="str">
        <f>'LIVE SOURCE'!A207</f>
        <v>DST</v>
      </c>
      <c r="B207" t="str">
        <f>'LIVE SOURCE'!B207</f>
        <v>Buffalo Bills</v>
      </c>
      <c r="C207" s="4">
        <f>'LIVE SOURCE'!D207</f>
        <v>78.7</v>
      </c>
      <c r="D207" s="5"/>
      <c r="E207" s="5"/>
      <c r="F207" s="5"/>
      <c r="G207">
        <f t="shared" si="3"/>
        <v>0</v>
      </c>
      <c r="H207" s="5"/>
      <c r="I207" s="5" t="s">
        <v>73</v>
      </c>
      <c r="J207" s="5"/>
    </row>
    <row r="208" spans="1:10" x14ac:dyDescent="0.25">
      <c r="A208" t="str">
        <f>'LIVE SOURCE'!A208</f>
        <v>DST</v>
      </c>
      <c r="B208" t="str">
        <f>'LIVE SOURCE'!B208</f>
        <v>Kansas City Chiefs</v>
      </c>
      <c r="C208" s="4">
        <f>'LIVE SOURCE'!D208</f>
        <v>77.599999999999994</v>
      </c>
      <c r="D208" s="5"/>
      <c r="E208" s="5"/>
      <c r="F208" s="5"/>
      <c r="G208">
        <f t="shared" si="3"/>
        <v>0</v>
      </c>
      <c r="H208" s="5"/>
      <c r="I208" s="5" t="s">
        <v>73</v>
      </c>
      <c r="J208" s="5"/>
    </row>
    <row r="209" spans="1:10" x14ac:dyDescent="0.25">
      <c r="A209" t="str">
        <f>'LIVE SOURCE'!A209</f>
        <v>DST</v>
      </c>
      <c r="B209" t="str">
        <f>'LIVE SOURCE'!B209</f>
        <v>Cleveland Browns</v>
      </c>
      <c r="C209" s="4">
        <f>'LIVE SOURCE'!D209</f>
        <v>76.5</v>
      </c>
      <c r="D209" s="5"/>
      <c r="E209" s="5"/>
      <c r="F209" s="5"/>
      <c r="G209">
        <f t="shared" si="3"/>
        <v>0</v>
      </c>
      <c r="H209" s="5"/>
      <c r="I209" s="5" t="s">
        <v>73</v>
      </c>
      <c r="J209" s="5"/>
    </row>
    <row r="210" spans="1:10" x14ac:dyDescent="0.25">
      <c r="A210" t="str">
        <f>'LIVE SOURCE'!A210</f>
        <v>DST</v>
      </c>
      <c r="B210" t="str">
        <f>'LIVE SOURCE'!B210</f>
        <v>San Francisco 49ers</v>
      </c>
      <c r="C210" s="4">
        <f>'LIVE SOURCE'!D210</f>
        <v>75.400000000000006</v>
      </c>
      <c r="D210" s="5"/>
      <c r="E210" s="5"/>
      <c r="F210" s="5"/>
      <c r="G210">
        <f t="shared" si="3"/>
        <v>0</v>
      </c>
      <c r="H210" s="5"/>
      <c r="I210" s="5" t="s">
        <v>73</v>
      </c>
      <c r="J210" s="5"/>
    </row>
    <row r="211" spans="1:10" x14ac:dyDescent="0.25">
      <c r="A211" t="str">
        <f>'LIVE SOURCE'!A211</f>
        <v>DST</v>
      </c>
      <c r="B211" t="str">
        <f>'LIVE SOURCE'!B211</f>
        <v>New Orleans Saints</v>
      </c>
      <c r="C211" s="4">
        <f>'LIVE SOURCE'!D211</f>
        <v>74.3</v>
      </c>
      <c r="D211" s="5"/>
      <c r="E211" s="5"/>
      <c r="F211" s="5"/>
      <c r="G211">
        <f t="shared" si="3"/>
        <v>0</v>
      </c>
      <c r="H211" s="5"/>
      <c r="I211" s="5" t="s">
        <v>73</v>
      </c>
      <c r="J211" s="5"/>
    </row>
    <row r="212" spans="1:10" x14ac:dyDescent="0.25">
      <c r="A212" t="str">
        <f>'LIVE SOURCE'!A212</f>
        <v>DST</v>
      </c>
      <c r="B212" t="str">
        <f>'LIVE SOURCE'!B212</f>
        <v>Atlanta Falcons</v>
      </c>
      <c r="C212" s="4">
        <f>'LIVE SOURCE'!D212</f>
        <v>73.2</v>
      </c>
      <c r="D212" s="5"/>
      <c r="E212" s="5"/>
      <c r="F212" s="5"/>
      <c r="G212">
        <f t="shared" si="3"/>
        <v>0</v>
      </c>
      <c r="H212" s="5"/>
      <c r="I212" s="5" t="s">
        <v>73</v>
      </c>
      <c r="J212" s="5"/>
    </row>
    <row r="213" spans="1:10" x14ac:dyDescent="0.25">
      <c r="A213" t="str">
        <f>'LIVE SOURCE'!A213</f>
        <v>DST</v>
      </c>
      <c r="B213" t="str">
        <f>'LIVE SOURCE'!B213</f>
        <v>Chicago Bears</v>
      </c>
      <c r="C213" s="4">
        <f>'LIVE SOURCE'!D213</f>
        <v>72.099999999999994</v>
      </c>
      <c r="D213" s="5"/>
      <c r="E213" s="5"/>
      <c r="F213" s="5"/>
      <c r="G213">
        <f t="shared" si="3"/>
        <v>0</v>
      </c>
      <c r="H213" s="5"/>
      <c r="I213" s="5" t="s">
        <v>73</v>
      </c>
      <c r="J213" s="5"/>
    </row>
    <row r="214" spans="1:10" x14ac:dyDescent="0.25">
      <c r="A214" t="str">
        <f>'LIVE SOURCE'!A214</f>
        <v>DST</v>
      </c>
      <c r="B214" t="str">
        <f>'LIVE SOURCE'!B214</f>
        <v>Indianapolis Colts</v>
      </c>
      <c r="C214" s="4">
        <f>'LIVE SOURCE'!D214</f>
        <v>71</v>
      </c>
      <c r="D214" s="5"/>
      <c r="E214" s="5"/>
      <c r="F214" s="5"/>
      <c r="G214">
        <f t="shared" si="3"/>
        <v>0</v>
      </c>
      <c r="H214" s="5"/>
      <c r="I214" s="5" t="s">
        <v>73</v>
      </c>
      <c r="J214" s="5"/>
    </row>
    <row r="215" spans="1:10" x14ac:dyDescent="0.25">
      <c r="A215" t="str">
        <f>'LIVE SOURCE'!A215</f>
        <v>DST</v>
      </c>
      <c r="B215" t="str">
        <f>'LIVE SOURCE'!B215</f>
        <v>New York Giants</v>
      </c>
      <c r="C215" s="4">
        <f>'LIVE SOURCE'!D215</f>
        <v>69.900000000000006</v>
      </c>
      <c r="D215" s="5"/>
      <c r="E215" s="5"/>
      <c r="F215" s="5"/>
      <c r="G215">
        <f t="shared" si="3"/>
        <v>0</v>
      </c>
      <c r="H215" s="5"/>
      <c r="I215" s="5" t="s">
        <v>73</v>
      </c>
      <c r="J215" s="5"/>
    </row>
    <row r="216" spans="1:10" x14ac:dyDescent="0.25">
      <c r="A216" t="str">
        <f>'LIVE SOURCE'!A216</f>
        <v>DST</v>
      </c>
      <c r="B216" t="str">
        <f>'LIVE SOURCE'!B216</f>
        <v>Tampa Bay Buccaneers</v>
      </c>
      <c r="C216" s="4">
        <f>'LIVE SOURCE'!D216</f>
        <v>68.8</v>
      </c>
      <c r="D216" s="5"/>
      <c r="E216" s="5"/>
      <c r="F216" s="5"/>
      <c r="G216">
        <f t="shared" si="3"/>
        <v>0</v>
      </c>
      <c r="H216" s="5"/>
      <c r="I216" s="5" t="s">
        <v>73</v>
      </c>
      <c r="J216" s="5"/>
    </row>
    <row r="217" spans="1:10" x14ac:dyDescent="0.25">
      <c r="A217" t="str">
        <f>'LIVE SOURCE'!A217</f>
        <v>DST</v>
      </c>
      <c r="B217" t="str">
        <f>'LIVE SOURCE'!B217</f>
        <v>Dallas Cowboys</v>
      </c>
      <c r="C217" s="4">
        <f>'LIVE SOURCE'!D217</f>
        <v>67.7</v>
      </c>
      <c r="D217" s="5"/>
      <c r="E217" s="5"/>
      <c r="F217" s="5"/>
      <c r="G217">
        <f t="shared" si="3"/>
        <v>0</v>
      </c>
      <c r="H217" s="5"/>
      <c r="I217" s="5" t="s">
        <v>73</v>
      </c>
      <c r="J217" s="5"/>
    </row>
    <row r="218" spans="1:10" x14ac:dyDescent="0.25">
      <c r="A218" t="str">
        <f>'LIVE SOURCE'!A218</f>
        <v>DST</v>
      </c>
      <c r="B218" t="str">
        <f>'LIVE SOURCE'!B218</f>
        <v>Carolina Panthers</v>
      </c>
      <c r="C218" s="4">
        <f>'LIVE SOURCE'!D218</f>
        <v>66.599999999999994</v>
      </c>
      <c r="D218" s="5"/>
      <c r="E218" s="5"/>
      <c r="F218" s="5"/>
      <c r="G218">
        <f t="shared" si="3"/>
        <v>0</v>
      </c>
      <c r="H218" s="5"/>
      <c r="I218" s="5" t="s">
        <v>73</v>
      </c>
      <c r="J218" s="5"/>
    </row>
    <row r="219" spans="1:10" x14ac:dyDescent="0.25">
      <c r="A219" t="str">
        <f>'LIVE SOURCE'!A219</f>
        <v>DST</v>
      </c>
      <c r="B219" t="str">
        <f>'LIVE SOURCE'!B219</f>
        <v>Tennessee Titans</v>
      </c>
      <c r="C219" s="4">
        <f>'LIVE SOURCE'!D219</f>
        <v>65.5</v>
      </c>
      <c r="D219" s="5"/>
      <c r="E219" s="5"/>
      <c r="F219" s="5"/>
      <c r="G219">
        <f t="shared" si="3"/>
        <v>0</v>
      </c>
      <c r="H219" s="5"/>
      <c r="I219" s="5" t="s">
        <v>73</v>
      </c>
      <c r="J219" s="5"/>
    </row>
    <row r="220" spans="1:10" x14ac:dyDescent="0.25">
      <c r="A220" t="str">
        <f>'LIVE SOURCE'!A220</f>
        <v>DST</v>
      </c>
      <c r="B220" t="str">
        <f>'LIVE SOURCE'!B220</f>
        <v>Miami Dolphins</v>
      </c>
      <c r="C220" s="4">
        <f>'LIVE SOURCE'!D220</f>
        <v>64.400000000000006</v>
      </c>
      <c r="D220" s="5"/>
      <c r="E220" s="5"/>
      <c r="F220" s="5"/>
      <c r="G220">
        <f t="shared" si="3"/>
        <v>0</v>
      </c>
      <c r="H220" s="5"/>
      <c r="I220" s="5" t="s">
        <v>73</v>
      </c>
      <c r="J220" s="5"/>
    </row>
    <row r="221" spans="1:10" x14ac:dyDescent="0.25">
      <c r="A221" t="str">
        <f>'LIVE SOURCE'!A221</f>
        <v>DST</v>
      </c>
      <c r="B221" t="str">
        <f>'LIVE SOURCE'!B221</f>
        <v>Washington Commanders</v>
      </c>
      <c r="C221" s="4">
        <f>'LIVE SOURCE'!D221</f>
        <v>63.3</v>
      </c>
      <c r="D221" s="5"/>
      <c r="E221" s="5"/>
      <c r="F221" s="5"/>
      <c r="G221">
        <f t="shared" si="3"/>
        <v>0</v>
      </c>
      <c r="H221" s="5"/>
      <c r="I221" s="5" t="s">
        <v>73</v>
      </c>
      <c r="J221" s="5"/>
    </row>
    <row r="222" spans="1:10" x14ac:dyDescent="0.25">
      <c r="A222" t="str">
        <f>'LIVE SOURCE'!A222</f>
        <v>DST</v>
      </c>
      <c r="B222" t="str">
        <f>'LIVE SOURCE'!B222</f>
        <v>New York Jets</v>
      </c>
      <c r="C222" s="4">
        <f>'LIVE SOURCE'!D222</f>
        <v>62.2</v>
      </c>
      <c r="D222" s="5"/>
      <c r="E222" s="5"/>
      <c r="F222" s="5"/>
      <c r="G222">
        <f t="shared" si="3"/>
        <v>0</v>
      </c>
      <c r="H222" s="5"/>
      <c r="I222" s="5" t="s">
        <v>73</v>
      </c>
      <c r="J222" s="5"/>
    </row>
    <row r="223" spans="1:10" x14ac:dyDescent="0.25">
      <c r="A223" t="str">
        <f>'LIVE SOURCE'!A223</f>
        <v>DST</v>
      </c>
      <c r="B223" t="str">
        <f>'LIVE SOURCE'!B223</f>
        <v>Arizona Cardinals</v>
      </c>
      <c r="C223" s="4">
        <f>'LIVE SOURCE'!D223</f>
        <v>61.1</v>
      </c>
      <c r="D223" s="5"/>
      <c r="E223" s="5"/>
      <c r="F223" s="5"/>
      <c r="G223">
        <f t="shared" si="3"/>
        <v>0</v>
      </c>
      <c r="H223" s="5"/>
      <c r="I223" s="5" t="s">
        <v>73</v>
      </c>
      <c r="J223" s="5"/>
    </row>
    <row r="224" spans="1:10" x14ac:dyDescent="0.25">
      <c r="A224" t="str">
        <f>'LIVE SOURCE'!A224</f>
        <v>DST</v>
      </c>
      <c r="B224" t="str">
        <f>'LIVE SOURCE'!B224</f>
        <v>Cincinnati Bengals</v>
      </c>
      <c r="C224" s="4">
        <f>'LIVE SOURCE'!D224</f>
        <v>60</v>
      </c>
      <c r="D224" s="5"/>
      <c r="E224" s="5"/>
      <c r="F224" s="5"/>
      <c r="G224">
        <f t="shared" si="3"/>
        <v>0</v>
      </c>
      <c r="H224" s="5"/>
      <c r="I224" s="5" t="s">
        <v>73</v>
      </c>
      <c r="J224" s="5"/>
    </row>
    <row r="225" spans="1:10" x14ac:dyDescent="0.25">
      <c r="A225" t="str">
        <f>'LIVE SOURCE'!A225</f>
        <v>DST</v>
      </c>
      <c r="B225" t="str">
        <f>'LIVE SOURCE'!B225</f>
        <v>Las Vegas Raiders</v>
      </c>
      <c r="C225" s="4">
        <f>'LIVE SOURCE'!D225</f>
        <v>58.9</v>
      </c>
      <c r="D225" s="5"/>
      <c r="E225" s="5"/>
      <c r="F225" s="5"/>
      <c r="G225">
        <f t="shared" si="3"/>
        <v>0</v>
      </c>
      <c r="H225" s="5"/>
      <c r="I225" s="5" t="s">
        <v>73</v>
      </c>
      <c r="J225" s="5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D7D31"/>
  </sheetPr>
  <dimension ref="A1:K225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6" customWidth="1"/>
    <col min="2" max="2" width="22" customWidth="1"/>
    <col min="3" max="3" width="6" customWidth="1"/>
    <col min="4" max="4" width="11" customWidth="1"/>
    <col min="5" max="6" width="10" customWidth="1"/>
    <col min="7" max="7" width="22" customWidth="1"/>
    <col min="8" max="8" width="50" customWidth="1"/>
    <col min="9" max="9" width="60" customWidth="1"/>
    <col min="10" max="10" width="50" customWidth="1"/>
    <col min="11" max="11" width="40" customWidth="1"/>
  </cols>
  <sheetData>
    <row r="1" spans="1:11" ht="18.75" x14ac:dyDescent="0.3">
      <c r="A1" s="1" t="s">
        <v>75</v>
      </c>
    </row>
    <row r="2" spans="1:11" ht="27.95" customHeight="1" x14ac:dyDescent="0.25">
      <c r="A2" s="3" t="s">
        <v>3</v>
      </c>
      <c r="B2" s="3" t="s">
        <v>64</v>
      </c>
      <c r="C2" s="3" t="s">
        <v>76</v>
      </c>
      <c r="D2" s="3" t="s">
        <v>65</v>
      </c>
      <c r="E2" s="3" t="s">
        <v>9</v>
      </c>
      <c r="F2" s="3" t="s">
        <v>77</v>
      </c>
      <c r="G2" s="3" t="s">
        <v>78</v>
      </c>
      <c r="H2" s="3" t="s">
        <v>13</v>
      </c>
      <c r="I2" s="3" t="s">
        <v>79</v>
      </c>
      <c r="J2" s="3" t="s">
        <v>80</v>
      </c>
      <c r="K2" s="3" t="s">
        <v>72</v>
      </c>
    </row>
    <row r="3" spans="1:11" x14ac:dyDescent="0.25">
      <c r="A3" t="s">
        <v>30</v>
      </c>
      <c r="B3" t="s">
        <v>81</v>
      </c>
      <c r="D3" s="8">
        <v>97.309899999999999</v>
      </c>
      <c r="E3" s="8">
        <v>23</v>
      </c>
      <c r="F3" s="5" t="s">
        <v>82</v>
      </c>
      <c r="G3" t="s">
        <v>83</v>
      </c>
      <c r="H3" t="s">
        <v>84</v>
      </c>
      <c r="I3" t="s">
        <v>85</v>
      </c>
      <c r="J3" t="s">
        <v>86</v>
      </c>
      <c r="K3" t="s">
        <v>87</v>
      </c>
    </row>
    <row r="4" spans="1:11" x14ac:dyDescent="0.25">
      <c r="A4" t="s">
        <v>30</v>
      </c>
      <c r="B4" t="s">
        <v>88</v>
      </c>
      <c r="D4" s="8">
        <v>92.192700000000002</v>
      </c>
      <c r="E4" s="8">
        <v>30</v>
      </c>
      <c r="F4" s="5" t="s">
        <v>82</v>
      </c>
      <c r="G4" t="s">
        <v>83</v>
      </c>
      <c r="H4" t="s">
        <v>84</v>
      </c>
      <c r="I4" t="s">
        <v>89</v>
      </c>
      <c r="J4" t="s">
        <v>86</v>
      </c>
      <c r="K4" t="s">
        <v>90</v>
      </c>
    </row>
    <row r="5" spans="1:11" x14ac:dyDescent="0.25">
      <c r="A5" t="s">
        <v>30</v>
      </c>
      <c r="B5" t="s">
        <v>91</v>
      </c>
      <c r="D5" s="8">
        <v>91.043000000000006</v>
      </c>
      <c r="E5" s="8">
        <v>38</v>
      </c>
      <c r="F5" s="5" t="s">
        <v>82</v>
      </c>
      <c r="G5" t="s">
        <v>83</v>
      </c>
      <c r="H5" t="s">
        <v>84</v>
      </c>
      <c r="I5" t="s">
        <v>92</v>
      </c>
      <c r="J5" t="s">
        <v>86</v>
      </c>
      <c r="K5" t="s">
        <v>90</v>
      </c>
    </row>
    <row r="6" spans="1:11" x14ac:dyDescent="0.25">
      <c r="A6" t="s">
        <v>30</v>
      </c>
      <c r="B6" t="s">
        <v>93</v>
      </c>
      <c r="D6" s="8">
        <v>90.116900000000001</v>
      </c>
      <c r="E6" s="8">
        <v>46</v>
      </c>
      <c r="F6" s="5" t="s">
        <v>82</v>
      </c>
      <c r="G6" t="s">
        <v>83</v>
      </c>
      <c r="H6" t="s">
        <v>94</v>
      </c>
      <c r="I6" t="s">
        <v>95</v>
      </c>
      <c r="J6" t="s">
        <v>86</v>
      </c>
      <c r="K6" t="s">
        <v>90</v>
      </c>
    </row>
    <row r="7" spans="1:11" x14ac:dyDescent="0.25">
      <c r="A7" t="s">
        <v>30</v>
      </c>
      <c r="B7" t="s">
        <v>96</v>
      </c>
      <c r="D7" s="8">
        <v>88.711200000000005</v>
      </c>
      <c r="E7" s="8">
        <v>54</v>
      </c>
      <c r="F7" s="5" t="s">
        <v>82</v>
      </c>
      <c r="G7" t="s">
        <v>83</v>
      </c>
      <c r="H7" t="s">
        <v>94</v>
      </c>
      <c r="I7" t="s">
        <v>97</v>
      </c>
      <c r="J7" t="s">
        <v>86</v>
      </c>
      <c r="K7" t="s">
        <v>90</v>
      </c>
    </row>
    <row r="8" spans="1:11" x14ac:dyDescent="0.25">
      <c r="A8" t="s">
        <v>30</v>
      </c>
      <c r="B8" t="s">
        <v>98</v>
      </c>
      <c r="D8" s="8">
        <v>88.4499</v>
      </c>
      <c r="E8" s="8">
        <v>62</v>
      </c>
      <c r="F8" s="5" t="s">
        <v>82</v>
      </c>
      <c r="G8" t="s">
        <v>83</v>
      </c>
      <c r="H8" t="s">
        <v>94</v>
      </c>
      <c r="I8" t="s">
        <v>99</v>
      </c>
      <c r="J8" t="s">
        <v>86</v>
      </c>
      <c r="K8" t="s">
        <v>90</v>
      </c>
    </row>
    <row r="9" spans="1:11" x14ac:dyDescent="0.25">
      <c r="A9" t="s">
        <v>30</v>
      </c>
      <c r="B9" t="s">
        <v>100</v>
      </c>
      <c r="D9" s="8">
        <v>87.006299999999996</v>
      </c>
      <c r="E9" s="8">
        <v>70</v>
      </c>
      <c r="F9" s="5" t="s">
        <v>82</v>
      </c>
      <c r="G9" t="s">
        <v>83</v>
      </c>
      <c r="H9" t="s">
        <v>94</v>
      </c>
      <c r="I9" t="s">
        <v>101</v>
      </c>
      <c r="J9" t="s">
        <v>86</v>
      </c>
      <c r="K9" t="s">
        <v>90</v>
      </c>
    </row>
    <row r="10" spans="1:11" x14ac:dyDescent="0.25">
      <c r="A10" t="s">
        <v>30</v>
      </c>
      <c r="B10" t="s">
        <v>102</v>
      </c>
      <c r="D10" s="8">
        <v>86.700299999999999</v>
      </c>
      <c r="E10" s="8">
        <v>78</v>
      </c>
      <c r="F10" s="5" t="s">
        <v>103</v>
      </c>
      <c r="G10" t="s">
        <v>83</v>
      </c>
      <c r="H10" t="s">
        <v>94</v>
      </c>
      <c r="I10" t="s">
        <v>104</v>
      </c>
      <c r="J10" t="s">
        <v>105</v>
      </c>
      <c r="K10" t="s">
        <v>90</v>
      </c>
    </row>
    <row r="11" spans="1:11" x14ac:dyDescent="0.25">
      <c r="A11" t="s">
        <v>30</v>
      </c>
      <c r="B11" t="s">
        <v>106</v>
      </c>
      <c r="D11" s="8">
        <v>85.591300000000004</v>
      </c>
      <c r="E11" s="8">
        <v>86</v>
      </c>
      <c r="F11" s="5" t="s">
        <v>103</v>
      </c>
      <c r="G11" t="s">
        <v>83</v>
      </c>
      <c r="H11" t="s">
        <v>107</v>
      </c>
      <c r="I11" t="s">
        <v>108</v>
      </c>
      <c r="J11" t="s">
        <v>109</v>
      </c>
      <c r="K11" t="s">
        <v>90</v>
      </c>
    </row>
    <row r="12" spans="1:11" x14ac:dyDescent="0.25">
      <c r="A12" t="s">
        <v>30</v>
      </c>
      <c r="B12" t="s">
        <v>110</v>
      </c>
      <c r="D12" s="8">
        <v>85.419700000000006</v>
      </c>
      <c r="E12" s="8">
        <v>94</v>
      </c>
      <c r="F12" s="5" t="s">
        <v>82</v>
      </c>
      <c r="G12" t="s">
        <v>83</v>
      </c>
      <c r="H12" t="s">
        <v>107</v>
      </c>
      <c r="I12" t="s">
        <v>111</v>
      </c>
      <c r="J12" t="s">
        <v>86</v>
      </c>
      <c r="K12" t="s">
        <v>90</v>
      </c>
    </row>
    <row r="13" spans="1:11" x14ac:dyDescent="0.25">
      <c r="A13" t="s">
        <v>30</v>
      </c>
      <c r="B13" t="s">
        <v>112</v>
      </c>
      <c r="D13" s="8">
        <v>85.248500000000007</v>
      </c>
      <c r="E13" s="8">
        <v>102</v>
      </c>
      <c r="F13" s="5" t="s">
        <v>82</v>
      </c>
      <c r="G13" t="s">
        <v>83</v>
      </c>
      <c r="H13" t="s">
        <v>107</v>
      </c>
      <c r="I13" t="s">
        <v>113</v>
      </c>
      <c r="J13" t="s">
        <v>86</v>
      </c>
      <c r="K13" t="s">
        <v>90</v>
      </c>
    </row>
    <row r="14" spans="1:11" x14ac:dyDescent="0.25">
      <c r="A14" t="s">
        <v>30</v>
      </c>
      <c r="B14" t="s">
        <v>114</v>
      </c>
      <c r="D14" s="8">
        <v>85.115600000000001</v>
      </c>
      <c r="E14" s="8">
        <v>110</v>
      </c>
      <c r="F14" s="5" t="s">
        <v>82</v>
      </c>
      <c r="G14" t="s">
        <v>83</v>
      </c>
      <c r="H14" t="s">
        <v>107</v>
      </c>
      <c r="I14" t="s">
        <v>115</v>
      </c>
      <c r="J14" t="s">
        <v>86</v>
      </c>
      <c r="K14" t="s">
        <v>90</v>
      </c>
    </row>
    <row r="15" spans="1:11" x14ac:dyDescent="0.25">
      <c r="A15" t="s">
        <v>30</v>
      </c>
      <c r="B15" t="s">
        <v>116</v>
      </c>
      <c r="D15" s="8">
        <v>84.692099999999996</v>
      </c>
      <c r="E15" s="8">
        <v>118</v>
      </c>
      <c r="F15" s="5" t="s">
        <v>82</v>
      </c>
      <c r="G15" t="s">
        <v>83</v>
      </c>
      <c r="H15" t="s">
        <v>117</v>
      </c>
      <c r="I15" t="s">
        <v>118</v>
      </c>
      <c r="J15" t="s">
        <v>86</v>
      </c>
      <c r="K15" t="s">
        <v>90</v>
      </c>
    </row>
    <row r="16" spans="1:11" x14ac:dyDescent="0.25">
      <c r="A16" t="s">
        <v>30</v>
      </c>
      <c r="B16" t="s">
        <v>119</v>
      </c>
      <c r="D16" s="8">
        <v>83.8386</v>
      </c>
      <c r="E16" s="8">
        <v>126</v>
      </c>
      <c r="F16" s="5" t="s">
        <v>103</v>
      </c>
      <c r="G16" t="s">
        <v>83</v>
      </c>
      <c r="H16" t="s">
        <v>117</v>
      </c>
      <c r="I16" t="s">
        <v>120</v>
      </c>
      <c r="J16" t="s">
        <v>121</v>
      </c>
      <c r="K16" t="s">
        <v>90</v>
      </c>
    </row>
    <row r="17" spans="1:11" x14ac:dyDescent="0.25">
      <c r="A17" t="s">
        <v>30</v>
      </c>
      <c r="B17" t="s">
        <v>122</v>
      </c>
      <c r="D17" s="8">
        <v>83.060699999999997</v>
      </c>
      <c r="E17" s="8">
        <v>134</v>
      </c>
      <c r="F17" s="5" t="s">
        <v>82</v>
      </c>
      <c r="G17" t="s">
        <v>83</v>
      </c>
      <c r="H17" t="s">
        <v>117</v>
      </c>
      <c r="I17" t="s">
        <v>123</v>
      </c>
      <c r="J17" t="s">
        <v>86</v>
      </c>
      <c r="K17" t="s">
        <v>90</v>
      </c>
    </row>
    <row r="18" spans="1:11" x14ac:dyDescent="0.25">
      <c r="A18" t="s">
        <v>30</v>
      </c>
      <c r="B18" t="s">
        <v>124</v>
      </c>
      <c r="D18" s="8">
        <v>82.642499999999998</v>
      </c>
      <c r="E18" s="8">
        <v>142</v>
      </c>
      <c r="F18" s="5" t="s">
        <v>82</v>
      </c>
      <c r="G18" t="s">
        <v>83</v>
      </c>
      <c r="H18" t="s">
        <v>117</v>
      </c>
      <c r="I18" t="s">
        <v>125</v>
      </c>
      <c r="J18" t="s">
        <v>86</v>
      </c>
      <c r="K18" t="s">
        <v>90</v>
      </c>
    </row>
    <row r="19" spans="1:11" x14ac:dyDescent="0.25">
      <c r="A19" t="s">
        <v>30</v>
      </c>
      <c r="B19" t="s">
        <v>126</v>
      </c>
      <c r="D19" s="8">
        <v>80.710099999999997</v>
      </c>
      <c r="E19" s="8">
        <v>150</v>
      </c>
      <c r="F19" s="5" t="s">
        <v>103</v>
      </c>
      <c r="G19" t="s">
        <v>83</v>
      </c>
      <c r="H19" t="s">
        <v>117</v>
      </c>
      <c r="I19" t="s">
        <v>127</v>
      </c>
      <c r="J19" t="s">
        <v>128</v>
      </c>
      <c r="K19" t="s">
        <v>90</v>
      </c>
    </row>
    <row r="20" spans="1:11" x14ac:dyDescent="0.25">
      <c r="A20" t="s">
        <v>30</v>
      </c>
      <c r="B20" t="s">
        <v>129</v>
      </c>
      <c r="D20" s="8">
        <v>80.040800000000004</v>
      </c>
      <c r="E20" s="8">
        <v>158</v>
      </c>
      <c r="F20" s="5" t="s">
        <v>82</v>
      </c>
      <c r="G20" t="s">
        <v>83</v>
      </c>
      <c r="H20" t="s">
        <v>117</v>
      </c>
      <c r="I20" t="s">
        <v>130</v>
      </c>
      <c r="J20" t="s">
        <v>86</v>
      </c>
      <c r="K20" t="s">
        <v>90</v>
      </c>
    </row>
    <row r="21" spans="1:11" x14ac:dyDescent="0.25">
      <c r="A21" t="s">
        <v>30</v>
      </c>
      <c r="B21" t="s">
        <v>131</v>
      </c>
      <c r="D21" s="8">
        <v>79.825999999999993</v>
      </c>
      <c r="E21" s="8">
        <v>166</v>
      </c>
      <c r="F21" s="5" t="s">
        <v>82</v>
      </c>
      <c r="G21" t="s">
        <v>83</v>
      </c>
      <c r="H21" t="s">
        <v>132</v>
      </c>
      <c r="I21" t="s">
        <v>133</v>
      </c>
      <c r="J21" t="s">
        <v>86</v>
      </c>
      <c r="K21" t="s">
        <v>90</v>
      </c>
    </row>
    <row r="22" spans="1:11" x14ac:dyDescent="0.25">
      <c r="A22" t="s">
        <v>30</v>
      </c>
      <c r="B22" t="s">
        <v>134</v>
      </c>
      <c r="D22" s="8">
        <v>77.365600000000001</v>
      </c>
      <c r="E22" s="8">
        <v>174</v>
      </c>
      <c r="F22" s="5" t="s">
        <v>103</v>
      </c>
      <c r="G22" t="s">
        <v>83</v>
      </c>
      <c r="H22" t="s">
        <v>132</v>
      </c>
      <c r="I22" t="s">
        <v>135</v>
      </c>
      <c r="J22" t="s">
        <v>86</v>
      </c>
      <c r="K22" t="s">
        <v>90</v>
      </c>
    </row>
    <row r="23" spans="1:11" x14ac:dyDescent="0.25">
      <c r="A23" t="s">
        <v>30</v>
      </c>
      <c r="B23" t="s">
        <v>136</v>
      </c>
      <c r="D23" s="8">
        <v>75.762100000000004</v>
      </c>
      <c r="E23" s="8">
        <v>182</v>
      </c>
      <c r="F23" s="5" t="s">
        <v>82</v>
      </c>
      <c r="G23" t="s">
        <v>83</v>
      </c>
      <c r="H23" t="s">
        <v>132</v>
      </c>
      <c r="I23" t="s">
        <v>137</v>
      </c>
      <c r="J23" t="s">
        <v>86</v>
      </c>
      <c r="K23" t="s">
        <v>90</v>
      </c>
    </row>
    <row r="24" spans="1:11" x14ac:dyDescent="0.25">
      <c r="A24" t="s">
        <v>30</v>
      </c>
      <c r="B24" t="s">
        <v>138</v>
      </c>
      <c r="D24" s="8">
        <v>75.554199999999994</v>
      </c>
      <c r="E24" s="8">
        <v>190</v>
      </c>
      <c r="F24" s="5" t="s">
        <v>82</v>
      </c>
      <c r="G24" t="s">
        <v>83</v>
      </c>
      <c r="H24" t="s">
        <v>132</v>
      </c>
      <c r="I24" t="s">
        <v>139</v>
      </c>
      <c r="J24" t="s">
        <v>86</v>
      </c>
      <c r="K24" t="s">
        <v>90</v>
      </c>
    </row>
    <row r="25" spans="1:11" x14ac:dyDescent="0.25">
      <c r="A25" t="s">
        <v>30</v>
      </c>
      <c r="B25" t="s">
        <v>140</v>
      </c>
      <c r="D25" s="8">
        <v>74.790400000000005</v>
      </c>
      <c r="E25" s="8">
        <v>198</v>
      </c>
      <c r="F25" s="5" t="s">
        <v>82</v>
      </c>
      <c r="G25" t="s">
        <v>83</v>
      </c>
      <c r="H25" t="s">
        <v>132</v>
      </c>
      <c r="I25" t="s">
        <v>141</v>
      </c>
      <c r="J25" t="s">
        <v>86</v>
      </c>
      <c r="K25" t="s">
        <v>90</v>
      </c>
    </row>
    <row r="26" spans="1:11" x14ac:dyDescent="0.25">
      <c r="A26" t="s">
        <v>30</v>
      </c>
      <c r="B26" t="s">
        <v>142</v>
      </c>
      <c r="D26" s="8">
        <v>74.240300000000005</v>
      </c>
      <c r="E26" s="8">
        <v>206</v>
      </c>
      <c r="F26" s="5" t="s">
        <v>103</v>
      </c>
      <c r="G26" t="s">
        <v>83</v>
      </c>
      <c r="H26" t="s">
        <v>132</v>
      </c>
      <c r="I26" t="s">
        <v>143</v>
      </c>
      <c r="J26" t="s">
        <v>144</v>
      </c>
      <c r="K26" t="s">
        <v>90</v>
      </c>
    </row>
    <row r="27" spans="1:11" x14ac:dyDescent="0.25">
      <c r="A27" t="s">
        <v>30</v>
      </c>
      <c r="B27" t="s">
        <v>145</v>
      </c>
      <c r="D27" s="8">
        <v>72.797600000000003</v>
      </c>
      <c r="E27" s="8">
        <v>214</v>
      </c>
      <c r="F27" s="5" t="s">
        <v>82</v>
      </c>
      <c r="G27" t="s">
        <v>83</v>
      </c>
      <c r="H27" t="s">
        <v>146</v>
      </c>
      <c r="I27" t="s">
        <v>147</v>
      </c>
      <c r="J27" t="s">
        <v>86</v>
      </c>
      <c r="K27" t="s">
        <v>90</v>
      </c>
    </row>
    <row r="28" spans="1:11" x14ac:dyDescent="0.25">
      <c r="A28" t="s">
        <v>30</v>
      </c>
      <c r="B28" t="s">
        <v>148</v>
      </c>
      <c r="D28" s="8">
        <v>72.664599999999993</v>
      </c>
      <c r="E28" s="8">
        <v>222</v>
      </c>
      <c r="F28" s="5" t="s">
        <v>82</v>
      </c>
      <c r="G28" t="s">
        <v>83</v>
      </c>
      <c r="H28" t="s">
        <v>146</v>
      </c>
      <c r="I28" t="s">
        <v>149</v>
      </c>
      <c r="J28" t="s">
        <v>86</v>
      </c>
      <c r="K28" t="s">
        <v>90</v>
      </c>
    </row>
    <row r="29" spans="1:11" x14ac:dyDescent="0.25">
      <c r="A29" t="s">
        <v>30</v>
      </c>
      <c r="B29" t="s">
        <v>150</v>
      </c>
      <c r="D29" s="8">
        <v>71.333399999999997</v>
      </c>
      <c r="E29" s="8">
        <v>230</v>
      </c>
      <c r="F29" s="5" t="s">
        <v>82</v>
      </c>
      <c r="G29" t="s">
        <v>83</v>
      </c>
      <c r="H29" t="s">
        <v>146</v>
      </c>
      <c r="I29" t="s">
        <v>151</v>
      </c>
      <c r="J29" t="s">
        <v>86</v>
      </c>
      <c r="K29" t="s">
        <v>90</v>
      </c>
    </row>
    <row r="30" spans="1:11" x14ac:dyDescent="0.25">
      <c r="A30" t="s">
        <v>30</v>
      </c>
      <c r="B30" t="s">
        <v>152</v>
      </c>
      <c r="D30" s="8">
        <v>71.098600000000005</v>
      </c>
      <c r="E30" s="8">
        <v>238</v>
      </c>
      <c r="F30" s="5" t="s">
        <v>82</v>
      </c>
      <c r="G30" t="s">
        <v>83</v>
      </c>
      <c r="H30" t="s">
        <v>146</v>
      </c>
      <c r="I30" t="s">
        <v>153</v>
      </c>
      <c r="J30" t="s">
        <v>86</v>
      </c>
      <c r="K30" t="s">
        <v>90</v>
      </c>
    </row>
    <row r="31" spans="1:11" x14ac:dyDescent="0.25">
      <c r="A31" t="s">
        <v>30</v>
      </c>
      <c r="B31" t="s">
        <v>154</v>
      </c>
      <c r="D31" s="8">
        <v>70.884799999999998</v>
      </c>
      <c r="E31" s="8">
        <v>246</v>
      </c>
      <c r="F31" s="5" t="s">
        <v>82</v>
      </c>
      <c r="G31" t="s">
        <v>83</v>
      </c>
      <c r="H31" t="s">
        <v>146</v>
      </c>
      <c r="I31" t="s">
        <v>155</v>
      </c>
      <c r="J31" t="s">
        <v>86</v>
      </c>
      <c r="K31" t="s">
        <v>90</v>
      </c>
    </row>
    <row r="32" spans="1:11" x14ac:dyDescent="0.25">
      <c r="A32" t="s">
        <v>30</v>
      </c>
      <c r="B32" t="s">
        <v>156</v>
      </c>
      <c r="D32" s="8">
        <v>67.851200000000006</v>
      </c>
      <c r="E32" s="8">
        <v>254</v>
      </c>
      <c r="F32" s="5" t="s">
        <v>82</v>
      </c>
      <c r="G32" t="s">
        <v>83</v>
      </c>
      <c r="H32" t="s">
        <v>146</v>
      </c>
      <c r="I32" t="s">
        <v>157</v>
      </c>
      <c r="J32" t="s">
        <v>86</v>
      </c>
      <c r="K32" t="s">
        <v>90</v>
      </c>
    </row>
    <row r="33" spans="1:11" x14ac:dyDescent="0.25">
      <c r="A33" t="s">
        <v>30</v>
      </c>
      <c r="B33" t="s">
        <v>158</v>
      </c>
      <c r="D33" s="8">
        <v>65.792900000000003</v>
      </c>
      <c r="E33" s="8">
        <v>262</v>
      </c>
      <c r="F33" s="5" t="s">
        <v>103</v>
      </c>
      <c r="G33" t="s">
        <v>83</v>
      </c>
      <c r="H33" t="s">
        <v>146</v>
      </c>
      <c r="I33" t="s">
        <v>159</v>
      </c>
      <c r="J33" t="s">
        <v>86</v>
      </c>
      <c r="K33" t="s">
        <v>90</v>
      </c>
    </row>
    <row r="34" spans="1:11" x14ac:dyDescent="0.25">
      <c r="A34" t="s">
        <v>30</v>
      </c>
      <c r="B34" t="s">
        <v>160</v>
      </c>
      <c r="D34" s="8">
        <v>60.25</v>
      </c>
      <c r="E34" s="8">
        <v>270</v>
      </c>
      <c r="F34" s="5" t="s">
        <v>161</v>
      </c>
      <c r="G34" t="s">
        <v>162</v>
      </c>
      <c r="H34" t="s">
        <v>146</v>
      </c>
      <c r="I34" t="s">
        <v>163</v>
      </c>
      <c r="J34" t="s">
        <v>164</v>
      </c>
      <c r="K34" t="s">
        <v>90</v>
      </c>
    </row>
    <row r="35" spans="1:11" x14ac:dyDescent="0.25">
      <c r="A35" t="s">
        <v>34</v>
      </c>
      <c r="B35" t="s">
        <v>165</v>
      </c>
      <c r="D35" s="8">
        <v>97.3673</v>
      </c>
      <c r="E35" s="8">
        <v>1.8</v>
      </c>
      <c r="F35" s="5" t="s">
        <v>82</v>
      </c>
      <c r="G35" t="s">
        <v>83</v>
      </c>
      <c r="H35" t="s">
        <v>166</v>
      </c>
      <c r="I35" t="s">
        <v>167</v>
      </c>
      <c r="J35" t="s">
        <v>168</v>
      </c>
      <c r="K35" t="s">
        <v>87</v>
      </c>
    </row>
    <row r="36" spans="1:11" x14ac:dyDescent="0.25">
      <c r="A36" t="s">
        <v>34</v>
      </c>
      <c r="B36" t="s">
        <v>169</v>
      </c>
      <c r="D36" s="8">
        <v>96.332300000000004</v>
      </c>
      <c r="E36" s="8">
        <v>1.2</v>
      </c>
      <c r="F36" s="5" t="s">
        <v>82</v>
      </c>
      <c r="G36" t="s">
        <v>83</v>
      </c>
      <c r="H36" t="s">
        <v>166</v>
      </c>
      <c r="I36" t="s">
        <v>170</v>
      </c>
      <c r="J36" t="s">
        <v>168</v>
      </c>
      <c r="K36" t="s">
        <v>87</v>
      </c>
    </row>
    <row r="37" spans="1:11" x14ac:dyDescent="0.25">
      <c r="A37" t="s">
        <v>34</v>
      </c>
      <c r="B37" t="s">
        <v>171</v>
      </c>
      <c r="D37" s="8">
        <v>94.244699999999995</v>
      </c>
      <c r="E37" s="8">
        <v>7</v>
      </c>
      <c r="F37" s="5" t="s">
        <v>82</v>
      </c>
      <c r="G37" t="s">
        <v>83</v>
      </c>
      <c r="H37" t="s">
        <v>166</v>
      </c>
      <c r="I37" t="s">
        <v>172</v>
      </c>
      <c r="J37" t="s">
        <v>168</v>
      </c>
      <c r="K37" t="s">
        <v>87</v>
      </c>
    </row>
    <row r="38" spans="1:11" x14ac:dyDescent="0.25">
      <c r="A38" t="s">
        <v>34</v>
      </c>
      <c r="B38" t="s">
        <v>173</v>
      </c>
      <c r="D38" s="8">
        <v>92.147000000000006</v>
      </c>
      <c r="E38" s="8">
        <v>11</v>
      </c>
      <c r="F38" s="5" t="s">
        <v>82</v>
      </c>
      <c r="G38" t="s">
        <v>83</v>
      </c>
      <c r="H38" t="s">
        <v>166</v>
      </c>
      <c r="I38" t="s">
        <v>174</v>
      </c>
      <c r="J38" t="s">
        <v>168</v>
      </c>
      <c r="K38" t="s">
        <v>87</v>
      </c>
    </row>
    <row r="39" spans="1:11" x14ac:dyDescent="0.25">
      <c r="A39" t="s">
        <v>34</v>
      </c>
      <c r="B39" t="s">
        <v>175</v>
      </c>
      <c r="D39" s="8">
        <v>90.865899999999996</v>
      </c>
      <c r="E39" s="8">
        <v>18.8</v>
      </c>
      <c r="F39" s="5" t="s">
        <v>103</v>
      </c>
      <c r="G39" t="s">
        <v>176</v>
      </c>
      <c r="H39" t="s">
        <v>166</v>
      </c>
      <c r="I39" t="s">
        <v>177</v>
      </c>
      <c r="J39" t="s">
        <v>178</v>
      </c>
      <c r="K39" t="s">
        <v>90</v>
      </c>
    </row>
    <row r="40" spans="1:11" x14ac:dyDescent="0.25">
      <c r="A40" t="s">
        <v>34</v>
      </c>
      <c r="B40" t="s">
        <v>179</v>
      </c>
      <c r="D40" s="8">
        <v>88.642099999999999</v>
      </c>
      <c r="E40" s="8">
        <v>23</v>
      </c>
      <c r="F40" s="5" t="s">
        <v>103</v>
      </c>
      <c r="G40" t="s">
        <v>83</v>
      </c>
      <c r="H40" t="s">
        <v>180</v>
      </c>
      <c r="I40" t="s">
        <v>181</v>
      </c>
      <c r="J40" t="s">
        <v>121</v>
      </c>
      <c r="K40" t="s">
        <v>90</v>
      </c>
    </row>
    <row r="41" spans="1:11" x14ac:dyDescent="0.25">
      <c r="A41" t="s">
        <v>34</v>
      </c>
      <c r="B41" t="s">
        <v>182</v>
      </c>
      <c r="D41" s="8">
        <v>87.944000000000003</v>
      </c>
      <c r="E41" s="8">
        <v>18</v>
      </c>
      <c r="F41" s="5" t="s">
        <v>82</v>
      </c>
      <c r="G41" t="s">
        <v>83</v>
      </c>
      <c r="H41" t="s">
        <v>180</v>
      </c>
      <c r="I41" t="s">
        <v>183</v>
      </c>
      <c r="J41" t="s">
        <v>168</v>
      </c>
      <c r="K41" t="s">
        <v>87</v>
      </c>
    </row>
    <row r="42" spans="1:11" x14ac:dyDescent="0.25">
      <c r="A42" t="s">
        <v>34</v>
      </c>
      <c r="B42" t="s">
        <v>184</v>
      </c>
      <c r="D42" s="8">
        <v>87.292599999999993</v>
      </c>
      <c r="E42" s="8">
        <v>31.4</v>
      </c>
      <c r="F42" s="5" t="s">
        <v>82</v>
      </c>
      <c r="G42" t="s">
        <v>83</v>
      </c>
      <c r="H42" t="s">
        <v>180</v>
      </c>
      <c r="I42" t="s">
        <v>185</v>
      </c>
      <c r="J42" t="s">
        <v>168</v>
      </c>
      <c r="K42" t="s">
        <v>90</v>
      </c>
    </row>
    <row r="43" spans="1:11" x14ac:dyDescent="0.25">
      <c r="A43" t="s">
        <v>34</v>
      </c>
      <c r="B43" t="s">
        <v>186</v>
      </c>
      <c r="D43" s="8">
        <v>87.058000000000007</v>
      </c>
      <c r="E43" s="8">
        <v>15</v>
      </c>
      <c r="F43" s="5" t="s">
        <v>82</v>
      </c>
      <c r="G43" t="s">
        <v>83</v>
      </c>
      <c r="H43" t="s">
        <v>180</v>
      </c>
      <c r="I43" t="s">
        <v>187</v>
      </c>
      <c r="J43" t="s">
        <v>168</v>
      </c>
      <c r="K43" t="s">
        <v>87</v>
      </c>
    </row>
    <row r="44" spans="1:11" x14ac:dyDescent="0.25">
      <c r="A44" t="s">
        <v>34</v>
      </c>
      <c r="B44" t="s">
        <v>188</v>
      </c>
      <c r="D44" s="8">
        <v>85.948599999999999</v>
      </c>
      <c r="E44" s="8">
        <v>39.799999999999997</v>
      </c>
      <c r="F44" s="5" t="s">
        <v>82</v>
      </c>
      <c r="G44" t="s">
        <v>83</v>
      </c>
      <c r="H44" t="s">
        <v>180</v>
      </c>
      <c r="I44" t="s">
        <v>189</v>
      </c>
      <c r="J44" t="s">
        <v>168</v>
      </c>
      <c r="K44" t="s">
        <v>90</v>
      </c>
    </row>
    <row r="45" spans="1:11" x14ac:dyDescent="0.25">
      <c r="A45" t="s">
        <v>34</v>
      </c>
      <c r="B45" t="s">
        <v>190</v>
      </c>
      <c r="D45" s="8">
        <v>85.895200000000003</v>
      </c>
      <c r="E45" s="8">
        <v>44</v>
      </c>
      <c r="F45" s="5" t="s">
        <v>82</v>
      </c>
      <c r="G45" t="s">
        <v>83</v>
      </c>
      <c r="H45" t="s">
        <v>180</v>
      </c>
      <c r="I45" t="s">
        <v>191</v>
      </c>
      <c r="J45" t="s">
        <v>168</v>
      </c>
      <c r="K45" t="s">
        <v>90</v>
      </c>
    </row>
    <row r="46" spans="1:11" x14ac:dyDescent="0.25">
      <c r="A46" t="s">
        <v>34</v>
      </c>
      <c r="B46" t="s">
        <v>192</v>
      </c>
      <c r="D46" s="8">
        <v>85.843299999999999</v>
      </c>
      <c r="E46" s="8">
        <v>13</v>
      </c>
      <c r="F46" s="5" t="s">
        <v>82</v>
      </c>
      <c r="G46" t="s">
        <v>83</v>
      </c>
      <c r="H46" t="s">
        <v>180</v>
      </c>
      <c r="I46" t="s">
        <v>193</v>
      </c>
      <c r="J46" t="s">
        <v>194</v>
      </c>
      <c r="K46" t="s">
        <v>87</v>
      </c>
    </row>
    <row r="47" spans="1:11" x14ac:dyDescent="0.25">
      <c r="A47" t="s">
        <v>34</v>
      </c>
      <c r="B47" t="s">
        <v>195</v>
      </c>
      <c r="D47" s="8">
        <v>85.667400000000001</v>
      </c>
      <c r="E47" s="8">
        <v>52.400000000000013</v>
      </c>
      <c r="F47" s="5" t="s">
        <v>82</v>
      </c>
      <c r="G47" t="s">
        <v>83</v>
      </c>
      <c r="H47" t="s">
        <v>196</v>
      </c>
      <c r="I47" t="s">
        <v>197</v>
      </c>
      <c r="J47" t="s">
        <v>168</v>
      </c>
      <c r="K47" t="s">
        <v>90</v>
      </c>
    </row>
    <row r="48" spans="1:11" x14ac:dyDescent="0.25">
      <c r="A48" t="s">
        <v>34</v>
      </c>
      <c r="B48" t="s">
        <v>198</v>
      </c>
      <c r="D48" s="8">
        <v>85.664400000000001</v>
      </c>
      <c r="E48" s="8">
        <v>21</v>
      </c>
      <c r="F48" s="5" t="s">
        <v>82</v>
      </c>
      <c r="G48" t="s">
        <v>83</v>
      </c>
      <c r="H48" t="s">
        <v>196</v>
      </c>
      <c r="I48" t="s">
        <v>199</v>
      </c>
      <c r="J48" t="s">
        <v>168</v>
      </c>
      <c r="K48" t="s">
        <v>87</v>
      </c>
    </row>
    <row r="49" spans="1:11" x14ac:dyDescent="0.25">
      <c r="A49" t="s">
        <v>34</v>
      </c>
      <c r="B49" t="s">
        <v>200</v>
      </c>
      <c r="D49" s="8">
        <v>84.426400000000001</v>
      </c>
      <c r="E49" s="8">
        <v>60.8</v>
      </c>
      <c r="F49" s="5" t="s">
        <v>82</v>
      </c>
      <c r="G49" t="s">
        <v>83</v>
      </c>
      <c r="H49" t="s">
        <v>196</v>
      </c>
      <c r="I49" t="s">
        <v>201</v>
      </c>
      <c r="J49" t="s">
        <v>168</v>
      </c>
      <c r="K49" t="s">
        <v>90</v>
      </c>
    </row>
    <row r="50" spans="1:11" x14ac:dyDescent="0.25">
      <c r="A50" t="s">
        <v>34</v>
      </c>
      <c r="B50" t="s">
        <v>202</v>
      </c>
      <c r="D50" s="8">
        <v>84.034000000000006</v>
      </c>
      <c r="E50" s="8">
        <v>65</v>
      </c>
      <c r="F50" s="5" t="s">
        <v>82</v>
      </c>
      <c r="G50" t="s">
        <v>83</v>
      </c>
      <c r="H50" t="s">
        <v>196</v>
      </c>
      <c r="I50" t="s">
        <v>203</v>
      </c>
      <c r="J50" t="s">
        <v>168</v>
      </c>
      <c r="K50" t="s">
        <v>90</v>
      </c>
    </row>
    <row r="51" spans="1:11" x14ac:dyDescent="0.25">
      <c r="A51" t="s">
        <v>34</v>
      </c>
      <c r="B51" t="s">
        <v>204</v>
      </c>
      <c r="D51" s="8">
        <v>83.803200000000004</v>
      </c>
      <c r="E51" s="8">
        <v>69.2</v>
      </c>
      <c r="F51" s="5" t="s">
        <v>82</v>
      </c>
      <c r="G51" t="s">
        <v>83</v>
      </c>
      <c r="H51" t="s">
        <v>196</v>
      </c>
      <c r="I51" t="s">
        <v>205</v>
      </c>
      <c r="J51" t="s">
        <v>168</v>
      </c>
      <c r="K51" t="s">
        <v>90</v>
      </c>
    </row>
    <row r="52" spans="1:11" x14ac:dyDescent="0.25">
      <c r="A52" t="s">
        <v>34</v>
      </c>
      <c r="B52" t="s">
        <v>206</v>
      </c>
      <c r="D52" s="8">
        <v>83.043599999999998</v>
      </c>
      <c r="E52" s="8">
        <v>73.400000000000006</v>
      </c>
      <c r="F52" s="5" t="s">
        <v>82</v>
      </c>
      <c r="G52" t="s">
        <v>83</v>
      </c>
      <c r="H52" t="s">
        <v>196</v>
      </c>
      <c r="I52" t="s">
        <v>207</v>
      </c>
      <c r="J52" t="s">
        <v>168</v>
      </c>
      <c r="K52" t="s">
        <v>90</v>
      </c>
    </row>
    <row r="53" spans="1:11" x14ac:dyDescent="0.25">
      <c r="A53" t="s">
        <v>34</v>
      </c>
      <c r="B53" t="s">
        <v>208</v>
      </c>
      <c r="D53" s="8">
        <v>81.888400000000004</v>
      </c>
      <c r="E53" s="8">
        <v>77.600000000000009</v>
      </c>
      <c r="F53" s="5" t="s">
        <v>103</v>
      </c>
      <c r="G53" t="s">
        <v>83</v>
      </c>
      <c r="H53" t="s">
        <v>196</v>
      </c>
      <c r="I53" t="s">
        <v>209</v>
      </c>
      <c r="J53" t="s">
        <v>109</v>
      </c>
      <c r="K53" t="s">
        <v>90</v>
      </c>
    </row>
    <row r="54" spans="1:11" x14ac:dyDescent="0.25">
      <c r="A54" t="s">
        <v>34</v>
      </c>
      <c r="B54" t="s">
        <v>210</v>
      </c>
      <c r="D54" s="8">
        <v>79.985600000000005</v>
      </c>
      <c r="E54" s="8">
        <v>81.8</v>
      </c>
      <c r="F54" s="5" t="s">
        <v>82</v>
      </c>
      <c r="G54" t="s">
        <v>83</v>
      </c>
      <c r="H54" t="s">
        <v>196</v>
      </c>
      <c r="I54" t="s">
        <v>211</v>
      </c>
      <c r="J54" t="s">
        <v>168</v>
      </c>
      <c r="K54" t="s">
        <v>90</v>
      </c>
    </row>
    <row r="55" spans="1:11" x14ac:dyDescent="0.25">
      <c r="A55" t="s">
        <v>34</v>
      </c>
      <c r="B55" t="s">
        <v>212</v>
      </c>
      <c r="D55" s="8">
        <v>79.935500000000005</v>
      </c>
      <c r="E55" s="8">
        <v>86</v>
      </c>
      <c r="F55" s="5" t="s">
        <v>103</v>
      </c>
      <c r="G55" t="s">
        <v>83</v>
      </c>
      <c r="H55" t="s">
        <v>213</v>
      </c>
      <c r="I55" t="s">
        <v>214</v>
      </c>
      <c r="J55" t="s">
        <v>168</v>
      </c>
      <c r="K55" t="s">
        <v>90</v>
      </c>
    </row>
    <row r="56" spans="1:11" x14ac:dyDescent="0.25">
      <c r="A56" t="s">
        <v>34</v>
      </c>
      <c r="B56" t="s">
        <v>215</v>
      </c>
      <c r="D56" s="8">
        <v>79.930300000000003</v>
      </c>
      <c r="E56" s="8">
        <v>90.2</v>
      </c>
      <c r="F56" s="5" t="s">
        <v>82</v>
      </c>
      <c r="G56" t="s">
        <v>83</v>
      </c>
      <c r="H56" t="s">
        <v>213</v>
      </c>
      <c r="I56" t="s">
        <v>216</v>
      </c>
      <c r="J56" t="s">
        <v>168</v>
      </c>
      <c r="K56" t="s">
        <v>90</v>
      </c>
    </row>
    <row r="57" spans="1:11" x14ac:dyDescent="0.25">
      <c r="A57" t="s">
        <v>34</v>
      </c>
      <c r="B57" t="s">
        <v>217</v>
      </c>
      <c r="D57" s="8">
        <v>77.910200000000003</v>
      </c>
      <c r="E57" s="8">
        <v>94.4</v>
      </c>
      <c r="F57" s="5" t="s">
        <v>82</v>
      </c>
      <c r="G57" t="s">
        <v>83</v>
      </c>
      <c r="H57" t="s">
        <v>213</v>
      </c>
      <c r="I57" t="s">
        <v>218</v>
      </c>
      <c r="J57" t="s">
        <v>168</v>
      </c>
      <c r="K57" t="s">
        <v>90</v>
      </c>
    </row>
    <row r="58" spans="1:11" x14ac:dyDescent="0.25">
      <c r="A58" t="s">
        <v>34</v>
      </c>
      <c r="B58" t="s">
        <v>219</v>
      </c>
      <c r="D58" s="8">
        <v>77.832499999999996</v>
      </c>
      <c r="E58" s="8">
        <v>98.600000000000009</v>
      </c>
      <c r="F58" s="5" t="s">
        <v>82</v>
      </c>
      <c r="G58" t="s">
        <v>83</v>
      </c>
      <c r="H58" t="s">
        <v>213</v>
      </c>
      <c r="I58" t="s">
        <v>220</v>
      </c>
      <c r="J58" t="s">
        <v>168</v>
      </c>
      <c r="K58" t="s">
        <v>90</v>
      </c>
    </row>
    <row r="59" spans="1:11" x14ac:dyDescent="0.25">
      <c r="A59" t="s">
        <v>34</v>
      </c>
      <c r="B59" t="s">
        <v>221</v>
      </c>
      <c r="D59" s="8">
        <v>76.662199999999999</v>
      </c>
      <c r="E59" s="8">
        <v>102.8</v>
      </c>
      <c r="F59" s="5" t="s">
        <v>103</v>
      </c>
      <c r="G59" t="s">
        <v>176</v>
      </c>
      <c r="H59" t="s">
        <v>213</v>
      </c>
      <c r="I59" t="s">
        <v>222</v>
      </c>
      <c r="J59" t="s">
        <v>178</v>
      </c>
      <c r="K59" t="s">
        <v>90</v>
      </c>
    </row>
    <row r="60" spans="1:11" x14ac:dyDescent="0.25">
      <c r="A60" t="s">
        <v>34</v>
      </c>
      <c r="B60" t="s">
        <v>223</v>
      </c>
      <c r="D60" s="8">
        <v>76.091800000000006</v>
      </c>
      <c r="E60" s="8">
        <v>107</v>
      </c>
      <c r="F60" s="5" t="s">
        <v>82</v>
      </c>
      <c r="G60" t="s">
        <v>83</v>
      </c>
      <c r="H60" t="s">
        <v>213</v>
      </c>
      <c r="I60" t="s">
        <v>224</v>
      </c>
      <c r="J60" t="s">
        <v>168</v>
      </c>
      <c r="K60" t="s">
        <v>90</v>
      </c>
    </row>
    <row r="61" spans="1:11" x14ac:dyDescent="0.25">
      <c r="A61" t="s">
        <v>34</v>
      </c>
      <c r="B61" t="s">
        <v>225</v>
      </c>
      <c r="D61" s="8">
        <v>75.785799999999995</v>
      </c>
      <c r="E61" s="8">
        <v>111.2</v>
      </c>
      <c r="F61" s="5" t="s">
        <v>82</v>
      </c>
      <c r="G61" t="s">
        <v>83</v>
      </c>
      <c r="H61" t="s">
        <v>213</v>
      </c>
      <c r="I61" t="s">
        <v>226</v>
      </c>
      <c r="J61" t="s">
        <v>168</v>
      </c>
      <c r="K61" t="s">
        <v>90</v>
      </c>
    </row>
    <row r="62" spans="1:11" x14ac:dyDescent="0.25">
      <c r="A62" t="s">
        <v>34</v>
      </c>
      <c r="B62" t="s">
        <v>227</v>
      </c>
      <c r="D62" s="8">
        <v>75.098600000000005</v>
      </c>
      <c r="E62" s="8">
        <v>115.4</v>
      </c>
      <c r="F62" s="5" t="s">
        <v>82</v>
      </c>
      <c r="G62" t="s">
        <v>83</v>
      </c>
      <c r="H62" t="s">
        <v>213</v>
      </c>
      <c r="I62" t="s">
        <v>228</v>
      </c>
      <c r="J62" t="s">
        <v>168</v>
      </c>
      <c r="K62" t="s">
        <v>90</v>
      </c>
    </row>
    <row r="63" spans="1:11" x14ac:dyDescent="0.25">
      <c r="A63" t="s">
        <v>34</v>
      </c>
      <c r="B63" t="s">
        <v>229</v>
      </c>
      <c r="D63" s="8">
        <v>74.588099999999997</v>
      </c>
      <c r="E63" s="8">
        <v>119.6</v>
      </c>
      <c r="F63" s="5" t="s">
        <v>82</v>
      </c>
      <c r="G63" t="s">
        <v>83</v>
      </c>
      <c r="H63" t="s">
        <v>213</v>
      </c>
      <c r="I63" t="s">
        <v>230</v>
      </c>
      <c r="J63" t="s">
        <v>168</v>
      </c>
      <c r="K63" t="s">
        <v>90</v>
      </c>
    </row>
    <row r="64" spans="1:11" x14ac:dyDescent="0.25">
      <c r="A64" t="s">
        <v>34</v>
      </c>
      <c r="B64" t="s">
        <v>231</v>
      </c>
      <c r="D64" s="8">
        <v>74.504900000000006</v>
      </c>
      <c r="E64" s="8">
        <v>123.8</v>
      </c>
      <c r="F64" s="5" t="s">
        <v>82</v>
      </c>
      <c r="G64" t="s">
        <v>83</v>
      </c>
      <c r="H64" t="s">
        <v>213</v>
      </c>
      <c r="I64" t="s">
        <v>232</v>
      </c>
      <c r="J64" t="s">
        <v>168</v>
      </c>
      <c r="K64" t="s">
        <v>90</v>
      </c>
    </row>
    <row r="65" spans="1:11" x14ac:dyDescent="0.25">
      <c r="A65" t="s">
        <v>34</v>
      </c>
      <c r="B65" t="s">
        <v>233</v>
      </c>
      <c r="D65" s="8">
        <v>74.467699999999994</v>
      </c>
      <c r="E65" s="8">
        <v>128</v>
      </c>
      <c r="F65" s="5" t="s">
        <v>82</v>
      </c>
      <c r="G65" t="s">
        <v>83</v>
      </c>
      <c r="H65" t="s">
        <v>234</v>
      </c>
      <c r="I65" t="s">
        <v>235</v>
      </c>
      <c r="J65" t="s">
        <v>168</v>
      </c>
      <c r="K65" t="s">
        <v>90</v>
      </c>
    </row>
    <row r="66" spans="1:11" x14ac:dyDescent="0.25">
      <c r="A66" t="s">
        <v>34</v>
      </c>
      <c r="B66" t="s">
        <v>236</v>
      </c>
      <c r="D66" s="8">
        <v>73.567800000000005</v>
      </c>
      <c r="E66" s="8">
        <v>132.19999999999999</v>
      </c>
      <c r="F66" s="5" t="s">
        <v>82</v>
      </c>
      <c r="G66" t="s">
        <v>83</v>
      </c>
      <c r="H66" t="s">
        <v>234</v>
      </c>
      <c r="I66" t="s">
        <v>237</v>
      </c>
      <c r="J66" t="s">
        <v>168</v>
      </c>
      <c r="K66" t="s">
        <v>90</v>
      </c>
    </row>
    <row r="67" spans="1:11" x14ac:dyDescent="0.25">
      <c r="A67" t="s">
        <v>34</v>
      </c>
      <c r="B67" t="s">
        <v>238</v>
      </c>
      <c r="D67" s="8">
        <v>72.610200000000006</v>
      </c>
      <c r="E67" s="8">
        <v>136.4</v>
      </c>
      <c r="F67" s="5" t="s">
        <v>82</v>
      </c>
      <c r="G67" t="s">
        <v>83</v>
      </c>
      <c r="H67" t="s">
        <v>234</v>
      </c>
      <c r="I67" t="s">
        <v>239</v>
      </c>
      <c r="J67" t="s">
        <v>168</v>
      </c>
      <c r="K67" t="s">
        <v>90</v>
      </c>
    </row>
    <row r="68" spans="1:11" x14ac:dyDescent="0.25">
      <c r="A68" t="s">
        <v>34</v>
      </c>
      <c r="B68" t="s">
        <v>240</v>
      </c>
      <c r="D68" s="8">
        <v>71.866699999999994</v>
      </c>
      <c r="E68" s="8">
        <v>140.6</v>
      </c>
      <c r="F68" s="5" t="s">
        <v>82</v>
      </c>
      <c r="G68" t="s">
        <v>83</v>
      </c>
      <c r="H68" t="s">
        <v>234</v>
      </c>
      <c r="I68" t="s">
        <v>241</v>
      </c>
      <c r="J68" t="s">
        <v>168</v>
      </c>
      <c r="K68" t="s">
        <v>90</v>
      </c>
    </row>
    <row r="69" spans="1:11" x14ac:dyDescent="0.25">
      <c r="A69" t="s">
        <v>34</v>
      </c>
      <c r="B69" t="s">
        <v>242</v>
      </c>
      <c r="D69" s="8">
        <v>71.697699999999998</v>
      </c>
      <c r="E69" s="8">
        <v>144.80000000000001</v>
      </c>
      <c r="F69" s="5" t="s">
        <v>82</v>
      </c>
      <c r="G69" t="s">
        <v>83</v>
      </c>
      <c r="H69" t="s">
        <v>234</v>
      </c>
      <c r="I69" t="s">
        <v>243</v>
      </c>
      <c r="J69" t="s">
        <v>168</v>
      </c>
      <c r="K69" t="s">
        <v>90</v>
      </c>
    </row>
    <row r="70" spans="1:11" x14ac:dyDescent="0.25">
      <c r="A70" t="s">
        <v>34</v>
      </c>
      <c r="B70" t="s">
        <v>244</v>
      </c>
      <c r="D70" s="8">
        <v>71.166600000000003</v>
      </c>
      <c r="E70" s="8">
        <v>149</v>
      </c>
      <c r="F70" s="5" t="s">
        <v>103</v>
      </c>
      <c r="G70" t="s">
        <v>83</v>
      </c>
      <c r="H70" t="s">
        <v>234</v>
      </c>
      <c r="I70" t="s">
        <v>245</v>
      </c>
      <c r="J70" t="s">
        <v>168</v>
      </c>
      <c r="K70" t="s">
        <v>90</v>
      </c>
    </row>
    <row r="71" spans="1:11" x14ac:dyDescent="0.25">
      <c r="A71" t="s">
        <v>34</v>
      </c>
      <c r="B71" t="s">
        <v>246</v>
      </c>
      <c r="D71" s="8">
        <v>69.519599999999997</v>
      </c>
      <c r="E71" s="8">
        <v>153.19999999999999</v>
      </c>
      <c r="F71" s="5" t="s">
        <v>82</v>
      </c>
      <c r="G71" t="s">
        <v>83</v>
      </c>
      <c r="H71" t="s">
        <v>234</v>
      </c>
      <c r="I71" t="s">
        <v>247</v>
      </c>
      <c r="J71" t="s">
        <v>168</v>
      </c>
      <c r="K71" t="s">
        <v>90</v>
      </c>
    </row>
    <row r="72" spans="1:11" x14ac:dyDescent="0.25">
      <c r="A72" t="s">
        <v>34</v>
      </c>
      <c r="B72" t="s">
        <v>248</v>
      </c>
      <c r="D72" s="8">
        <v>69.203699999999998</v>
      </c>
      <c r="E72" s="8">
        <v>157.4</v>
      </c>
      <c r="F72" s="5" t="s">
        <v>82</v>
      </c>
      <c r="G72" t="s">
        <v>83</v>
      </c>
      <c r="H72" t="s">
        <v>234</v>
      </c>
      <c r="I72" t="s">
        <v>249</v>
      </c>
      <c r="J72" t="s">
        <v>168</v>
      </c>
      <c r="K72" t="s">
        <v>90</v>
      </c>
    </row>
    <row r="73" spans="1:11" x14ac:dyDescent="0.25">
      <c r="A73" t="s">
        <v>34</v>
      </c>
      <c r="B73" t="s">
        <v>250</v>
      </c>
      <c r="D73" s="8">
        <v>68.992199999999997</v>
      </c>
      <c r="E73" s="8">
        <v>161.6</v>
      </c>
      <c r="F73" s="5" t="s">
        <v>82</v>
      </c>
      <c r="G73" t="s">
        <v>83</v>
      </c>
      <c r="H73" t="s">
        <v>234</v>
      </c>
      <c r="I73" t="s">
        <v>251</v>
      </c>
      <c r="J73" t="s">
        <v>168</v>
      </c>
      <c r="K73" t="s">
        <v>90</v>
      </c>
    </row>
    <row r="74" spans="1:11" x14ac:dyDescent="0.25">
      <c r="A74" t="s">
        <v>34</v>
      </c>
      <c r="B74" t="s">
        <v>252</v>
      </c>
      <c r="D74" s="8">
        <v>67.657399999999996</v>
      </c>
      <c r="E74" s="8">
        <v>165.8</v>
      </c>
      <c r="F74" s="5" t="s">
        <v>82</v>
      </c>
      <c r="G74" t="s">
        <v>83</v>
      </c>
      <c r="H74" t="s">
        <v>234</v>
      </c>
      <c r="I74" t="s">
        <v>253</v>
      </c>
      <c r="J74" t="s">
        <v>168</v>
      </c>
      <c r="K74" t="s">
        <v>90</v>
      </c>
    </row>
    <row r="75" spans="1:11" x14ac:dyDescent="0.25">
      <c r="A75" t="s">
        <v>34</v>
      </c>
      <c r="B75" t="s">
        <v>254</v>
      </c>
      <c r="D75" s="8">
        <v>66.866200000000006</v>
      </c>
      <c r="E75" s="8">
        <v>170</v>
      </c>
      <c r="F75" s="5" t="s">
        <v>82</v>
      </c>
      <c r="G75" t="s">
        <v>83</v>
      </c>
      <c r="H75" t="s">
        <v>255</v>
      </c>
      <c r="I75" t="s">
        <v>256</v>
      </c>
      <c r="J75" t="s">
        <v>168</v>
      </c>
      <c r="K75" t="s">
        <v>90</v>
      </c>
    </row>
    <row r="76" spans="1:11" x14ac:dyDescent="0.25">
      <c r="A76" t="s">
        <v>34</v>
      </c>
      <c r="B76" t="s">
        <v>257</v>
      </c>
      <c r="D76" s="8">
        <v>66.537000000000006</v>
      </c>
      <c r="E76" s="8">
        <v>174.2</v>
      </c>
      <c r="F76" s="5" t="s">
        <v>82</v>
      </c>
      <c r="G76" t="s">
        <v>83</v>
      </c>
      <c r="H76" t="s">
        <v>255</v>
      </c>
      <c r="I76" t="s">
        <v>258</v>
      </c>
      <c r="J76" t="s">
        <v>168</v>
      </c>
      <c r="K76" t="s">
        <v>90</v>
      </c>
    </row>
    <row r="77" spans="1:11" x14ac:dyDescent="0.25">
      <c r="A77" t="s">
        <v>34</v>
      </c>
      <c r="B77" t="s">
        <v>259</v>
      </c>
      <c r="D77" s="8">
        <v>66.531000000000006</v>
      </c>
      <c r="E77" s="8">
        <v>178.4</v>
      </c>
      <c r="F77" s="5" t="s">
        <v>82</v>
      </c>
      <c r="G77" t="s">
        <v>83</v>
      </c>
      <c r="H77" t="s">
        <v>255</v>
      </c>
      <c r="I77" t="s">
        <v>260</v>
      </c>
      <c r="J77" t="s">
        <v>168</v>
      </c>
      <c r="K77" t="s">
        <v>90</v>
      </c>
    </row>
    <row r="78" spans="1:11" x14ac:dyDescent="0.25">
      <c r="A78" t="s">
        <v>34</v>
      </c>
      <c r="B78" t="s">
        <v>261</v>
      </c>
      <c r="D78" s="8">
        <v>63.032200000000003</v>
      </c>
      <c r="E78" s="8">
        <v>182.6</v>
      </c>
      <c r="F78" s="5" t="s">
        <v>82</v>
      </c>
      <c r="G78" t="s">
        <v>83</v>
      </c>
      <c r="H78" t="s">
        <v>255</v>
      </c>
      <c r="I78" t="s">
        <v>262</v>
      </c>
      <c r="J78" t="s">
        <v>168</v>
      </c>
      <c r="K78" t="s">
        <v>90</v>
      </c>
    </row>
    <row r="79" spans="1:11" x14ac:dyDescent="0.25">
      <c r="A79" t="s">
        <v>34</v>
      </c>
      <c r="B79" t="s">
        <v>263</v>
      </c>
      <c r="D79" s="8">
        <v>62.549799999999998</v>
      </c>
      <c r="E79" s="8">
        <v>186.8</v>
      </c>
      <c r="F79" s="5" t="s">
        <v>82</v>
      </c>
      <c r="G79" t="s">
        <v>83</v>
      </c>
      <c r="H79" t="s">
        <v>255</v>
      </c>
      <c r="I79" t="s">
        <v>264</v>
      </c>
      <c r="J79" t="s">
        <v>168</v>
      </c>
      <c r="K79" t="s">
        <v>90</v>
      </c>
    </row>
    <row r="80" spans="1:11" x14ac:dyDescent="0.25">
      <c r="A80" t="s">
        <v>34</v>
      </c>
      <c r="B80" t="s">
        <v>265</v>
      </c>
      <c r="D80" s="8">
        <v>62.2</v>
      </c>
      <c r="E80" s="8">
        <v>191</v>
      </c>
      <c r="F80" s="5" t="s">
        <v>161</v>
      </c>
      <c r="G80" t="s">
        <v>162</v>
      </c>
      <c r="H80" t="s">
        <v>255</v>
      </c>
      <c r="I80" t="s">
        <v>266</v>
      </c>
      <c r="J80" t="s">
        <v>164</v>
      </c>
      <c r="K80" t="s">
        <v>90</v>
      </c>
    </row>
    <row r="81" spans="1:11" x14ac:dyDescent="0.25">
      <c r="A81" t="s">
        <v>34</v>
      </c>
      <c r="B81" t="s">
        <v>267</v>
      </c>
      <c r="D81" s="8">
        <v>61.982100000000003</v>
      </c>
      <c r="E81" s="8">
        <v>195.2</v>
      </c>
      <c r="F81" s="5" t="s">
        <v>82</v>
      </c>
      <c r="G81" t="s">
        <v>83</v>
      </c>
      <c r="H81" t="s">
        <v>255</v>
      </c>
      <c r="I81" t="s">
        <v>268</v>
      </c>
      <c r="J81" t="s">
        <v>168</v>
      </c>
      <c r="K81" t="s">
        <v>90</v>
      </c>
    </row>
    <row r="82" spans="1:11" x14ac:dyDescent="0.25">
      <c r="A82" t="s">
        <v>34</v>
      </c>
      <c r="B82" t="s">
        <v>269</v>
      </c>
      <c r="D82" s="8">
        <v>60.0092</v>
      </c>
      <c r="E82" s="8">
        <v>199.4</v>
      </c>
      <c r="F82" s="5" t="s">
        <v>103</v>
      </c>
      <c r="G82" t="s">
        <v>162</v>
      </c>
      <c r="H82" t="s">
        <v>255</v>
      </c>
      <c r="I82" t="s">
        <v>270</v>
      </c>
      <c r="J82" t="s">
        <v>168</v>
      </c>
      <c r="K82" t="s">
        <v>90</v>
      </c>
    </row>
    <row r="83" spans="1:11" x14ac:dyDescent="0.25">
      <c r="A83" t="s">
        <v>34</v>
      </c>
      <c r="B83" t="s">
        <v>271</v>
      </c>
      <c r="D83" s="8">
        <v>59.15</v>
      </c>
      <c r="E83" s="8">
        <v>203.6</v>
      </c>
      <c r="F83" s="5" t="s">
        <v>103</v>
      </c>
      <c r="G83" t="s">
        <v>162</v>
      </c>
      <c r="H83" t="s">
        <v>255</v>
      </c>
      <c r="I83" t="s">
        <v>272</v>
      </c>
      <c r="J83" t="s">
        <v>168</v>
      </c>
      <c r="K83" t="s">
        <v>90</v>
      </c>
    </row>
    <row r="84" spans="1:11" x14ac:dyDescent="0.25">
      <c r="A84" t="s">
        <v>34</v>
      </c>
      <c r="B84" t="s">
        <v>273</v>
      </c>
      <c r="D84" s="8">
        <v>54.88</v>
      </c>
      <c r="E84" s="8">
        <v>207.8</v>
      </c>
      <c r="F84" s="5" t="s">
        <v>103</v>
      </c>
      <c r="G84" t="s">
        <v>162</v>
      </c>
      <c r="H84" t="s">
        <v>255</v>
      </c>
      <c r="I84" t="s">
        <v>274</v>
      </c>
      <c r="J84" t="s">
        <v>168</v>
      </c>
      <c r="K84" t="s">
        <v>90</v>
      </c>
    </row>
    <row r="85" spans="1:11" x14ac:dyDescent="0.25">
      <c r="A85" t="s">
        <v>37</v>
      </c>
      <c r="B85" t="s">
        <v>275</v>
      </c>
      <c r="D85" s="8">
        <v>96.732299999999995</v>
      </c>
      <c r="E85" s="8">
        <v>3.2</v>
      </c>
      <c r="F85" s="5" t="s">
        <v>82</v>
      </c>
      <c r="G85" t="s">
        <v>162</v>
      </c>
      <c r="H85" t="s">
        <v>276</v>
      </c>
      <c r="I85" t="s">
        <v>277</v>
      </c>
      <c r="J85" t="s">
        <v>278</v>
      </c>
      <c r="K85" t="s">
        <v>87</v>
      </c>
    </row>
    <row r="86" spans="1:11" x14ac:dyDescent="0.25">
      <c r="A86" t="s">
        <v>37</v>
      </c>
      <c r="B86" t="s">
        <v>279</v>
      </c>
      <c r="D86" s="8">
        <v>98.485900000000001</v>
      </c>
      <c r="E86" s="8">
        <v>3.8</v>
      </c>
      <c r="F86" s="5" t="s">
        <v>82</v>
      </c>
      <c r="G86" t="s">
        <v>162</v>
      </c>
      <c r="H86" t="s">
        <v>276</v>
      </c>
      <c r="I86" t="s">
        <v>280</v>
      </c>
      <c r="J86" t="s">
        <v>278</v>
      </c>
      <c r="K86" t="s">
        <v>87</v>
      </c>
    </row>
    <row r="87" spans="1:11" x14ac:dyDescent="0.25">
      <c r="A87" t="s">
        <v>37</v>
      </c>
      <c r="B87" t="s">
        <v>281</v>
      </c>
      <c r="D87" s="8">
        <v>94.079899999999995</v>
      </c>
      <c r="E87" s="8">
        <v>5.4</v>
      </c>
      <c r="F87" s="5" t="s">
        <v>82</v>
      </c>
      <c r="G87" t="s">
        <v>162</v>
      </c>
      <c r="H87" t="s">
        <v>276</v>
      </c>
      <c r="I87" t="s">
        <v>282</v>
      </c>
      <c r="J87" t="s">
        <v>278</v>
      </c>
      <c r="K87" t="s">
        <v>87</v>
      </c>
    </row>
    <row r="88" spans="1:11" x14ac:dyDescent="0.25">
      <c r="A88" t="s">
        <v>37</v>
      </c>
      <c r="B88" t="s">
        <v>283</v>
      </c>
      <c r="D88" s="8">
        <v>93.263900000000007</v>
      </c>
      <c r="E88" s="8">
        <v>6</v>
      </c>
      <c r="F88" s="5" t="s">
        <v>82</v>
      </c>
      <c r="G88" t="s">
        <v>162</v>
      </c>
      <c r="H88" t="s">
        <v>276</v>
      </c>
      <c r="I88" t="s">
        <v>284</v>
      </c>
      <c r="J88" t="s">
        <v>278</v>
      </c>
      <c r="K88" t="s">
        <v>87</v>
      </c>
    </row>
    <row r="89" spans="1:11" x14ac:dyDescent="0.25">
      <c r="A89" t="s">
        <v>37</v>
      </c>
      <c r="B89" t="s">
        <v>285</v>
      </c>
      <c r="D89" s="8">
        <v>83.235699999999994</v>
      </c>
      <c r="E89" s="8">
        <v>14</v>
      </c>
      <c r="F89" s="5" t="s">
        <v>82</v>
      </c>
      <c r="G89" t="s">
        <v>162</v>
      </c>
      <c r="H89" t="s">
        <v>286</v>
      </c>
      <c r="I89" t="s">
        <v>287</v>
      </c>
      <c r="J89" t="s">
        <v>194</v>
      </c>
      <c r="K89" t="s">
        <v>87</v>
      </c>
    </row>
    <row r="90" spans="1:11" x14ac:dyDescent="0.25">
      <c r="A90" t="s">
        <v>37</v>
      </c>
      <c r="B90" t="s">
        <v>288</v>
      </c>
      <c r="D90" s="8">
        <v>85.742599999999996</v>
      </c>
      <c r="E90" s="8">
        <v>8</v>
      </c>
      <c r="F90" s="5" t="s">
        <v>82</v>
      </c>
      <c r="G90" t="s">
        <v>162</v>
      </c>
      <c r="H90" t="s">
        <v>289</v>
      </c>
      <c r="I90" t="s">
        <v>290</v>
      </c>
      <c r="J90" t="s">
        <v>194</v>
      </c>
      <c r="K90" t="s">
        <v>87</v>
      </c>
    </row>
    <row r="91" spans="1:11" x14ac:dyDescent="0.25">
      <c r="A91" t="s">
        <v>37</v>
      </c>
      <c r="B91" t="s">
        <v>291</v>
      </c>
      <c r="D91" s="8">
        <v>84.793599999999998</v>
      </c>
      <c r="E91" s="8">
        <v>9</v>
      </c>
      <c r="F91" s="5" t="s">
        <v>82</v>
      </c>
      <c r="G91" t="s">
        <v>162</v>
      </c>
      <c r="H91" t="s">
        <v>286</v>
      </c>
      <c r="I91" t="s">
        <v>292</v>
      </c>
      <c r="J91" t="s">
        <v>194</v>
      </c>
      <c r="K91" t="s">
        <v>87</v>
      </c>
    </row>
    <row r="92" spans="1:11" x14ac:dyDescent="0.25">
      <c r="A92" t="s">
        <v>37</v>
      </c>
      <c r="B92" t="s">
        <v>293</v>
      </c>
      <c r="D92" s="8">
        <v>81.836600000000004</v>
      </c>
      <c r="E92" s="8">
        <v>16</v>
      </c>
      <c r="F92" s="5" t="s">
        <v>82</v>
      </c>
      <c r="G92" t="s">
        <v>162</v>
      </c>
      <c r="H92" t="s">
        <v>286</v>
      </c>
      <c r="I92" t="s">
        <v>294</v>
      </c>
      <c r="J92" t="s">
        <v>194</v>
      </c>
      <c r="K92" t="s">
        <v>87</v>
      </c>
    </row>
    <row r="93" spans="1:11" x14ac:dyDescent="0.25">
      <c r="A93" t="s">
        <v>37</v>
      </c>
      <c r="B93" t="s">
        <v>295</v>
      </c>
      <c r="D93" s="8">
        <v>87.510599999999997</v>
      </c>
      <c r="E93" s="8">
        <v>10</v>
      </c>
      <c r="F93" s="5" t="s">
        <v>82</v>
      </c>
      <c r="G93" t="s">
        <v>162</v>
      </c>
      <c r="H93" t="s">
        <v>289</v>
      </c>
      <c r="I93" t="s">
        <v>296</v>
      </c>
      <c r="J93" t="s">
        <v>278</v>
      </c>
      <c r="K93" t="s">
        <v>87</v>
      </c>
    </row>
    <row r="94" spans="1:11" x14ac:dyDescent="0.25">
      <c r="A94" t="s">
        <v>37</v>
      </c>
      <c r="B94" t="s">
        <v>297</v>
      </c>
      <c r="D94" s="8">
        <v>91.492500000000007</v>
      </c>
      <c r="E94" s="8">
        <v>12</v>
      </c>
      <c r="F94" s="5" t="s">
        <v>103</v>
      </c>
      <c r="G94" t="s">
        <v>162</v>
      </c>
      <c r="H94" t="s">
        <v>276</v>
      </c>
      <c r="I94" t="s">
        <v>298</v>
      </c>
      <c r="J94" t="s">
        <v>278</v>
      </c>
      <c r="K94" t="s">
        <v>87</v>
      </c>
    </row>
    <row r="95" spans="1:11" x14ac:dyDescent="0.25">
      <c r="A95" t="s">
        <v>37</v>
      </c>
      <c r="B95" t="s">
        <v>299</v>
      </c>
      <c r="D95" s="8">
        <v>84.094700000000003</v>
      </c>
      <c r="E95" s="8">
        <v>22</v>
      </c>
      <c r="F95" s="5" t="s">
        <v>82</v>
      </c>
      <c r="G95" t="s">
        <v>162</v>
      </c>
      <c r="H95" t="s">
        <v>286</v>
      </c>
      <c r="I95" t="s">
        <v>300</v>
      </c>
      <c r="J95" t="s">
        <v>109</v>
      </c>
      <c r="K95" t="s">
        <v>87</v>
      </c>
    </row>
    <row r="96" spans="1:11" x14ac:dyDescent="0.25">
      <c r="A96" t="s">
        <v>37</v>
      </c>
      <c r="B96" t="s">
        <v>301</v>
      </c>
      <c r="D96" s="8">
        <v>88.907499999999999</v>
      </c>
      <c r="E96" s="8">
        <v>19</v>
      </c>
      <c r="F96" s="5" t="s">
        <v>103</v>
      </c>
      <c r="G96" t="s">
        <v>162</v>
      </c>
      <c r="H96" t="s">
        <v>289</v>
      </c>
      <c r="I96" t="s">
        <v>302</v>
      </c>
      <c r="J96" t="s">
        <v>278</v>
      </c>
      <c r="K96" t="s">
        <v>87</v>
      </c>
    </row>
    <row r="97" spans="1:11" x14ac:dyDescent="0.25">
      <c r="A97" t="s">
        <v>37</v>
      </c>
      <c r="B97" t="s">
        <v>303</v>
      </c>
      <c r="D97" s="8">
        <v>85.74</v>
      </c>
      <c r="E97" s="8">
        <v>49.8</v>
      </c>
      <c r="F97" s="5" t="s">
        <v>103</v>
      </c>
      <c r="G97" t="s">
        <v>162</v>
      </c>
      <c r="H97" t="s">
        <v>289</v>
      </c>
      <c r="I97" t="s">
        <v>304</v>
      </c>
      <c r="J97" t="s">
        <v>278</v>
      </c>
      <c r="K97" t="s">
        <v>90</v>
      </c>
    </row>
    <row r="98" spans="1:11" x14ac:dyDescent="0.25">
      <c r="A98" t="s">
        <v>37</v>
      </c>
      <c r="B98" t="s">
        <v>305</v>
      </c>
      <c r="D98" s="8">
        <v>84.822500000000005</v>
      </c>
      <c r="E98" s="8">
        <v>53.7</v>
      </c>
      <c r="F98" s="5" t="s">
        <v>103</v>
      </c>
      <c r="G98" t="s">
        <v>162</v>
      </c>
      <c r="H98" t="s">
        <v>286</v>
      </c>
      <c r="I98" t="s">
        <v>306</v>
      </c>
      <c r="J98" t="s">
        <v>278</v>
      </c>
      <c r="K98" t="s">
        <v>90</v>
      </c>
    </row>
    <row r="99" spans="1:11" x14ac:dyDescent="0.25">
      <c r="A99" t="s">
        <v>37</v>
      </c>
      <c r="B99" t="s">
        <v>307</v>
      </c>
      <c r="D99" s="8">
        <v>86.155000000000001</v>
      </c>
      <c r="E99" s="8">
        <v>57.6</v>
      </c>
      <c r="F99" s="5" t="s">
        <v>103</v>
      </c>
      <c r="G99" t="s">
        <v>162</v>
      </c>
      <c r="H99" t="s">
        <v>289</v>
      </c>
      <c r="I99" t="s">
        <v>308</v>
      </c>
      <c r="J99" t="s">
        <v>105</v>
      </c>
      <c r="K99" t="s">
        <v>90</v>
      </c>
    </row>
    <row r="100" spans="1:11" x14ac:dyDescent="0.25">
      <c r="A100" t="s">
        <v>37</v>
      </c>
      <c r="B100" t="s">
        <v>309</v>
      </c>
      <c r="D100" s="8">
        <v>87.487499999999997</v>
      </c>
      <c r="E100" s="8">
        <v>24</v>
      </c>
      <c r="F100" s="5" t="s">
        <v>103</v>
      </c>
      <c r="G100" t="s">
        <v>162</v>
      </c>
      <c r="H100" t="s">
        <v>289</v>
      </c>
      <c r="I100" t="s">
        <v>310</v>
      </c>
      <c r="J100" t="s">
        <v>278</v>
      </c>
      <c r="K100" t="s">
        <v>87</v>
      </c>
    </row>
    <row r="101" spans="1:11" x14ac:dyDescent="0.25">
      <c r="A101" t="s">
        <v>37</v>
      </c>
      <c r="B101" t="s">
        <v>311</v>
      </c>
      <c r="D101" s="8">
        <v>86.57</v>
      </c>
      <c r="E101" s="8">
        <v>65.400000000000006</v>
      </c>
      <c r="F101" s="5" t="s">
        <v>103</v>
      </c>
      <c r="G101" t="s">
        <v>162</v>
      </c>
      <c r="H101" t="s">
        <v>289</v>
      </c>
      <c r="I101" t="s">
        <v>312</v>
      </c>
      <c r="J101" t="s">
        <v>278</v>
      </c>
      <c r="K101" t="s">
        <v>90</v>
      </c>
    </row>
    <row r="102" spans="1:11" x14ac:dyDescent="0.25">
      <c r="A102" t="s">
        <v>37</v>
      </c>
      <c r="B102" t="s">
        <v>313</v>
      </c>
      <c r="D102" s="8">
        <v>81.152500000000003</v>
      </c>
      <c r="E102" s="8">
        <v>69.3</v>
      </c>
      <c r="F102" s="5" t="s">
        <v>161</v>
      </c>
      <c r="G102" t="s">
        <v>162</v>
      </c>
      <c r="H102" t="s">
        <v>286</v>
      </c>
      <c r="I102" t="s">
        <v>314</v>
      </c>
      <c r="J102" t="s">
        <v>164</v>
      </c>
      <c r="K102" t="s">
        <v>90</v>
      </c>
    </row>
    <row r="103" spans="1:11" x14ac:dyDescent="0.25">
      <c r="A103" t="s">
        <v>37</v>
      </c>
      <c r="B103" t="s">
        <v>315</v>
      </c>
      <c r="D103" s="8">
        <v>81.734999999999999</v>
      </c>
      <c r="E103" s="8">
        <v>73.2</v>
      </c>
      <c r="F103" s="5" t="s">
        <v>161</v>
      </c>
      <c r="G103" t="s">
        <v>162</v>
      </c>
      <c r="H103" t="s">
        <v>286</v>
      </c>
      <c r="I103" t="s">
        <v>316</v>
      </c>
      <c r="J103" t="s">
        <v>278</v>
      </c>
      <c r="K103" t="s">
        <v>90</v>
      </c>
    </row>
    <row r="104" spans="1:11" x14ac:dyDescent="0.25">
      <c r="A104" t="s">
        <v>37</v>
      </c>
      <c r="B104" t="s">
        <v>317</v>
      </c>
      <c r="D104" s="8">
        <v>82.317499999999995</v>
      </c>
      <c r="E104" s="8">
        <v>77.099999999999994</v>
      </c>
      <c r="F104" s="5" t="s">
        <v>161</v>
      </c>
      <c r="G104" t="s">
        <v>162</v>
      </c>
      <c r="H104" t="s">
        <v>286</v>
      </c>
      <c r="I104" t="s">
        <v>318</v>
      </c>
      <c r="J104" t="s">
        <v>278</v>
      </c>
      <c r="K104" t="s">
        <v>90</v>
      </c>
    </row>
    <row r="105" spans="1:11" x14ac:dyDescent="0.25">
      <c r="A105" t="s">
        <v>37</v>
      </c>
      <c r="B105" t="s">
        <v>319</v>
      </c>
      <c r="D105" s="8">
        <v>79.900000000000006</v>
      </c>
      <c r="E105" s="8">
        <v>81</v>
      </c>
      <c r="F105" s="5" t="s">
        <v>161</v>
      </c>
      <c r="G105" t="s">
        <v>162</v>
      </c>
      <c r="H105" t="s">
        <v>286</v>
      </c>
      <c r="I105" t="s">
        <v>320</v>
      </c>
      <c r="J105" t="s">
        <v>278</v>
      </c>
      <c r="K105" t="s">
        <v>90</v>
      </c>
    </row>
    <row r="106" spans="1:11" x14ac:dyDescent="0.25">
      <c r="A106" t="s">
        <v>37</v>
      </c>
      <c r="B106" t="s">
        <v>321</v>
      </c>
      <c r="D106" s="8">
        <v>82.732500000000002</v>
      </c>
      <c r="E106" s="8">
        <v>84.899999999999991</v>
      </c>
      <c r="F106" s="5" t="s">
        <v>103</v>
      </c>
      <c r="G106" t="s">
        <v>162</v>
      </c>
      <c r="H106" t="s">
        <v>286</v>
      </c>
      <c r="I106" t="s">
        <v>322</v>
      </c>
      <c r="J106" t="s">
        <v>278</v>
      </c>
      <c r="K106" t="s">
        <v>90</v>
      </c>
    </row>
    <row r="107" spans="1:11" x14ac:dyDescent="0.25">
      <c r="A107" t="s">
        <v>37</v>
      </c>
      <c r="B107" t="s">
        <v>323</v>
      </c>
      <c r="D107" s="8">
        <v>78.064999999999998</v>
      </c>
      <c r="E107" s="8">
        <v>88.8</v>
      </c>
      <c r="F107" s="5" t="s">
        <v>161</v>
      </c>
      <c r="G107" t="s">
        <v>162</v>
      </c>
      <c r="H107" t="s">
        <v>286</v>
      </c>
      <c r="I107" t="s">
        <v>324</v>
      </c>
      <c r="J107" t="s">
        <v>278</v>
      </c>
      <c r="K107" t="s">
        <v>90</v>
      </c>
    </row>
    <row r="108" spans="1:11" x14ac:dyDescent="0.25">
      <c r="A108" t="s">
        <v>37</v>
      </c>
      <c r="B108" t="s">
        <v>325</v>
      </c>
      <c r="D108" s="8">
        <v>78.647499999999994</v>
      </c>
      <c r="E108" s="8">
        <v>92.7</v>
      </c>
      <c r="F108" s="5" t="s">
        <v>161</v>
      </c>
      <c r="G108" t="s">
        <v>162</v>
      </c>
      <c r="H108" t="s">
        <v>286</v>
      </c>
      <c r="I108" t="s">
        <v>326</v>
      </c>
      <c r="J108" t="s">
        <v>278</v>
      </c>
      <c r="K108" t="s">
        <v>90</v>
      </c>
    </row>
    <row r="109" spans="1:11" x14ac:dyDescent="0.25">
      <c r="A109" t="s">
        <v>37</v>
      </c>
      <c r="B109" t="s">
        <v>327</v>
      </c>
      <c r="D109" s="8">
        <v>75.48</v>
      </c>
      <c r="E109" s="8">
        <v>96.6</v>
      </c>
      <c r="F109" s="5" t="s">
        <v>161</v>
      </c>
      <c r="G109" t="s">
        <v>162</v>
      </c>
      <c r="H109" t="s">
        <v>328</v>
      </c>
      <c r="I109" t="s">
        <v>329</v>
      </c>
      <c r="J109" t="s">
        <v>278</v>
      </c>
      <c r="K109" t="s">
        <v>90</v>
      </c>
    </row>
    <row r="110" spans="1:11" x14ac:dyDescent="0.25">
      <c r="A110" t="s">
        <v>37</v>
      </c>
      <c r="B110" t="s">
        <v>330</v>
      </c>
      <c r="D110" s="8">
        <v>76.0625</v>
      </c>
      <c r="E110" s="8">
        <v>100.5</v>
      </c>
      <c r="F110" s="5" t="s">
        <v>161</v>
      </c>
      <c r="G110" t="s">
        <v>162</v>
      </c>
      <c r="H110" t="s">
        <v>328</v>
      </c>
      <c r="I110" t="s">
        <v>331</v>
      </c>
      <c r="J110" t="s">
        <v>278</v>
      </c>
      <c r="K110" t="s">
        <v>90</v>
      </c>
    </row>
    <row r="111" spans="1:11" x14ac:dyDescent="0.25">
      <c r="A111" t="s">
        <v>37</v>
      </c>
      <c r="B111" t="s">
        <v>332</v>
      </c>
      <c r="D111" s="8">
        <v>73.644999999999996</v>
      </c>
      <c r="E111" s="8">
        <v>104.4</v>
      </c>
      <c r="F111" s="5" t="s">
        <v>161</v>
      </c>
      <c r="G111" t="s">
        <v>162</v>
      </c>
      <c r="H111" t="s">
        <v>328</v>
      </c>
      <c r="I111" t="s">
        <v>333</v>
      </c>
      <c r="J111" t="s">
        <v>278</v>
      </c>
      <c r="K111" t="s">
        <v>90</v>
      </c>
    </row>
    <row r="112" spans="1:11" x14ac:dyDescent="0.25">
      <c r="A112" t="s">
        <v>37</v>
      </c>
      <c r="B112" t="s">
        <v>334</v>
      </c>
      <c r="D112" s="8">
        <v>76.477500000000006</v>
      </c>
      <c r="E112" s="8">
        <v>108.3</v>
      </c>
      <c r="F112" s="5" t="s">
        <v>161</v>
      </c>
      <c r="G112" t="s">
        <v>162</v>
      </c>
      <c r="H112" t="s">
        <v>328</v>
      </c>
      <c r="I112" t="s">
        <v>335</v>
      </c>
      <c r="J112" t="s">
        <v>164</v>
      </c>
      <c r="K112" t="s">
        <v>90</v>
      </c>
    </row>
    <row r="113" spans="1:11" x14ac:dyDescent="0.25">
      <c r="A113" t="s">
        <v>37</v>
      </c>
      <c r="B113" t="s">
        <v>336</v>
      </c>
      <c r="D113" s="8">
        <v>71.81</v>
      </c>
      <c r="E113" s="8">
        <v>112.2</v>
      </c>
      <c r="F113" s="5" t="s">
        <v>161</v>
      </c>
      <c r="G113" t="s">
        <v>162</v>
      </c>
      <c r="H113" t="s">
        <v>337</v>
      </c>
      <c r="I113" t="s">
        <v>338</v>
      </c>
      <c r="J113" t="s">
        <v>278</v>
      </c>
      <c r="K113" t="s">
        <v>90</v>
      </c>
    </row>
    <row r="114" spans="1:11" x14ac:dyDescent="0.25">
      <c r="A114" t="s">
        <v>37</v>
      </c>
      <c r="B114" t="s">
        <v>339</v>
      </c>
      <c r="D114" s="8">
        <v>73.892499999999998</v>
      </c>
      <c r="E114" s="8">
        <v>116.1</v>
      </c>
      <c r="F114" s="5" t="s">
        <v>161</v>
      </c>
      <c r="G114" t="s">
        <v>162</v>
      </c>
      <c r="H114" t="s">
        <v>328</v>
      </c>
      <c r="I114" t="s">
        <v>340</v>
      </c>
      <c r="J114" t="s">
        <v>278</v>
      </c>
      <c r="K114" t="s">
        <v>90</v>
      </c>
    </row>
    <row r="115" spans="1:11" x14ac:dyDescent="0.25">
      <c r="A115" t="s">
        <v>37</v>
      </c>
      <c r="B115" t="s">
        <v>341</v>
      </c>
      <c r="D115" s="8">
        <v>70.724999999999994</v>
      </c>
      <c r="E115" s="8">
        <v>120</v>
      </c>
      <c r="F115" s="5" t="s">
        <v>161</v>
      </c>
      <c r="G115" t="s">
        <v>162</v>
      </c>
      <c r="H115" t="s">
        <v>337</v>
      </c>
      <c r="I115" t="s">
        <v>342</v>
      </c>
      <c r="J115" t="s">
        <v>278</v>
      </c>
      <c r="K115" t="s">
        <v>90</v>
      </c>
    </row>
    <row r="116" spans="1:11" x14ac:dyDescent="0.25">
      <c r="A116" t="s">
        <v>37</v>
      </c>
      <c r="B116" t="s">
        <v>343</v>
      </c>
      <c r="D116" s="8">
        <v>69.807500000000005</v>
      </c>
      <c r="E116" s="8">
        <v>123.9</v>
      </c>
      <c r="F116" s="5" t="s">
        <v>161</v>
      </c>
      <c r="G116" t="s">
        <v>162</v>
      </c>
      <c r="H116" t="s">
        <v>337</v>
      </c>
      <c r="I116" t="s">
        <v>344</v>
      </c>
      <c r="J116" t="s">
        <v>194</v>
      </c>
      <c r="K116" t="s">
        <v>90</v>
      </c>
    </row>
    <row r="117" spans="1:11" x14ac:dyDescent="0.25">
      <c r="A117" t="s">
        <v>37</v>
      </c>
      <c r="B117" t="s">
        <v>345</v>
      </c>
      <c r="D117" s="8">
        <v>71.89</v>
      </c>
      <c r="E117" s="8">
        <v>127.8</v>
      </c>
      <c r="F117" s="5" t="s">
        <v>161</v>
      </c>
      <c r="G117" t="s">
        <v>162</v>
      </c>
      <c r="H117" t="s">
        <v>328</v>
      </c>
      <c r="I117" t="s">
        <v>346</v>
      </c>
      <c r="J117" t="s">
        <v>178</v>
      </c>
      <c r="K117" t="s">
        <v>90</v>
      </c>
    </row>
    <row r="118" spans="1:11" x14ac:dyDescent="0.25">
      <c r="A118" t="s">
        <v>37</v>
      </c>
      <c r="B118" t="s">
        <v>347</v>
      </c>
      <c r="D118" s="8">
        <v>68.722499999999997</v>
      </c>
      <c r="E118" s="8">
        <v>131.69999999999999</v>
      </c>
      <c r="F118" s="5" t="s">
        <v>161</v>
      </c>
      <c r="G118" t="s">
        <v>162</v>
      </c>
      <c r="H118" t="s">
        <v>337</v>
      </c>
      <c r="I118" t="s">
        <v>348</v>
      </c>
      <c r="J118" t="s">
        <v>278</v>
      </c>
      <c r="K118" t="s">
        <v>90</v>
      </c>
    </row>
    <row r="119" spans="1:11" x14ac:dyDescent="0.25">
      <c r="A119" t="s">
        <v>37</v>
      </c>
      <c r="B119" t="s">
        <v>349</v>
      </c>
      <c r="D119" s="8">
        <v>76.22</v>
      </c>
      <c r="E119" s="8">
        <v>135.6</v>
      </c>
      <c r="F119" s="5" t="s">
        <v>161</v>
      </c>
      <c r="G119" t="s">
        <v>162</v>
      </c>
      <c r="H119" t="s">
        <v>328</v>
      </c>
      <c r="I119" t="s">
        <v>350</v>
      </c>
      <c r="J119" t="s">
        <v>178</v>
      </c>
      <c r="K119" t="s">
        <v>90</v>
      </c>
    </row>
    <row r="120" spans="1:11" x14ac:dyDescent="0.25">
      <c r="A120" t="s">
        <v>37</v>
      </c>
      <c r="B120" t="s">
        <v>351</v>
      </c>
      <c r="D120" s="8">
        <v>75.55</v>
      </c>
      <c r="E120" s="8">
        <v>139.5</v>
      </c>
      <c r="F120" s="5" t="s">
        <v>161</v>
      </c>
      <c r="G120" t="s">
        <v>162</v>
      </c>
      <c r="H120" t="s">
        <v>328</v>
      </c>
      <c r="I120" t="s">
        <v>352</v>
      </c>
      <c r="J120" t="s">
        <v>278</v>
      </c>
      <c r="K120" t="s">
        <v>90</v>
      </c>
    </row>
    <row r="121" spans="1:11" x14ac:dyDescent="0.25">
      <c r="A121" t="s">
        <v>37</v>
      </c>
      <c r="B121" t="s">
        <v>353</v>
      </c>
      <c r="D121" s="8">
        <v>74.88</v>
      </c>
      <c r="E121" s="8">
        <v>143.4</v>
      </c>
      <c r="F121" s="5" t="s">
        <v>161</v>
      </c>
      <c r="G121" t="s">
        <v>162</v>
      </c>
      <c r="H121" t="s">
        <v>328</v>
      </c>
      <c r="I121" t="s">
        <v>354</v>
      </c>
      <c r="J121" t="s">
        <v>278</v>
      </c>
      <c r="K121" t="s">
        <v>90</v>
      </c>
    </row>
    <row r="122" spans="1:11" x14ac:dyDescent="0.25">
      <c r="A122" t="s">
        <v>37</v>
      </c>
      <c r="B122" t="s">
        <v>355</v>
      </c>
      <c r="D122" s="8">
        <v>74.209999999999994</v>
      </c>
      <c r="E122" s="8">
        <v>147.30000000000001</v>
      </c>
      <c r="F122" s="5" t="s">
        <v>161</v>
      </c>
      <c r="G122" t="s">
        <v>162</v>
      </c>
      <c r="H122" t="s">
        <v>328</v>
      </c>
      <c r="I122" t="s">
        <v>356</v>
      </c>
      <c r="J122" t="s">
        <v>278</v>
      </c>
      <c r="K122" t="s">
        <v>90</v>
      </c>
    </row>
    <row r="123" spans="1:11" x14ac:dyDescent="0.25">
      <c r="A123" t="s">
        <v>37</v>
      </c>
      <c r="B123" t="s">
        <v>357</v>
      </c>
      <c r="D123" s="8">
        <v>73.540000000000006</v>
      </c>
      <c r="E123" s="8">
        <v>151.19999999999999</v>
      </c>
      <c r="F123" s="5" t="s">
        <v>161</v>
      </c>
      <c r="G123" t="s">
        <v>162</v>
      </c>
      <c r="H123" t="s">
        <v>328</v>
      </c>
      <c r="I123" t="s">
        <v>358</v>
      </c>
      <c r="J123" t="s">
        <v>278</v>
      </c>
      <c r="K123" t="s">
        <v>90</v>
      </c>
    </row>
    <row r="124" spans="1:11" x14ac:dyDescent="0.25">
      <c r="A124" t="s">
        <v>37</v>
      </c>
      <c r="B124" t="s">
        <v>359</v>
      </c>
      <c r="D124" s="8">
        <v>66.967500000000001</v>
      </c>
      <c r="E124" s="8">
        <v>155.1</v>
      </c>
      <c r="F124" s="5" t="s">
        <v>161</v>
      </c>
      <c r="G124" t="s">
        <v>162</v>
      </c>
      <c r="H124" t="s">
        <v>337</v>
      </c>
      <c r="I124" t="s">
        <v>274</v>
      </c>
      <c r="J124" t="s">
        <v>278</v>
      </c>
      <c r="K124" t="s">
        <v>90</v>
      </c>
    </row>
    <row r="125" spans="1:11" x14ac:dyDescent="0.25">
      <c r="A125" t="s">
        <v>37</v>
      </c>
      <c r="B125" t="s">
        <v>360</v>
      </c>
      <c r="D125" s="8">
        <v>72.2</v>
      </c>
      <c r="E125" s="8">
        <v>159</v>
      </c>
      <c r="F125" s="5" t="s">
        <v>161</v>
      </c>
      <c r="G125" t="s">
        <v>162</v>
      </c>
      <c r="H125" t="s">
        <v>328</v>
      </c>
      <c r="I125" t="s">
        <v>361</v>
      </c>
      <c r="J125" t="s">
        <v>178</v>
      </c>
      <c r="K125" t="s">
        <v>90</v>
      </c>
    </row>
    <row r="126" spans="1:11" x14ac:dyDescent="0.25">
      <c r="A126" t="s">
        <v>37</v>
      </c>
      <c r="B126" t="s">
        <v>362</v>
      </c>
      <c r="D126" s="8">
        <v>71.53</v>
      </c>
      <c r="E126" s="8">
        <v>162.9</v>
      </c>
      <c r="F126" s="5" t="s">
        <v>161</v>
      </c>
      <c r="G126" t="s">
        <v>162</v>
      </c>
      <c r="H126" t="s">
        <v>337</v>
      </c>
      <c r="I126" t="s">
        <v>363</v>
      </c>
      <c r="J126" t="s">
        <v>278</v>
      </c>
      <c r="K126" t="s">
        <v>90</v>
      </c>
    </row>
    <row r="127" spans="1:11" x14ac:dyDescent="0.25">
      <c r="A127" t="s">
        <v>37</v>
      </c>
      <c r="B127" t="s">
        <v>364</v>
      </c>
      <c r="D127" s="8">
        <v>70.86</v>
      </c>
      <c r="E127" s="8">
        <v>166.8</v>
      </c>
      <c r="F127" s="5" t="s">
        <v>161</v>
      </c>
      <c r="G127" t="s">
        <v>162</v>
      </c>
      <c r="H127" t="s">
        <v>337</v>
      </c>
      <c r="I127" t="s">
        <v>365</v>
      </c>
      <c r="J127" t="s">
        <v>164</v>
      </c>
      <c r="K127" t="s">
        <v>90</v>
      </c>
    </row>
    <row r="128" spans="1:11" x14ac:dyDescent="0.25">
      <c r="A128" t="s">
        <v>37</v>
      </c>
      <c r="B128" t="s">
        <v>366</v>
      </c>
      <c r="D128" s="8">
        <v>70.19</v>
      </c>
      <c r="E128" s="8">
        <v>170.7</v>
      </c>
      <c r="F128" s="5" t="s">
        <v>161</v>
      </c>
      <c r="G128" t="s">
        <v>162</v>
      </c>
      <c r="H128" t="s">
        <v>337</v>
      </c>
      <c r="I128" t="s">
        <v>367</v>
      </c>
      <c r="J128" t="s">
        <v>278</v>
      </c>
      <c r="K128" t="s">
        <v>90</v>
      </c>
    </row>
    <row r="129" spans="1:11" x14ac:dyDescent="0.25">
      <c r="A129" t="s">
        <v>37</v>
      </c>
      <c r="B129" t="s">
        <v>368</v>
      </c>
      <c r="D129" s="8">
        <v>69.52</v>
      </c>
      <c r="E129" s="8">
        <v>174.6</v>
      </c>
      <c r="F129" s="5" t="s">
        <v>161</v>
      </c>
      <c r="G129" t="s">
        <v>162</v>
      </c>
      <c r="H129" t="s">
        <v>337</v>
      </c>
      <c r="I129" t="s">
        <v>369</v>
      </c>
      <c r="J129" t="s">
        <v>164</v>
      </c>
      <c r="K129" t="s">
        <v>90</v>
      </c>
    </row>
    <row r="130" spans="1:11" x14ac:dyDescent="0.25">
      <c r="A130" t="s">
        <v>37</v>
      </c>
      <c r="B130" t="s">
        <v>370</v>
      </c>
      <c r="D130" s="8">
        <v>68.849999999999994</v>
      </c>
      <c r="E130" s="8">
        <v>178.5</v>
      </c>
      <c r="F130" s="5" t="s">
        <v>161</v>
      </c>
      <c r="G130" t="s">
        <v>162</v>
      </c>
      <c r="H130" t="s">
        <v>337</v>
      </c>
      <c r="I130" t="s">
        <v>371</v>
      </c>
      <c r="J130" t="s">
        <v>278</v>
      </c>
      <c r="K130" t="s">
        <v>90</v>
      </c>
    </row>
    <row r="131" spans="1:11" x14ac:dyDescent="0.25">
      <c r="A131" t="s">
        <v>37</v>
      </c>
      <c r="B131" t="s">
        <v>372</v>
      </c>
      <c r="D131" s="8">
        <v>68.180000000000007</v>
      </c>
      <c r="E131" s="8">
        <v>182.4</v>
      </c>
      <c r="F131" s="5" t="s">
        <v>161</v>
      </c>
      <c r="G131" t="s">
        <v>162</v>
      </c>
      <c r="H131" t="s">
        <v>337</v>
      </c>
      <c r="I131" t="s">
        <v>373</v>
      </c>
      <c r="J131" t="s">
        <v>278</v>
      </c>
      <c r="K131" t="s">
        <v>90</v>
      </c>
    </row>
    <row r="132" spans="1:11" x14ac:dyDescent="0.25">
      <c r="A132" t="s">
        <v>37</v>
      </c>
      <c r="B132" t="s">
        <v>374</v>
      </c>
      <c r="D132" s="8">
        <v>67.510000000000005</v>
      </c>
      <c r="E132" s="8">
        <v>186.3</v>
      </c>
      <c r="F132" s="5" t="s">
        <v>161</v>
      </c>
      <c r="G132" t="s">
        <v>162</v>
      </c>
      <c r="H132" t="s">
        <v>337</v>
      </c>
      <c r="I132" t="s">
        <v>375</v>
      </c>
      <c r="J132" t="s">
        <v>164</v>
      </c>
      <c r="K132" t="s">
        <v>90</v>
      </c>
    </row>
    <row r="133" spans="1:11" x14ac:dyDescent="0.25">
      <c r="A133" t="s">
        <v>37</v>
      </c>
      <c r="B133" t="s">
        <v>376</v>
      </c>
      <c r="D133" s="8">
        <v>66.84</v>
      </c>
      <c r="E133" s="8">
        <v>190.2</v>
      </c>
      <c r="F133" s="5" t="s">
        <v>161</v>
      </c>
      <c r="G133" t="s">
        <v>162</v>
      </c>
      <c r="H133" t="s">
        <v>337</v>
      </c>
      <c r="I133" t="s">
        <v>377</v>
      </c>
      <c r="J133" t="s">
        <v>278</v>
      </c>
      <c r="K133" t="s">
        <v>90</v>
      </c>
    </row>
    <row r="134" spans="1:11" x14ac:dyDescent="0.25">
      <c r="A134" t="s">
        <v>37</v>
      </c>
      <c r="B134" t="s">
        <v>378</v>
      </c>
      <c r="D134" s="8">
        <v>66.17</v>
      </c>
      <c r="E134" s="8">
        <v>194.1</v>
      </c>
      <c r="F134" s="5" t="s">
        <v>161</v>
      </c>
      <c r="G134" t="s">
        <v>162</v>
      </c>
      <c r="H134" t="s">
        <v>337</v>
      </c>
      <c r="I134" t="s">
        <v>379</v>
      </c>
      <c r="J134" t="s">
        <v>164</v>
      </c>
      <c r="K134" t="s">
        <v>90</v>
      </c>
    </row>
    <row r="135" spans="1:11" x14ac:dyDescent="0.25">
      <c r="A135" t="s">
        <v>37</v>
      </c>
      <c r="B135" t="s">
        <v>380</v>
      </c>
      <c r="D135" s="8">
        <v>65.5</v>
      </c>
      <c r="E135" s="8">
        <v>198</v>
      </c>
      <c r="F135" s="5" t="s">
        <v>161</v>
      </c>
      <c r="G135" t="s">
        <v>162</v>
      </c>
      <c r="H135" t="s">
        <v>381</v>
      </c>
      <c r="I135" t="s">
        <v>382</v>
      </c>
      <c r="J135" t="s">
        <v>278</v>
      </c>
      <c r="K135" t="s">
        <v>90</v>
      </c>
    </row>
    <row r="136" spans="1:11" x14ac:dyDescent="0.25">
      <c r="A136" t="s">
        <v>37</v>
      </c>
      <c r="B136" t="s">
        <v>383</v>
      </c>
      <c r="D136" s="8">
        <v>64.83</v>
      </c>
      <c r="E136" s="8">
        <v>201.9</v>
      </c>
      <c r="F136" s="5" t="s">
        <v>161</v>
      </c>
      <c r="G136" t="s">
        <v>162</v>
      </c>
      <c r="H136" t="s">
        <v>381</v>
      </c>
      <c r="I136" t="s">
        <v>384</v>
      </c>
      <c r="J136" t="s">
        <v>164</v>
      </c>
      <c r="K136" t="s">
        <v>90</v>
      </c>
    </row>
    <row r="137" spans="1:11" x14ac:dyDescent="0.25">
      <c r="A137" t="s">
        <v>37</v>
      </c>
      <c r="B137" t="s">
        <v>385</v>
      </c>
      <c r="D137" s="8">
        <v>64.16</v>
      </c>
      <c r="E137" s="8">
        <v>205.8</v>
      </c>
      <c r="F137" s="5" t="s">
        <v>161</v>
      </c>
      <c r="G137" t="s">
        <v>162</v>
      </c>
      <c r="H137" t="s">
        <v>381</v>
      </c>
      <c r="I137" t="s">
        <v>386</v>
      </c>
      <c r="J137" t="s">
        <v>278</v>
      </c>
      <c r="K137" t="s">
        <v>90</v>
      </c>
    </row>
    <row r="138" spans="1:11" x14ac:dyDescent="0.25">
      <c r="A138" t="s">
        <v>37</v>
      </c>
      <c r="B138" t="s">
        <v>387</v>
      </c>
      <c r="D138" s="8">
        <v>63.49</v>
      </c>
      <c r="E138" s="8">
        <v>209.7</v>
      </c>
      <c r="F138" s="5" t="s">
        <v>161</v>
      </c>
      <c r="G138" t="s">
        <v>162</v>
      </c>
      <c r="H138" t="s">
        <v>381</v>
      </c>
      <c r="I138" t="s">
        <v>388</v>
      </c>
      <c r="J138" t="s">
        <v>278</v>
      </c>
      <c r="K138" t="s">
        <v>90</v>
      </c>
    </row>
    <row r="139" spans="1:11" x14ac:dyDescent="0.25">
      <c r="A139" t="s">
        <v>37</v>
      </c>
      <c r="B139" t="s">
        <v>389</v>
      </c>
      <c r="D139" s="8">
        <v>62.82</v>
      </c>
      <c r="E139" s="8">
        <v>213.6</v>
      </c>
      <c r="F139" s="5" t="s">
        <v>161</v>
      </c>
      <c r="G139" t="s">
        <v>162</v>
      </c>
      <c r="H139" t="s">
        <v>381</v>
      </c>
      <c r="I139" t="s">
        <v>390</v>
      </c>
      <c r="J139" t="s">
        <v>178</v>
      </c>
      <c r="K139" t="s">
        <v>90</v>
      </c>
    </row>
    <row r="140" spans="1:11" x14ac:dyDescent="0.25">
      <c r="A140" t="s">
        <v>37</v>
      </c>
      <c r="B140" t="s">
        <v>391</v>
      </c>
      <c r="D140" s="8">
        <v>62.15</v>
      </c>
      <c r="E140" s="8">
        <v>217.5</v>
      </c>
      <c r="F140" s="5" t="s">
        <v>161</v>
      </c>
      <c r="G140" t="s">
        <v>162</v>
      </c>
      <c r="H140" t="s">
        <v>381</v>
      </c>
      <c r="I140" t="s">
        <v>392</v>
      </c>
      <c r="J140" t="s">
        <v>278</v>
      </c>
      <c r="K140" t="s">
        <v>90</v>
      </c>
    </row>
    <row r="141" spans="1:11" x14ac:dyDescent="0.25">
      <c r="A141" t="s">
        <v>37</v>
      </c>
      <c r="B141" t="s">
        <v>393</v>
      </c>
      <c r="D141" s="8">
        <v>61.48</v>
      </c>
      <c r="E141" s="8">
        <v>221.4</v>
      </c>
      <c r="F141" s="5" t="s">
        <v>161</v>
      </c>
      <c r="G141" t="s">
        <v>162</v>
      </c>
      <c r="H141" t="s">
        <v>381</v>
      </c>
      <c r="I141" t="s">
        <v>394</v>
      </c>
      <c r="J141" t="s">
        <v>164</v>
      </c>
      <c r="K141" t="s">
        <v>90</v>
      </c>
    </row>
    <row r="142" spans="1:11" x14ac:dyDescent="0.25">
      <c r="A142" t="s">
        <v>37</v>
      </c>
      <c r="B142" t="s">
        <v>395</v>
      </c>
      <c r="D142" s="8">
        <v>60.81</v>
      </c>
      <c r="E142" s="8">
        <v>225.3</v>
      </c>
      <c r="F142" s="5" t="s">
        <v>161</v>
      </c>
      <c r="G142" t="s">
        <v>162</v>
      </c>
      <c r="H142" t="s">
        <v>381</v>
      </c>
      <c r="I142" t="s">
        <v>396</v>
      </c>
      <c r="J142" t="s">
        <v>178</v>
      </c>
      <c r="K142" t="s">
        <v>90</v>
      </c>
    </row>
    <row r="143" spans="1:11" x14ac:dyDescent="0.25">
      <c r="A143" t="s">
        <v>37</v>
      </c>
      <c r="B143" t="s">
        <v>397</v>
      </c>
      <c r="D143" s="8">
        <v>60.14</v>
      </c>
      <c r="E143" s="8">
        <v>229.2</v>
      </c>
      <c r="F143" s="5" t="s">
        <v>161</v>
      </c>
      <c r="G143" t="s">
        <v>162</v>
      </c>
      <c r="H143" t="s">
        <v>381</v>
      </c>
      <c r="I143" t="s">
        <v>398</v>
      </c>
      <c r="J143" t="s">
        <v>278</v>
      </c>
      <c r="K143" t="s">
        <v>90</v>
      </c>
    </row>
    <row r="144" spans="1:11" x14ac:dyDescent="0.25">
      <c r="A144" t="s">
        <v>37</v>
      </c>
      <c r="B144" t="s">
        <v>399</v>
      </c>
      <c r="D144" s="8">
        <v>59.47</v>
      </c>
      <c r="E144" s="8">
        <v>233.1</v>
      </c>
      <c r="F144" s="5" t="s">
        <v>161</v>
      </c>
      <c r="G144" t="s">
        <v>162</v>
      </c>
      <c r="H144" t="s">
        <v>381</v>
      </c>
      <c r="I144" t="s">
        <v>400</v>
      </c>
      <c r="J144" t="s">
        <v>278</v>
      </c>
      <c r="K144" t="s">
        <v>90</v>
      </c>
    </row>
    <row r="145" spans="1:11" x14ac:dyDescent="0.25">
      <c r="A145" t="s">
        <v>37</v>
      </c>
      <c r="B145" t="s">
        <v>401</v>
      </c>
      <c r="D145" s="8">
        <v>58.8</v>
      </c>
      <c r="E145" s="8">
        <v>237</v>
      </c>
      <c r="F145" s="5" t="s">
        <v>161</v>
      </c>
      <c r="G145" t="s">
        <v>162</v>
      </c>
      <c r="H145" t="s">
        <v>381</v>
      </c>
      <c r="I145" t="s">
        <v>402</v>
      </c>
      <c r="J145" t="s">
        <v>164</v>
      </c>
      <c r="K145" t="s">
        <v>90</v>
      </c>
    </row>
    <row r="146" spans="1:11" x14ac:dyDescent="0.25">
      <c r="A146" t="s">
        <v>37</v>
      </c>
      <c r="B146" t="s">
        <v>403</v>
      </c>
      <c r="D146" s="8">
        <v>58.13</v>
      </c>
      <c r="E146" s="8">
        <v>240.9</v>
      </c>
      <c r="F146" s="5" t="s">
        <v>161</v>
      </c>
      <c r="G146" t="s">
        <v>162</v>
      </c>
      <c r="H146" t="s">
        <v>381</v>
      </c>
      <c r="I146" t="s">
        <v>404</v>
      </c>
      <c r="J146" t="s">
        <v>164</v>
      </c>
      <c r="K146" t="s">
        <v>90</v>
      </c>
    </row>
    <row r="147" spans="1:11" x14ac:dyDescent="0.25">
      <c r="A147" t="s">
        <v>37</v>
      </c>
      <c r="B147" t="s">
        <v>405</v>
      </c>
      <c r="D147" s="8">
        <v>57.46</v>
      </c>
      <c r="E147" s="8">
        <v>244.8</v>
      </c>
      <c r="F147" s="5" t="s">
        <v>161</v>
      </c>
      <c r="G147" t="s">
        <v>162</v>
      </c>
      <c r="H147" t="s">
        <v>381</v>
      </c>
      <c r="I147" t="s">
        <v>406</v>
      </c>
      <c r="J147" t="s">
        <v>278</v>
      </c>
      <c r="K147" t="s">
        <v>90</v>
      </c>
    </row>
    <row r="148" spans="1:11" x14ac:dyDescent="0.25">
      <c r="A148" t="s">
        <v>37</v>
      </c>
      <c r="B148" t="s">
        <v>407</v>
      </c>
      <c r="D148" s="8">
        <v>56.79</v>
      </c>
      <c r="E148" s="8">
        <v>248.7</v>
      </c>
      <c r="F148" s="5" t="s">
        <v>161</v>
      </c>
      <c r="G148" t="s">
        <v>162</v>
      </c>
      <c r="H148" t="s">
        <v>381</v>
      </c>
      <c r="I148" t="s">
        <v>408</v>
      </c>
      <c r="J148" t="s">
        <v>178</v>
      </c>
      <c r="K148" t="s">
        <v>90</v>
      </c>
    </row>
    <row r="149" spans="1:11" x14ac:dyDescent="0.25">
      <c r="A149" t="s">
        <v>37</v>
      </c>
      <c r="B149" t="s">
        <v>409</v>
      </c>
      <c r="D149" s="8">
        <v>56.12</v>
      </c>
      <c r="E149" s="8">
        <v>252.6</v>
      </c>
      <c r="F149" s="5" t="s">
        <v>161</v>
      </c>
      <c r="G149" t="s">
        <v>162</v>
      </c>
      <c r="H149" t="s">
        <v>381</v>
      </c>
      <c r="I149" t="s">
        <v>410</v>
      </c>
      <c r="J149" t="s">
        <v>278</v>
      </c>
      <c r="K149" t="s">
        <v>90</v>
      </c>
    </row>
    <row r="150" spans="1:11" x14ac:dyDescent="0.25">
      <c r="A150" t="s">
        <v>37</v>
      </c>
      <c r="B150" t="s">
        <v>411</v>
      </c>
      <c r="D150" s="8">
        <v>55.45</v>
      </c>
      <c r="E150" s="8">
        <v>256.5</v>
      </c>
      <c r="F150" s="5" t="s">
        <v>161</v>
      </c>
      <c r="G150" t="s">
        <v>162</v>
      </c>
      <c r="H150" t="s">
        <v>381</v>
      </c>
      <c r="I150" t="s">
        <v>412</v>
      </c>
      <c r="J150" t="s">
        <v>164</v>
      </c>
      <c r="K150" t="s">
        <v>90</v>
      </c>
    </row>
    <row r="151" spans="1:11" x14ac:dyDescent="0.25">
      <c r="A151" t="s">
        <v>37</v>
      </c>
      <c r="B151" t="s">
        <v>413</v>
      </c>
      <c r="D151" s="8">
        <v>54.78</v>
      </c>
      <c r="E151" s="8">
        <v>260.39999999999998</v>
      </c>
      <c r="F151" s="5" t="s">
        <v>161</v>
      </c>
      <c r="G151" t="s">
        <v>162</v>
      </c>
      <c r="H151" t="s">
        <v>381</v>
      </c>
      <c r="I151" t="s">
        <v>414</v>
      </c>
      <c r="J151" t="s">
        <v>164</v>
      </c>
      <c r="K151" t="s">
        <v>90</v>
      </c>
    </row>
    <row r="152" spans="1:11" x14ac:dyDescent="0.25">
      <c r="A152" t="s">
        <v>37</v>
      </c>
      <c r="B152" t="s">
        <v>415</v>
      </c>
      <c r="D152" s="8">
        <v>54.11</v>
      </c>
      <c r="E152" s="8">
        <v>264.3</v>
      </c>
      <c r="F152" s="5" t="s">
        <v>161</v>
      </c>
      <c r="G152" t="s">
        <v>162</v>
      </c>
      <c r="H152" t="s">
        <v>381</v>
      </c>
      <c r="I152" t="s">
        <v>416</v>
      </c>
      <c r="J152" t="s">
        <v>278</v>
      </c>
      <c r="K152" t="s">
        <v>90</v>
      </c>
    </row>
    <row r="153" spans="1:11" x14ac:dyDescent="0.25">
      <c r="A153" t="s">
        <v>37</v>
      </c>
      <c r="B153" t="s">
        <v>417</v>
      </c>
      <c r="D153" s="8">
        <v>53.44</v>
      </c>
      <c r="E153" s="8">
        <v>268.2</v>
      </c>
      <c r="F153" s="5" t="s">
        <v>161</v>
      </c>
      <c r="G153" t="s">
        <v>162</v>
      </c>
      <c r="H153" t="s">
        <v>381</v>
      </c>
      <c r="I153" t="s">
        <v>418</v>
      </c>
      <c r="J153" t="s">
        <v>278</v>
      </c>
      <c r="K153" t="s">
        <v>90</v>
      </c>
    </row>
    <row r="154" spans="1:11" x14ac:dyDescent="0.25">
      <c r="A154" t="s">
        <v>37</v>
      </c>
      <c r="B154" t="s">
        <v>419</v>
      </c>
      <c r="D154" s="8">
        <v>52.77</v>
      </c>
      <c r="E154" s="8">
        <v>272.10000000000002</v>
      </c>
      <c r="F154" s="5" t="s">
        <v>161</v>
      </c>
      <c r="G154" t="s">
        <v>162</v>
      </c>
      <c r="H154" t="s">
        <v>381</v>
      </c>
      <c r="I154" t="s">
        <v>420</v>
      </c>
      <c r="J154" t="s">
        <v>164</v>
      </c>
      <c r="K154" t="s">
        <v>90</v>
      </c>
    </row>
    <row r="155" spans="1:11" x14ac:dyDescent="0.25">
      <c r="A155" t="s">
        <v>39</v>
      </c>
      <c r="B155" t="s">
        <v>421</v>
      </c>
      <c r="D155" s="8">
        <v>97.737099999999998</v>
      </c>
      <c r="E155" s="8">
        <v>17</v>
      </c>
      <c r="F155" s="5" t="s">
        <v>82</v>
      </c>
      <c r="G155" t="s">
        <v>83</v>
      </c>
      <c r="H155" t="s">
        <v>422</v>
      </c>
      <c r="I155" t="s">
        <v>423</v>
      </c>
      <c r="J155" t="s">
        <v>424</v>
      </c>
      <c r="K155" t="s">
        <v>87</v>
      </c>
    </row>
    <row r="156" spans="1:11" x14ac:dyDescent="0.25">
      <c r="A156" t="s">
        <v>39</v>
      </c>
      <c r="B156" t="s">
        <v>425</v>
      </c>
      <c r="D156" s="8">
        <v>94.884600000000006</v>
      </c>
      <c r="E156" s="8">
        <v>20</v>
      </c>
      <c r="F156" s="5" t="s">
        <v>82</v>
      </c>
      <c r="G156" t="s">
        <v>83</v>
      </c>
      <c r="H156" t="s">
        <v>422</v>
      </c>
      <c r="I156" t="s">
        <v>426</v>
      </c>
      <c r="J156" t="s">
        <v>424</v>
      </c>
      <c r="K156" t="s">
        <v>87</v>
      </c>
    </row>
    <row r="157" spans="1:11" x14ac:dyDescent="0.25">
      <c r="A157" t="s">
        <v>39</v>
      </c>
      <c r="B157" t="s">
        <v>427</v>
      </c>
      <c r="D157" s="8">
        <v>88.753100000000003</v>
      </c>
      <c r="E157" s="8">
        <v>35</v>
      </c>
      <c r="F157" s="5" t="s">
        <v>82</v>
      </c>
      <c r="G157" t="s">
        <v>83</v>
      </c>
      <c r="H157" t="s">
        <v>422</v>
      </c>
      <c r="I157" t="s">
        <v>428</v>
      </c>
      <c r="J157" t="s">
        <v>424</v>
      </c>
      <c r="K157" t="s">
        <v>90</v>
      </c>
    </row>
    <row r="158" spans="1:11" x14ac:dyDescent="0.25">
      <c r="A158" t="s">
        <v>39</v>
      </c>
      <c r="B158" t="s">
        <v>429</v>
      </c>
      <c r="D158" s="8">
        <v>87.202399999999997</v>
      </c>
      <c r="E158" s="8">
        <v>44</v>
      </c>
      <c r="F158" s="5" t="s">
        <v>82</v>
      </c>
      <c r="G158" t="s">
        <v>83</v>
      </c>
      <c r="H158" t="s">
        <v>430</v>
      </c>
      <c r="I158" t="s">
        <v>431</v>
      </c>
      <c r="J158" t="s">
        <v>424</v>
      </c>
      <c r="K158" t="s">
        <v>90</v>
      </c>
    </row>
    <row r="159" spans="1:11" x14ac:dyDescent="0.25">
      <c r="A159" t="s">
        <v>39</v>
      </c>
      <c r="B159" t="s">
        <v>432</v>
      </c>
      <c r="D159" s="8">
        <v>86.266400000000004</v>
      </c>
      <c r="E159" s="8">
        <v>53</v>
      </c>
      <c r="F159" s="5" t="s">
        <v>103</v>
      </c>
      <c r="G159" t="s">
        <v>83</v>
      </c>
      <c r="H159" t="s">
        <v>430</v>
      </c>
      <c r="I159" t="s">
        <v>433</v>
      </c>
      <c r="J159" t="s">
        <v>424</v>
      </c>
      <c r="K159" t="s">
        <v>90</v>
      </c>
    </row>
    <row r="160" spans="1:11" x14ac:dyDescent="0.25">
      <c r="A160" t="s">
        <v>39</v>
      </c>
      <c r="B160" t="s">
        <v>434</v>
      </c>
      <c r="D160" s="8">
        <v>85.304500000000004</v>
      </c>
      <c r="E160" s="8">
        <v>62</v>
      </c>
      <c r="F160" s="5" t="s">
        <v>82</v>
      </c>
      <c r="G160" t="s">
        <v>83</v>
      </c>
      <c r="H160" t="s">
        <v>430</v>
      </c>
      <c r="I160" t="s">
        <v>435</v>
      </c>
      <c r="J160" t="s">
        <v>424</v>
      </c>
      <c r="K160" t="s">
        <v>90</v>
      </c>
    </row>
    <row r="161" spans="1:11" x14ac:dyDescent="0.25">
      <c r="A161" t="s">
        <v>39</v>
      </c>
      <c r="B161" t="s">
        <v>436</v>
      </c>
      <c r="D161" s="8">
        <v>84.377700000000004</v>
      </c>
      <c r="E161" s="8">
        <v>71</v>
      </c>
      <c r="F161" s="5" t="s">
        <v>82</v>
      </c>
      <c r="G161" t="s">
        <v>83</v>
      </c>
      <c r="H161" t="s">
        <v>430</v>
      </c>
      <c r="I161" t="s">
        <v>437</v>
      </c>
      <c r="J161" t="s">
        <v>424</v>
      </c>
      <c r="K161" t="s">
        <v>90</v>
      </c>
    </row>
    <row r="162" spans="1:11" x14ac:dyDescent="0.25">
      <c r="A162" t="s">
        <v>39</v>
      </c>
      <c r="B162" t="s">
        <v>438</v>
      </c>
      <c r="D162" s="8">
        <v>84.072999999999993</v>
      </c>
      <c r="E162" s="8">
        <v>80</v>
      </c>
      <c r="F162" s="5" t="s">
        <v>82</v>
      </c>
      <c r="G162" t="s">
        <v>83</v>
      </c>
      <c r="H162" t="s">
        <v>430</v>
      </c>
      <c r="I162" t="s">
        <v>439</v>
      </c>
      <c r="J162" t="s">
        <v>424</v>
      </c>
      <c r="K162" t="s">
        <v>90</v>
      </c>
    </row>
    <row r="163" spans="1:11" x14ac:dyDescent="0.25">
      <c r="A163" t="s">
        <v>39</v>
      </c>
      <c r="B163" t="s">
        <v>440</v>
      </c>
      <c r="D163" s="8">
        <v>83.808599999999998</v>
      </c>
      <c r="E163" s="8">
        <v>89</v>
      </c>
      <c r="F163" s="5" t="s">
        <v>103</v>
      </c>
      <c r="G163" t="s">
        <v>83</v>
      </c>
      <c r="H163" t="s">
        <v>441</v>
      </c>
      <c r="I163" t="s">
        <v>442</v>
      </c>
      <c r="J163" t="s">
        <v>109</v>
      </c>
      <c r="K163" t="s">
        <v>90</v>
      </c>
    </row>
    <row r="164" spans="1:11" x14ac:dyDescent="0.25">
      <c r="A164" t="s">
        <v>39</v>
      </c>
      <c r="B164" t="s">
        <v>443</v>
      </c>
      <c r="D164" s="8">
        <v>82.865300000000005</v>
      </c>
      <c r="E164" s="8">
        <v>98</v>
      </c>
      <c r="F164" s="5" t="s">
        <v>103</v>
      </c>
      <c r="G164" t="s">
        <v>83</v>
      </c>
      <c r="H164" t="s">
        <v>441</v>
      </c>
      <c r="I164" t="s">
        <v>444</v>
      </c>
      <c r="J164" t="s">
        <v>121</v>
      </c>
      <c r="K164" t="s">
        <v>90</v>
      </c>
    </row>
    <row r="165" spans="1:11" x14ac:dyDescent="0.25">
      <c r="A165" t="s">
        <v>39</v>
      </c>
      <c r="B165" t="s">
        <v>445</v>
      </c>
      <c r="D165" s="8">
        <v>81.914100000000005</v>
      </c>
      <c r="E165" s="8">
        <v>107</v>
      </c>
      <c r="F165" s="5" t="s">
        <v>82</v>
      </c>
      <c r="G165" t="s">
        <v>83</v>
      </c>
      <c r="H165" t="s">
        <v>441</v>
      </c>
      <c r="I165" t="s">
        <v>446</v>
      </c>
      <c r="J165" t="s">
        <v>424</v>
      </c>
      <c r="K165" t="s">
        <v>90</v>
      </c>
    </row>
    <row r="166" spans="1:11" x14ac:dyDescent="0.25">
      <c r="A166" t="s">
        <v>39</v>
      </c>
      <c r="B166" t="s">
        <v>447</v>
      </c>
      <c r="D166" s="8">
        <v>81.747799999999998</v>
      </c>
      <c r="E166" s="8">
        <v>116</v>
      </c>
      <c r="F166" s="5" t="s">
        <v>82</v>
      </c>
      <c r="G166" t="s">
        <v>83</v>
      </c>
      <c r="H166" t="s">
        <v>441</v>
      </c>
      <c r="I166" t="s">
        <v>448</v>
      </c>
      <c r="J166" t="s">
        <v>424</v>
      </c>
      <c r="K166" t="s">
        <v>90</v>
      </c>
    </row>
    <row r="167" spans="1:11" x14ac:dyDescent="0.25">
      <c r="A167" t="s">
        <v>39</v>
      </c>
      <c r="B167" t="s">
        <v>449</v>
      </c>
      <c r="D167" s="8">
        <v>79.918099999999995</v>
      </c>
      <c r="E167" s="8">
        <v>125</v>
      </c>
      <c r="F167" s="5" t="s">
        <v>82</v>
      </c>
      <c r="G167" t="s">
        <v>83</v>
      </c>
      <c r="H167" t="s">
        <v>450</v>
      </c>
      <c r="I167" t="s">
        <v>451</v>
      </c>
      <c r="J167" t="s">
        <v>424</v>
      </c>
      <c r="K167" t="s">
        <v>90</v>
      </c>
    </row>
    <row r="168" spans="1:11" x14ac:dyDescent="0.25">
      <c r="A168" t="s">
        <v>39</v>
      </c>
      <c r="B168" t="s">
        <v>452</v>
      </c>
      <c r="D168" s="8">
        <v>79.065399999999997</v>
      </c>
      <c r="E168" s="8">
        <v>134</v>
      </c>
      <c r="F168" s="5" t="s">
        <v>82</v>
      </c>
      <c r="G168" t="s">
        <v>83</v>
      </c>
      <c r="H168" t="s">
        <v>450</v>
      </c>
      <c r="I168" t="s">
        <v>453</v>
      </c>
      <c r="J168" t="s">
        <v>424</v>
      </c>
      <c r="K168" t="s">
        <v>90</v>
      </c>
    </row>
    <row r="169" spans="1:11" x14ac:dyDescent="0.25">
      <c r="A169" t="s">
        <v>39</v>
      </c>
      <c r="B169" t="s">
        <v>454</v>
      </c>
      <c r="D169" s="8">
        <v>78.579499999999996</v>
      </c>
      <c r="E169" s="8">
        <v>143</v>
      </c>
      <c r="F169" s="5" t="s">
        <v>82</v>
      </c>
      <c r="G169" t="s">
        <v>83</v>
      </c>
      <c r="H169" t="s">
        <v>450</v>
      </c>
      <c r="I169" t="s">
        <v>455</v>
      </c>
      <c r="J169" t="s">
        <v>424</v>
      </c>
      <c r="K169" t="s">
        <v>90</v>
      </c>
    </row>
    <row r="170" spans="1:11" x14ac:dyDescent="0.25">
      <c r="A170" t="s">
        <v>39</v>
      </c>
      <c r="B170" t="s">
        <v>456</v>
      </c>
      <c r="D170" s="8">
        <v>78.320300000000003</v>
      </c>
      <c r="E170" s="8">
        <v>152</v>
      </c>
      <c r="F170" s="5" t="s">
        <v>82</v>
      </c>
      <c r="G170" t="s">
        <v>83</v>
      </c>
      <c r="H170" t="s">
        <v>450</v>
      </c>
      <c r="I170" t="s">
        <v>457</v>
      </c>
      <c r="J170" t="s">
        <v>424</v>
      </c>
      <c r="K170" t="s">
        <v>90</v>
      </c>
    </row>
    <row r="171" spans="1:11" x14ac:dyDescent="0.25">
      <c r="A171" t="s">
        <v>39</v>
      </c>
      <c r="B171" t="s">
        <v>458</v>
      </c>
      <c r="D171" s="8">
        <v>76.252600000000001</v>
      </c>
      <c r="E171" s="8">
        <v>161</v>
      </c>
      <c r="F171" s="5" t="s">
        <v>82</v>
      </c>
      <c r="G171" t="s">
        <v>83</v>
      </c>
      <c r="H171" t="s">
        <v>450</v>
      </c>
      <c r="I171" t="s">
        <v>459</v>
      </c>
      <c r="J171" t="s">
        <v>424</v>
      </c>
      <c r="K171" t="s">
        <v>90</v>
      </c>
    </row>
    <row r="172" spans="1:11" x14ac:dyDescent="0.25">
      <c r="A172" t="s">
        <v>39</v>
      </c>
      <c r="B172" t="s">
        <v>460</v>
      </c>
      <c r="D172" s="8">
        <v>76.0321</v>
      </c>
      <c r="E172" s="8">
        <v>170</v>
      </c>
      <c r="F172" s="5" t="s">
        <v>82</v>
      </c>
      <c r="G172" t="s">
        <v>83</v>
      </c>
      <c r="H172" t="s">
        <v>450</v>
      </c>
      <c r="I172" t="s">
        <v>461</v>
      </c>
      <c r="J172" t="s">
        <v>424</v>
      </c>
      <c r="K172" t="s">
        <v>90</v>
      </c>
    </row>
    <row r="173" spans="1:11" x14ac:dyDescent="0.25">
      <c r="A173" t="s">
        <v>39</v>
      </c>
      <c r="B173" t="s">
        <v>462</v>
      </c>
      <c r="D173" s="8">
        <v>75.513199999999998</v>
      </c>
      <c r="E173" s="8">
        <v>179</v>
      </c>
      <c r="F173" s="5" t="s">
        <v>82</v>
      </c>
      <c r="G173" t="s">
        <v>83</v>
      </c>
      <c r="H173" t="s">
        <v>463</v>
      </c>
      <c r="I173" t="s">
        <v>464</v>
      </c>
      <c r="J173" t="s">
        <v>424</v>
      </c>
      <c r="K173" t="s">
        <v>90</v>
      </c>
    </row>
    <row r="174" spans="1:11" x14ac:dyDescent="0.25">
      <c r="A174" t="s">
        <v>39</v>
      </c>
      <c r="B174" t="s">
        <v>465</v>
      </c>
      <c r="D174" s="8">
        <v>74.093800000000002</v>
      </c>
      <c r="E174" s="8">
        <v>188</v>
      </c>
      <c r="F174" s="5" t="s">
        <v>103</v>
      </c>
      <c r="G174" t="s">
        <v>176</v>
      </c>
      <c r="H174" t="s">
        <v>463</v>
      </c>
      <c r="I174" t="s">
        <v>466</v>
      </c>
      <c r="J174" t="s">
        <v>178</v>
      </c>
      <c r="K174" t="s">
        <v>90</v>
      </c>
    </row>
    <row r="175" spans="1:11" x14ac:dyDescent="0.25">
      <c r="A175" t="s">
        <v>39</v>
      </c>
      <c r="B175" t="s">
        <v>467</v>
      </c>
      <c r="D175" s="8">
        <v>73.852699999999999</v>
      </c>
      <c r="E175" s="8">
        <v>197</v>
      </c>
      <c r="F175" s="5" t="s">
        <v>82</v>
      </c>
      <c r="G175" t="s">
        <v>83</v>
      </c>
      <c r="H175" t="s">
        <v>463</v>
      </c>
      <c r="I175" t="s">
        <v>468</v>
      </c>
      <c r="J175" t="s">
        <v>424</v>
      </c>
      <c r="K175" t="s">
        <v>90</v>
      </c>
    </row>
    <row r="176" spans="1:11" x14ac:dyDescent="0.25">
      <c r="A176" t="s">
        <v>39</v>
      </c>
      <c r="B176" t="s">
        <v>469</v>
      </c>
      <c r="D176" s="8">
        <v>73.279499999999999</v>
      </c>
      <c r="E176" s="8">
        <v>206</v>
      </c>
      <c r="F176" s="5" t="s">
        <v>82</v>
      </c>
      <c r="G176" t="s">
        <v>83</v>
      </c>
      <c r="H176" t="s">
        <v>463</v>
      </c>
      <c r="I176" t="s">
        <v>470</v>
      </c>
      <c r="J176" t="s">
        <v>424</v>
      </c>
      <c r="K176" t="s">
        <v>90</v>
      </c>
    </row>
    <row r="177" spans="1:11" x14ac:dyDescent="0.25">
      <c r="A177" t="s">
        <v>39</v>
      </c>
      <c r="B177" t="s">
        <v>471</v>
      </c>
      <c r="D177" s="8">
        <v>72.513800000000003</v>
      </c>
      <c r="E177" s="8">
        <v>215</v>
      </c>
      <c r="F177" s="5" t="s">
        <v>82</v>
      </c>
      <c r="G177" t="s">
        <v>83</v>
      </c>
      <c r="H177" t="s">
        <v>463</v>
      </c>
      <c r="I177" t="s">
        <v>472</v>
      </c>
      <c r="J177" t="s">
        <v>424</v>
      </c>
      <c r="K177" t="s">
        <v>90</v>
      </c>
    </row>
    <row r="178" spans="1:11" x14ac:dyDescent="0.25">
      <c r="A178" t="s">
        <v>39</v>
      </c>
      <c r="B178" t="s">
        <v>473</v>
      </c>
      <c r="D178" s="8">
        <v>70.124499999999998</v>
      </c>
      <c r="E178" s="8">
        <v>224</v>
      </c>
      <c r="F178" s="5" t="s">
        <v>82</v>
      </c>
      <c r="G178" t="s">
        <v>83</v>
      </c>
      <c r="H178" t="s">
        <v>463</v>
      </c>
      <c r="I178" t="s">
        <v>474</v>
      </c>
      <c r="J178" t="s">
        <v>424</v>
      </c>
      <c r="K178" t="s">
        <v>90</v>
      </c>
    </row>
    <row r="179" spans="1:11" x14ac:dyDescent="0.25">
      <c r="A179" t="s">
        <v>39</v>
      </c>
      <c r="B179" t="s">
        <v>475</v>
      </c>
      <c r="D179" s="8">
        <v>66.649000000000001</v>
      </c>
      <c r="E179" s="8">
        <v>233</v>
      </c>
      <c r="F179" s="5" t="s">
        <v>82</v>
      </c>
      <c r="G179" t="s">
        <v>83</v>
      </c>
      <c r="H179" t="s">
        <v>463</v>
      </c>
      <c r="I179" t="s">
        <v>476</v>
      </c>
      <c r="J179" t="s">
        <v>424</v>
      </c>
      <c r="K179" t="s">
        <v>90</v>
      </c>
    </row>
    <row r="180" spans="1:11" x14ac:dyDescent="0.25">
      <c r="A180" t="s">
        <v>39</v>
      </c>
      <c r="B180" t="s">
        <v>477</v>
      </c>
      <c r="D180" s="8">
        <v>66.622299999999996</v>
      </c>
      <c r="E180" s="8">
        <v>242</v>
      </c>
      <c r="F180" s="5" t="s">
        <v>82</v>
      </c>
      <c r="G180" t="s">
        <v>83</v>
      </c>
      <c r="H180" t="s">
        <v>463</v>
      </c>
      <c r="I180" t="s">
        <v>478</v>
      </c>
      <c r="J180" t="s">
        <v>424</v>
      </c>
      <c r="K180" t="s">
        <v>90</v>
      </c>
    </row>
    <row r="181" spans="1:11" x14ac:dyDescent="0.25">
      <c r="A181" t="s">
        <v>39</v>
      </c>
      <c r="B181" t="s">
        <v>479</v>
      </c>
      <c r="D181" s="8">
        <v>64.362099999999998</v>
      </c>
      <c r="E181" s="8">
        <v>251</v>
      </c>
      <c r="F181" s="5" t="s">
        <v>82</v>
      </c>
      <c r="G181" t="s">
        <v>83</v>
      </c>
      <c r="H181" t="s">
        <v>463</v>
      </c>
      <c r="I181" t="s">
        <v>480</v>
      </c>
      <c r="J181" t="s">
        <v>424</v>
      </c>
      <c r="K181" t="s">
        <v>90</v>
      </c>
    </row>
    <row r="182" spans="1:11" x14ac:dyDescent="0.25">
      <c r="A182" t="s">
        <v>41</v>
      </c>
      <c r="B182" t="s">
        <v>481</v>
      </c>
      <c r="C182" t="s">
        <v>482</v>
      </c>
      <c r="D182" s="8">
        <v>94</v>
      </c>
      <c r="E182" s="8">
        <v>155</v>
      </c>
      <c r="F182" s="5" t="s">
        <v>103</v>
      </c>
      <c r="G182" t="s">
        <v>483</v>
      </c>
      <c r="H182" t="s">
        <v>484</v>
      </c>
      <c r="I182" t="s">
        <v>485</v>
      </c>
      <c r="J182" t="s">
        <v>486</v>
      </c>
      <c r="K182" t="s">
        <v>487</v>
      </c>
    </row>
    <row r="183" spans="1:11" x14ac:dyDescent="0.25">
      <c r="A183" t="s">
        <v>41</v>
      </c>
      <c r="B183" t="s">
        <v>488</v>
      </c>
      <c r="C183" t="s">
        <v>489</v>
      </c>
      <c r="D183" s="8">
        <v>91.8</v>
      </c>
      <c r="E183" s="8">
        <v>160</v>
      </c>
      <c r="F183" s="5" t="s">
        <v>103</v>
      </c>
      <c r="G183" t="s">
        <v>483</v>
      </c>
      <c r="H183" t="s">
        <v>484</v>
      </c>
      <c r="I183" t="s">
        <v>485</v>
      </c>
      <c r="J183" t="s">
        <v>486</v>
      </c>
      <c r="K183" t="s">
        <v>487</v>
      </c>
    </row>
    <row r="184" spans="1:11" x14ac:dyDescent="0.25">
      <c r="A184" t="s">
        <v>41</v>
      </c>
      <c r="B184" t="s">
        <v>490</v>
      </c>
      <c r="C184" t="s">
        <v>491</v>
      </c>
      <c r="D184" s="8">
        <v>89.6</v>
      </c>
      <c r="E184" s="8">
        <v>165</v>
      </c>
      <c r="F184" s="5" t="s">
        <v>103</v>
      </c>
      <c r="G184" t="s">
        <v>483</v>
      </c>
      <c r="H184" t="s">
        <v>484</v>
      </c>
      <c r="I184" t="s">
        <v>485</v>
      </c>
      <c r="J184" t="s">
        <v>486</v>
      </c>
      <c r="K184" t="s">
        <v>487</v>
      </c>
    </row>
    <row r="185" spans="1:11" x14ac:dyDescent="0.25">
      <c r="A185" t="s">
        <v>41</v>
      </c>
      <c r="B185" t="s">
        <v>492</v>
      </c>
      <c r="C185" t="s">
        <v>493</v>
      </c>
      <c r="D185" s="8">
        <v>87.4</v>
      </c>
      <c r="E185" s="8">
        <v>170</v>
      </c>
      <c r="F185" s="5" t="s">
        <v>103</v>
      </c>
      <c r="G185" t="s">
        <v>483</v>
      </c>
      <c r="H185" t="s">
        <v>484</v>
      </c>
      <c r="I185" t="s">
        <v>485</v>
      </c>
      <c r="J185" t="s">
        <v>486</v>
      </c>
      <c r="K185" t="s">
        <v>487</v>
      </c>
    </row>
    <row r="186" spans="1:11" x14ac:dyDescent="0.25">
      <c r="A186" t="s">
        <v>41</v>
      </c>
      <c r="B186" t="s">
        <v>494</v>
      </c>
      <c r="C186" t="s">
        <v>495</v>
      </c>
      <c r="D186" s="8">
        <v>85.2</v>
      </c>
      <c r="E186" s="8">
        <v>175</v>
      </c>
      <c r="F186" s="5" t="s">
        <v>103</v>
      </c>
      <c r="G186" t="s">
        <v>483</v>
      </c>
      <c r="H186" t="s">
        <v>484</v>
      </c>
      <c r="I186" t="s">
        <v>485</v>
      </c>
      <c r="J186" t="s">
        <v>486</v>
      </c>
      <c r="K186" t="s">
        <v>487</v>
      </c>
    </row>
    <row r="187" spans="1:11" x14ac:dyDescent="0.25">
      <c r="A187" t="s">
        <v>41</v>
      </c>
      <c r="B187" t="s">
        <v>496</v>
      </c>
      <c r="C187" t="s">
        <v>497</v>
      </c>
      <c r="D187" s="8">
        <v>83</v>
      </c>
      <c r="E187" s="8">
        <v>180</v>
      </c>
      <c r="F187" s="5" t="s">
        <v>103</v>
      </c>
      <c r="G187" t="s">
        <v>483</v>
      </c>
      <c r="H187" t="s">
        <v>498</v>
      </c>
      <c r="I187" t="s">
        <v>485</v>
      </c>
      <c r="J187" t="s">
        <v>486</v>
      </c>
      <c r="K187" t="s">
        <v>487</v>
      </c>
    </row>
    <row r="188" spans="1:11" x14ac:dyDescent="0.25">
      <c r="A188" t="s">
        <v>41</v>
      </c>
      <c r="B188" t="s">
        <v>499</v>
      </c>
      <c r="C188" t="s">
        <v>500</v>
      </c>
      <c r="D188" s="8">
        <v>80.8</v>
      </c>
      <c r="E188" s="8">
        <v>185</v>
      </c>
      <c r="F188" s="5" t="s">
        <v>103</v>
      </c>
      <c r="G188" t="s">
        <v>483</v>
      </c>
      <c r="H188" t="s">
        <v>498</v>
      </c>
      <c r="I188" t="s">
        <v>485</v>
      </c>
      <c r="J188" t="s">
        <v>486</v>
      </c>
      <c r="K188" t="s">
        <v>487</v>
      </c>
    </row>
    <row r="189" spans="1:11" x14ac:dyDescent="0.25">
      <c r="A189" t="s">
        <v>41</v>
      </c>
      <c r="B189" t="s">
        <v>501</v>
      </c>
      <c r="C189" t="s">
        <v>502</v>
      </c>
      <c r="D189" s="8">
        <v>78.599999999999994</v>
      </c>
      <c r="E189" s="8">
        <v>190</v>
      </c>
      <c r="F189" s="5" t="s">
        <v>103</v>
      </c>
      <c r="G189" t="s">
        <v>483</v>
      </c>
      <c r="H189" t="s">
        <v>498</v>
      </c>
      <c r="I189" t="s">
        <v>485</v>
      </c>
      <c r="J189" t="s">
        <v>486</v>
      </c>
      <c r="K189" t="s">
        <v>487</v>
      </c>
    </row>
    <row r="190" spans="1:11" x14ac:dyDescent="0.25">
      <c r="A190" t="s">
        <v>41</v>
      </c>
      <c r="B190" t="s">
        <v>503</v>
      </c>
      <c r="C190" t="s">
        <v>504</v>
      </c>
      <c r="D190" s="8">
        <v>76.400000000000006</v>
      </c>
      <c r="E190" s="8">
        <v>195</v>
      </c>
      <c r="F190" s="5" t="s">
        <v>103</v>
      </c>
      <c r="G190" t="s">
        <v>483</v>
      </c>
      <c r="H190" t="s">
        <v>498</v>
      </c>
      <c r="I190" t="s">
        <v>485</v>
      </c>
      <c r="J190" t="s">
        <v>486</v>
      </c>
      <c r="K190" t="s">
        <v>487</v>
      </c>
    </row>
    <row r="191" spans="1:11" x14ac:dyDescent="0.25">
      <c r="A191" t="s">
        <v>41</v>
      </c>
      <c r="B191" t="s">
        <v>505</v>
      </c>
      <c r="C191" t="s">
        <v>506</v>
      </c>
      <c r="D191" s="8">
        <v>74.2</v>
      </c>
      <c r="E191" s="8">
        <v>200</v>
      </c>
      <c r="F191" s="5" t="s">
        <v>103</v>
      </c>
      <c r="G191" t="s">
        <v>483</v>
      </c>
      <c r="H191" t="s">
        <v>498</v>
      </c>
      <c r="I191" t="s">
        <v>485</v>
      </c>
      <c r="J191" t="s">
        <v>486</v>
      </c>
      <c r="K191" t="s">
        <v>487</v>
      </c>
    </row>
    <row r="192" spans="1:11" x14ac:dyDescent="0.25">
      <c r="A192" t="s">
        <v>41</v>
      </c>
      <c r="B192" t="s">
        <v>507</v>
      </c>
      <c r="C192" t="s">
        <v>508</v>
      </c>
      <c r="D192" s="8">
        <v>72</v>
      </c>
      <c r="E192" s="8">
        <v>205</v>
      </c>
      <c r="F192" s="5" t="s">
        <v>103</v>
      </c>
      <c r="G192" t="s">
        <v>483</v>
      </c>
      <c r="H192" t="s">
        <v>498</v>
      </c>
      <c r="I192" t="s">
        <v>485</v>
      </c>
      <c r="J192" t="s">
        <v>486</v>
      </c>
      <c r="K192" t="s">
        <v>487</v>
      </c>
    </row>
    <row r="193" spans="1:11" x14ac:dyDescent="0.25">
      <c r="A193" t="s">
        <v>41</v>
      </c>
      <c r="B193" t="s">
        <v>509</v>
      </c>
      <c r="C193" t="s">
        <v>510</v>
      </c>
      <c r="D193" s="8">
        <v>69.8</v>
      </c>
      <c r="E193" s="8">
        <v>210</v>
      </c>
      <c r="F193" s="5" t="s">
        <v>103</v>
      </c>
      <c r="G193" t="s">
        <v>483</v>
      </c>
      <c r="H193" t="s">
        <v>498</v>
      </c>
      <c r="I193" t="s">
        <v>485</v>
      </c>
      <c r="J193" t="s">
        <v>486</v>
      </c>
      <c r="K193" t="s">
        <v>487</v>
      </c>
    </row>
    <row r="194" spans="1:11" x14ac:dyDescent="0.25">
      <c r="A194" t="s">
        <v>43</v>
      </c>
      <c r="B194" t="s">
        <v>511</v>
      </c>
      <c r="C194" t="s">
        <v>489</v>
      </c>
      <c r="D194" s="8">
        <v>93</v>
      </c>
      <c r="E194" s="8">
        <v>160</v>
      </c>
      <c r="F194" s="5" t="s">
        <v>103</v>
      </c>
      <c r="G194" t="s">
        <v>512</v>
      </c>
      <c r="H194" t="s">
        <v>513</v>
      </c>
      <c r="I194" t="s">
        <v>514</v>
      </c>
      <c r="J194" t="s">
        <v>515</v>
      </c>
      <c r="K194" t="s">
        <v>516</v>
      </c>
    </row>
    <row r="195" spans="1:11" x14ac:dyDescent="0.25">
      <c r="A195" t="s">
        <v>43</v>
      </c>
      <c r="B195" t="s">
        <v>517</v>
      </c>
      <c r="C195" t="s">
        <v>518</v>
      </c>
      <c r="D195" s="8">
        <v>91.9</v>
      </c>
      <c r="E195" s="8">
        <v>164</v>
      </c>
      <c r="F195" s="5" t="s">
        <v>103</v>
      </c>
      <c r="G195" t="s">
        <v>512</v>
      </c>
      <c r="H195" t="s">
        <v>513</v>
      </c>
      <c r="I195" t="s">
        <v>514</v>
      </c>
      <c r="J195" t="s">
        <v>515</v>
      </c>
      <c r="K195" t="s">
        <v>516</v>
      </c>
    </row>
    <row r="196" spans="1:11" x14ac:dyDescent="0.25">
      <c r="A196" t="s">
        <v>43</v>
      </c>
      <c r="B196" t="s">
        <v>519</v>
      </c>
      <c r="C196" t="s">
        <v>493</v>
      </c>
      <c r="D196" s="8">
        <v>90.8</v>
      </c>
      <c r="E196" s="8">
        <v>168</v>
      </c>
      <c r="F196" s="5" t="s">
        <v>103</v>
      </c>
      <c r="G196" t="s">
        <v>512</v>
      </c>
      <c r="H196" t="s">
        <v>513</v>
      </c>
      <c r="I196" t="s">
        <v>514</v>
      </c>
      <c r="J196" t="s">
        <v>515</v>
      </c>
      <c r="K196" t="s">
        <v>516</v>
      </c>
    </row>
    <row r="197" spans="1:11" x14ac:dyDescent="0.25">
      <c r="A197" t="s">
        <v>43</v>
      </c>
      <c r="B197" t="s">
        <v>520</v>
      </c>
      <c r="C197" t="s">
        <v>502</v>
      </c>
      <c r="D197" s="8">
        <v>89.7</v>
      </c>
      <c r="E197" s="8">
        <v>172</v>
      </c>
      <c r="F197" s="5" t="s">
        <v>103</v>
      </c>
      <c r="G197" t="s">
        <v>512</v>
      </c>
      <c r="H197" t="s">
        <v>513</v>
      </c>
      <c r="I197" t="s">
        <v>514</v>
      </c>
      <c r="J197" t="s">
        <v>515</v>
      </c>
      <c r="K197" t="s">
        <v>516</v>
      </c>
    </row>
    <row r="198" spans="1:11" x14ac:dyDescent="0.25">
      <c r="A198" t="s">
        <v>43</v>
      </c>
      <c r="B198" t="s">
        <v>521</v>
      </c>
      <c r="C198" t="s">
        <v>522</v>
      </c>
      <c r="D198" s="8">
        <v>88.6</v>
      </c>
      <c r="E198" s="8">
        <v>176</v>
      </c>
      <c r="F198" s="5" t="s">
        <v>103</v>
      </c>
      <c r="G198" t="s">
        <v>512</v>
      </c>
      <c r="H198" t="s">
        <v>513</v>
      </c>
      <c r="I198" t="s">
        <v>514</v>
      </c>
      <c r="J198" t="s">
        <v>515</v>
      </c>
      <c r="K198" t="s">
        <v>516</v>
      </c>
    </row>
    <row r="199" spans="1:11" x14ac:dyDescent="0.25">
      <c r="A199" t="s">
        <v>43</v>
      </c>
      <c r="B199" t="s">
        <v>523</v>
      </c>
      <c r="C199" t="s">
        <v>524</v>
      </c>
      <c r="D199" s="8">
        <v>87.5</v>
      </c>
      <c r="E199" s="8">
        <v>180</v>
      </c>
      <c r="F199" s="5" t="s">
        <v>103</v>
      </c>
      <c r="G199" t="s">
        <v>512</v>
      </c>
      <c r="H199" t="s">
        <v>525</v>
      </c>
      <c r="I199" t="s">
        <v>514</v>
      </c>
      <c r="J199" t="s">
        <v>515</v>
      </c>
      <c r="K199" t="s">
        <v>516</v>
      </c>
    </row>
    <row r="200" spans="1:11" x14ac:dyDescent="0.25">
      <c r="A200" t="s">
        <v>43</v>
      </c>
      <c r="B200" t="s">
        <v>526</v>
      </c>
      <c r="C200" t="s">
        <v>508</v>
      </c>
      <c r="D200" s="8">
        <v>86.4</v>
      </c>
      <c r="E200" s="8">
        <v>184</v>
      </c>
      <c r="F200" s="5" t="s">
        <v>103</v>
      </c>
      <c r="G200" t="s">
        <v>512</v>
      </c>
      <c r="H200" t="s">
        <v>525</v>
      </c>
      <c r="I200" t="s">
        <v>514</v>
      </c>
      <c r="J200" t="s">
        <v>515</v>
      </c>
      <c r="K200" t="s">
        <v>516</v>
      </c>
    </row>
    <row r="201" spans="1:11" x14ac:dyDescent="0.25">
      <c r="A201" t="s">
        <v>43</v>
      </c>
      <c r="B201" t="s">
        <v>527</v>
      </c>
      <c r="C201" t="s">
        <v>495</v>
      </c>
      <c r="D201" s="8">
        <v>85.3</v>
      </c>
      <c r="E201" s="8">
        <v>188</v>
      </c>
      <c r="F201" s="5" t="s">
        <v>103</v>
      </c>
      <c r="G201" t="s">
        <v>512</v>
      </c>
      <c r="H201" t="s">
        <v>525</v>
      </c>
      <c r="I201" t="s">
        <v>514</v>
      </c>
      <c r="J201" t="s">
        <v>515</v>
      </c>
      <c r="K201" t="s">
        <v>516</v>
      </c>
    </row>
    <row r="202" spans="1:11" x14ac:dyDescent="0.25">
      <c r="A202" t="s">
        <v>43</v>
      </c>
      <c r="B202" t="s">
        <v>528</v>
      </c>
      <c r="C202" t="s">
        <v>529</v>
      </c>
      <c r="D202" s="8">
        <v>84.2</v>
      </c>
      <c r="E202" s="8">
        <v>192</v>
      </c>
      <c r="F202" s="5" t="s">
        <v>103</v>
      </c>
      <c r="G202" t="s">
        <v>512</v>
      </c>
      <c r="H202" t="s">
        <v>525</v>
      </c>
      <c r="I202" t="s">
        <v>514</v>
      </c>
      <c r="J202" t="s">
        <v>515</v>
      </c>
      <c r="K202" t="s">
        <v>516</v>
      </c>
    </row>
    <row r="203" spans="1:11" x14ac:dyDescent="0.25">
      <c r="A203" t="s">
        <v>43</v>
      </c>
      <c r="B203" t="s">
        <v>530</v>
      </c>
      <c r="C203" t="s">
        <v>491</v>
      </c>
      <c r="D203" s="8">
        <v>83.1</v>
      </c>
      <c r="E203" s="8">
        <v>196</v>
      </c>
      <c r="F203" s="5" t="s">
        <v>103</v>
      </c>
      <c r="G203" t="s">
        <v>512</v>
      </c>
      <c r="H203" t="s">
        <v>525</v>
      </c>
      <c r="I203" t="s">
        <v>514</v>
      </c>
      <c r="J203" t="s">
        <v>515</v>
      </c>
      <c r="K203" t="s">
        <v>516</v>
      </c>
    </row>
    <row r="204" spans="1:11" x14ac:dyDescent="0.25">
      <c r="A204" t="s">
        <v>43</v>
      </c>
      <c r="B204" t="s">
        <v>531</v>
      </c>
      <c r="C204" t="s">
        <v>500</v>
      </c>
      <c r="D204" s="8">
        <v>82</v>
      </c>
      <c r="E204" s="8">
        <v>200</v>
      </c>
      <c r="F204" s="5" t="s">
        <v>103</v>
      </c>
      <c r="G204" t="s">
        <v>512</v>
      </c>
      <c r="H204" t="s">
        <v>525</v>
      </c>
      <c r="I204" t="s">
        <v>514</v>
      </c>
      <c r="J204" t="s">
        <v>515</v>
      </c>
      <c r="K204" t="s">
        <v>516</v>
      </c>
    </row>
    <row r="205" spans="1:11" x14ac:dyDescent="0.25">
      <c r="A205" t="s">
        <v>43</v>
      </c>
      <c r="B205" t="s">
        <v>532</v>
      </c>
      <c r="C205" t="s">
        <v>533</v>
      </c>
      <c r="D205" s="8">
        <v>80.900000000000006</v>
      </c>
      <c r="E205" s="8">
        <v>204</v>
      </c>
      <c r="F205" s="5" t="s">
        <v>103</v>
      </c>
      <c r="G205" t="s">
        <v>512</v>
      </c>
      <c r="H205" t="s">
        <v>525</v>
      </c>
      <c r="I205" t="s">
        <v>514</v>
      </c>
      <c r="J205" t="s">
        <v>515</v>
      </c>
      <c r="K205" t="s">
        <v>516</v>
      </c>
    </row>
    <row r="206" spans="1:11" x14ac:dyDescent="0.25">
      <c r="A206" t="s">
        <v>43</v>
      </c>
      <c r="B206" t="s">
        <v>534</v>
      </c>
      <c r="C206" t="s">
        <v>535</v>
      </c>
      <c r="D206" s="8">
        <v>79.8</v>
      </c>
      <c r="E206" s="8">
        <v>208</v>
      </c>
      <c r="F206" s="5" t="s">
        <v>103</v>
      </c>
      <c r="G206" t="s">
        <v>512</v>
      </c>
      <c r="H206" t="s">
        <v>525</v>
      </c>
      <c r="I206" t="s">
        <v>514</v>
      </c>
      <c r="J206" t="s">
        <v>515</v>
      </c>
      <c r="K206" t="s">
        <v>516</v>
      </c>
    </row>
    <row r="207" spans="1:11" x14ac:dyDescent="0.25">
      <c r="A207" t="s">
        <v>43</v>
      </c>
      <c r="B207" t="s">
        <v>536</v>
      </c>
      <c r="C207" t="s">
        <v>537</v>
      </c>
      <c r="D207" s="8">
        <v>78.7</v>
      </c>
      <c r="E207" s="8">
        <v>212</v>
      </c>
      <c r="F207" s="5" t="s">
        <v>103</v>
      </c>
      <c r="G207" t="s">
        <v>512</v>
      </c>
      <c r="H207" t="s">
        <v>525</v>
      </c>
      <c r="I207" t="s">
        <v>514</v>
      </c>
      <c r="J207" t="s">
        <v>515</v>
      </c>
      <c r="K207" t="s">
        <v>516</v>
      </c>
    </row>
    <row r="208" spans="1:11" x14ac:dyDescent="0.25">
      <c r="A208" t="s">
        <v>43</v>
      </c>
      <c r="B208" t="s">
        <v>538</v>
      </c>
      <c r="C208" t="s">
        <v>539</v>
      </c>
      <c r="D208" s="8">
        <v>77.599999999999994</v>
      </c>
      <c r="E208" s="8">
        <v>216</v>
      </c>
      <c r="F208" s="5" t="s">
        <v>103</v>
      </c>
      <c r="G208" t="s">
        <v>512</v>
      </c>
      <c r="H208" t="s">
        <v>525</v>
      </c>
      <c r="I208" t="s">
        <v>514</v>
      </c>
      <c r="J208" t="s">
        <v>515</v>
      </c>
      <c r="K208" t="s">
        <v>516</v>
      </c>
    </row>
    <row r="209" spans="1:11" x14ac:dyDescent="0.25">
      <c r="A209" t="s">
        <v>43</v>
      </c>
      <c r="B209" t="s">
        <v>540</v>
      </c>
      <c r="C209" t="s">
        <v>541</v>
      </c>
      <c r="D209" s="8">
        <v>76.5</v>
      </c>
      <c r="E209" s="8">
        <v>220</v>
      </c>
      <c r="F209" s="5" t="s">
        <v>103</v>
      </c>
      <c r="G209" t="s">
        <v>512</v>
      </c>
      <c r="H209" t="s">
        <v>525</v>
      </c>
      <c r="I209" t="s">
        <v>514</v>
      </c>
      <c r="J209" t="s">
        <v>515</v>
      </c>
      <c r="K209" t="s">
        <v>516</v>
      </c>
    </row>
    <row r="210" spans="1:11" x14ac:dyDescent="0.25">
      <c r="A210" t="s">
        <v>43</v>
      </c>
      <c r="B210" t="s">
        <v>542</v>
      </c>
      <c r="C210" t="s">
        <v>497</v>
      </c>
      <c r="D210" s="8">
        <v>75.400000000000006</v>
      </c>
      <c r="E210" s="8">
        <v>224</v>
      </c>
      <c r="F210" s="5" t="s">
        <v>103</v>
      </c>
      <c r="G210" t="s">
        <v>512</v>
      </c>
      <c r="H210" t="s">
        <v>525</v>
      </c>
      <c r="I210" t="s">
        <v>514</v>
      </c>
      <c r="J210" t="s">
        <v>515</v>
      </c>
      <c r="K210" t="s">
        <v>516</v>
      </c>
    </row>
    <row r="211" spans="1:11" x14ac:dyDescent="0.25">
      <c r="A211" t="s">
        <v>43</v>
      </c>
      <c r="B211" t="s">
        <v>543</v>
      </c>
      <c r="C211" t="s">
        <v>544</v>
      </c>
      <c r="D211" s="8">
        <v>74.3</v>
      </c>
      <c r="E211" s="8">
        <v>228</v>
      </c>
      <c r="F211" s="5" t="s">
        <v>103</v>
      </c>
      <c r="G211" t="s">
        <v>512</v>
      </c>
      <c r="H211" t="s">
        <v>525</v>
      </c>
      <c r="I211" t="s">
        <v>514</v>
      </c>
      <c r="J211" t="s">
        <v>515</v>
      </c>
      <c r="K211" t="s">
        <v>516</v>
      </c>
    </row>
    <row r="212" spans="1:11" x14ac:dyDescent="0.25">
      <c r="A212" t="s">
        <v>43</v>
      </c>
      <c r="B212" t="s">
        <v>545</v>
      </c>
      <c r="C212" t="s">
        <v>546</v>
      </c>
      <c r="D212" s="8">
        <v>73.2</v>
      </c>
      <c r="E212" s="8">
        <v>232</v>
      </c>
      <c r="F212" s="5" t="s">
        <v>103</v>
      </c>
      <c r="G212" t="s">
        <v>512</v>
      </c>
      <c r="H212" t="s">
        <v>525</v>
      </c>
      <c r="I212" t="s">
        <v>514</v>
      </c>
      <c r="J212" t="s">
        <v>515</v>
      </c>
      <c r="K212" t="s">
        <v>516</v>
      </c>
    </row>
    <row r="213" spans="1:11" x14ac:dyDescent="0.25">
      <c r="A213" t="s">
        <v>43</v>
      </c>
      <c r="B213" t="s">
        <v>547</v>
      </c>
      <c r="C213" t="s">
        <v>506</v>
      </c>
      <c r="D213" s="8">
        <v>72.099999999999994</v>
      </c>
      <c r="E213" s="8">
        <v>236</v>
      </c>
      <c r="F213" s="5" t="s">
        <v>103</v>
      </c>
      <c r="G213" t="s">
        <v>512</v>
      </c>
      <c r="H213" t="s">
        <v>525</v>
      </c>
      <c r="I213" t="s">
        <v>514</v>
      </c>
      <c r="J213" t="s">
        <v>515</v>
      </c>
      <c r="K213" t="s">
        <v>516</v>
      </c>
    </row>
    <row r="214" spans="1:11" x14ac:dyDescent="0.25">
      <c r="A214" t="s">
        <v>43</v>
      </c>
      <c r="B214" t="s">
        <v>548</v>
      </c>
      <c r="C214" t="s">
        <v>549</v>
      </c>
      <c r="D214" s="8">
        <v>71</v>
      </c>
      <c r="E214" s="8">
        <v>240</v>
      </c>
      <c r="F214" s="5" t="s">
        <v>103</v>
      </c>
      <c r="G214" t="s">
        <v>512</v>
      </c>
      <c r="H214" t="s">
        <v>525</v>
      </c>
      <c r="I214" t="s">
        <v>514</v>
      </c>
      <c r="J214" t="s">
        <v>515</v>
      </c>
      <c r="K214" t="s">
        <v>516</v>
      </c>
    </row>
    <row r="215" spans="1:11" x14ac:dyDescent="0.25">
      <c r="A215" t="s">
        <v>43</v>
      </c>
      <c r="B215" t="s">
        <v>550</v>
      </c>
      <c r="C215" t="s">
        <v>551</v>
      </c>
      <c r="D215" s="8">
        <v>69.900000000000006</v>
      </c>
      <c r="E215" s="8">
        <v>244</v>
      </c>
      <c r="F215" s="5" t="s">
        <v>103</v>
      </c>
      <c r="G215" t="s">
        <v>512</v>
      </c>
      <c r="H215" t="s">
        <v>525</v>
      </c>
      <c r="I215" t="s">
        <v>514</v>
      </c>
      <c r="J215" t="s">
        <v>515</v>
      </c>
      <c r="K215" t="s">
        <v>516</v>
      </c>
    </row>
    <row r="216" spans="1:11" x14ac:dyDescent="0.25">
      <c r="A216" t="s">
        <v>43</v>
      </c>
      <c r="B216" t="s">
        <v>552</v>
      </c>
      <c r="C216" t="s">
        <v>504</v>
      </c>
      <c r="D216" s="8">
        <v>68.8</v>
      </c>
      <c r="E216" s="8">
        <v>248</v>
      </c>
      <c r="F216" s="5" t="s">
        <v>103</v>
      </c>
      <c r="G216" t="s">
        <v>512</v>
      </c>
      <c r="H216" t="s">
        <v>525</v>
      </c>
      <c r="I216" t="s">
        <v>514</v>
      </c>
      <c r="J216" t="s">
        <v>515</v>
      </c>
      <c r="K216" t="s">
        <v>516</v>
      </c>
    </row>
    <row r="217" spans="1:11" x14ac:dyDescent="0.25">
      <c r="A217" t="s">
        <v>43</v>
      </c>
      <c r="B217" t="s">
        <v>553</v>
      </c>
      <c r="C217" t="s">
        <v>482</v>
      </c>
      <c r="D217" s="8">
        <v>67.7</v>
      </c>
      <c r="E217" s="8">
        <v>252</v>
      </c>
      <c r="F217" s="5" t="s">
        <v>103</v>
      </c>
      <c r="G217" t="s">
        <v>512</v>
      </c>
      <c r="H217" t="s">
        <v>525</v>
      </c>
      <c r="I217" t="s">
        <v>514</v>
      </c>
      <c r="J217" t="s">
        <v>515</v>
      </c>
      <c r="K217" t="s">
        <v>516</v>
      </c>
    </row>
    <row r="218" spans="1:11" x14ac:dyDescent="0.25">
      <c r="A218" t="s">
        <v>43</v>
      </c>
      <c r="B218" t="s">
        <v>554</v>
      </c>
      <c r="C218" t="s">
        <v>555</v>
      </c>
      <c r="D218" s="8">
        <v>66.599999999999994</v>
      </c>
      <c r="E218" s="8">
        <v>256</v>
      </c>
      <c r="F218" s="5" t="s">
        <v>103</v>
      </c>
      <c r="G218" t="s">
        <v>512</v>
      </c>
      <c r="H218" t="s">
        <v>525</v>
      </c>
      <c r="I218" t="s">
        <v>514</v>
      </c>
      <c r="J218" t="s">
        <v>515</v>
      </c>
      <c r="K218" t="s">
        <v>516</v>
      </c>
    </row>
    <row r="219" spans="1:11" x14ac:dyDescent="0.25">
      <c r="A219" t="s">
        <v>43</v>
      </c>
      <c r="B219" t="s">
        <v>556</v>
      </c>
      <c r="C219" t="s">
        <v>557</v>
      </c>
      <c r="D219" s="8">
        <v>65.5</v>
      </c>
      <c r="E219" s="8">
        <v>260</v>
      </c>
      <c r="F219" s="5" t="s">
        <v>103</v>
      </c>
      <c r="G219" t="s">
        <v>512</v>
      </c>
      <c r="H219" t="s">
        <v>525</v>
      </c>
      <c r="I219" t="s">
        <v>514</v>
      </c>
      <c r="J219" t="s">
        <v>515</v>
      </c>
      <c r="K219" t="s">
        <v>558</v>
      </c>
    </row>
    <row r="220" spans="1:11" x14ac:dyDescent="0.25">
      <c r="A220" t="s">
        <v>43</v>
      </c>
      <c r="B220" t="s">
        <v>559</v>
      </c>
      <c r="C220" t="s">
        <v>560</v>
      </c>
      <c r="D220" s="8">
        <v>64.400000000000006</v>
      </c>
      <c r="E220" s="8">
        <v>264</v>
      </c>
      <c r="F220" s="5" t="s">
        <v>103</v>
      </c>
      <c r="G220" t="s">
        <v>512</v>
      </c>
      <c r="H220" t="s">
        <v>525</v>
      </c>
      <c r="I220" t="s">
        <v>514</v>
      </c>
      <c r="J220" t="s">
        <v>515</v>
      </c>
      <c r="K220" t="s">
        <v>558</v>
      </c>
    </row>
    <row r="221" spans="1:11" x14ac:dyDescent="0.25">
      <c r="A221" t="s">
        <v>43</v>
      </c>
      <c r="B221" t="s">
        <v>561</v>
      </c>
      <c r="C221" t="s">
        <v>562</v>
      </c>
      <c r="D221" s="8">
        <v>63.3</v>
      </c>
      <c r="E221" s="8">
        <v>268</v>
      </c>
      <c r="F221" s="5" t="s">
        <v>103</v>
      </c>
      <c r="G221" t="s">
        <v>512</v>
      </c>
      <c r="H221" t="s">
        <v>525</v>
      </c>
      <c r="I221" t="s">
        <v>514</v>
      </c>
      <c r="J221" t="s">
        <v>515</v>
      </c>
      <c r="K221" t="s">
        <v>558</v>
      </c>
    </row>
    <row r="222" spans="1:11" x14ac:dyDescent="0.25">
      <c r="A222" t="s">
        <v>43</v>
      </c>
      <c r="B222" t="s">
        <v>563</v>
      </c>
      <c r="C222" t="s">
        <v>564</v>
      </c>
      <c r="D222" s="8">
        <v>62.2</v>
      </c>
      <c r="E222" s="8">
        <v>272</v>
      </c>
      <c r="F222" s="5" t="s">
        <v>103</v>
      </c>
      <c r="G222" t="s">
        <v>512</v>
      </c>
      <c r="H222" t="s">
        <v>525</v>
      </c>
      <c r="I222" t="s">
        <v>514</v>
      </c>
      <c r="J222" t="s">
        <v>515</v>
      </c>
      <c r="K222" t="s">
        <v>558</v>
      </c>
    </row>
    <row r="223" spans="1:11" x14ac:dyDescent="0.25">
      <c r="A223" t="s">
        <v>43</v>
      </c>
      <c r="B223" t="s">
        <v>565</v>
      </c>
      <c r="C223" t="s">
        <v>566</v>
      </c>
      <c r="D223" s="8">
        <v>61.1</v>
      </c>
      <c r="E223" s="8">
        <v>276</v>
      </c>
      <c r="F223" s="5" t="s">
        <v>103</v>
      </c>
      <c r="G223" t="s">
        <v>512</v>
      </c>
      <c r="H223" t="s">
        <v>525</v>
      </c>
      <c r="I223" t="s">
        <v>514</v>
      </c>
      <c r="J223" t="s">
        <v>515</v>
      </c>
      <c r="K223" t="s">
        <v>558</v>
      </c>
    </row>
    <row r="224" spans="1:11" x14ac:dyDescent="0.25">
      <c r="A224" t="s">
        <v>43</v>
      </c>
      <c r="B224" t="s">
        <v>567</v>
      </c>
      <c r="C224" t="s">
        <v>510</v>
      </c>
      <c r="D224" s="8">
        <v>60</v>
      </c>
      <c r="E224" s="8">
        <v>280</v>
      </c>
      <c r="F224" s="5" t="s">
        <v>103</v>
      </c>
      <c r="G224" t="s">
        <v>512</v>
      </c>
      <c r="H224" t="s">
        <v>525</v>
      </c>
      <c r="I224" t="s">
        <v>514</v>
      </c>
      <c r="J224" t="s">
        <v>515</v>
      </c>
      <c r="K224" t="s">
        <v>558</v>
      </c>
    </row>
    <row r="225" spans="1:11" x14ac:dyDescent="0.25">
      <c r="A225" t="s">
        <v>43</v>
      </c>
      <c r="B225" t="s">
        <v>568</v>
      </c>
      <c r="C225" t="s">
        <v>569</v>
      </c>
      <c r="D225" s="8">
        <v>58.9</v>
      </c>
      <c r="E225" s="8">
        <v>284</v>
      </c>
      <c r="F225" s="5" t="s">
        <v>103</v>
      </c>
      <c r="G225" t="s">
        <v>512</v>
      </c>
      <c r="H225" t="s">
        <v>525</v>
      </c>
      <c r="I225" t="s">
        <v>514</v>
      </c>
      <c r="J225" t="s">
        <v>515</v>
      </c>
      <c r="K225" t="s">
        <v>558</v>
      </c>
    </row>
  </sheetData>
  <dataValidations count="1">
    <dataValidation type="list" allowBlank="1" sqref="F3:F225" xr:uid="{00000000-0002-0000-0300-000000000000}">
      <formula1>"A,B,C"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P225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8" customWidth="1"/>
    <col min="2" max="2" width="6" customWidth="1"/>
    <col min="3" max="3" width="8" customWidth="1"/>
    <col min="4" max="4" width="22" customWidth="1"/>
    <col min="5" max="5" width="10" customWidth="1"/>
    <col min="6" max="6" width="9" customWidth="1"/>
    <col min="7" max="7" width="10" customWidth="1"/>
    <col min="8" max="8" width="8" customWidth="1"/>
    <col min="9" max="9" width="11" customWidth="1"/>
    <col min="10" max="10" width="10" customWidth="1"/>
    <col min="11" max="11" width="9" customWidth="1"/>
    <col min="12" max="12" width="10" customWidth="1"/>
    <col min="13" max="13" width="22" customWidth="1"/>
    <col min="14" max="15" width="50" customWidth="1"/>
    <col min="16" max="16" width="6" customWidth="1"/>
  </cols>
  <sheetData>
    <row r="1" spans="1:16" ht="18.75" x14ac:dyDescent="0.3">
      <c r="A1" s="1" t="s">
        <v>570</v>
      </c>
    </row>
    <row r="2" spans="1:16" ht="27.95" customHeight="1" x14ac:dyDescent="0.25">
      <c r="A2" s="3" t="s">
        <v>2</v>
      </c>
      <c r="B2" s="3" t="s">
        <v>3</v>
      </c>
      <c r="C2" s="3" t="s">
        <v>4</v>
      </c>
      <c r="D2" s="3" t="s">
        <v>5</v>
      </c>
      <c r="E2" s="3" t="s">
        <v>6</v>
      </c>
      <c r="F2" s="3" t="s">
        <v>7</v>
      </c>
      <c r="G2" s="3" t="s">
        <v>571</v>
      </c>
      <c r="H2" s="3" t="s">
        <v>572</v>
      </c>
      <c r="I2" s="3" t="s">
        <v>8</v>
      </c>
      <c r="J2" s="3" t="s">
        <v>9</v>
      </c>
      <c r="K2" s="3" t="s">
        <v>10</v>
      </c>
      <c r="L2" s="3" t="s">
        <v>77</v>
      </c>
      <c r="M2" s="3" t="s">
        <v>78</v>
      </c>
      <c r="N2" s="3" t="s">
        <v>13</v>
      </c>
      <c r="O2" s="3" t="s">
        <v>80</v>
      </c>
      <c r="P2" s="3" t="s">
        <v>14</v>
      </c>
    </row>
    <row r="3" spans="1:16" x14ac:dyDescent="0.25">
      <c r="A3">
        <f>1</f>
        <v>1</v>
      </c>
      <c r="B3" t="str">
        <f>INDEX('Draft Engine'!$A$3:$A$225,$P3)</f>
        <v>WR</v>
      </c>
      <c r="C3">
        <f>INDEX('Draft Engine'!$F$3:$F$225,$P3)</f>
        <v>1</v>
      </c>
      <c r="D3" t="str">
        <f>INDEX('Draft Engine'!$B$3:$B$225,$P3)</f>
        <v>Puka Nacua</v>
      </c>
      <c r="E3" s="4">
        <f>INDEX('Draft Engine'!$E$3:$E$225,$P3)</f>
        <v>98.485900000000001</v>
      </c>
      <c r="F3" t="str">
        <f t="shared" ref="F3:F66" si="0">IF($E3&gt;=95,"ELITE",IF($E3&gt;=90,"TIER 1",IF($E3&gt;=85,"TIER 2",IF($E3&gt;=80,"TIER 3",IF($E3&gt;=75,"TIER 4",IF($E3&gt;=70,"TIER 5",IF($E3&gt;=65,"TIER 6","TIER 7")))))))</f>
        <v>ELITE</v>
      </c>
      <c r="G3" s="4">
        <f>INDEX('Draft Engine'!$G$3:$G$225,$P3)</f>
        <v>343.6</v>
      </c>
      <c r="H3" s="4">
        <f>INDEX('Draft Engine'!$J$3:$J$225,$P3)</f>
        <v>104.3</v>
      </c>
      <c r="I3" s="4">
        <f>INDEX('Draft Engine'!$N$3:$N$225,$P3)</f>
        <v>99.167245000000008</v>
      </c>
      <c r="J3" s="4">
        <f>INDEX('Draft Engine'!$R$3:$R$225,$P3)</f>
        <v>3.8</v>
      </c>
      <c r="K3" s="4">
        <f>INDEX('Draft Engine'!$S$3:$S$225,$P3)</f>
        <v>2.8</v>
      </c>
      <c r="L3" t="str">
        <f>INDEX('Draft Engine'!$T$3:$T$225,$P3)</f>
        <v>A</v>
      </c>
      <c r="M3" t="str">
        <f>INDEX('Draft Engine'!$X$3:$X$225,$P3)</f>
        <v>HISTORY FALLBACK</v>
      </c>
      <c r="N3" t="str">
        <f>INDEX('LIVE SOURCE'!$H$3:$H$225,$P3)</f>
        <v>Elite WR1 and first-round caliber target with overall WR1 upside.</v>
      </c>
      <c r="O3" t="str">
        <f>INDEX('LIVE SOURCE'!$J$3:$J$225,$P3)</f>
        <v>Target competition, quarterback efficiency and touchdown regression are the main downside paths.</v>
      </c>
      <c r="P3" s="6">
        <f>MATCH($A3,'Draft Engine'!$Q$3:$Q$225,0)</f>
        <v>84</v>
      </c>
    </row>
    <row r="4" spans="1:16" x14ac:dyDescent="0.25">
      <c r="A4">
        <f>2</f>
        <v>2</v>
      </c>
      <c r="B4" t="str">
        <f>INDEX('Draft Engine'!$A$3:$A$225,$P4)</f>
        <v>RB</v>
      </c>
      <c r="C4">
        <f>INDEX('Draft Engine'!$F$3:$F$225,$P4)</f>
        <v>1</v>
      </c>
      <c r="D4" t="str">
        <f>INDEX('Draft Engine'!$B$3:$B$225,$P4)</f>
        <v>Bijan Robinson</v>
      </c>
      <c r="E4" s="4">
        <f>INDEX('Draft Engine'!$E$3:$E$225,$P4)</f>
        <v>97.3673</v>
      </c>
      <c r="F4" t="str">
        <f t="shared" si="0"/>
        <v>ELITE</v>
      </c>
      <c r="G4" s="4">
        <f>INDEX('Draft Engine'!$G$3:$G$225,$P4)</f>
        <v>338.9</v>
      </c>
      <c r="H4" s="4">
        <f>INDEX('Draft Engine'!$J$3:$J$225,$P4)</f>
        <v>99.9</v>
      </c>
      <c r="I4" s="4">
        <f>INDEX('Draft Engine'!$N$3:$N$225,$P4)</f>
        <v>98.552015000000011</v>
      </c>
      <c r="J4" s="4">
        <f>INDEX('Draft Engine'!$R$3:$R$225,$P4)</f>
        <v>1.8</v>
      </c>
      <c r="K4" s="4">
        <f>INDEX('Draft Engine'!$S$3:$S$225,$P4)</f>
        <v>-0.19999999999999996</v>
      </c>
      <c r="L4" t="str">
        <f>INDEX('Draft Engine'!$T$3:$T$225,$P4)</f>
        <v>A</v>
      </c>
      <c r="M4" t="str">
        <f>INDEX('Draft Engine'!$X$3:$X$225,$P4)</f>
        <v>RATE-ADJUSTED VETERAN</v>
      </c>
      <c r="N4" t="str">
        <f>INDEX('LIVE SOURCE'!$H$3:$H$225,$P4)</f>
        <v>Elite RB1 and first-round roster anchor with league-winning ceiling.</v>
      </c>
      <c r="O4" t="str">
        <f>INDEX('LIVE SOURCE'!$J$3:$J$225,$P4)</f>
        <v>Touchdown variance, receiving-role changes and backfield competition are the main downside paths.</v>
      </c>
      <c r="P4" s="6">
        <f>MATCH($A4,'Draft Engine'!$Q$3:$Q$225,0)</f>
        <v>33</v>
      </c>
    </row>
    <row r="5" spans="1:16" x14ac:dyDescent="0.25">
      <c r="A5">
        <f>3</f>
        <v>3</v>
      </c>
      <c r="B5" t="str">
        <f>INDEX('Draft Engine'!$A$3:$A$225,$P5)</f>
        <v>WR</v>
      </c>
      <c r="C5">
        <f>INDEX('Draft Engine'!$F$3:$F$225,$P5)</f>
        <v>2</v>
      </c>
      <c r="D5" t="str">
        <f>INDEX('Draft Engine'!$B$3:$B$225,$P5)</f>
        <v>Ja'Marr Chase</v>
      </c>
      <c r="E5" s="4">
        <f>INDEX('Draft Engine'!$E$3:$E$225,$P5)</f>
        <v>96.732299999999995</v>
      </c>
      <c r="F5" t="str">
        <f t="shared" si="0"/>
        <v>ELITE</v>
      </c>
      <c r="G5" s="4">
        <f>INDEX('Draft Engine'!$G$3:$G$225,$P5)</f>
        <v>336.3</v>
      </c>
      <c r="H5" s="4">
        <f>INDEX('Draft Engine'!$J$3:$J$225,$P5)</f>
        <v>97</v>
      </c>
      <c r="I5" s="4">
        <f>INDEX('Draft Engine'!$N$3:$N$225,$P5)</f>
        <v>98.202764999999999</v>
      </c>
      <c r="J5" s="4">
        <f>INDEX('Draft Engine'!$R$3:$R$225,$P5)</f>
        <v>3.2</v>
      </c>
      <c r="K5" s="4">
        <f>INDEX('Draft Engine'!$S$3:$S$225,$P5)</f>
        <v>0.20000000000000018</v>
      </c>
      <c r="L5" t="str">
        <f>INDEX('Draft Engine'!$T$3:$T$225,$P5)</f>
        <v>A</v>
      </c>
      <c r="M5" t="str">
        <f>INDEX('Draft Engine'!$X$3:$X$225,$P5)</f>
        <v>HISTORY FALLBACK</v>
      </c>
      <c r="N5" t="str">
        <f>INDEX('LIVE SOURCE'!$H$3:$H$225,$P5)</f>
        <v>Elite WR1 and first-round caliber target with overall WR1 upside.</v>
      </c>
      <c r="O5" t="str">
        <f>INDEX('LIVE SOURCE'!$J$3:$J$225,$P5)</f>
        <v>Target competition, quarterback efficiency and touchdown regression are the main downside paths.</v>
      </c>
      <c r="P5" s="6">
        <f>MATCH($A5,'Draft Engine'!$Q$3:$Q$225,0)</f>
        <v>83</v>
      </c>
    </row>
    <row r="6" spans="1:16" x14ac:dyDescent="0.25">
      <c r="A6">
        <f>4</f>
        <v>4</v>
      </c>
      <c r="B6" t="str">
        <f>INDEX('Draft Engine'!$A$3:$A$225,$P6)</f>
        <v>RB</v>
      </c>
      <c r="C6">
        <f>INDEX('Draft Engine'!$F$3:$F$225,$P6)</f>
        <v>2</v>
      </c>
      <c r="D6" t="str">
        <f>INDEX('Draft Engine'!$B$3:$B$225,$P6)</f>
        <v>Jahmyr Gibbs</v>
      </c>
      <c r="E6" s="4">
        <f>INDEX('Draft Engine'!$E$3:$E$225,$P6)</f>
        <v>96.332300000000004</v>
      </c>
      <c r="F6" t="str">
        <f t="shared" si="0"/>
        <v>ELITE</v>
      </c>
      <c r="G6" s="4">
        <f>INDEX('Draft Engine'!$G$3:$G$225,$P6)</f>
        <v>334.6</v>
      </c>
      <c r="H6" s="4">
        <f>INDEX('Draft Engine'!$J$3:$J$225,$P6)</f>
        <v>95.6</v>
      </c>
      <c r="I6" s="4">
        <f>INDEX('Draft Engine'!$N$3:$N$225,$P6)</f>
        <v>97.982765000000001</v>
      </c>
      <c r="J6" s="4">
        <f>INDEX('Draft Engine'!$R$3:$R$225,$P6)</f>
        <v>1.2</v>
      </c>
      <c r="K6" s="4">
        <f>INDEX('Draft Engine'!$S$3:$S$225,$P6)</f>
        <v>-2.8</v>
      </c>
      <c r="L6" t="str">
        <f>INDEX('Draft Engine'!$T$3:$T$225,$P6)</f>
        <v>A</v>
      </c>
      <c r="M6" t="str">
        <f>INDEX('Draft Engine'!$X$3:$X$225,$P6)</f>
        <v>RATE-ADJUSTED VETERAN</v>
      </c>
      <c r="N6" t="str">
        <f>INDEX('LIVE SOURCE'!$H$3:$H$225,$P6)</f>
        <v>Elite RB1 and first-round roster anchor with league-winning ceiling.</v>
      </c>
      <c r="O6" t="str">
        <f>INDEX('LIVE SOURCE'!$J$3:$J$225,$P6)</f>
        <v>Touchdown variance, receiving-role changes and backfield competition are the main downside paths.</v>
      </c>
      <c r="P6" s="6">
        <f>MATCH($A6,'Draft Engine'!$Q$3:$Q$225,0)</f>
        <v>34</v>
      </c>
    </row>
    <row r="7" spans="1:16" x14ac:dyDescent="0.25">
      <c r="A7">
        <f>5</f>
        <v>5</v>
      </c>
      <c r="B7" t="str">
        <f>INDEX('Draft Engine'!$A$3:$A$225,$P7)</f>
        <v>RB</v>
      </c>
      <c r="C7">
        <f>INDEX('Draft Engine'!$F$3:$F$225,$P7)</f>
        <v>3</v>
      </c>
      <c r="D7" t="str">
        <f>INDEX('Draft Engine'!$B$3:$B$225,$P7)</f>
        <v>Christian McCaffrey</v>
      </c>
      <c r="E7" s="4">
        <f>INDEX('Draft Engine'!$E$3:$E$225,$P7)</f>
        <v>94.244699999999995</v>
      </c>
      <c r="F7" t="str">
        <f t="shared" si="0"/>
        <v>TIER 1</v>
      </c>
      <c r="G7" s="4">
        <f>INDEX('Draft Engine'!$G$3:$G$225,$P7)</f>
        <v>325.8</v>
      </c>
      <c r="H7" s="4">
        <f>INDEX('Draft Engine'!$J$3:$J$225,$P7)</f>
        <v>86.8</v>
      </c>
      <c r="I7" s="4">
        <f>INDEX('Draft Engine'!$N$3:$N$225,$P7)</f>
        <v>96.834585000000004</v>
      </c>
      <c r="J7" s="4">
        <f>INDEX('Draft Engine'!$R$3:$R$225,$P7)</f>
        <v>7</v>
      </c>
      <c r="K7" s="4">
        <f>INDEX('Draft Engine'!$S$3:$S$225,$P7)</f>
        <v>2</v>
      </c>
      <c r="L7" t="str">
        <f>INDEX('Draft Engine'!$T$3:$T$225,$P7)</f>
        <v>A</v>
      </c>
      <c r="M7" t="str">
        <f>INDEX('Draft Engine'!$X$3:$X$225,$P7)</f>
        <v>RATE-ADJUSTED VETERAN</v>
      </c>
      <c r="N7" t="str">
        <f>INDEX('LIVE SOURCE'!$H$3:$H$225,$P7)</f>
        <v>Elite RB1 and first-round roster anchor with league-winning ceiling.</v>
      </c>
      <c r="O7" t="str">
        <f>INDEX('LIVE SOURCE'!$J$3:$J$225,$P7)</f>
        <v>Touchdown variance, receiving-role changes and backfield competition are the main downside paths.</v>
      </c>
      <c r="P7" s="6">
        <f>MATCH($A7,'Draft Engine'!$Q$3:$Q$225,0)</f>
        <v>35</v>
      </c>
    </row>
    <row r="8" spans="1:16" x14ac:dyDescent="0.25">
      <c r="A8">
        <f>6</f>
        <v>6</v>
      </c>
      <c r="B8" t="str">
        <f>INDEX('Draft Engine'!$A$3:$A$225,$P8)</f>
        <v>WR</v>
      </c>
      <c r="C8">
        <f>INDEX('Draft Engine'!$F$3:$F$225,$P8)</f>
        <v>3</v>
      </c>
      <c r="D8" t="str">
        <f>INDEX('Draft Engine'!$B$3:$B$225,$P8)</f>
        <v>Jaxon Smith-Njigba</v>
      </c>
      <c r="E8" s="4">
        <f>INDEX('Draft Engine'!$E$3:$E$225,$P8)</f>
        <v>94.079899999999995</v>
      </c>
      <c r="F8" t="str">
        <f t="shared" si="0"/>
        <v>TIER 1</v>
      </c>
      <c r="G8" s="4">
        <f>INDEX('Draft Engine'!$G$3:$G$225,$P8)</f>
        <v>325.10000000000002</v>
      </c>
      <c r="H8" s="4">
        <f>INDEX('Draft Engine'!$J$3:$J$225,$P8)</f>
        <v>85.8</v>
      </c>
      <c r="I8" s="4">
        <f>INDEX('Draft Engine'!$N$3:$N$225,$P8)</f>
        <v>96.743944999999997</v>
      </c>
      <c r="J8" s="4">
        <f>INDEX('Draft Engine'!$R$3:$R$225,$P8)</f>
        <v>5.4</v>
      </c>
      <c r="K8" s="4">
        <f>INDEX('Draft Engine'!$S$3:$S$225,$P8)</f>
        <v>-0.59999999999999964</v>
      </c>
      <c r="L8" t="str">
        <f>INDEX('Draft Engine'!$T$3:$T$225,$P8)</f>
        <v>A</v>
      </c>
      <c r="M8" t="str">
        <f>INDEX('Draft Engine'!$X$3:$X$225,$P8)</f>
        <v>HISTORY FALLBACK</v>
      </c>
      <c r="N8" t="str">
        <f>INDEX('LIVE SOURCE'!$H$3:$H$225,$P8)</f>
        <v>Elite WR1 and first-round caliber target with overall WR1 upside.</v>
      </c>
      <c r="O8" t="str">
        <f>INDEX('LIVE SOURCE'!$J$3:$J$225,$P8)</f>
        <v>Target competition, quarterback efficiency and touchdown regression are the main downside paths.</v>
      </c>
      <c r="P8" s="6">
        <f>MATCH($A8,'Draft Engine'!$Q$3:$Q$225,0)</f>
        <v>85</v>
      </c>
    </row>
    <row r="9" spans="1:16" x14ac:dyDescent="0.25">
      <c r="A9">
        <f>7</f>
        <v>7</v>
      </c>
      <c r="B9" t="str">
        <f>INDEX('Draft Engine'!$A$3:$A$225,$P9)</f>
        <v>WR</v>
      </c>
      <c r="C9">
        <f>INDEX('Draft Engine'!$F$3:$F$225,$P9)</f>
        <v>4</v>
      </c>
      <c r="D9" t="str">
        <f>INDEX('Draft Engine'!$B$3:$B$225,$P9)</f>
        <v>Amon-Ra St. Brown</v>
      </c>
      <c r="E9" s="4">
        <f>INDEX('Draft Engine'!$E$3:$E$225,$P9)</f>
        <v>93.263900000000007</v>
      </c>
      <c r="F9" t="str">
        <f t="shared" si="0"/>
        <v>TIER 1</v>
      </c>
      <c r="G9" s="4">
        <f>INDEX('Draft Engine'!$G$3:$G$225,$P9)</f>
        <v>321.7</v>
      </c>
      <c r="H9" s="4">
        <f>INDEX('Draft Engine'!$J$3:$J$225,$P9)</f>
        <v>82.4</v>
      </c>
      <c r="I9" s="4">
        <f>INDEX('Draft Engine'!$N$3:$N$225,$P9)</f>
        <v>96.127144999999999</v>
      </c>
      <c r="J9" s="4">
        <f>INDEX('Draft Engine'!$R$3:$R$225,$P9)</f>
        <v>6</v>
      </c>
      <c r="K9" s="4">
        <f>INDEX('Draft Engine'!$S$3:$S$225,$P9)</f>
        <v>-1</v>
      </c>
      <c r="L9" t="str">
        <f>INDEX('Draft Engine'!$T$3:$T$225,$P9)</f>
        <v>A</v>
      </c>
      <c r="M9" t="str">
        <f>INDEX('Draft Engine'!$X$3:$X$225,$P9)</f>
        <v>HISTORY FALLBACK</v>
      </c>
      <c r="N9" t="str">
        <f>INDEX('LIVE SOURCE'!$H$3:$H$225,$P9)</f>
        <v>Elite WR1 and first-round caliber target with overall WR1 upside.</v>
      </c>
      <c r="O9" t="str">
        <f>INDEX('LIVE SOURCE'!$J$3:$J$225,$P9)</f>
        <v>Target competition, quarterback efficiency and touchdown regression are the main downside paths.</v>
      </c>
      <c r="P9" s="6">
        <f>MATCH($A9,'Draft Engine'!$Q$3:$Q$225,0)</f>
        <v>86</v>
      </c>
    </row>
    <row r="10" spans="1:16" x14ac:dyDescent="0.25">
      <c r="A10">
        <f>8</f>
        <v>8</v>
      </c>
      <c r="B10" t="str">
        <f>INDEX('Draft Engine'!$A$3:$A$225,$P10)</f>
        <v>RB</v>
      </c>
      <c r="C10">
        <f>INDEX('Draft Engine'!$F$3:$F$225,$P10)</f>
        <v>4</v>
      </c>
      <c r="D10" t="str">
        <f>INDEX('Draft Engine'!$B$3:$B$225,$P10)</f>
        <v>Jonathan Taylor</v>
      </c>
      <c r="E10" s="4">
        <f>INDEX('Draft Engine'!$E$3:$E$225,$P10)</f>
        <v>92.147000000000006</v>
      </c>
      <c r="F10" t="str">
        <f t="shared" si="0"/>
        <v>TIER 1</v>
      </c>
      <c r="G10" s="4">
        <f>INDEX('Draft Engine'!$G$3:$G$225,$P10)</f>
        <v>317</v>
      </c>
      <c r="H10" s="4">
        <f>INDEX('Draft Engine'!$J$3:$J$225,$P10)</f>
        <v>78</v>
      </c>
      <c r="I10" s="4">
        <f>INDEX('Draft Engine'!$N$3:$N$225,$P10)</f>
        <v>94.720850000000013</v>
      </c>
      <c r="J10" s="4">
        <f>INDEX('Draft Engine'!$R$3:$R$225,$P10)</f>
        <v>11</v>
      </c>
      <c r="K10" s="4">
        <f>INDEX('Draft Engine'!$S$3:$S$225,$P10)</f>
        <v>3</v>
      </c>
      <c r="L10" t="str">
        <f>INDEX('Draft Engine'!$T$3:$T$225,$P10)</f>
        <v>A</v>
      </c>
      <c r="M10" t="str">
        <f>INDEX('Draft Engine'!$X$3:$X$225,$P10)</f>
        <v>RATE-ADJUSTED VETERAN</v>
      </c>
      <c r="N10" t="str">
        <f>INDEX('LIVE SOURCE'!$H$3:$H$225,$P10)</f>
        <v>Elite RB1 and first-round roster anchor with league-winning ceiling.</v>
      </c>
      <c r="O10" t="str">
        <f>INDEX('LIVE SOURCE'!$J$3:$J$225,$P10)</f>
        <v>Touchdown variance, receiving-role changes and backfield competition are the main downside paths.</v>
      </c>
      <c r="P10" s="6">
        <f>MATCH($A10,'Draft Engine'!$Q$3:$Q$225,0)</f>
        <v>36</v>
      </c>
    </row>
    <row r="11" spans="1:16" x14ac:dyDescent="0.25">
      <c r="A11">
        <f>9</f>
        <v>9</v>
      </c>
      <c r="B11" t="str">
        <f>INDEX('Draft Engine'!$A$3:$A$225,$P11)</f>
        <v>WR</v>
      </c>
      <c r="C11">
        <f>INDEX('Draft Engine'!$F$3:$F$225,$P11)</f>
        <v>5</v>
      </c>
      <c r="D11" t="str">
        <f>INDEX('Draft Engine'!$B$3:$B$225,$P11)</f>
        <v>Nico Collins</v>
      </c>
      <c r="E11" s="4">
        <f>INDEX('Draft Engine'!$E$3:$E$225,$P11)</f>
        <v>91.492500000000007</v>
      </c>
      <c r="F11" t="str">
        <f t="shared" si="0"/>
        <v>TIER 1</v>
      </c>
      <c r="G11" s="4">
        <f>INDEX('Draft Engine'!$G$3:$G$225,$P11)</f>
        <v>314.3</v>
      </c>
      <c r="H11" s="4">
        <f>INDEX('Draft Engine'!$J$3:$J$225,$P11)</f>
        <v>75</v>
      </c>
      <c r="I11" s="4">
        <f>INDEX('Draft Engine'!$N$3:$N$225,$P11)</f>
        <v>93.820875000000001</v>
      </c>
      <c r="J11" s="4">
        <f>INDEX('Draft Engine'!$R$3:$R$225,$P11)</f>
        <v>12</v>
      </c>
      <c r="K11" s="4">
        <f>INDEX('Draft Engine'!$S$3:$S$225,$P11)</f>
        <v>3</v>
      </c>
      <c r="L11" t="str">
        <f>INDEX('Draft Engine'!$T$3:$T$225,$P11)</f>
        <v>B</v>
      </c>
      <c r="M11" t="str">
        <f>INDEX('Draft Engine'!$X$3:$X$225,$P11)</f>
        <v>HISTORY FALLBACK</v>
      </c>
      <c r="N11" t="str">
        <f>INDEX('LIVE SOURCE'!$H$3:$H$225,$P11)</f>
        <v>Elite WR1 and first-round caliber target with overall WR1 upside.</v>
      </c>
      <c r="O11" t="str">
        <f>INDEX('LIVE SOURCE'!$J$3:$J$225,$P11)</f>
        <v>Target competition, quarterback efficiency and touchdown regression are the main downside paths.</v>
      </c>
      <c r="P11" s="6">
        <f>MATCH($A11,'Draft Engine'!$Q$3:$Q$225,0)</f>
        <v>92</v>
      </c>
    </row>
    <row r="12" spans="1:16" x14ac:dyDescent="0.25">
      <c r="A12">
        <f>10</f>
        <v>10</v>
      </c>
      <c r="B12" t="str">
        <f>INDEX('Draft Engine'!$A$3:$A$225,$P12)</f>
        <v>TE</v>
      </c>
      <c r="C12">
        <f>INDEX('Draft Engine'!$F$3:$F$225,$P12)</f>
        <v>1</v>
      </c>
      <c r="D12" t="str">
        <f>INDEX('Draft Engine'!$B$3:$B$225,$P12)</f>
        <v>Trey McBride</v>
      </c>
      <c r="E12" s="4">
        <f>INDEX('Draft Engine'!$E$3:$E$225,$P12)</f>
        <v>97.737099999999998</v>
      </c>
      <c r="F12" t="str">
        <f t="shared" si="0"/>
        <v>ELITE</v>
      </c>
      <c r="G12" s="4">
        <f>INDEX('Draft Engine'!$G$3:$G$225,$P12)</f>
        <v>242.1</v>
      </c>
      <c r="H12" s="4">
        <f>INDEX('Draft Engine'!$J$3:$J$225,$P12)</f>
        <v>62.4</v>
      </c>
      <c r="I12" s="4">
        <f>INDEX('Draft Engine'!$N$3:$N$225,$P12)</f>
        <v>93.487404999999995</v>
      </c>
      <c r="J12" s="4">
        <f>INDEX('Draft Engine'!$R$3:$R$225,$P12)</f>
        <v>17</v>
      </c>
      <c r="K12" s="4">
        <f>INDEX('Draft Engine'!$S$3:$S$225,$P12)</f>
        <v>7</v>
      </c>
      <c r="L12" t="str">
        <f>INDEX('Draft Engine'!$T$3:$T$225,$P12)</f>
        <v>A</v>
      </c>
      <c r="M12" t="str">
        <f>INDEX('Draft Engine'!$X$3:$X$225,$P12)</f>
        <v>RATE-ADJUSTED VETERAN</v>
      </c>
      <c r="N12" t="str">
        <f>INDEX('LIVE SOURCE'!$H$3:$H$225,$P12)</f>
        <v>Elite difference-making TE; positional advantage is the expectation.</v>
      </c>
      <c r="O12" t="str">
        <f>INDEX('LIVE SOURCE'!$J$3:$J$225,$P12)</f>
        <v>Route share, target volume and touchdown volatility are the main swing factors.</v>
      </c>
      <c r="P12" s="6">
        <f>MATCH($A12,'Draft Engine'!$Q$3:$Q$225,0)</f>
        <v>153</v>
      </c>
    </row>
    <row r="13" spans="1:16" x14ac:dyDescent="0.25">
      <c r="A13">
        <f>11</f>
        <v>11</v>
      </c>
      <c r="B13" t="str">
        <f>INDEX('Draft Engine'!$A$3:$A$225,$P13)</f>
        <v>RB</v>
      </c>
      <c r="C13">
        <f>INDEX('Draft Engine'!$F$3:$F$225,$P13)</f>
        <v>5</v>
      </c>
      <c r="D13" t="str">
        <f>INDEX('Draft Engine'!$B$3:$B$225,$P13)</f>
        <v>Jeremiyah Love</v>
      </c>
      <c r="E13" s="4">
        <f>INDEX('Draft Engine'!$E$3:$E$225,$P13)</f>
        <v>90.865899999999996</v>
      </c>
      <c r="F13" t="str">
        <f t="shared" si="0"/>
        <v>TIER 1</v>
      </c>
      <c r="G13" s="4">
        <f>INDEX('Draft Engine'!$G$3:$G$225,$P13)</f>
        <v>311.60000000000002</v>
      </c>
      <c r="H13" s="4">
        <f>INDEX('Draft Engine'!$J$3:$J$225,$P13)</f>
        <v>72.599999999999994</v>
      </c>
      <c r="I13" s="4">
        <f>INDEX('Draft Engine'!$N$3:$N$225,$P13)</f>
        <v>93.044245000000004</v>
      </c>
      <c r="J13" s="4">
        <f>INDEX('Draft Engine'!$R$3:$R$225,$P13)</f>
        <v>18.8</v>
      </c>
      <c r="K13" s="4">
        <f>INDEX('Draft Engine'!$S$3:$S$225,$P13)</f>
        <v>7.8000000000000007</v>
      </c>
      <c r="L13" t="str">
        <f>INDEX('Draft Engine'!$T$3:$T$225,$P13)</f>
        <v>B</v>
      </c>
      <c r="M13" t="str">
        <f>INDEX('Draft Engine'!$X$3:$X$225,$P13)</f>
        <v>ROOKIE ENGINE</v>
      </c>
      <c r="N13" t="str">
        <f>INDEX('LIVE SOURCE'!$H$3:$H$225,$P13)</f>
        <v>Elite RB1 and first-round roster anchor with league-winning ceiling.</v>
      </c>
      <c r="O13" t="str">
        <f>INDEX('LIVE SOURCE'!$J$3:$J$225,$P13)</f>
        <v>NFL translation and exact weekly role are the main variables; preseason first-team usage can move this rating quickly.</v>
      </c>
      <c r="P13" s="6">
        <f>MATCH($A13,'Draft Engine'!$Q$3:$Q$225,0)</f>
        <v>37</v>
      </c>
    </row>
    <row r="14" spans="1:16" x14ac:dyDescent="0.25">
      <c r="A14">
        <f>12</f>
        <v>12</v>
      </c>
      <c r="B14" t="str">
        <f>INDEX('Draft Engine'!$A$3:$A$225,$P14)</f>
        <v>QB</v>
      </c>
      <c r="C14">
        <f>INDEX('Draft Engine'!$F$3:$F$225,$P14)</f>
        <v>1</v>
      </c>
      <c r="D14" t="str">
        <f>INDEX('Draft Engine'!$B$3:$B$225,$P14)</f>
        <v>Josh Allen</v>
      </c>
      <c r="E14" s="4">
        <f>INDEX('Draft Engine'!$E$3:$E$225,$P14)</f>
        <v>97.309899999999999</v>
      </c>
      <c r="F14" t="str">
        <f t="shared" si="0"/>
        <v>ELITE</v>
      </c>
      <c r="G14" s="4">
        <f>INDEX('Draft Engine'!$G$3:$G$225,$P14)</f>
        <v>407.9</v>
      </c>
      <c r="H14" s="4">
        <f>INDEX('Draft Engine'!$J$3:$J$225,$P14)</f>
        <v>56.8</v>
      </c>
      <c r="I14" s="4">
        <f>INDEX('Draft Engine'!$N$3:$N$225,$P14)</f>
        <v>90.744444999999999</v>
      </c>
      <c r="J14" s="4">
        <f>INDEX('Draft Engine'!$R$3:$R$225,$P14)</f>
        <v>23</v>
      </c>
      <c r="K14" s="4">
        <f>INDEX('Draft Engine'!$S$3:$S$225,$P14)</f>
        <v>11</v>
      </c>
      <c r="L14" t="str">
        <f>INDEX('Draft Engine'!$T$3:$T$225,$P14)</f>
        <v>A</v>
      </c>
      <c r="M14" t="str">
        <f>INDEX('Draft Engine'!$X$3:$X$225,$P14)</f>
        <v>RATE-ADJUSTED VETERAN</v>
      </c>
      <c r="N14" t="str">
        <f>INDEX('LIVE SOURCE'!$H$3:$H$225,$P14)</f>
        <v>Elite QB1; weekly top-5 expectation with overall QB1 upside.</v>
      </c>
      <c r="O14" t="str">
        <f>INDEX('LIVE SOURCE'!$J$3:$J$225,$P14)</f>
        <v>Passing-TD efficiency, rushing volume and supporting-cast health are the main swing factors.</v>
      </c>
      <c r="P14" s="6">
        <f>MATCH($A14,'Draft Engine'!$Q$3:$Q$225,0)</f>
        <v>1</v>
      </c>
    </row>
    <row r="15" spans="1:16" x14ac:dyDescent="0.25">
      <c r="A15">
        <f>13</f>
        <v>13</v>
      </c>
      <c r="B15" t="str">
        <f>INDEX('Draft Engine'!$A$3:$A$225,$P15)</f>
        <v>WR</v>
      </c>
      <c r="C15">
        <f>INDEX('Draft Engine'!$F$3:$F$225,$P15)</f>
        <v>6</v>
      </c>
      <c r="D15" t="str">
        <f>INDEX('Draft Engine'!$B$3:$B$225,$P15)</f>
        <v>Chris Olave</v>
      </c>
      <c r="E15" s="4">
        <f>INDEX('Draft Engine'!$E$3:$E$225,$P15)</f>
        <v>88.907499999999999</v>
      </c>
      <c r="F15" t="str">
        <f t="shared" si="0"/>
        <v>TIER 2</v>
      </c>
      <c r="G15" s="4">
        <f>INDEX('Draft Engine'!$G$3:$G$225,$P15)</f>
        <v>303.39999999999998</v>
      </c>
      <c r="H15" s="4">
        <f>INDEX('Draft Engine'!$J$3:$J$225,$P15)</f>
        <v>64.099999999999994</v>
      </c>
      <c r="I15" s="4">
        <f>INDEX('Draft Engine'!$N$3:$N$225,$P15)</f>
        <v>90.270458333333337</v>
      </c>
      <c r="J15" s="4">
        <f>INDEX('Draft Engine'!$R$3:$R$225,$P15)</f>
        <v>19</v>
      </c>
      <c r="K15" s="4">
        <f>INDEX('Draft Engine'!$S$3:$S$225,$P15)</f>
        <v>6</v>
      </c>
      <c r="L15" t="str">
        <f>INDEX('Draft Engine'!$T$3:$T$225,$P15)</f>
        <v>B</v>
      </c>
      <c r="M15" t="str">
        <f>INDEX('Draft Engine'!$X$3:$X$225,$P15)</f>
        <v>HISTORY FALLBACK</v>
      </c>
      <c r="N15" t="str">
        <f>INDEX('LIVE SOURCE'!$H$3:$H$225,$P15)</f>
        <v>Strong WR1; bankable weekly starter with spike-week ceiling.</v>
      </c>
      <c r="O15" t="str">
        <f>INDEX('LIVE SOURCE'!$J$3:$J$225,$P15)</f>
        <v>Target competition, quarterback efficiency and touchdown regression are the main downside paths.</v>
      </c>
      <c r="P15" s="6">
        <f>MATCH($A15,'Draft Engine'!$Q$3:$Q$225,0)</f>
        <v>94</v>
      </c>
    </row>
    <row r="16" spans="1:16" x14ac:dyDescent="0.25">
      <c r="A16">
        <f>14</f>
        <v>14</v>
      </c>
      <c r="B16" t="str">
        <f>INDEX('Draft Engine'!$A$3:$A$225,$P16)</f>
        <v>RB</v>
      </c>
      <c r="C16">
        <f>INDEX('Draft Engine'!$F$3:$F$225,$P16)</f>
        <v>6</v>
      </c>
      <c r="D16" t="str">
        <f>INDEX('Draft Engine'!$B$3:$B$225,$P16)</f>
        <v>Omarion Hampton</v>
      </c>
      <c r="E16" s="4">
        <f>INDEX('Draft Engine'!$E$3:$E$225,$P16)</f>
        <v>88.642099999999999</v>
      </c>
      <c r="F16" t="str">
        <f t="shared" si="0"/>
        <v>TIER 2</v>
      </c>
      <c r="G16" s="4">
        <f>INDEX('Draft Engine'!$G$3:$G$225,$P16)</f>
        <v>302.3</v>
      </c>
      <c r="H16" s="4">
        <f>INDEX('Draft Engine'!$J$3:$J$225,$P16)</f>
        <v>63.3</v>
      </c>
      <c r="I16" s="4">
        <f>INDEX('Draft Engine'!$N$3:$N$225,$P16)</f>
        <v>90.147154999999998</v>
      </c>
      <c r="J16" s="4">
        <f>INDEX('Draft Engine'!$R$3:$R$225,$P16)</f>
        <v>23</v>
      </c>
      <c r="K16" s="4">
        <f>INDEX('Draft Engine'!$S$3:$S$225,$P16)</f>
        <v>9</v>
      </c>
      <c r="L16" t="str">
        <f>INDEX('Draft Engine'!$T$3:$T$225,$P16)</f>
        <v>B</v>
      </c>
      <c r="M16" t="str">
        <f>INDEX('Draft Engine'!$X$3:$X$225,$P16)</f>
        <v>RATE-ADJUSTED VETERAN</v>
      </c>
      <c r="N16" t="str">
        <f>INDEX('LIVE SOURCE'!$H$3:$H$225,$P16)</f>
        <v>Strong RB1; weekly top-12 expectation with multi-touchdown ceiling.</v>
      </c>
      <c r="O16" t="str">
        <f>INDEX('LIVE SOURCE'!$J$3:$J$225,$P16)</f>
        <v>Availability/sample risk is elevated after only 9 games; talent is not being punished as heavily as durability.</v>
      </c>
      <c r="P16" s="6">
        <f>MATCH($A16,'Draft Engine'!$Q$3:$Q$225,0)</f>
        <v>38</v>
      </c>
    </row>
    <row r="17" spans="1:16" x14ac:dyDescent="0.25">
      <c r="A17">
        <f>15</f>
        <v>15</v>
      </c>
      <c r="B17" t="str">
        <f>INDEX('Draft Engine'!$A$3:$A$225,$P17)</f>
        <v>TE</v>
      </c>
      <c r="C17">
        <f>INDEX('Draft Engine'!$F$3:$F$225,$P17)</f>
        <v>2</v>
      </c>
      <c r="D17" t="str">
        <f>INDEX('Draft Engine'!$B$3:$B$225,$P17)</f>
        <v>Brock Bowers</v>
      </c>
      <c r="E17" s="4">
        <f>INDEX('Draft Engine'!$E$3:$E$225,$P17)</f>
        <v>94.884600000000006</v>
      </c>
      <c r="F17" t="str">
        <f t="shared" si="0"/>
        <v>TIER 1</v>
      </c>
      <c r="G17" s="4">
        <f>INDEX('Draft Engine'!$G$3:$G$225,$P17)</f>
        <v>232.1</v>
      </c>
      <c r="H17" s="4">
        <f>INDEX('Draft Engine'!$J$3:$J$225,$P17)</f>
        <v>52.4</v>
      </c>
      <c r="I17" s="4">
        <f>INDEX('Draft Engine'!$N$3:$N$225,$P17)</f>
        <v>89.426222307692314</v>
      </c>
      <c r="J17" s="4">
        <f>INDEX('Draft Engine'!$R$3:$R$225,$P17)</f>
        <v>20</v>
      </c>
      <c r="K17" s="4">
        <f>INDEX('Draft Engine'!$S$3:$S$225,$P17)</f>
        <v>5</v>
      </c>
      <c r="L17" t="str">
        <f>INDEX('Draft Engine'!$T$3:$T$225,$P17)</f>
        <v>A</v>
      </c>
      <c r="M17" t="str">
        <f>INDEX('Draft Engine'!$X$3:$X$225,$P17)</f>
        <v>RATE-ADJUSTED VETERAN</v>
      </c>
      <c r="N17" t="str">
        <f>INDEX('LIVE SOURCE'!$H$3:$H$225,$P17)</f>
        <v>Elite difference-making TE; positional advantage is the expectation.</v>
      </c>
      <c r="O17" t="str">
        <f>INDEX('LIVE SOURCE'!$J$3:$J$225,$P17)</f>
        <v>Route share, target volume and touchdown volatility are the main swing factors.</v>
      </c>
      <c r="P17" s="6">
        <f>MATCH($A17,'Draft Engine'!$Q$3:$Q$225,0)</f>
        <v>154</v>
      </c>
    </row>
    <row r="18" spans="1:16" x14ac:dyDescent="0.25">
      <c r="A18">
        <f>16</f>
        <v>16</v>
      </c>
      <c r="B18" t="str">
        <f>INDEX('Draft Engine'!$A$3:$A$225,$P18)</f>
        <v>RB</v>
      </c>
      <c r="C18">
        <f>INDEX('Draft Engine'!$F$3:$F$225,$P18)</f>
        <v>7</v>
      </c>
      <c r="D18" t="str">
        <f>INDEX('Draft Engine'!$B$3:$B$225,$P18)</f>
        <v>De'Von Achane</v>
      </c>
      <c r="E18" s="4">
        <f>INDEX('Draft Engine'!$E$3:$E$225,$P18)</f>
        <v>87.944000000000003</v>
      </c>
      <c r="F18" t="str">
        <f t="shared" si="0"/>
        <v>TIER 2</v>
      </c>
      <c r="G18" s="4">
        <f>INDEX('Draft Engine'!$G$3:$G$225,$P18)</f>
        <v>299.39999999999998</v>
      </c>
      <c r="H18" s="4">
        <f>INDEX('Draft Engine'!$J$3:$J$225,$P18)</f>
        <v>60.4</v>
      </c>
      <c r="I18" s="4">
        <f>INDEX('Draft Engine'!$N$3:$N$225,$P18)</f>
        <v>89.241200000000006</v>
      </c>
      <c r="J18" s="4">
        <f>INDEX('Draft Engine'!$R$3:$R$225,$P18)</f>
        <v>18</v>
      </c>
      <c r="K18" s="4">
        <f>INDEX('Draft Engine'!$S$3:$S$225,$P18)</f>
        <v>2</v>
      </c>
      <c r="L18" t="str">
        <f>INDEX('Draft Engine'!$T$3:$T$225,$P18)</f>
        <v>A</v>
      </c>
      <c r="M18" t="str">
        <f>INDEX('Draft Engine'!$X$3:$X$225,$P18)</f>
        <v>RATE-ADJUSTED VETERAN</v>
      </c>
      <c r="N18" t="str">
        <f>INDEX('LIVE SOURCE'!$H$3:$H$225,$P18)</f>
        <v>Strong RB1; weekly top-12 expectation with multi-touchdown ceiling.</v>
      </c>
      <c r="O18" t="str">
        <f>INDEX('LIVE SOURCE'!$J$3:$J$225,$P18)</f>
        <v>Touchdown variance, receiving-role changes and backfield competition are the main downside paths.</v>
      </c>
      <c r="P18" s="6">
        <f>MATCH($A18,'Draft Engine'!$Q$3:$Q$225,0)</f>
        <v>39</v>
      </c>
    </row>
    <row r="19" spans="1:16" x14ac:dyDescent="0.25">
      <c r="A19">
        <f>17</f>
        <v>17</v>
      </c>
      <c r="B19" t="str">
        <f>INDEX('Draft Engine'!$A$3:$A$225,$P19)</f>
        <v>RB</v>
      </c>
      <c r="C19">
        <f>INDEX('Draft Engine'!$F$3:$F$225,$P19)</f>
        <v>8</v>
      </c>
      <c r="D19" t="str">
        <f>INDEX('Draft Engine'!$B$3:$B$225,$P19)</f>
        <v>Kenneth Walker III</v>
      </c>
      <c r="E19" s="4">
        <f>INDEX('Draft Engine'!$E$3:$E$225,$P19)</f>
        <v>87.292599999999993</v>
      </c>
      <c r="F19" t="str">
        <f t="shared" si="0"/>
        <v>TIER 2</v>
      </c>
      <c r="G19" s="4">
        <f>INDEX('Draft Engine'!$G$3:$G$225,$P19)</f>
        <v>296.60000000000002</v>
      </c>
      <c r="H19" s="4">
        <f>INDEX('Draft Engine'!$J$3:$J$225,$P19)</f>
        <v>57.6</v>
      </c>
      <c r="I19" s="4">
        <f>INDEX('Draft Engine'!$N$3:$N$225,$P19)</f>
        <v>88.113304999999997</v>
      </c>
      <c r="J19" s="4">
        <f>INDEX('Draft Engine'!$R$3:$R$225,$P19)</f>
        <v>31.4</v>
      </c>
      <c r="K19" s="4">
        <f>INDEX('Draft Engine'!$S$3:$S$225,$P19)</f>
        <v>14.399999999999999</v>
      </c>
      <c r="L19" t="str">
        <f>INDEX('Draft Engine'!$T$3:$T$225,$P19)</f>
        <v>A</v>
      </c>
      <c r="M19" t="str">
        <f>INDEX('Draft Engine'!$X$3:$X$225,$P19)</f>
        <v>RATE-ADJUSTED VETERAN</v>
      </c>
      <c r="N19" t="str">
        <f>INDEX('LIVE SOURCE'!$H$3:$H$225,$P19)</f>
        <v>Strong RB1; weekly top-12 expectation with multi-touchdown ceiling.</v>
      </c>
      <c r="O19" t="str">
        <f>INDEX('LIVE SOURCE'!$J$3:$J$225,$P19)</f>
        <v>Touchdown variance, receiving-role changes and backfield competition are the main downside paths.</v>
      </c>
      <c r="P19" s="6">
        <f>MATCH($A19,'Draft Engine'!$Q$3:$Q$225,0)</f>
        <v>40</v>
      </c>
    </row>
    <row r="20" spans="1:16" x14ac:dyDescent="0.25">
      <c r="A20">
        <f>18</f>
        <v>18</v>
      </c>
      <c r="B20" t="str">
        <f>INDEX('Draft Engine'!$A$3:$A$225,$P20)</f>
        <v>WR</v>
      </c>
      <c r="C20">
        <f>INDEX('Draft Engine'!$F$3:$F$225,$P20)</f>
        <v>7</v>
      </c>
      <c r="D20" t="str">
        <f>INDEX('Draft Engine'!$B$3:$B$225,$P20)</f>
        <v>Drake London</v>
      </c>
      <c r="E20" s="4">
        <f>INDEX('Draft Engine'!$E$3:$E$225,$P20)</f>
        <v>87.510599999999997</v>
      </c>
      <c r="F20" t="str">
        <f t="shared" si="0"/>
        <v>TIER 2</v>
      </c>
      <c r="G20" s="4">
        <f>INDEX('Draft Engine'!$G$3:$G$225,$P20)</f>
        <v>297.5</v>
      </c>
      <c r="H20" s="4">
        <f>INDEX('Draft Engine'!$J$3:$J$225,$P20)</f>
        <v>58.2</v>
      </c>
      <c r="I20" s="4">
        <f>INDEX('Draft Engine'!$N$3:$N$225,$P20)</f>
        <v>88.106830000000002</v>
      </c>
      <c r="J20" s="4">
        <f>INDEX('Draft Engine'!$R$3:$R$225,$P20)</f>
        <v>10</v>
      </c>
      <c r="K20" s="4">
        <f>INDEX('Draft Engine'!$S$3:$S$225,$P20)</f>
        <v>-8</v>
      </c>
      <c r="L20" t="str">
        <f>INDEX('Draft Engine'!$T$3:$T$225,$P20)</f>
        <v>A</v>
      </c>
      <c r="M20" t="str">
        <f>INDEX('Draft Engine'!$X$3:$X$225,$P20)</f>
        <v>HISTORY FALLBACK</v>
      </c>
      <c r="N20" t="str">
        <f>INDEX('LIVE SOURCE'!$H$3:$H$225,$P20)</f>
        <v>Strong WR1; bankable weekly starter with spike-week ceiling.</v>
      </c>
      <c r="O20" t="str">
        <f>INDEX('LIVE SOURCE'!$J$3:$J$225,$P20)</f>
        <v>Target competition, quarterback efficiency and touchdown regression are the main downside paths.</v>
      </c>
      <c r="P20" s="6">
        <f>MATCH($A20,'Draft Engine'!$Q$3:$Q$225,0)</f>
        <v>91</v>
      </c>
    </row>
    <row r="21" spans="1:16" x14ac:dyDescent="0.25">
      <c r="A21">
        <f>19</f>
        <v>19</v>
      </c>
      <c r="B21" t="str">
        <f>INDEX('Draft Engine'!$A$3:$A$225,$P21)</f>
        <v>WR</v>
      </c>
      <c r="C21">
        <f>INDEX('Draft Engine'!$F$3:$F$225,$P21)</f>
        <v>8</v>
      </c>
      <c r="D21" t="str">
        <f>INDEX('Draft Engine'!$B$3:$B$225,$P21)</f>
        <v>DeVonta Smith</v>
      </c>
      <c r="E21" s="4">
        <f>INDEX('Draft Engine'!$E$3:$E$225,$P21)</f>
        <v>87.487499999999997</v>
      </c>
      <c r="F21" t="str">
        <f t="shared" si="0"/>
        <v>TIER 2</v>
      </c>
      <c r="G21" s="4">
        <f>INDEX('Draft Engine'!$G$3:$G$225,$P21)</f>
        <v>297.39999999999998</v>
      </c>
      <c r="H21" s="4">
        <f>INDEX('Draft Engine'!$J$3:$J$225,$P21)</f>
        <v>58.1</v>
      </c>
      <c r="I21" s="4">
        <f>INDEX('Draft Engine'!$N$3:$N$225,$P21)</f>
        <v>87.742791666666662</v>
      </c>
      <c r="J21" s="4">
        <f>INDEX('Draft Engine'!$R$3:$R$225,$P21)</f>
        <v>24</v>
      </c>
      <c r="K21" s="4">
        <f>INDEX('Draft Engine'!$S$3:$S$225,$P21)</f>
        <v>5</v>
      </c>
      <c r="L21" t="str">
        <f>INDEX('Draft Engine'!$T$3:$T$225,$P21)</f>
        <v>B</v>
      </c>
      <c r="M21" t="str">
        <f>INDEX('Draft Engine'!$X$3:$X$225,$P21)</f>
        <v>HISTORY FALLBACK</v>
      </c>
      <c r="N21" t="str">
        <f>INDEX('LIVE SOURCE'!$H$3:$H$225,$P21)</f>
        <v>Strong WR1; bankable weekly starter with spike-week ceiling.</v>
      </c>
      <c r="O21" t="str">
        <f>INDEX('LIVE SOURCE'!$J$3:$J$225,$P21)</f>
        <v>Target competition, quarterback efficiency and touchdown regression are the main downside paths.</v>
      </c>
      <c r="P21" s="6">
        <f>MATCH($A21,'Draft Engine'!$Q$3:$Q$225,0)</f>
        <v>98</v>
      </c>
    </row>
    <row r="22" spans="1:16" x14ac:dyDescent="0.25">
      <c r="A22">
        <f>20</f>
        <v>20</v>
      </c>
      <c r="B22" t="str">
        <f>INDEX('Draft Engine'!$A$3:$A$225,$P22)</f>
        <v>RB</v>
      </c>
      <c r="C22">
        <f>INDEX('Draft Engine'!$F$3:$F$225,$P22)</f>
        <v>9</v>
      </c>
      <c r="D22" t="str">
        <f>INDEX('Draft Engine'!$B$3:$B$225,$P22)</f>
        <v>James Cook III</v>
      </c>
      <c r="E22" s="4">
        <f>INDEX('Draft Engine'!$E$3:$E$225,$P22)</f>
        <v>87.058000000000007</v>
      </c>
      <c r="F22" t="str">
        <f t="shared" si="0"/>
        <v>TIER 2</v>
      </c>
      <c r="G22" s="4">
        <f>INDEX('Draft Engine'!$G$3:$G$225,$P22)</f>
        <v>295.60000000000002</v>
      </c>
      <c r="H22" s="4">
        <f>INDEX('Draft Engine'!$J$3:$J$225,$P22)</f>
        <v>56.6</v>
      </c>
      <c r="I22" s="4">
        <f>INDEX('Draft Engine'!$N$3:$N$225,$P22)</f>
        <v>87.444900000000018</v>
      </c>
      <c r="J22" s="4">
        <f>INDEX('Draft Engine'!$R$3:$R$225,$P22)</f>
        <v>15</v>
      </c>
      <c r="K22" s="4">
        <f>INDEX('Draft Engine'!$S$3:$S$225,$P22)</f>
        <v>-5</v>
      </c>
      <c r="L22" t="str">
        <f>INDEX('Draft Engine'!$T$3:$T$225,$P22)</f>
        <v>A</v>
      </c>
      <c r="M22" t="str">
        <f>INDEX('Draft Engine'!$X$3:$X$225,$P22)</f>
        <v>RATE-ADJUSTED VETERAN</v>
      </c>
      <c r="N22" t="str">
        <f>INDEX('LIVE SOURCE'!$H$3:$H$225,$P22)</f>
        <v>Strong RB1; weekly top-12 expectation with multi-touchdown ceiling.</v>
      </c>
      <c r="O22" t="str">
        <f>INDEX('LIVE SOURCE'!$J$3:$J$225,$P22)</f>
        <v>Touchdown variance, receiving-role changes and backfield competition are the main downside paths.</v>
      </c>
      <c r="P22" s="6">
        <f>MATCH($A22,'Draft Engine'!$Q$3:$Q$225,0)</f>
        <v>41</v>
      </c>
    </row>
    <row r="23" spans="1:16" x14ac:dyDescent="0.25">
      <c r="A23">
        <f>21</f>
        <v>21</v>
      </c>
      <c r="B23" t="str">
        <f>INDEX('Draft Engine'!$A$3:$A$225,$P23)</f>
        <v>WR</v>
      </c>
      <c r="C23">
        <f>INDEX('Draft Engine'!$F$3:$F$225,$P23)</f>
        <v>9</v>
      </c>
      <c r="D23" t="str">
        <f>INDEX('Draft Engine'!$B$3:$B$225,$P23)</f>
        <v>Zay Flowers</v>
      </c>
      <c r="E23" s="4">
        <f>INDEX('Draft Engine'!$E$3:$E$225,$P23)</f>
        <v>86.57</v>
      </c>
      <c r="F23" t="str">
        <f t="shared" si="0"/>
        <v>TIER 2</v>
      </c>
      <c r="G23" s="4">
        <f>INDEX('Draft Engine'!$G$3:$G$225,$P23)</f>
        <v>293.60000000000002</v>
      </c>
      <c r="H23" s="4">
        <f>INDEX('Draft Engine'!$J$3:$J$225,$P23)</f>
        <v>54.3</v>
      </c>
      <c r="I23" s="4">
        <f>INDEX('Draft Engine'!$N$3:$N$225,$P23)</f>
        <v>86.220833333333331</v>
      </c>
      <c r="J23" s="4">
        <f>INDEX('Draft Engine'!$R$3:$R$225,$P23)</f>
        <v>65.400000000000006</v>
      </c>
      <c r="K23" s="4">
        <f>INDEX('Draft Engine'!$S$3:$S$225,$P23)</f>
        <v>44.400000000000006</v>
      </c>
      <c r="L23" t="str">
        <f>INDEX('Draft Engine'!$T$3:$T$225,$P23)</f>
        <v>B</v>
      </c>
      <c r="M23" t="str">
        <f>INDEX('Draft Engine'!$X$3:$X$225,$P23)</f>
        <v>HISTORY FALLBACK</v>
      </c>
      <c r="N23" t="str">
        <f>INDEX('LIVE SOURCE'!$H$3:$H$225,$P23)</f>
        <v>Strong WR1; bankable weekly starter with spike-week ceiling.</v>
      </c>
      <c r="O23" t="str">
        <f>INDEX('LIVE SOURCE'!$J$3:$J$225,$P23)</f>
        <v>Target competition, quarterback efficiency and touchdown regression are the main downside paths.</v>
      </c>
      <c r="P23" s="6">
        <f>MATCH($A23,'Draft Engine'!$Q$3:$Q$225,0)</f>
        <v>99</v>
      </c>
    </row>
    <row r="24" spans="1:16" x14ac:dyDescent="0.25">
      <c r="A24">
        <f>22</f>
        <v>22</v>
      </c>
      <c r="B24" t="str">
        <f>INDEX('Draft Engine'!$A$3:$A$225,$P24)</f>
        <v>RB</v>
      </c>
      <c r="C24">
        <f>INDEX('Draft Engine'!$F$3:$F$225,$P24)</f>
        <v>10</v>
      </c>
      <c r="D24" t="str">
        <f>INDEX('Draft Engine'!$B$3:$B$225,$P24)</f>
        <v>Kyren Williams</v>
      </c>
      <c r="E24" s="4">
        <f>INDEX('Draft Engine'!$E$3:$E$225,$P24)</f>
        <v>85.948599999999999</v>
      </c>
      <c r="F24" t="str">
        <f t="shared" si="0"/>
        <v>TIER 2</v>
      </c>
      <c r="G24" s="4">
        <f>INDEX('Draft Engine'!$G$3:$G$225,$P24)</f>
        <v>291</v>
      </c>
      <c r="H24" s="4">
        <f>INDEX('Draft Engine'!$J$3:$J$225,$P24)</f>
        <v>52</v>
      </c>
      <c r="I24" s="4">
        <f>INDEX('Draft Engine'!$N$3:$N$225,$P24)</f>
        <v>85.647355000000005</v>
      </c>
      <c r="J24" s="4">
        <f>INDEX('Draft Engine'!$R$3:$R$225,$P24)</f>
        <v>39.799999999999997</v>
      </c>
      <c r="K24" s="4">
        <f>INDEX('Draft Engine'!$S$3:$S$225,$P24)</f>
        <v>17.799999999999997</v>
      </c>
      <c r="L24" t="str">
        <f>INDEX('Draft Engine'!$T$3:$T$225,$P24)</f>
        <v>A</v>
      </c>
      <c r="M24" t="str">
        <f>INDEX('Draft Engine'!$X$3:$X$225,$P24)</f>
        <v>RATE-ADJUSTED VETERAN</v>
      </c>
      <c r="N24" t="str">
        <f>INDEX('LIVE SOURCE'!$H$3:$H$225,$P24)</f>
        <v>Strong RB1; weekly top-12 expectation with multi-touchdown ceiling.</v>
      </c>
      <c r="O24" t="str">
        <f>INDEX('LIVE SOURCE'!$J$3:$J$225,$P24)</f>
        <v>Touchdown variance, receiving-role changes and backfield competition are the main downside paths.</v>
      </c>
      <c r="P24" s="6">
        <f>MATCH($A24,'Draft Engine'!$Q$3:$Q$225,0)</f>
        <v>42</v>
      </c>
    </row>
    <row r="25" spans="1:16" x14ac:dyDescent="0.25">
      <c r="A25">
        <f>23</f>
        <v>23</v>
      </c>
      <c r="B25" t="str">
        <f>INDEX('Draft Engine'!$A$3:$A$225,$P25)</f>
        <v>WR</v>
      </c>
      <c r="C25">
        <f>INDEX('Draft Engine'!$F$3:$F$225,$P25)</f>
        <v>10</v>
      </c>
      <c r="D25" t="str">
        <f>INDEX('Draft Engine'!$B$3:$B$225,$P25)</f>
        <v>Garrett Wilson</v>
      </c>
      <c r="E25" s="4">
        <f>INDEX('Draft Engine'!$E$3:$E$225,$P25)</f>
        <v>86.155000000000001</v>
      </c>
      <c r="F25" t="str">
        <f t="shared" si="0"/>
        <v>TIER 2</v>
      </c>
      <c r="G25" s="4">
        <f>INDEX('Draft Engine'!$G$3:$G$225,$P25)</f>
        <v>291.89999999999998</v>
      </c>
      <c r="H25" s="4">
        <f>INDEX('Draft Engine'!$J$3:$J$225,$P25)</f>
        <v>52.6</v>
      </c>
      <c r="I25" s="4">
        <f>INDEX('Draft Engine'!$N$3:$N$225,$P25)</f>
        <v>85.353250000000003</v>
      </c>
      <c r="J25" s="4">
        <f>INDEX('Draft Engine'!$R$3:$R$225,$P25)</f>
        <v>57.6</v>
      </c>
      <c r="K25" s="4">
        <f>INDEX('Draft Engine'!$S$3:$S$225,$P25)</f>
        <v>34.6</v>
      </c>
      <c r="L25" t="str">
        <f>INDEX('Draft Engine'!$T$3:$T$225,$P25)</f>
        <v>B</v>
      </c>
      <c r="M25" t="str">
        <f>INDEX('Draft Engine'!$X$3:$X$225,$P25)</f>
        <v>HISTORY FALLBACK</v>
      </c>
      <c r="N25" t="str">
        <f>INDEX('LIVE SOURCE'!$H$3:$H$225,$P25)</f>
        <v>Strong WR1; bankable weekly starter with spike-week ceiling.</v>
      </c>
      <c r="O25" t="str">
        <f>INDEX('LIVE SOURCE'!$J$3:$J$225,$P25)</f>
        <v>Availability/sample risk is elevated after only 7 games; talent is not being punished as heavily as durability.</v>
      </c>
      <c r="P25" s="6">
        <f>MATCH($A25,'Draft Engine'!$Q$3:$Q$225,0)</f>
        <v>97</v>
      </c>
    </row>
    <row r="26" spans="1:16" x14ac:dyDescent="0.25">
      <c r="A26">
        <f>24</f>
        <v>24</v>
      </c>
      <c r="B26" t="str">
        <f>INDEX('Draft Engine'!$A$3:$A$225,$P26)</f>
        <v>RB</v>
      </c>
      <c r="C26">
        <f>INDEX('Draft Engine'!$F$3:$F$225,$P26)</f>
        <v>11</v>
      </c>
      <c r="D26" t="str">
        <f>INDEX('Draft Engine'!$B$3:$B$225,$P26)</f>
        <v>Breece Hall</v>
      </c>
      <c r="E26" s="4">
        <f>INDEX('Draft Engine'!$E$3:$E$225,$P26)</f>
        <v>85.895200000000003</v>
      </c>
      <c r="F26" t="str">
        <f t="shared" si="0"/>
        <v>TIER 2</v>
      </c>
      <c r="G26" s="4">
        <f>INDEX('Draft Engine'!$G$3:$G$225,$P26)</f>
        <v>290.8</v>
      </c>
      <c r="H26" s="4">
        <f>INDEX('Draft Engine'!$J$3:$J$225,$P26)</f>
        <v>51.8</v>
      </c>
      <c r="I26" s="4">
        <f>INDEX('Draft Engine'!$N$3:$N$225,$P26)</f>
        <v>85.222610000000003</v>
      </c>
      <c r="J26" s="4">
        <f>INDEX('Draft Engine'!$R$3:$R$225,$P26)</f>
        <v>44</v>
      </c>
      <c r="K26" s="4">
        <f>INDEX('Draft Engine'!$S$3:$S$225,$P26)</f>
        <v>20</v>
      </c>
      <c r="L26" t="str">
        <f>INDEX('Draft Engine'!$T$3:$T$225,$P26)</f>
        <v>A</v>
      </c>
      <c r="M26" t="str">
        <f>INDEX('Draft Engine'!$X$3:$X$225,$P26)</f>
        <v>RATE-ADJUSTED VETERAN</v>
      </c>
      <c r="N26" t="str">
        <f>INDEX('LIVE SOURCE'!$H$3:$H$225,$P26)</f>
        <v>Strong RB1; weekly top-12 expectation with multi-touchdown ceiling.</v>
      </c>
      <c r="O26" t="str">
        <f>INDEX('LIVE SOURCE'!$J$3:$J$225,$P26)</f>
        <v>Touchdown variance, receiving-role changes and backfield competition are the main downside paths.</v>
      </c>
      <c r="P26" s="6">
        <f>MATCH($A26,'Draft Engine'!$Q$3:$Q$225,0)</f>
        <v>43</v>
      </c>
    </row>
    <row r="27" spans="1:16" x14ac:dyDescent="0.25">
      <c r="A27">
        <f>25</f>
        <v>25</v>
      </c>
      <c r="B27" t="str">
        <f>INDEX('Draft Engine'!$A$3:$A$225,$P27)</f>
        <v>RB</v>
      </c>
      <c r="C27">
        <f>INDEX('Draft Engine'!$F$3:$F$225,$P27)</f>
        <v>12</v>
      </c>
      <c r="D27" t="str">
        <f>INDEX('Draft Engine'!$B$3:$B$225,$P27)</f>
        <v>Ashton Jeanty</v>
      </c>
      <c r="E27" s="4">
        <f>INDEX('Draft Engine'!$E$3:$E$225,$P27)</f>
        <v>85.843299999999999</v>
      </c>
      <c r="F27" t="str">
        <f t="shared" si="0"/>
        <v>TIER 2</v>
      </c>
      <c r="G27" s="4">
        <f>INDEX('Draft Engine'!$G$3:$G$225,$P27)</f>
        <v>290.5</v>
      </c>
      <c r="H27" s="4">
        <f>INDEX('Draft Engine'!$J$3:$J$225,$P27)</f>
        <v>51.5</v>
      </c>
      <c r="I27" s="4">
        <f>INDEX('Draft Engine'!$N$3:$N$225,$P27)</f>
        <v>84.780690000000007</v>
      </c>
      <c r="J27" s="4">
        <f>INDEX('Draft Engine'!$R$3:$R$225,$P27)</f>
        <v>13</v>
      </c>
      <c r="K27" s="4">
        <f>INDEX('Draft Engine'!$S$3:$S$225,$P27)</f>
        <v>-12</v>
      </c>
      <c r="L27" t="str">
        <f>INDEX('Draft Engine'!$T$3:$T$225,$P27)</f>
        <v>A</v>
      </c>
      <c r="M27" t="str">
        <f>INDEX('Draft Engine'!$X$3:$X$225,$P27)</f>
        <v>RATE-ADJUSTED VETERAN</v>
      </c>
      <c r="N27" t="str">
        <f>INDEX('LIVE SOURCE'!$H$3:$H$225,$P27)</f>
        <v>Strong RB1; weekly top-12 expectation with multi-touchdown ceiling.</v>
      </c>
      <c r="O27" t="str">
        <f>INDEX('LIVE SOURCE'!$J$3:$J$225,$P27)</f>
        <v>Price is the biggest risk: the market currently asks you to draft him earlier than the model prefers.</v>
      </c>
      <c r="P27" s="6">
        <f>MATCH($A27,'Draft Engine'!$Q$3:$Q$225,0)</f>
        <v>44</v>
      </c>
    </row>
    <row r="28" spans="1:16" x14ac:dyDescent="0.25">
      <c r="A28">
        <f>26</f>
        <v>26</v>
      </c>
      <c r="B28" t="str">
        <f>INDEX('Draft Engine'!$A$3:$A$225,$P28)</f>
        <v>WR</v>
      </c>
      <c r="C28">
        <f>INDEX('Draft Engine'!$F$3:$F$225,$P28)</f>
        <v>11</v>
      </c>
      <c r="D28" t="str">
        <f>INDEX('Draft Engine'!$B$3:$B$225,$P28)</f>
        <v>CeeDee Lamb</v>
      </c>
      <c r="E28" s="4">
        <f>INDEX('Draft Engine'!$E$3:$E$225,$P28)</f>
        <v>85.742599999999996</v>
      </c>
      <c r="F28" t="str">
        <f t="shared" si="0"/>
        <v>TIER 2</v>
      </c>
      <c r="G28" s="4">
        <f>INDEX('Draft Engine'!$G$3:$G$225,$P28)</f>
        <v>290.10000000000002</v>
      </c>
      <c r="H28" s="4">
        <f>INDEX('Draft Engine'!$J$3:$J$225,$P28)</f>
        <v>50.8</v>
      </c>
      <c r="I28" s="4">
        <f>INDEX('Draft Engine'!$N$3:$N$225,$P28)</f>
        <v>84.469096666666672</v>
      </c>
      <c r="J28" s="4">
        <f>INDEX('Draft Engine'!$R$3:$R$225,$P28)</f>
        <v>8</v>
      </c>
      <c r="K28" s="4">
        <f>INDEX('Draft Engine'!$S$3:$S$225,$P28)</f>
        <v>-18</v>
      </c>
      <c r="L28" t="str">
        <f>INDEX('Draft Engine'!$T$3:$T$225,$P28)</f>
        <v>A</v>
      </c>
      <c r="M28" t="str">
        <f>INDEX('Draft Engine'!$X$3:$X$225,$P28)</f>
        <v>HISTORY FALLBACK</v>
      </c>
      <c r="N28" t="str">
        <f>INDEX('LIVE SOURCE'!$H$3:$H$225,$P28)</f>
        <v>Strong WR1; bankable weekly starter with spike-week ceiling.</v>
      </c>
      <c r="O28" t="str">
        <f>INDEX('LIVE SOURCE'!$J$3:$J$225,$P28)</f>
        <v>Price is the biggest risk: the market currently asks you to draft him earlier than the model prefers.</v>
      </c>
      <c r="P28" s="6">
        <f>MATCH($A28,'Draft Engine'!$Q$3:$Q$225,0)</f>
        <v>88</v>
      </c>
    </row>
    <row r="29" spans="1:16" x14ac:dyDescent="0.25">
      <c r="A29">
        <f>27</f>
        <v>27</v>
      </c>
      <c r="B29" t="str">
        <f>INDEX('Draft Engine'!$A$3:$A$225,$P29)</f>
        <v>RB</v>
      </c>
      <c r="C29">
        <f>INDEX('Draft Engine'!$F$3:$F$225,$P29)</f>
        <v>13</v>
      </c>
      <c r="D29" t="str">
        <f>INDEX('Draft Engine'!$B$3:$B$225,$P29)</f>
        <v>Derrick Henry</v>
      </c>
      <c r="E29" s="4">
        <f>INDEX('Draft Engine'!$E$3:$E$225,$P29)</f>
        <v>85.667400000000001</v>
      </c>
      <c r="F29" t="str">
        <f t="shared" si="0"/>
        <v>TIER 2</v>
      </c>
      <c r="G29" s="4">
        <f>INDEX('Draft Engine'!$G$3:$G$225,$P29)</f>
        <v>289.8</v>
      </c>
      <c r="H29" s="4">
        <f>INDEX('Draft Engine'!$J$3:$J$225,$P29)</f>
        <v>50.8</v>
      </c>
      <c r="I29" s="4">
        <f>INDEX('Draft Engine'!$N$3:$N$225,$P29)</f>
        <v>84.198570000000004</v>
      </c>
      <c r="J29" s="4">
        <f>INDEX('Draft Engine'!$R$3:$R$225,$P29)</f>
        <v>52.400000000000013</v>
      </c>
      <c r="K29" s="4">
        <f>INDEX('Draft Engine'!$S$3:$S$225,$P29)</f>
        <v>25.400000000000013</v>
      </c>
      <c r="L29" t="str">
        <f>INDEX('Draft Engine'!$T$3:$T$225,$P29)</f>
        <v>A</v>
      </c>
      <c r="M29" t="str">
        <f>INDEX('Draft Engine'!$X$3:$X$225,$P29)</f>
        <v>RATE-ADJUSTED VETERAN</v>
      </c>
      <c r="N29" t="str">
        <f>INDEX('LIVE SOURCE'!$H$3:$H$225,$P29)</f>
        <v>RB2 with RB1 weeks; should be a regular starter.</v>
      </c>
      <c r="O29" t="str">
        <f>INDEX('LIVE SOURCE'!$J$3:$J$225,$P29)</f>
        <v>Touchdown variance, receiving-role changes and backfield competition are the main downside paths.</v>
      </c>
      <c r="P29" s="6">
        <f>MATCH($A29,'Draft Engine'!$Q$3:$Q$225,0)</f>
        <v>45</v>
      </c>
    </row>
    <row r="30" spans="1:16" x14ac:dyDescent="0.25">
      <c r="A30">
        <f>28</f>
        <v>28</v>
      </c>
      <c r="B30" t="str">
        <f>INDEX('Draft Engine'!$A$3:$A$225,$P30)</f>
        <v>WR</v>
      </c>
      <c r="C30">
        <f>INDEX('Draft Engine'!$F$3:$F$225,$P30)</f>
        <v>12</v>
      </c>
      <c r="D30" t="str">
        <f>INDEX('Draft Engine'!$B$3:$B$225,$P30)</f>
        <v>Tetairoa McMillan</v>
      </c>
      <c r="E30" s="4">
        <f>INDEX('Draft Engine'!$E$3:$E$225,$P30)</f>
        <v>85.74</v>
      </c>
      <c r="F30" t="str">
        <f t="shared" si="0"/>
        <v>TIER 2</v>
      </c>
      <c r="G30" s="4">
        <f>INDEX('Draft Engine'!$G$3:$G$225,$P30)</f>
        <v>290.10000000000002</v>
      </c>
      <c r="H30" s="4">
        <f>INDEX('Draft Engine'!$J$3:$J$225,$P30)</f>
        <v>50.8</v>
      </c>
      <c r="I30" s="4">
        <f>INDEX('Draft Engine'!$N$3:$N$225,$P30)</f>
        <v>84.134333333333331</v>
      </c>
      <c r="J30" s="4">
        <f>INDEX('Draft Engine'!$R$3:$R$225,$P30)</f>
        <v>49.8</v>
      </c>
      <c r="K30" s="4">
        <f>INDEX('Draft Engine'!$S$3:$S$225,$P30)</f>
        <v>21.799999999999997</v>
      </c>
      <c r="L30" t="str">
        <f>INDEX('Draft Engine'!$T$3:$T$225,$P30)</f>
        <v>B</v>
      </c>
      <c r="M30" t="str">
        <f>INDEX('Draft Engine'!$X$3:$X$225,$P30)</f>
        <v>HISTORY FALLBACK</v>
      </c>
      <c r="N30" t="str">
        <f>INDEX('LIVE SOURCE'!$H$3:$H$225,$P30)</f>
        <v>Strong WR1; bankable weekly starter with spike-week ceiling.</v>
      </c>
      <c r="O30" t="str">
        <f>INDEX('LIVE SOURCE'!$J$3:$J$225,$P30)</f>
        <v>Target competition, quarterback efficiency and touchdown regression are the main downside paths.</v>
      </c>
      <c r="P30" s="6">
        <f>MATCH($A30,'Draft Engine'!$Q$3:$Q$225,0)</f>
        <v>95</v>
      </c>
    </row>
    <row r="31" spans="1:16" x14ac:dyDescent="0.25">
      <c r="A31">
        <f>29</f>
        <v>29</v>
      </c>
      <c r="B31" t="str">
        <f>INDEX('Draft Engine'!$A$3:$A$225,$P31)</f>
        <v>RB</v>
      </c>
      <c r="C31">
        <f>INDEX('Draft Engine'!$F$3:$F$225,$P31)</f>
        <v>14</v>
      </c>
      <c r="D31" t="str">
        <f>INDEX('Draft Engine'!$B$3:$B$225,$P31)</f>
        <v>Chase Brown</v>
      </c>
      <c r="E31" s="4">
        <f>INDEX('Draft Engine'!$E$3:$E$225,$P31)</f>
        <v>85.664400000000001</v>
      </c>
      <c r="F31" t="str">
        <f t="shared" si="0"/>
        <v>TIER 2</v>
      </c>
      <c r="G31" s="4">
        <f>INDEX('Draft Engine'!$G$3:$G$225,$P31)</f>
        <v>289.8</v>
      </c>
      <c r="H31" s="4">
        <f>INDEX('Draft Engine'!$J$3:$J$225,$P31)</f>
        <v>50.8</v>
      </c>
      <c r="I31" s="4">
        <f>INDEX('Draft Engine'!$N$3:$N$225,$P31)</f>
        <v>83.837545000000006</v>
      </c>
      <c r="J31" s="4">
        <f>INDEX('Draft Engine'!$R$3:$R$225,$P31)</f>
        <v>21</v>
      </c>
      <c r="K31" s="4">
        <f>INDEX('Draft Engine'!$S$3:$S$225,$P31)</f>
        <v>-8</v>
      </c>
      <c r="L31" t="str">
        <f>INDEX('Draft Engine'!$T$3:$T$225,$P31)</f>
        <v>A</v>
      </c>
      <c r="M31" t="str">
        <f>INDEX('Draft Engine'!$X$3:$X$225,$P31)</f>
        <v>RATE-ADJUSTED VETERAN</v>
      </c>
      <c r="N31" t="str">
        <f>INDEX('LIVE SOURCE'!$H$3:$H$225,$P31)</f>
        <v>RB2 with RB1 weeks; should be a regular starter.</v>
      </c>
      <c r="O31" t="str">
        <f>INDEX('LIVE SOURCE'!$J$3:$J$225,$P31)</f>
        <v>Touchdown variance, receiving-role changes and backfield competition are the main downside paths.</v>
      </c>
      <c r="P31" s="6">
        <f>MATCH($A31,'Draft Engine'!$Q$3:$Q$225,0)</f>
        <v>46</v>
      </c>
    </row>
    <row r="32" spans="1:16" x14ac:dyDescent="0.25">
      <c r="A32">
        <f>30</f>
        <v>30</v>
      </c>
      <c r="B32" t="str">
        <f>INDEX('Draft Engine'!$A$3:$A$225,$P32)</f>
        <v>QB</v>
      </c>
      <c r="C32">
        <f>INDEX('Draft Engine'!$F$3:$F$225,$P32)</f>
        <v>2</v>
      </c>
      <c r="D32" t="str">
        <f>INDEX('Draft Engine'!$B$3:$B$225,$P32)</f>
        <v>Caleb Williams</v>
      </c>
      <c r="E32" s="4">
        <f>INDEX('Draft Engine'!$E$3:$E$225,$P32)</f>
        <v>92.192700000000002</v>
      </c>
      <c r="F32" t="str">
        <f t="shared" si="0"/>
        <v>TIER 1</v>
      </c>
      <c r="G32" s="4">
        <f>INDEX('Draft Engine'!$G$3:$G$225,$P32)</f>
        <v>384.9</v>
      </c>
      <c r="H32" s="4">
        <f>INDEX('Draft Engine'!$J$3:$J$225,$P32)</f>
        <v>33.799999999999997</v>
      </c>
      <c r="I32" s="4">
        <f>INDEX('Draft Engine'!$N$3:$N$225,$P32)</f>
        <v>83.020754230769228</v>
      </c>
      <c r="J32" s="4">
        <f>INDEX('Draft Engine'!$R$3:$R$225,$P32)</f>
        <v>30</v>
      </c>
      <c r="K32" s="4">
        <f>INDEX('Draft Engine'!$S$3:$S$225,$P32)</f>
        <v>0</v>
      </c>
      <c r="L32" t="str">
        <f>INDEX('Draft Engine'!$T$3:$T$225,$P32)</f>
        <v>A</v>
      </c>
      <c r="M32" t="str">
        <f>INDEX('Draft Engine'!$X$3:$X$225,$P32)</f>
        <v>RATE-ADJUSTED VETERAN</v>
      </c>
      <c r="N32" t="str">
        <f>INDEX('LIVE SOURCE'!$H$3:$H$225,$P32)</f>
        <v>Elite QB1; weekly top-5 expectation with overall QB1 upside.</v>
      </c>
      <c r="O32" t="str">
        <f>INDEX('LIVE SOURCE'!$J$3:$J$225,$P32)</f>
        <v>Passing-TD efficiency, rushing volume and supporting-cast health are the main swing factors.</v>
      </c>
      <c r="P32" s="6">
        <f>MATCH($A32,'Draft Engine'!$Q$3:$Q$225,0)</f>
        <v>2</v>
      </c>
    </row>
    <row r="33" spans="1:16" x14ac:dyDescent="0.25">
      <c r="A33">
        <f>31</f>
        <v>31</v>
      </c>
      <c r="B33" t="str">
        <f>INDEX('Draft Engine'!$A$3:$A$225,$P33)</f>
        <v>WR</v>
      </c>
      <c r="C33">
        <f>INDEX('Draft Engine'!$F$3:$F$225,$P33)</f>
        <v>13</v>
      </c>
      <c r="D33" t="str">
        <f>INDEX('Draft Engine'!$B$3:$B$225,$P33)</f>
        <v>Tee Higgins</v>
      </c>
      <c r="E33" s="4">
        <f>INDEX('Draft Engine'!$E$3:$E$225,$P33)</f>
        <v>84.822500000000005</v>
      </c>
      <c r="F33" t="str">
        <f t="shared" si="0"/>
        <v>TIER 3</v>
      </c>
      <c r="G33" s="4">
        <f>INDEX('Draft Engine'!$G$3:$G$225,$P33)</f>
        <v>286.3</v>
      </c>
      <c r="H33" s="4">
        <f>INDEX('Draft Engine'!$J$3:$J$225,$P33)</f>
        <v>47</v>
      </c>
      <c r="I33" s="4">
        <f>INDEX('Draft Engine'!$N$3:$N$225,$P33)</f>
        <v>82.612375000000014</v>
      </c>
      <c r="J33" s="4">
        <f>INDEX('Draft Engine'!$R$3:$R$225,$P33)</f>
        <v>53.7</v>
      </c>
      <c r="K33" s="4">
        <f>INDEX('Draft Engine'!$S$3:$S$225,$P33)</f>
        <v>22.700000000000003</v>
      </c>
      <c r="L33" t="str">
        <f>INDEX('Draft Engine'!$T$3:$T$225,$P33)</f>
        <v>B</v>
      </c>
      <c r="M33" t="str">
        <f>INDEX('Draft Engine'!$X$3:$X$225,$P33)</f>
        <v>HISTORY FALLBACK</v>
      </c>
      <c r="N33" t="str">
        <f>INDEX('LIVE SOURCE'!$H$3:$H$225,$P33)</f>
        <v>Strong WR2 with top-12 weekly upside.</v>
      </c>
      <c r="O33" t="str">
        <f>INDEX('LIVE SOURCE'!$J$3:$J$225,$P33)</f>
        <v>Target competition, quarterback efficiency and touchdown regression are the main downside paths.</v>
      </c>
      <c r="P33" s="6">
        <f>MATCH($A33,'Draft Engine'!$Q$3:$Q$225,0)</f>
        <v>96</v>
      </c>
    </row>
    <row r="34" spans="1:16" x14ac:dyDescent="0.25">
      <c r="A34">
        <f>32</f>
        <v>32</v>
      </c>
      <c r="B34" t="str">
        <f>INDEX('Draft Engine'!$A$3:$A$225,$P34)</f>
        <v>WR</v>
      </c>
      <c r="C34">
        <f>INDEX('Draft Engine'!$F$3:$F$225,$P34)</f>
        <v>14</v>
      </c>
      <c r="D34" t="str">
        <f>INDEX('Draft Engine'!$B$3:$B$225,$P34)</f>
        <v>Justin Jefferson</v>
      </c>
      <c r="E34" s="4">
        <f>INDEX('Draft Engine'!$E$3:$E$225,$P34)</f>
        <v>84.793599999999998</v>
      </c>
      <c r="F34" t="str">
        <f t="shared" si="0"/>
        <v>TIER 3</v>
      </c>
      <c r="G34" s="4">
        <f>INDEX('Draft Engine'!$G$3:$G$225,$P34)</f>
        <v>286.10000000000002</v>
      </c>
      <c r="H34" s="4">
        <f>INDEX('Draft Engine'!$J$3:$J$225,$P34)</f>
        <v>46.8</v>
      </c>
      <c r="I34" s="4">
        <f>INDEX('Draft Engine'!$N$3:$N$225,$P34)</f>
        <v>82.227146666666684</v>
      </c>
      <c r="J34" s="4">
        <f>INDEX('Draft Engine'!$R$3:$R$225,$P34)</f>
        <v>9</v>
      </c>
      <c r="K34" s="4">
        <f>INDEX('Draft Engine'!$S$3:$S$225,$P34)</f>
        <v>-23</v>
      </c>
      <c r="L34" t="str">
        <f>INDEX('Draft Engine'!$T$3:$T$225,$P34)</f>
        <v>A</v>
      </c>
      <c r="M34" t="str">
        <f>INDEX('Draft Engine'!$X$3:$X$225,$P34)</f>
        <v>HISTORY FALLBACK</v>
      </c>
      <c r="N34" t="str">
        <f>INDEX('LIVE SOURCE'!$H$3:$H$225,$P34)</f>
        <v>Strong WR2 with top-12 weekly upside.</v>
      </c>
      <c r="O34" t="str">
        <f>INDEX('LIVE SOURCE'!$J$3:$J$225,$P34)</f>
        <v>Price is the biggest risk: the market currently asks you to draft him earlier than the model prefers.</v>
      </c>
      <c r="P34" s="6">
        <f>MATCH($A34,'Draft Engine'!$Q$3:$Q$225,0)</f>
        <v>89</v>
      </c>
    </row>
    <row r="35" spans="1:16" x14ac:dyDescent="0.25">
      <c r="A35">
        <f>33</f>
        <v>33</v>
      </c>
      <c r="B35" t="str">
        <f>INDEX('Draft Engine'!$A$3:$A$225,$P35)</f>
        <v>RB</v>
      </c>
      <c r="C35">
        <f>INDEX('Draft Engine'!$F$3:$F$225,$P35)</f>
        <v>15</v>
      </c>
      <c r="D35" t="str">
        <f>INDEX('Draft Engine'!$B$3:$B$225,$P35)</f>
        <v>Josh Jacobs</v>
      </c>
      <c r="E35" s="4">
        <f>INDEX('Draft Engine'!$E$3:$E$225,$P35)</f>
        <v>84.426400000000001</v>
      </c>
      <c r="F35" t="str">
        <f t="shared" si="0"/>
        <v>TIER 3</v>
      </c>
      <c r="G35" s="4">
        <f>INDEX('Draft Engine'!$G$3:$G$225,$P35)</f>
        <v>284.60000000000002</v>
      </c>
      <c r="H35" s="4">
        <f>INDEX('Draft Engine'!$J$3:$J$225,$P35)</f>
        <v>45.6</v>
      </c>
      <c r="I35" s="4">
        <f>INDEX('Draft Engine'!$N$3:$N$225,$P35)</f>
        <v>81.861270000000005</v>
      </c>
      <c r="J35" s="4">
        <f>INDEX('Draft Engine'!$R$3:$R$225,$P35)</f>
        <v>60.8</v>
      </c>
      <c r="K35" s="4">
        <f>INDEX('Draft Engine'!$S$3:$S$225,$P35)</f>
        <v>27.799999999999997</v>
      </c>
      <c r="L35" t="str">
        <f>INDEX('Draft Engine'!$T$3:$T$225,$P35)</f>
        <v>A</v>
      </c>
      <c r="M35" t="str">
        <f>INDEX('Draft Engine'!$X$3:$X$225,$P35)</f>
        <v>RATE-ADJUSTED VETERAN</v>
      </c>
      <c r="N35" t="str">
        <f>INDEX('LIVE SOURCE'!$H$3:$H$225,$P35)</f>
        <v>RB2 with RB1 weeks; should be a regular starter.</v>
      </c>
      <c r="O35" t="str">
        <f>INDEX('LIVE SOURCE'!$J$3:$J$225,$P35)</f>
        <v>Touchdown variance, receiving-role changes and backfield competition are the main downside paths.</v>
      </c>
      <c r="P35" s="6">
        <f>MATCH($A35,'Draft Engine'!$Q$3:$Q$225,0)</f>
        <v>47</v>
      </c>
    </row>
    <row r="36" spans="1:16" x14ac:dyDescent="0.25">
      <c r="A36">
        <f>34</f>
        <v>34</v>
      </c>
      <c r="B36" t="str">
        <f>INDEX('Draft Engine'!$A$3:$A$225,$P36)</f>
        <v>TE</v>
      </c>
      <c r="C36">
        <f>INDEX('Draft Engine'!$F$3:$F$225,$P36)</f>
        <v>3</v>
      </c>
      <c r="D36" t="str">
        <f>INDEX('Draft Engine'!$B$3:$B$225,$P36)</f>
        <v>Colston Loveland</v>
      </c>
      <c r="E36" s="4">
        <f>INDEX('Draft Engine'!$E$3:$E$225,$P36)</f>
        <v>88.753100000000003</v>
      </c>
      <c r="F36" t="str">
        <f t="shared" si="0"/>
        <v>TIER 2</v>
      </c>
      <c r="G36" s="4">
        <f>INDEX('Draft Engine'!$G$3:$G$225,$P36)</f>
        <v>210.6</v>
      </c>
      <c r="H36" s="4">
        <f>INDEX('Draft Engine'!$J$3:$J$225,$P36)</f>
        <v>30.9</v>
      </c>
      <c r="I36" s="4">
        <f>INDEX('Draft Engine'!$N$3:$N$225,$P36)</f>
        <v>81.491589615384612</v>
      </c>
      <c r="J36" s="4">
        <f>INDEX('Draft Engine'!$R$3:$R$225,$P36)</f>
        <v>35</v>
      </c>
      <c r="K36" s="4">
        <f>INDEX('Draft Engine'!$S$3:$S$225,$P36)</f>
        <v>1</v>
      </c>
      <c r="L36" t="str">
        <f>INDEX('Draft Engine'!$T$3:$T$225,$P36)</f>
        <v>A</v>
      </c>
      <c r="M36" t="str">
        <f>INDEX('Draft Engine'!$X$3:$X$225,$P36)</f>
        <v>RATE-ADJUSTED VETERAN</v>
      </c>
      <c r="N36" t="str">
        <f>INDEX('LIVE SOURCE'!$H$3:$H$225,$P36)</f>
        <v>Elite difference-making TE; positional advantage is the expectation.</v>
      </c>
      <c r="O36" t="str">
        <f>INDEX('LIVE SOURCE'!$J$3:$J$225,$P36)</f>
        <v>Route share, target volume and touchdown volatility are the main swing factors.</v>
      </c>
      <c r="P36" s="6">
        <f>MATCH($A36,'Draft Engine'!$Q$3:$Q$225,0)</f>
        <v>155</v>
      </c>
    </row>
    <row r="37" spans="1:16" x14ac:dyDescent="0.25">
      <c r="A37">
        <f>35</f>
        <v>35</v>
      </c>
      <c r="B37" t="str">
        <f>INDEX('Draft Engine'!$A$3:$A$225,$P37)</f>
        <v>WR</v>
      </c>
      <c r="C37">
        <f>INDEX('Draft Engine'!$F$3:$F$225,$P37)</f>
        <v>15</v>
      </c>
      <c r="D37" t="str">
        <f>INDEX('Draft Engine'!$B$3:$B$225,$P37)</f>
        <v>Rashee Rice</v>
      </c>
      <c r="E37" s="4">
        <f>INDEX('Draft Engine'!$E$3:$E$225,$P37)</f>
        <v>84.094700000000003</v>
      </c>
      <c r="F37" t="str">
        <f t="shared" si="0"/>
        <v>TIER 3</v>
      </c>
      <c r="G37" s="4">
        <f>INDEX('Draft Engine'!$G$3:$G$225,$P37)</f>
        <v>283.2</v>
      </c>
      <c r="H37" s="4">
        <f>INDEX('Draft Engine'!$J$3:$J$225,$P37)</f>
        <v>43.9</v>
      </c>
      <c r="I37" s="4">
        <f>INDEX('Draft Engine'!$N$3:$N$225,$P37)</f>
        <v>80.987418333333338</v>
      </c>
      <c r="J37" s="4">
        <f>INDEX('Draft Engine'!$R$3:$R$225,$P37)</f>
        <v>22</v>
      </c>
      <c r="K37" s="4">
        <f>INDEX('Draft Engine'!$S$3:$S$225,$P37)</f>
        <v>-13</v>
      </c>
      <c r="L37" t="str">
        <f>INDEX('Draft Engine'!$T$3:$T$225,$P37)</f>
        <v>A</v>
      </c>
      <c r="M37" t="str">
        <f>INDEX('Draft Engine'!$X$3:$X$225,$P37)</f>
        <v>HISTORY FALLBACK</v>
      </c>
      <c r="N37" t="str">
        <f>INDEX('LIVE SOURCE'!$H$3:$H$225,$P37)</f>
        <v>Strong WR2 with top-12 weekly upside.</v>
      </c>
      <c r="O37" t="str">
        <f>INDEX('LIVE SOURCE'!$J$3:$J$225,$P37)</f>
        <v>Availability/sample risk is elevated after only 8 games; talent is not being punished as heavily as durability.</v>
      </c>
      <c r="P37" s="6">
        <f>MATCH($A37,'Draft Engine'!$Q$3:$Q$225,0)</f>
        <v>93</v>
      </c>
    </row>
    <row r="38" spans="1:16" x14ac:dyDescent="0.25">
      <c r="A38">
        <f>36</f>
        <v>36</v>
      </c>
      <c r="B38" t="str">
        <f>INDEX('Draft Engine'!$A$3:$A$225,$P38)</f>
        <v>RB</v>
      </c>
      <c r="C38">
        <f>INDEX('Draft Engine'!$F$3:$F$225,$P38)</f>
        <v>16</v>
      </c>
      <c r="D38" t="str">
        <f>INDEX('Draft Engine'!$B$3:$B$225,$P38)</f>
        <v>Saquon Barkley</v>
      </c>
      <c r="E38" s="4">
        <f>INDEX('Draft Engine'!$E$3:$E$225,$P38)</f>
        <v>84.034000000000006</v>
      </c>
      <c r="F38" t="str">
        <f t="shared" si="0"/>
        <v>TIER 3</v>
      </c>
      <c r="G38" s="4">
        <f>INDEX('Draft Engine'!$G$3:$G$225,$P38)</f>
        <v>282.89999999999998</v>
      </c>
      <c r="H38" s="4">
        <f>INDEX('Draft Engine'!$J$3:$J$225,$P38)</f>
        <v>43.9</v>
      </c>
      <c r="I38" s="4">
        <f>INDEX('Draft Engine'!$N$3:$N$225,$P38)</f>
        <v>80.980074999999999</v>
      </c>
      <c r="J38" s="4">
        <f>INDEX('Draft Engine'!$R$3:$R$225,$P38)</f>
        <v>65</v>
      </c>
      <c r="K38" s="4">
        <f>INDEX('Draft Engine'!$S$3:$S$225,$P38)</f>
        <v>29</v>
      </c>
      <c r="L38" t="str">
        <f>INDEX('Draft Engine'!$T$3:$T$225,$P38)</f>
        <v>A</v>
      </c>
      <c r="M38" t="str">
        <f>INDEX('Draft Engine'!$X$3:$X$225,$P38)</f>
        <v>RATE-ADJUSTED VETERAN</v>
      </c>
      <c r="N38" t="str">
        <f>INDEX('LIVE SOURCE'!$H$3:$H$225,$P38)</f>
        <v>RB2 with RB1 weeks; should be a regular starter.</v>
      </c>
      <c r="O38" t="str">
        <f>INDEX('LIVE SOURCE'!$J$3:$J$225,$P38)</f>
        <v>Touchdown variance, receiving-role changes and backfield competition are the main downside paths.</v>
      </c>
      <c r="P38" s="6">
        <f>MATCH($A38,'Draft Engine'!$Q$3:$Q$225,0)</f>
        <v>48</v>
      </c>
    </row>
    <row r="39" spans="1:16" x14ac:dyDescent="0.25">
      <c r="A39">
        <f>37</f>
        <v>37</v>
      </c>
      <c r="B39" t="str">
        <f>INDEX('Draft Engine'!$A$3:$A$225,$P39)</f>
        <v>QB</v>
      </c>
      <c r="C39">
        <f>INDEX('Draft Engine'!$F$3:$F$225,$P39)</f>
        <v>3</v>
      </c>
      <c r="D39" t="str">
        <f>INDEX('Draft Engine'!$B$3:$B$225,$P39)</f>
        <v>Drake Maye</v>
      </c>
      <c r="E39" s="4">
        <f>INDEX('Draft Engine'!$E$3:$E$225,$P39)</f>
        <v>91.043000000000006</v>
      </c>
      <c r="F39" t="str">
        <f t="shared" si="0"/>
        <v>TIER 1</v>
      </c>
      <c r="G39" s="4">
        <f>INDEX('Draft Engine'!$G$3:$G$225,$P39)</f>
        <v>379.7</v>
      </c>
      <c r="H39" s="4">
        <f>INDEX('Draft Engine'!$J$3:$J$225,$P39)</f>
        <v>28.6</v>
      </c>
      <c r="I39" s="4">
        <f>INDEX('Draft Engine'!$N$3:$N$225,$P39)</f>
        <v>80.683188461538478</v>
      </c>
      <c r="J39" s="4">
        <f>INDEX('Draft Engine'!$R$3:$R$225,$P39)</f>
        <v>38</v>
      </c>
      <c r="K39" s="4">
        <f>INDEX('Draft Engine'!$S$3:$S$225,$P39)</f>
        <v>1</v>
      </c>
      <c r="L39" t="str">
        <f>INDEX('Draft Engine'!$T$3:$T$225,$P39)</f>
        <v>A</v>
      </c>
      <c r="M39" t="str">
        <f>INDEX('Draft Engine'!$X$3:$X$225,$P39)</f>
        <v>RATE-ADJUSTED VETERAN</v>
      </c>
      <c r="N39" t="str">
        <f>INDEX('LIVE SOURCE'!$H$3:$H$225,$P39)</f>
        <v>Elite QB1; weekly top-5 expectation with overall QB1 upside.</v>
      </c>
      <c r="O39" t="str">
        <f>INDEX('LIVE SOURCE'!$J$3:$J$225,$P39)</f>
        <v>Passing-TD efficiency, rushing volume and supporting-cast health are the main swing factors.</v>
      </c>
      <c r="P39" s="6">
        <f>MATCH($A39,'Draft Engine'!$Q$3:$Q$225,0)</f>
        <v>3</v>
      </c>
    </row>
    <row r="40" spans="1:16" x14ac:dyDescent="0.25">
      <c r="A40">
        <f>38</f>
        <v>38</v>
      </c>
      <c r="B40" t="str">
        <f>INDEX('Draft Engine'!$A$3:$A$225,$P40)</f>
        <v>RB</v>
      </c>
      <c r="C40">
        <f>INDEX('Draft Engine'!$F$3:$F$225,$P40)</f>
        <v>17</v>
      </c>
      <c r="D40" t="str">
        <f>INDEX('Draft Engine'!$B$3:$B$225,$P40)</f>
        <v>Javonte Williams</v>
      </c>
      <c r="E40" s="4">
        <f>INDEX('Draft Engine'!$E$3:$E$225,$P40)</f>
        <v>83.803200000000004</v>
      </c>
      <c r="F40" t="str">
        <f t="shared" si="0"/>
        <v>TIER 3</v>
      </c>
      <c r="G40" s="4">
        <f>INDEX('Draft Engine'!$G$3:$G$225,$P40)</f>
        <v>282</v>
      </c>
      <c r="H40" s="4">
        <f>INDEX('Draft Engine'!$J$3:$J$225,$P40)</f>
        <v>43</v>
      </c>
      <c r="I40" s="4">
        <f>INDEX('Draft Engine'!$N$3:$N$225,$P40)</f>
        <v>80.331760000000003</v>
      </c>
      <c r="J40" s="4">
        <f>INDEX('Draft Engine'!$R$3:$R$225,$P40)</f>
        <v>69.2</v>
      </c>
      <c r="K40" s="4">
        <f>INDEX('Draft Engine'!$S$3:$S$225,$P40)</f>
        <v>31.200000000000003</v>
      </c>
      <c r="L40" t="str">
        <f>INDEX('Draft Engine'!$T$3:$T$225,$P40)</f>
        <v>A</v>
      </c>
      <c r="M40" t="str">
        <f>INDEX('Draft Engine'!$X$3:$X$225,$P40)</f>
        <v>RATE-ADJUSTED VETERAN</v>
      </c>
      <c r="N40" t="str">
        <f>INDEX('LIVE SOURCE'!$H$3:$H$225,$P40)</f>
        <v>RB2 with RB1 weeks; should be a regular starter.</v>
      </c>
      <c r="O40" t="str">
        <f>INDEX('LIVE SOURCE'!$J$3:$J$225,$P40)</f>
        <v>Touchdown variance, receiving-role changes and backfield competition are the main downside paths.</v>
      </c>
      <c r="P40" s="6">
        <f>MATCH($A40,'Draft Engine'!$Q$3:$Q$225,0)</f>
        <v>49</v>
      </c>
    </row>
    <row r="41" spans="1:16" x14ac:dyDescent="0.25">
      <c r="A41">
        <f>39</f>
        <v>39</v>
      </c>
      <c r="B41" t="str">
        <f>INDEX('Draft Engine'!$A$3:$A$225,$P41)</f>
        <v>WR</v>
      </c>
      <c r="C41">
        <f>INDEX('Draft Engine'!$F$3:$F$225,$P41)</f>
        <v>16</v>
      </c>
      <c r="D41" t="str">
        <f>INDEX('Draft Engine'!$B$3:$B$225,$P41)</f>
        <v>A.J. Brown</v>
      </c>
      <c r="E41" s="4">
        <f>INDEX('Draft Engine'!$E$3:$E$225,$P41)</f>
        <v>83.235699999999994</v>
      </c>
      <c r="F41" t="str">
        <f t="shared" si="0"/>
        <v>TIER 3</v>
      </c>
      <c r="G41" s="4">
        <f>INDEX('Draft Engine'!$G$3:$G$225,$P41)</f>
        <v>279.60000000000002</v>
      </c>
      <c r="H41" s="4">
        <f>INDEX('Draft Engine'!$J$3:$J$225,$P41)</f>
        <v>40.299999999999997</v>
      </c>
      <c r="I41" s="4">
        <f>INDEX('Draft Engine'!$N$3:$N$225,$P41)</f>
        <v>79.533635000000004</v>
      </c>
      <c r="J41" s="4">
        <f>INDEX('Draft Engine'!$R$3:$R$225,$P41)</f>
        <v>14</v>
      </c>
      <c r="K41" s="4">
        <f>INDEX('Draft Engine'!$S$3:$S$225,$P41)</f>
        <v>-25</v>
      </c>
      <c r="L41" t="str">
        <f>INDEX('Draft Engine'!$T$3:$T$225,$P41)</f>
        <v>A</v>
      </c>
      <c r="M41" t="str">
        <f>INDEX('Draft Engine'!$X$3:$X$225,$P41)</f>
        <v>HISTORY FALLBACK</v>
      </c>
      <c r="N41" t="str">
        <f>INDEX('LIVE SOURCE'!$H$3:$H$225,$P41)</f>
        <v>Strong WR2 with top-12 weekly upside.</v>
      </c>
      <c r="O41" t="str">
        <f>INDEX('LIVE SOURCE'!$J$3:$J$225,$P41)</f>
        <v>Price is the biggest risk: the market currently asks you to draft him earlier than the model prefers.</v>
      </c>
      <c r="P41" s="6">
        <f>MATCH($A41,'Draft Engine'!$Q$3:$Q$225,0)</f>
        <v>87</v>
      </c>
    </row>
    <row r="42" spans="1:16" x14ac:dyDescent="0.25">
      <c r="A42">
        <f>40</f>
        <v>40</v>
      </c>
      <c r="B42" t="str">
        <f>INDEX('Draft Engine'!$A$3:$A$225,$P42)</f>
        <v>RB</v>
      </c>
      <c r="C42">
        <f>INDEX('Draft Engine'!$F$3:$F$225,$P42)</f>
        <v>18</v>
      </c>
      <c r="D42" t="str">
        <f>INDEX('Draft Engine'!$B$3:$B$225,$P42)</f>
        <v>Travis Etienne Jr.</v>
      </c>
      <c r="E42" s="4">
        <f>INDEX('Draft Engine'!$E$3:$E$225,$P42)</f>
        <v>83.043599999999998</v>
      </c>
      <c r="F42" t="str">
        <f t="shared" si="0"/>
        <v>TIER 3</v>
      </c>
      <c r="G42" s="4">
        <f>INDEX('Draft Engine'!$G$3:$G$225,$P42)</f>
        <v>278.8</v>
      </c>
      <c r="H42" s="4">
        <f>INDEX('Draft Engine'!$J$3:$J$225,$P42)</f>
        <v>39.799999999999997</v>
      </c>
      <c r="I42" s="4">
        <f>INDEX('Draft Engine'!$N$3:$N$225,$P42)</f>
        <v>78.978605000000002</v>
      </c>
      <c r="J42" s="4">
        <f>INDEX('Draft Engine'!$R$3:$R$225,$P42)</f>
        <v>73.400000000000006</v>
      </c>
      <c r="K42" s="4">
        <f>INDEX('Draft Engine'!$S$3:$S$225,$P42)</f>
        <v>33.400000000000006</v>
      </c>
      <c r="L42" t="str">
        <f>INDEX('Draft Engine'!$T$3:$T$225,$P42)</f>
        <v>A</v>
      </c>
      <c r="M42" t="str">
        <f>INDEX('Draft Engine'!$X$3:$X$225,$P42)</f>
        <v>RATE-ADJUSTED VETERAN</v>
      </c>
      <c r="N42" t="str">
        <f>INDEX('LIVE SOURCE'!$H$3:$H$225,$P42)</f>
        <v>RB2 with RB1 weeks; should be a regular starter.</v>
      </c>
      <c r="O42" t="str">
        <f>INDEX('LIVE SOURCE'!$J$3:$J$225,$P42)</f>
        <v>Touchdown variance, receiving-role changes and backfield competition are the main downside paths.</v>
      </c>
      <c r="P42" s="6">
        <f>MATCH($A42,'Draft Engine'!$Q$3:$Q$225,0)</f>
        <v>50</v>
      </c>
    </row>
    <row r="43" spans="1:16" x14ac:dyDescent="0.25">
      <c r="A43">
        <f>41</f>
        <v>41</v>
      </c>
      <c r="B43" t="str">
        <f>INDEX('Draft Engine'!$A$3:$A$225,$P43)</f>
        <v>TE</v>
      </c>
      <c r="C43">
        <f>INDEX('Draft Engine'!$F$3:$F$225,$P43)</f>
        <v>4</v>
      </c>
      <c r="D43" t="str">
        <f>INDEX('Draft Engine'!$B$3:$B$225,$P43)</f>
        <v>Tyler Warren</v>
      </c>
      <c r="E43" s="4">
        <f>INDEX('Draft Engine'!$E$3:$E$225,$P43)</f>
        <v>87.202399999999997</v>
      </c>
      <c r="F43" t="str">
        <f t="shared" si="0"/>
        <v>TIER 2</v>
      </c>
      <c r="G43" s="4">
        <f>INDEX('Draft Engine'!$G$3:$G$225,$P43)</f>
        <v>205.2</v>
      </c>
      <c r="H43" s="4">
        <f>INDEX('Draft Engine'!$J$3:$J$225,$P43)</f>
        <v>25.5</v>
      </c>
      <c r="I43" s="4">
        <f>INDEX('Draft Engine'!$N$3:$N$225,$P43)</f>
        <v>78.974396923076924</v>
      </c>
      <c r="J43" s="4">
        <f>INDEX('Draft Engine'!$R$3:$R$225,$P43)</f>
        <v>44</v>
      </c>
      <c r="K43" s="4">
        <f>INDEX('Draft Engine'!$S$3:$S$225,$P43)</f>
        <v>3</v>
      </c>
      <c r="L43" t="str">
        <f>INDEX('Draft Engine'!$T$3:$T$225,$P43)</f>
        <v>A</v>
      </c>
      <c r="M43" t="str">
        <f>INDEX('Draft Engine'!$X$3:$X$225,$P43)</f>
        <v>RATE-ADJUSTED VETERAN</v>
      </c>
      <c r="N43" t="str">
        <f>INDEX('LIVE SOURCE'!$H$3:$H$225,$P43)</f>
        <v>Every-week TE1 with real top-5 upside.</v>
      </c>
      <c r="O43" t="str">
        <f>INDEX('LIVE SOURCE'!$J$3:$J$225,$P43)</f>
        <v>Route share, target volume and touchdown volatility are the main swing factors.</v>
      </c>
      <c r="P43" s="6">
        <f>MATCH($A43,'Draft Engine'!$Q$3:$Q$225,0)</f>
        <v>156</v>
      </c>
    </row>
    <row r="44" spans="1:16" x14ac:dyDescent="0.25">
      <c r="A44">
        <f>42</f>
        <v>42</v>
      </c>
      <c r="B44" t="str">
        <f>INDEX('Draft Engine'!$A$3:$A$225,$P44)</f>
        <v>QB</v>
      </c>
      <c r="C44">
        <f>INDEX('Draft Engine'!$F$3:$F$225,$P44)</f>
        <v>4</v>
      </c>
      <c r="D44" t="str">
        <f>INDEX('Draft Engine'!$B$3:$B$225,$P44)</f>
        <v>Justin Herbert</v>
      </c>
      <c r="E44" s="4">
        <f>INDEX('Draft Engine'!$E$3:$E$225,$P44)</f>
        <v>90.116900000000001</v>
      </c>
      <c r="F44" t="str">
        <f t="shared" si="0"/>
        <v>TIER 1</v>
      </c>
      <c r="G44" s="4">
        <f>INDEX('Draft Engine'!$G$3:$G$225,$P44)</f>
        <v>375.5</v>
      </c>
      <c r="H44" s="4">
        <f>INDEX('Draft Engine'!$J$3:$J$225,$P44)</f>
        <v>24.4</v>
      </c>
      <c r="I44" s="4">
        <f>INDEX('Draft Engine'!$N$3:$N$225,$P44)</f>
        <v>78.648602692307691</v>
      </c>
      <c r="J44" s="4">
        <f>INDEX('Draft Engine'!$R$3:$R$225,$P44)</f>
        <v>46</v>
      </c>
      <c r="K44" s="4">
        <f>INDEX('Draft Engine'!$S$3:$S$225,$P44)</f>
        <v>4</v>
      </c>
      <c r="L44" t="str">
        <f>INDEX('Draft Engine'!$T$3:$T$225,$P44)</f>
        <v>A</v>
      </c>
      <c r="M44" t="str">
        <f>INDEX('Draft Engine'!$X$3:$X$225,$P44)</f>
        <v>RATE-ADJUSTED VETERAN</v>
      </c>
      <c r="N44" t="str">
        <f>INDEX('LIVE SOURCE'!$H$3:$H$225,$P44)</f>
        <v>Strong every-week QB1; frequent top-8 finishes expected.</v>
      </c>
      <c r="O44" t="str">
        <f>INDEX('LIVE SOURCE'!$J$3:$J$225,$P44)</f>
        <v>Passing-TD efficiency, rushing volume and supporting-cast health are the main swing factors.</v>
      </c>
      <c r="P44" s="6">
        <f>MATCH($A44,'Draft Engine'!$Q$3:$Q$225,0)</f>
        <v>4</v>
      </c>
    </row>
    <row r="45" spans="1:16" x14ac:dyDescent="0.25">
      <c r="A45">
        <f>43</f>
        <v>43</v>
      </c>
      <c r="B45" t="str">
        <f>INDEX('Draft Engine'!$A$3:$A$225,$P45)</f>
        <v>WR</v>
      </c>
      <c r="C45">
        <f>INDEX('Draft Engine'!$F$3:$F$225,$P45)</f>
        <v>17</v>
      </c>
      <c r="D45" t="str">
        <f>INDEX('Draft Engine'!$B$3:$B$225,$P45)</f>
        <v>Ladd McConkey</v>
      </c>
      <c r="E45" s="4">
        <f>INDEX('Draft Engine'!$E$3:$E$225,$P45)</f>
        <v>82.732500000000002</v>
      </c>
      <c r="F45" t="str">
        <f t="shared" si="0"/>
        <v>TIER 3</v>
      </c>
      <c r="G45" s="4">
        <f>INDEX('Draft Engine'!$G$3:$G$225,$P45)</f>
        <v>277.5</v>
      </c>
      <c r="H45" s="4">
        <f>INDEX('Draft Engine'!$J$3:$J$225,$P45)</f>
        <v>38.200000000000003</v>
      </c>
      <c r="I45" s="4">
        <f>INDEX('Draft Engine'!$N$3:$N$225,$P45)</f>
        <v>78.545541666666679</v>
      </c>
      <c r="J45" s="4">
        <f>INDEX('Draft Engine'!$R$3:$R$225,$P45)</f>
        <v>84.899999999999991</v>
      </c>
      <c r="K45" s="4">
        <f>INDEX('Draft Engine'!$S$3:$S$225,$P45)</f>
        <v>41.899999999999991</v>
      </c>
      <c r="L45" t="str">
        <f>INDEX('Draft Engine'!$T$3:$T$225,$P45)</f>
        <v>B</v>
      </c>
      <c r="M45" t="str">
        <f>INDEX('Draft Engine'!$X$3:$X$225,$P45)</f>
        <v>HISTORY FALLBACK</v>
      </c>
      <c r="N45" t="str">
        <f>INDEX('LIVE SOURCE'!$H$3:$H$225,$P45)</f>
        <v>Strong WR2 with top-12 weekly upside.</v>
      </c>
      <c r="O45" t="str">
        <f>INDEX('LIVE SOURCE'!$J$3:$J$225,$P45)</f>
        <v>Target competition, quarterback efficiency and touchdown regression are the main downside paths.</v>
      </c>
      <c r="P45" s="6">
        <f>MATCH($A45,'Draft Engine'!$Q$3:$Q$225,0)</f>
        <v>104</v>
      </c>
    </row>
    <row r="46" spans="1:16" x14ac:dyDescent="0.25">
      <c r="A46">
        <f>44</f>
        <v>44</v>
      </c>
      <c r="B46" t="str">
        <f>INDEX('Draft Engine'!$A$3:$A$225,$P46)</f>
        <v>WR</v>
      </c>
      <c r="C46">
        <f>INDEX('Draft Engine'!$F$3:$F$225,$P46)</f>
        <v>18</v>
      </c>
      <c r="D46" t="str">
        <f>INDEX('Draft Engine'!$B$3:$B$225,$P46)</f>
        <v>Jaylen Waddle</v>
      </c>
      <c r="E46" s="4">
        <f>INDEX('Draft Engine'!$E$3:$E$225,$P46)</f>
        <v>82.317499999999995</v>
      </c>
      <c r="F46" t="str">
        <f t="shared" si="0"/>
        <v>TIER 3</v>
      </c>
      <c r="G46" s="4">
        <f>INDEX('Draft Engine'!$G$3:$G$225,$P46)</f>
        <v>275.7</v>
      </c>
      <c r="H46" s="4">
        <f>INDEX('Draft Engine'!$J$3:$J$225,$P46)</f>
        <v>36.4</v>
      </c>
      <c r="I46" s="4">
        <f>INDEX('Draft Engine'!$N$3:$N$225,$P46)</f>
        <v>77.659958333333336</v>
      </c>
      <c r="J46" s="4">
        <f>INDEX('Draft Engine'!$R$3:$R$225,$P46)</f>
        <v>77.099999999999994</v>
      </c>
      <c r="K46" s="4">
        <f>INDEX('Draft Engine'!$S$3:$S$225,$P46)</f>
        <v>33.099999999999994</v>
      </c>
      <c r="L46" t="str">
        <f>INDEX('Draft Engine'!$T$3:$T$225,$P46)</f>
        <v>C</v>
      </c>
      <c r="M46" t="str">
        <f>INDEX('Draft Engine'!$X$3:$X$225,$P46)</f>
        <v>HISTORY FALLBACK</v>
      </c>
      <c r="N46" t="str">
        <f>INDEX('LIVE SOURCE'!$H$3:$H$225,$P46)</f>
        <v>Strong WR2 with top-12 weekly upside.</v>
      </c>
      <c r="O46" t="str">
        <f>INDEX('LIVE SOURCE'!$J$3:$J$225,$P46)</f>
        <v>Target competition, quarterback efficiency and touchdown regression are the main downside paths.</v>
      </c>
      <c r="P46" s="6">
        <f>MATCH($A46,'Draft Engine'!$Q$3:$Q$225,0)</f>
        <v>102</v>
      </c>
    </row>
    <row r="47" spans="1:16" x14ac:dyDescent="0.25">
      <c r="A47">
        <f>45</f>
        <v>45</v>
      </c>
      <c r="B47" t="str">
        <f>INDEX('Draft Engine'!$A$3:$A$225,$P47)</f>
        <v>TE</v>
      </c>
      <c r="C47">
        <f>INDEX('Draft Engine'!$F$3:$F$225,$P47)</f>
        <v>5</v>
      </c>
      <c r="D47" t="str">
        <f>INDEX('Draft Engine'!$B$3:$B$225,$P47)</f>
        <v>George Kittle</v>
      </c>
      <c r="E47" s="4">
        <f>INDEX('Draft Engine'!$E$3:$E$225,$P47)</f>
        <v>86.266400000000004</v>
      </c>
      <c r="F47" t="str">
        <f t="shared" si="0"/>
        <v>TIER 2</v>
      </c>
      <c r="G47" s="4">
        <f>INDEX('Draft Engine'!$G$3:$G$225,$P47)</f>
        <v>201.9</v>
      </c>
      <c r="H47" s="4">
        <f>INDEX('Draft Engine'!$J$3:$J$225,$P47)</f>
        <v>22.2</v>
      </c>
      <c r="I47" s="4">
        <f>INDEX('Draft Engine'!$N$3:$N$225,$P47)</f>
        <v>77.173289230769228</v>
      </c>
      <c r="J47" s="4">
        <f>INDEX('Draft Engine'!$R$3:$R$225,$P47)</f>
        <v>53</v>
      </c>
      <c r="K47" s="4">
        <f>INDEX('Draft Engine'!$S$3:$S$225,$P47)</f>
        <v>8</v>
      </c>
      <c r="L47" t="str">
        <f>INDEX('Draft Engine'!$T$3:$T$225,$P47)</f>
        <v>B</v>
      </c>
      <c r="M47" t="str">
        <f>INDEX('Draft Engine'!$X$3:$X$225,$P47)</f>
        <v>RATE-ADJUSTED VETERAN</v>
      </c>
      <c r="N47" t="str">
        <f>INDEX('LIVE SOURCE'!$H$3:$H$225,$P47)</f>
        <v>Every-week TE1 with real top-5 upside.</v>
      </c>
      <c r="O47" t="str">
        <f>INDEX('LIVE SOURCE'!$J$3:$J$225,$P47)</f>
        <v>Route share, target volume and touchdown volatility are the main swing factors.</v>
      </c>
      <c r="P47" s="6">
        <f>MATCH($A47,'Draft Engine'!$Q$3:$Q$225,0)</f>
        <v>157</v>
      </c>
    </row>
    <row r="48" spans="1:16" x14ac:dyDescent="0.25">
      <c r="A48">
        <f>46</f>
        <v>46</v>
      </c>
      <c r="B48" t="str">
        <f>INDEX('Draft Engine'!$A$3:$A$225,$P48)</f>
        <v>RB</v>
      </c>
      <c r="C48">
        <f>INDEX('Draft Engine'!$F$3:$F$225,$P48)</f>
        <v>19</v>
      </c>
      <c r="D48" t="str">
        <f>INDEX('Draft Engine'!$B$3:$B$225,$P48)</f>
        <v>Cam Skattebo</v>
      </c>
      <c r="E48" s="4">
        <f>INDEX('Draft Engine'!$E$3:$E$225,$P48)</f>
        <v>81.888400000000004</v>
      </c>
      <c r="F48" t="str">
        <f t="shared" si="0"/>
        <v>TIER 3</v>
      </c>
      <c r="G48" s="4">
        <f>INDEX('Draft Engine'!$G$3:$G$225,$P48)</f>
        <v>273.89999999999998</v>
      </c>
      <c r="H48" s="4">
        <f>INDEX('Draft Engine'!$J$3:$J$225,$P48)</f>
        <v>34.9</v>
      </c>
      <c r="I48" s="4">
        <f>INDEX('Draft Engine'!$N$3:$N$225,$P48)</f>
        <v>77.101870000000005</v>
      </c>
      <c r="J48" s="4">
        <f>INDEX('Draft Engine'!$R$3:$R$225,$P48)</f>
        <v>77.600000000000009</v>
      </c>
      <c r="K48" s="4">
        <f>INDEX('Draft Engine'!$S$3:$S$225,$P48)</f>
        <v>31.600000000000009</v>
      </c>
      <c r="L48" t="str">
        <f>INDEX('Draft Engine'!$T$3:$T$225,$P48)</f>
        <v>B</v>
      </c>
      <c r="M48" t="str">
        <f>INDEX('Draft Engine'!$X$3:$X$225,$P48)</f>
        <v>RATE-ADJUSTED VETERAN</v>
      </c>
      <c r="N48" t="str">
        <f>INDEX('LIVE SOURCE'!$H$3:$H$225,$P48)</f>
        <v>RB2 with RB1 weeks; should be a regular starter.</v>
      </c>
      <c r="O48" t="str">
        <f>INDEX('LIVE SOURCE'!$J$3:$J$225,$P48)</f>
        <v>Availability/sample risk is elevated after only 8 games; talent is not being punished as heavily as durability.</v>
      </c>
      <c r="P48" s="6">
        <f>MATCH($A48,'Draft Engine'!$Q$3:$Q$225,0)</f>
        <v>51</v>
      </c>
    </row>
    <row r="49" spans="1:16" x14ac:dyDescent="0.25">
      <c r="A49">
        <f>47</f>
        <v>47</v>
      </c>
      <c r="B49" t="str">
        <f>INDEX('Draft Engine'!$A$3:$A$225,$P49)</f>
        <v>WR</v>
      </c>
      <c r="C49">
        <f>INDEX('Draft Engine'!$F$3:$F$225,$P49)</f>
        <v>19</v>
      </c>
      <c r="D49" t="str">
        <f>INDEX('Draft Engine'!$B$3:$B$225,$P49)</f>
        <v>George Pickens</v>
      </c>
      <c r="E49" s="4">
        <f>INDEX('Draft Engine'!$E$3:$E$225,$P49)</f>
        <v>81.836600000000004</v>
      </c>
      <c r="F49" t="str">
        <f t="shared" si="0"/>
        <v>TIER 3</v>
      </c>
      <c r="G49" s="4">
        <f>INDEX('Draft Engine'!$G$3:$G$225,$P49)</f>
        <v>273.7</v>
      </c>
      <c r="H49" s="4">
        <f>INDEX('Draft Engine'!$J$3:$J$225,$P49)</f>
        <v>34.4</v>
      </c>
      <c r="I49" s="4">
        <f>INDEX('Draft Engine'!$N$3:$N$225,$P49)</f>
        <v>76.702130000000011</v>
      </c>
      <c r="J49" s="4">
        <f>INDEX('Draft Engine'!$R$3:$R$225,$P49)</f>
        <v>16</v>
      </c>
      <c r="K49" s="4">
        <f>INDEX('Draft Engine'!$S$3:$S$225,$P49)</f>
        <v>-31</v>
      </c>
      <c r="L49" t="str">
        <f>INDEX('Draft Engine'!$T$3:$T$225,$P49)</f>
        <v>A</v>
      </c>
      <c r="M49" t="str">
        <f>INDEX('Draft Engine'!$X$3:$X$225,$P49)</f>
        <v>HISTORY FALLBACK</v>
      </c>
      <c r="N49" t="str">
        <f>INDEX('LIVE SOURCE'!$H$3:$H$225,$P49)</f>
        <v>Strong WR2 with top-12 weekly upside.</v>
      </c>
      <c r="O49" t="str">
        <f>INDEX('LIVE SOURCE'!$J$3:$J$225,$P49)</f>
        <v>Price is the biggest risk: the market currently asks you to draft him earlier than the model prefers.</v>
      </c>
      <c r="P49" s="6">
        <f>MATCH($A49,'Draft Engine'!$Q$3:$Q$225,0)</f>
        <v>90</v>
      </c>
    </row>
    <row r="50" spans="1:16" x14ac:dyDescent="0.25">
      <c r="A50">
        <f>48</f>
        <v>48</v>
      </c>
      <c r="B50" t="str">
        <f>INDEX('Draft Engine'!$A$3:$A$225,$P50)</f>
        <v>WR</v>
      </c>
      <c r="C50">
        <f>INDEX('Draft Engine'!$F$3:$F$225,$P50)</f>
        <v>20</v>
      </c>
      <c r="D50" t="str">
        <f>INDEX('Draft Engine'!$B$3:$B$225,$P50)</f>
        <v>Emeka Egbuka</v>
      </c>
      <c r="E50" s="4">
        <f>INDEX('Draft Engine'!$E$3:$E$225,$P50)</f>
        <v>81.734999999999999</v>
      </c>
      <c r="F50" t="str">
        <f t="shared" si="0"/>
        <v>TIER 3</v>
      </c>
      <c r="G50" s="4">
        <f>INDEX('Draft Engine'!$G$3:$G$225,$P50)</f>
        <v>273.3</v>
      </c>
      <c r="H50" s="4">
        <f>INDEX('Draft Engine'!$J$3:$J$225,$P50)</f>
        <v>34</v>
      </c>
      <c r="I50" s="4">
        <f>INDEX('Draft Engine'!$N$3:$N$225,$P50)</f>
        <v>76.240916666666678</v>
      </c>
      <c r="J50" s="4">
        <f>INDEX('Draft Engine'!$R$3:$R$225,$P50)</f>
        <v>73.2</v>
      </c>
      <c r="K50" s="4">
        <f>INDEX('Draft Engine'!$S$3:$S$225,$P50)</f>
        <v>25.200000000000003</v>
      </c>
      <c r="L50" t="str">
        <f>INDEX('Draft Engine'!$T$3:$T$225,$P50)</f>
        <v>C</v>
      </c>
      <c r="M50" t="str">
        <f>INDEX('Draft Engine'!$X$3:$X$225,$P50)</f>
        <v>HISTORY FALLBACK</v>
      </c>
      <c r="N50" t="str">
        <f>INDEX('LIVE SOURCE'!$H$3:$H$225,$P50)</f>
        <v>Strong WR2 with top-12 weekly upside.</v>
      </c>
      <c r="O50" t="str">
        <f>INDEX('LIVE SOURCE'!$J$3:$J$225,$P50)</f>
        <v>Target competition, quarterback efficiency and touchdown regression are the main downside paths.</v>
      </c>
      <c r="P50" s="6">
        <f>MATCH($A50,'Draft Engine'!$Q$3:$Q$225,0)</f>
        <v>101</v>
      </c>
    </row>
    <row r="51" spans="1:16" x14ac:dyDescent="0.25">
      <c r="A51">
        <f>49</f>
        <v>49</v>
      </c>
      <c r="B51" t="str">
        <f>INDEX('Draft Engine'!$A$3:$A$225,$P51)</f>
        <v>QB</v>
      </c>
      <c r="C51">
        <f>INDEX('Draft Engine'!$F$3:$F$225,$P51)</f>
        <v>5</v>
      </c>
      <c r="D51" t="str">
        <f>INDEX('Draft Engine'!$B$3:$B$225,$P51)</f>
        <v>Lamar Jackson</v>
      </c>
      <c r="E51" s="4">
        <f>INDEX('Draft Engine'!$E$3:$E$225,$P51)</f>
        <v>88.711200000000005</v>
      </c>
      <c r="F51" t="str">
        <f t="shared" si="0"/>
        <v>TIER 2</v>
      </c>
      <c r="G51" s="4">
        <f>INDEX('Draft Engine'!$G$3:$G$225,$P51)</f>
        <v>369.2</v>
      </c>
      <c r="H51" s="4">
        <f>INDEX('Draft Engine'!$J$3:$J$225,$P51)</f>
        <v>18.100000000000001</v>
      </c>
      <c r="I51" s="4">
        <f>INDEX('Draft Engine'!$N$3:$N$225,$P51)</f>
        <v>75.97223692307692</v>
      </c>
      <c r="J51" s="4">
        <f>INDEX('Draft Engine'!$R$3:$R$225,$P51)</f>
        <v>54</v>
      </c>
      <c r="K51" s="4">
        <f>INDEX('Draft Engine'!$S$3:$S$225,$P51)</f>
        <v>5</v>
      </c>
      <c r="L51" t="str">
        <f>INDEX('Draft Engine'!$T$3:$T$225,$P51)</f>
        <v>A</v>
      </c>
      <c r="M51" t="str">
        <f>INDEX('Draft Engine'!$X$3:$X$225,$P51)</f>
        <v>RATE-ADJUSTED VETERAN</v>
      </c>
      <c r="N51" t="str">
        <f>INDEX('LIVE SOURCE'!$H$3:$H$225,$P51)</f>
        <v>Strong every-week QB1; frequent top-8 finishes expected.</v>
      </c>
      <c r="O51" t="str">
        <f>INDEX('LIVE SOURCE'!$J$3:$J$225,$P51)</f>
        <v>Passing-TD efficiency, rushing volume and supporting-cast health are the main swing factors.</v>
      </c>
      <c r="P51" s="6">
        <f>MATCH($A51,'Draft Engine'!$Q$3:$Q$225,0)</f>
        <v>5</v>
      </c>
    </row>
    <row r="52" spans="1:16" x14ac:dyDescent="0.25">
      <c r="A52">
        <f>50</f>
        <v>50</v>
      </c>
      <c r="B52" t="str">
        <f>INDEX('Draft Engine'!$A$3:$A$225,$P52)</f>
        <v>TE</v>
      </c>
      <c r="C52">
        <f>INDEX('Draft Engine'!$F$3:$F$225,$P52)</f>
        <v>6</v>
      </c>
      <c r="D52" t="str">
        <f>INDEX('Draft Engine'!$B$3:$B$225,$P52)</f>
        <v>Kyle Pitts Sr.</v>
      </c>
      <c r="E52" s="4">
        <f>INDEX('Draft Engine'!$E$3:$E$225,$P52)</f>
        <v>85.304500000000004</v>
      </c>
      <c r="F52" t="str">
        <f t="shared" si="0"/>
        <v>TIER 2</v>
      </c>
      <c r="G52" s="4">
        <f>INDEX('Draft Engine'!$G$3:$G$225,$P52)</f>
        <v>198.6</v>
      </c>
      <c r="H52" s="4">
        <f>INDEX('Draft Engine'!$J$3:$J$225,$P52)</f>
        <v>18.899999999999999</v>
      </c>
      <c r="I52" s="4">
        <f>INDEX('Draft Engine'!$N$3:$N$225,$P52)</f>
        <v>75.35793653846153</v>
      </c>
      <c r="J52" s="4">
        <f>INDEX('Draft Engine'!$R$3:$R$225,$P52)</f>
        <v>62</v>
      </c>
      <c r="K52" s="4">
        <f>INDEX('Draft Engine'!$S$3:$S$225,$P52)</f>
        <v>12</v>
      </c>
      <c r="L52" t="str">
        <f>INDEX('Draft Engine'!$T$3:$T$225,$P52)</f>
        <v>A</v>
      </c>
      <c r="M52" t="str">
        <f>INDEX('Draft Engine'!$X$3:$X$225,$P52)</f>
        <v>RATE-ADJUSTED VETERAN</v>
      </c>
      <c r="N52" t="str">
        <f>INDEX('LIVE SOURCE'!$H$3:$H$225,$P52)</f>
        <v>Every-week TE1 with real top-5 upside.</v>
      </c>
      <c r="O52" t="str">
        <f>INDEX('LIVE SOURCE'!$J$3:$J$225,$P52)</f>
        <v>Route share, target volume and touchdown volatility are the main swing factors.</v>
      </c>
      <c r="P52" s="6">
        <f>MATCH($A52,'Draft Engine'!$Q$3:$Q$225,0)</f>
        <v>158</v>
      </c>
    </row>
    <row r="53" spans="1:16" x14ac:dyDescent="0.25">
      <c r="A53">
        <f>51</f>
        <v>51</v>
      </c>
      <c r="B53" t="str">
        <f>INDEX('Draft Engine'!$A$3:$A$225,$P53)</f>
        <v>WR</v>
      </c>
      <c r="C53">
        <f>INDEX('Draft Engine'!$F$3:$F$225,$P53)</f>
        <v>21</v>
      </c>
      <c r="D53" t="str">
        <f>INDEX('Draft Engine'!$B$3:$B$225,$P53)</f>
        <v>Malik Nabers</v>
      </c>
      <c r="E53" s="4">
        <f>INDEX('Draft Engine'!$E$3:$E$225,$P53)</f>
        <v>81.152500000000003</v>
      </c>
      <c r="F53" t="str">
        <f t="shared" si="0"/>
        <v>TIER 3</v>
      </c>
      <c r="G53" s="4">
        <f>INDEX('Draft Engine'!$G$3:$G$225,$P53)</f>
        <v>270.8</v>
      </c>
      <c r="H53" s="4">
        <f>INDEX('Draft Engine'!$J$3:$J$225,$P53)</f>
        <v>31.5</v>
      </c>
      <c r="I53" s="4">
        <f>INDEX('Draft Engine'!$N$3:$N$225,$P53)</f>
        <v>75.137208333333334</v>
      </c>
      <c r="J53" s="4">
        <f>INDEX('Draft Engine'!$R$3:$R$225,$P53)</f>
        <v>69.3</v>
      </c>
      <c r="K53" s="4">
        <f>INDEX('Draft Engine'!$S$3:$S$225,$P53)</f>
        <v>18.299999999999997</v>
      </c>
      <c r="L53" t="str">
        <f>INDEX('Draft Engine'!$T$3:$T$225,$P53)</f>
        <v>C</v>
      </c>
      <c r="M53" t="str">
        <f>INDEX('Draft Engine'!$X$3:$X$225,$P53)</f>
        <v>HISTORY FALLBACK</v>
      </c>
      <c r="N53" t="str">
        <f>INDEX('LIVE SOURCE'!$H$3:$H$225,$P53)</f>
        <v>Strong WR2 with top-12 weekly upside.</v>
      </c>
      <c r="O53" t="str">
        <f>INDEX('LIVE SOURCE'!$J$3:$J$225,$P53)</f>
        <v>Evidence is thinner than for established veterans, so camp, depth-chart and role news can move the grade materially.</v>
      </c>
      <c r="P53" s="6">
        <f>MATCH($A53,'Draft Engine'!$Q$3:$Q$225,0)</f>
        <v>100</v>
      </c>
    </row>
    <row r="54" spans="1:16" x14ac:dyDescent="0.25">
      <c r="A54">
        <f>52</f>
        <v>52</v>
      </c>
      <c r="B54" t="str">
        <f>INDEX('Draft Engine'!$A$3:$A$225,$P54)</f>
        <v>QB</v>
      </c>
      <c r="C54">
        <f>INDEX('Draft Engine'!$F$3:$F$225,$P54)</f>
        <v>6</v>
      </c>
      <c r="D54" t="str">
        <f>INDEX('Draft Engine'!$B$3:$B$225,$P54)</f>
        <v>Jalen Hurts</v>
      </c>
      <c r="E54" s="4">
        <f>INDEX('Draft Engine'!$E$3:$E$225,$P54)</f>
        <v>88.4499</v>
      </c>
      <c r="F54" t="str">
        <f t="shared" si="0"/>
        <v>TIER 2</v>
      </c>
      <c r="G54" s="4">
        <f>INDEX('Draft Engine'!$G$3:$G$225,$P54)</f>
        <v>368</v>
      </c>
      <c r="H54" s="4">
        <f>INDEX('Draft Engine'!$J$3:$J$225,$P54)</f>
        <v>16.899999999999999</v>
      </c>
      <c r="I54" s="4">
        <f>INDEX('Draft Engine'!$N$3:$N$225,$P54)</f>
        <v>74.843291153846167</v>
      </c>
      <c r="J54" s="4">
        <f>INDEX('Draft Engine'!$R$3:$R$225,$P54)</f>
        <v>62</v>
      </c>
      <c r="K54" s="4">
        <f>INDEX('Draft Engine'!$S$3:$S$225,$P54)</f>
        <v>10</v>
      </c>
      <c r="L54" t="str">
        <f>INDEX('Draft Engine'!$T$3:$T$225,$P54)</f>
        <v>A</v>
      </c>
      <c r="M54" t="str">
        <f>INDEX('Draft Engine'!$X$3:$X$225,$P54)</f>
        <v>RATE-ADJUSTED VETERAN</v>
      </c>
      <c r="N54" t="str">
        <f>INDEX('LIVE SOURCE'!$H$3:$H$225,$P54)</f>
        <v>Strong every-week QB1; frequent top-8 finishes expected.</v>
      </c>
      <c r="O54" t="str">
        <f>INDEX('LIVE SOURCE'!$J$3:$J$225,$P54)</f>
        <v>Passing-TD efficiency, rushing volume and supporting-cast health are the main swing factors.</v>
      </c>
      <c r="P54" s="6">
        <f>MATCH($A54,'Draft Engine'!$Q$3:$Q$225,0)</f>
        <v>6</v>
      </c>
    </row>
    <row r="55" spans="1:16" x14ac:dyDescent="0.25">
      <c r="A55">
        <f>53</f>
        <v>53</v>
      </c>
      <c r="B55" t="str">
        <f>INDEX('Draft Engine'!$A$3:$A$225,$P55)</f>
        <v>RB</v>
      </c>
      <c r="C55">
        <f>INDEX('Draft Engine'!$F$3:$F$225,$P55)</f>
        <v>20</v>
      </c>
      <c r="D55" t="str">
        <f>INDEX('Draft Engine'!$B$3:$B$225,$P55)</f>
        <v>D'Andre Swift</v>
      </c>
      <c r="E55" s="4">
        <f>INDEX('Draft Engine'!$E$3:$E$225,$P55)</f>
        <v>79.985600000000005</v>
      </c>
      <c r="F55" t="str">
        <f t="shared" si="0"/>
        <v>TIER 4</v>
      </c>
      <c r="G55" s="4">
        <f>INDEX('Draft Engine'!$G$3:$G$225,$P55)</f>
        <v>265.89999999999998</v>
      </c>
      <c r="H55" s="4">
        <f>INDEX('Draft Engine'!$J$3:$J$225,$P55)</f>
        <v>26.9</v>
      </c>
      <c r="I55" s="4">
        <f>INDEX('Draft Engine'!$N$3:$N$225,$P55)</f>
        <v>74.255955</v>
      </c>
      <c r="J55" s="4">
        <f>INDEX('Draft Engine'!$R$3:$R$225,$P55)</f>
        <v>81.8</v>
      </c>
      <c r="K55" s="4">
        <f>INDEX('Draft Engine'!$S$3:$S$225,$P55)</f>
        <v>28.799999999999997</v>
      </c>
      <c r="L55" t="str">
        <f>INDEX('Draft Engine'!$T$3:$T$225,$P55)</f>
        <v>A</v>
      </c>
      <c r="M55" t="str">
        <f>INDEX('Draft Engine'!$X$3:$X$225,$P55)</f>
        <v>RATE-ADJUSTED VETERAN</v>
      </c>
      <c r="N55" t="str">
        <f>INDEX('LIVE SOURCE'!$H$3:$H$225,$P55)</f>
        <v>RB2 with RB1 weeks; should be a regular starter.</v>
      </c>
      <c r="O55" t="str">
        <f>INDEX('LIVE SOURCE'!$J$3:$J$225,$P55)</f>
        <v>Touchdown variance, receiving-role changes and backfield competition are the main downside paths.</v>
      </c>
      <c r="P55" s="6">
        <f>MATCH($A55,'Draft Engine'!$Q$3:$Q$225,0)</f>
        <v>52</v>
      </c>
    </row>
    <row r="56" spans="1:16" x14ac:dyDescent="0.25">
      <c r="A56">
        <f>54</f>
        <v>54</v>
      </c>
      <c r="B56" t="str">
        <f>INDEX('Draft Engine'!$A$3:$A$225,$P56)</f>
        <v>RB</v>
      </c>
      <c r="C56">
        <f>INDEX('Draft Engine'!$F$3:$F$225,$P56)</f>
        <v>21</v>
      </c>
      <c r="D56" t="str">
        <f>INDEX('Draft Engine'!$B$3:$B$225,$P56)</f>
        <v>Bucky Irving</v>
      </c>
      <c r="E56" s="4">
        <f>INDEX('Draft Engine'!$E$3:$E$225,$P56)</f>
        <v>79.935500000000005</v>
      </c>
      <c r="F56" t="str">
        <f t="shared" si="0"/>
        <v>TIER 4</v>
      </c>
      <c r="G56" s="4">
        <f>INDEX('Draft Engine'!$G$3:$G$225,$P56)</f>
        <v>265.7</v>
      </c>
      <c r="H56" s="4">
        <f>INDEX('Draft Engine'!$J$3:$J$225,$P56)</f>
        <v>26.7</v>
      </c>
      <c r="I56" s="4">
        <f>INDEX('Draft Engine'!$N$3:$N$225,$P56)</f>
        <v>73.833025000000006</v>
      </c>
      <c r="J56" s="4">
        <f>INDEX('Draft Engine'!$R$3:$R$225,$P56)</f>
        <v>86</v>
      </c>
      <c r="K56" s="4">
        <f>INDEX('Draft Engine'!$S$3:$S$225,$P56)</f>
        <v>32</v>
      </c>
      <c r="L56" t="str">
        <f>INDEX('Draft Engine'!$T$3:$T$225,$P56)</f>
        <v>B</v>
      </c>
      <c r="M56" t="str">
        <f>INDEX('Draft Engine'!$X$3:$X$225,$P56)</f>
        <v>RATE-ADJUSTED VETERAN</v>
      </c>
      <c r="N56" t="str">
        <f>INDEX('LIVE SOURCE'!$H$3:$H$225,$P56)</f>
        <v>RB2/FLEX; useful weekly but role and receiving volume matter.</v>
      </c>
      <c r="O56" t="str">
        <f>INDEX('LIVE SOURCE'!$J$3:$J$225,$P56)</f>
        <v>Touchdown variance, receiving-role changes and backfield competition are the main downside paths.</v>
      </c>
      <c r="P56" s="6">
        <f>MATCH($A56,'Draft Engine'!$Q$3:$Q$225,0)</f>
        <v>53</v>
      </c>
    </row>
    <row r="57" spans="1:16" x14ac:dyDescent="0.25">
      <c r="A57">
        <f>55</f>
        <v>55</v>
      </c>
      <c r="B57" t="str">
        <f>INDEX('Draft Engine'!$A$3:$A$225,$P57)</f>
        <v>TE</v>
      </c>
      <c r="C57">
        <f>INDEX('Draft Engine'!$F$3:$F$225,$P57)</f>
        <v>7</v>
      </c>
      <c r="D57" t="str">
        <f>INDEX('Draft Engine'!$B$3:$B$225,$P57)</f>
        <v>Harold Fannin Jr.</v>
      </c>
      <c r="E57" s="4">
        <f>INDEX('Draft Engine'!$E$3:$E$225,$P57)</f>
        <v>84.377700000000004</v>
      </c>
      <c r="F57" t="str">
        <f t="shared" si="0"/>
        <v>TIER 3</v>
      </c>
      <c r="G57" s="4">
        <f>INDEX('Draft Engine'!$G$3:$G$225,$P57)</f>
        <v>195.3</v>
      </c>
      <c r="H57" s="4">
        <f>INDEX('Draft Engine'!$J$3:$J$225,$P57)</f>
        <v>15.6</v>
      </c>
      <c r="I57" s="4">
        <f>INDEX('Draft Engine'!$N$3:$N$225,$P57)</f>
        <v>73.561888846153849</v>
      </c>
      <c r="J57" s="4">
        <f>INDEX('Draft Engine'!$R$3:$R$225,$P57)</f>
        <v>71</v>
      </c>
      <c r="K57" s="4">
        <f>INDEX('Draft Engine'!$S$3:$S$225,$P57)</f>
        <v>16</v>
      </c>
      <c r="L57" t="str">
        <f>INDEX('Draft Engine'!$T$3:$T$225,$P57)</f>
        <v>A</v>
      </c>
      <c r="M57" t="str">
        <f>INDEX('Draft Engine'!$X$3:$X$225,$P57)</f>
        <v>RATE-ADJUSTED VETERAN</v>
      </c>
      <c r="N57" t="str">
        <f>INDEX('LIVE SOURCE'!$H$3:$H$225,$P57)</f>
        <v>Every-week TE1 with real top-5 upside.</v>
      </c>
      <c r="O57" t="str">
        <f>INDEX('LIVE SOURCE'!$J$3:$J$225,$P57)</f>
        <v>Route share, target volume and touchdown volatility are the main swing factors.</v>
      </c>
      <c r="P57" s="6">
        <f>MATCH($A57,'Draft Engine'!$Q$3:$Q$225,0)</f>
        <v>159</v>
      </c>
    </row>
    <row r="58" spans="1:16" x14ac:dyDescent="0.25">
      <c r="A58">
        <f>56</f>
        <v>56</v>
      </c>
      <c r="B58" t="str">
        <f>INDEX('Draft Engine'!$A$3:$A$225,$P58)</f>
        <v>RB</v>
      </c>
      <c r="C58">
        <f>INDEX('Draft Engine'!$F$3:$F$225,$P58)</f>
        <v>22</v>
      </c>
      <c r="D58" t="str">
        <f>INDEX('Draft Engine'!$B$3:$B$225,$P58)</f>
        <v>Quinshon Judkins</v>
      </c>
      <c r="E58" s="4">
        <f>INDEX('Draft Engine'!$E$3:$E$225,$P58)</f>
        <v>79.930300000000003</v>
      </c>
      <c r="F58" t="str">
        <f t="shared" si="0"/>
        <v>TIER 4</v>
      </c>
      <c r="G58" s="4">
        <f>INDEX('Draft Engine'!$G$3:$G$225,$P58)</f>
        <v>265.7</v>
      </c>
      <c r="H58" s="4">
        <f>INDEX('Draft Engine'!$J$3:$J$225,$P58)</f>
        <v>26.7</v>
      </c>
      <c r="I58" s="4">
        <f>INDEX('Draft Engine'!$N$3:$N$225,$P58)</f>
        <v>73.470789999999994</v>
      </c>
      <c r="J58" s="4">
        <f>INDEX('Draft Engine'!$R$3:$R$225,$P58)</f>
        <v>90.2</v>
      </c>
      <c r="K58" s="4">
        <f>INDEX('Draft Engine'!$S$3:$S$225,$P58)</f>
        <v>34.200000000000003</v>
      </c>
      <c r="L58" t="str">
        <f>INDEX('Draft Engine'!$T$3:$T$225,$P58)</f>
        <v>A</v>
      </c>
      <c r="M58" t="str">
        <f>INDEX('Draft Engine'!$X$3:$X$225,$P58)</f>
        <v>RATE-ADJUSTED VETERAN</v>
      </c>
      <c r="N58" t="str">
        <f>INDEX('LIVE SOURCE'!$H$3:$H$225,$P58)</f>
        <v>RB2/FLEX; useful weekly but role and receiving volume matter.</v>
      </c>
      <c r="O58" t="str">
        <f>INDEX('LIVE SOURCE'!$J$3:$J$225,$P58)</f>
        <v>Touchdown variance, receiving-role changes and backfield competition are the main downside paths.</v>
      </c>
      <c r="P58" s="6">
        <f>MATCH($A58,'Draft Engine'!$Q$3:$Q$225,0)</f>
        <v>54</v>
      </c>
    </row>
    <row r="59" spans="1:16" x14ac:dyDescent="0.25">
      <c r="A59">
        <f>57</f>
        <v>57</v>
      </c>
      <c r="B59" t="str">
        <f>INDEX('Draft Engine'!$A$3:$A$225,$P59)</f>
        <v>WR</v>
      </c>
      <c r="C59">
        <f>INDEX('Draft Engine'!$F$3:$F$225,$P59)</f>
        <v>22</v>
      </c>
      <c r="D59" t="str">
        <f>INDEX('Draft Engine'!$B$3:$B$225,$P59)</f>
        <v>Terry McLaurin</v>
      </c>
      <c r="E59" s="4">
        <f>INDEX('Draft Engine'!$E$3:$E$225,$P59)</f>
        <v>79.900000000000006</v>
      </c>
      <c r="F59" t="str">
        <f t="shared" si="0"/>
        <v>TIER 4</v>
      </c>
      <c r="G59" s="4">
        <f>INDEX('Draft Engine'!$G$3:$G$225,$P59)</f>
        <v>265.60000000000002</v>
      </c>
      <c r="H59" s="4">
        <f>INDEX('Draft Engine'!$J$3:$J$225,$P59)</f>
        <v>26.3</v>
      </c>
      <c r="I59" s="4">
        <f>INDEX('Draft Engine'!$N$3:$N$225,$P59)</f>
        <v>73.179000000000002</v>
      </c>
      <c r="J59" s="4">
        <f>INDEX('Draft Engine'!$R$3:$R$225,$P59)</f>
        <v>81</v>
      </c>
      <c r="K59" s="4">
        <f>INDEX('Draft Engine'!$S$3:$S$225,$P59)</f>
        <v>24</v>
      </c>
      <c r="L59" t="str">
        <f>INDEX('Draft Engine'!$T$3:$T$225,$P59)</f>
        <v>C</v>
      </c>
      <c r="M59" t="str">
        <f>INDEX('Draft Engine'!$X$3:$X$225,$P59)</f>
        <v>HISTORY FALLBACK</v>
      </c>
      <c r="N59" t="str">
        <f>INDEX('LIVE SOURCE'!$H$3:$H$225,$P59)</f>
        <v>Strong WR2 with top-12 weekly upside.</v>
      </c>
      <c r="O59" t="str">
        <f>INDEX('LIVE SOURCE'!$J$3:$J$225,$P59)</f>
        <v>Target competition, quarterback efficiency and touchdown regression are the main downside paths.</v>
      </c>
      <c r="P59" s="6">
        <f>MATCH($A59,'Draft Engine'!$Q$3:$Q$225,0)</f>
        <v>103</v>
      </c>
    </row>
    <row r="60" spans="1:16" x14ac:dyDescent="0.25">
      <c r="A60">
        <f>58</f>
        <v>58</v>
      </c>
      <c r="B60" t="str">
        <f>INDEX('Draft Engine'!$A$3:$A$225,$P60)</f>
        <v>TE</v>
      </c>
      <c r="C60">
        <f>INDEX('Draft Engine'!$F$3:$F$225,$P60)</f>
        <v>8</v>
      </c>
      <c r="D60" t="str">
        <f>INDEX('Draft Engine'!$B$3:$B$225,$P60)</f>
        <v>Jake Ferguson</v>
      </c>
      <c r="E60" s="4">
        <f>INDEX('Draft Engine'!$E$3:$E$225,$P60)</f>
        <v>84.072999999999993</v>
      </c>
      <c r="F60" t="str">
        <f t="shared" si="0"/>
        <v>TIER 3</v>
      </c>
      <c r="G60" s="4">
        <f>INDEX('Draft Engine'!$G$3:$G$225,$P60)</f>
        <v>194.3</v>
      </c>
      <c r="H60" s="4">
        <f>INDEX('Draft Engine'!$J$3:$J$225,$P60)</f>
        <v>14.6</v>
      </c>
      <c r="I60" s="4">
        <f>INDEX('Draft Engine'!$N$3:$N$225,$P60)</f>
        <v>72.521996153846146</v>
      </c>
      <c r="J60" s="4">
        <f>INDEX('Draft Engine'!$R$3:$R$225,$P60)</f>
        <v>80</v>
      </c>
      <c r="K60" s="4">
        <f>INDEX('Draft Engine'!$S$3:$S$225,$P60)</f>
        <v>22</v>
      </c>
      <c r="L60" t="str">
        <f>INDEX('Draft Engine'!$T$3:$T$225,$P60)</f>
        <v>A</v>
      </c>
      <c r="M60" t="str">
        <f>INDEX('Draft Engine'!$X$3:$X$225,$P60)</f>
        <v>RATE-ADJUSTED VETERAN</v>
      </c>
      <c r="N60" t="str">
        <f>INDEX('LIVE SOURCE'!$H$3:$H$225,$P60)</f>
        <v>Every-week TE1 with real top-5 upside.</v>
      </c>
      <c r="O60" t="str">
        <f>INDEX('LIVE SOURCE'!$J$3:$J$225,$P60)</f>
        <v>Route share, target volume and touchdown volatility are the main swing factors.</v>
      </c>
      <c r="P60" s="6">
        <f>MATCH($A60,'Draft Engine'!$Q$3:$Q$225,0)</f>
        <v>160</v>
      </c>
    </row>
    <row r="61" spans="1:16" x14ac:dyDescent="0.25">
      <c r="A61">
        <f>59</f>
        <v>59</v>
      </c>
      <c r="B61" t="str">
        <f>INDEX('Draft Engine'!$A$3:$A$225,$P61)</f>
        <v>QB</v>
      </c>
      <c r="C61">
        <f>INDEX('Draft Engine'!$F$3:$F$225,$P61)</f>
        <v>7</v>
      </c>
      <c r="D61" t="str">
        <f>INDEX('Draft Engine'!$B$3:$B$225,$P61)</f>
        <v>Patrick Mahomes II</v>
      </c>
      <c r="E61" s="4">
        <f>INDEX('Draft Engine'!$E$3:$E$225,$P61)</f>
        <v>87.006299999999996</v>
      </c>
      <c r="F61" t="str">
        <f t="shared" si="0"/>
        <v>TIER 2</v>
      </c>
      <c r="G61" s="4">
        <f>INDEX('Draft Engine'!$G$3:$G$225,$P61)</f>
        <v>361.5</v>
      </c>
      <c r="H61" s="4">
        <f>INDEX('Draft Engine'!$J$3:$J$225,$P61)</f>
        <v>10.4</v>
      </c>
      <c r="I61" s="4">
        <f>INDEX('Draft Engine'!$N$3:$N$225,$P61)</f>
        <v>72.110080384615387</v>
      </c>
      <c r="J61" s="4">
        <f>INDEX('Draft Engine'!$R$3:$R$225,$P61)</f>
        <v>70</v>
      </c>
      <c r="K61" s="4">
        <f>INDEX('Draft Engine'!$S$3:$S$225,$P61)</f>
        <v>11</v>
      </c>
      <c r="L61" t="str">
        <f>INDEX('Draft Engine'!$T$3:$T$225,$P61)</f>
        <v>A</v>
      </c>
      <c r="M61" t="str">
        <f>INDEX('Draft Engine'!$X$3:$X$225,$P61)</f>
        <v>RATE-ADJUSTED VETERAN</v>
      </c>
      <c r="N61" t="str">
        <f>INDEX('LIVE SOURCE'!$H$3:$H$225,$P61)</f>
        <v>Strong every-week QB1; frequent top-8 finishes expected.</v>
      </c>
      <c r="O61" t="str">
        <f>INDEX('LIVE SOURCE'!$J$3:$J$225,$P61)</f>
        <v>Passing-TD efficiency, rushing volume and supporting-cast health are the main swing factors.</v>
      </c>
      <c r="P61" s="6">
        <f>MATCH($A61,'Draft Engine'!$Q$3:$Q$225,0)</f>
        <v>7</v>
      </c>
    </row>
    <row r="62" spans="1:16" x14ac:dyDescent="0.25">
      <c r="A62">
        <f>60</f>
        <v>60</v>
      </c>
      <c r="B62" t="str">
        <f>INDEX('Draft Engine'!$A$3:$A$225,$P62)</f>
        <v>TE</v>
      </c>
      <c r="C62">
        <f>INDEX('Draft Engine'!$F$3:$F$225,$P62)</f>
        <v>9</v>
      </c>
      <c r="D62" t="str">
        <f>INDEX('Draft Engine'!$B$3:$B$225,$P62)</f>
        <v>Tucker Kraft</v>
      </c>
      <c r="E62" s="4">
        <f>INDEX('Draft Engine'!$E$3:$E$225,$P62)</f>
        <v>83.808599999999998</v>
      </c>
      <c r="F62" t="str">
        <f t="shared" si="0"/>
        <v>TIER 3</v>
      </c>
      <c r="G62" s="4">
        <f>INDEX('Draft Engine'!$G$3:$G$225,$P62)</f>
        <v>193.3</v>
      </c>
      <c r="H62" s="4">
        <f>INDEX('Draft Engine'!$J$3:$J$225,$P62)</f>
        <v>13.6</v>
      </c>
      <c r="I62" s="4">
        <f>INDEX('Draft Engine'!$N$3:$N$225,$P62)</f>
        <v>71.504268461538473</v>
      </c>
      <c r="J62" s="4">
        <f>INDEX('Draft Engine'!$R$3:$R$225,$P62)</f>
        <v>89</v>
      </c>
      <c r="K62" s="4">
        <f>INDEX('Draft Engine'!$S$3:$S$225,$P62)</f>
        <v>29</v>
      </c>
      <c r="L62" t="str">
        <f>INDEX('Draft Engine'!$T$3:$T$225,$P62)</f>
        <v>B</v>
      </c>
      <c r="M62" t="str">
        <f>INDEX('Draft Engine'!$X$3:$X$225,$P62)</f>
        <v>RATE-ADJUSTED VETERAN</v>
      </c>
      <c r="N62" t="str">
        <f>INDEX('LIVE SOURCE'!$H$3:$H$225,$P62)</f>
        <v>Low-end TE1; startable but replacement options remain close.</v>
      </c>
      <c r="O62" t="str">
        <f>INDEX('LIVE SOURCE'!$J$3:$J$225,$P62)</f>
        <v>Availability/sample risk is elevated after only 8 games; talent is not being punished as heavily as durability.</v>
      </c>
      <c r="P62" s="6">
        <f>MATCH($A62,'Draft Engine'!$Q$3:$Q$225,0)</f>
        <v>161</v>
      </c>
    </row>
    <row r="63" spans="1:16" x14ac:dyDescent="0.25">
      <c r="A63">
        <f>61</f>
        <v>61</v>
      </c>
      <c r="B63" t="str">
        <f>INDEX('Draft Engine'!$A$3:$A$225,$P63)</f>
        <v>WR</v>
      </c>
      <c r="C63">
        <f>INDEX('Draft Engine'!$F$3:$F$225,$P63)</f>
        <v>23</v>
      </c>
      <c r="D63" t="str">
        <f>INDEX('Draft Engine'!$B$3:$B$225,$P63)</f>
        <v>Luther Burden III</v>
      </c>
      <c r="E63" s="4">
        <f>INDEX('Draft Engine'!$E$3:$E$225,$P63)</f>
        <v>78.647499999999994</v>
      </c>
      <c r="F63" t="str">
        <f t="shared" si="0"/>
        <v>TIER 4</v>
      </c>
      <c r="G63" s="4">
        <f>INDEX('Draft Engine'!$G$3:$G$225,$P63)</f>
        <v>260.3</v>
      </c>
      <c r="H63" s="4">
        <f>INDEX('Draft Engine'!$J$3:$J$225,$P63)</f>
        <v>21</v>
      </c>
      <c r="I63" s="4">
        <f>INDEX('Draft Engine'!$N$3:$N$225,$P63)</f>
        <v>71.20279166666667</v>
      </c>
      <c r="J63" s="4">
        <f>INDEX('Draft Engine'!$R$3:$R$225,$P63)</f>
        <v>92.7</v>
      </c>
      <c r="K63" s="4">
        <f>INDEX('Draft Engine'!$S$3:$S$225,$P63)</f>
        <v>31.700000000000003</v>
      </c>
      <c r="L63" t="str">
        <f>INDEX('Draft Engine'!$T$3:$T$225,$P63)</f>
        <v>C</v>
      </c>
      <c r="M63" t="str">
        <f>INDEX('Draft Engine'!$X$3:$X$225,$P63)</f>
        <v>HISTORY FALLBACK</v>
      </c>
      <c r="N63" t="str">
        <f>INDEX('LIVE SOURCE'!$H$3:$H$225,$P63)</f>
        <v>Strong WR2 with top-12 weekly upside.</v>
      </c>
      <c r="O63" t="str">
        <f>INDEX('LIVE SOURCE'!$J$3:$J$225,$P63)</f>
        <v>Target competition, quarterback efficiency and touchdown regression are the main downside paths.</v>
      </c>
      <c r="P63" s="6">
        <f>MATCH($A63,'Draft Engine'!$Q$3:$Q$225,0)</f>
        <v>106</v>
      </c>
    </row>
    <row r="64" spans="1:16" x14ac:dyDescent="0.25">
      <c r="A64">
        <f>62</f>
        <v>62</v>
      </c>
      <c r="B64" t="str">
        <f>INDEX('Draft Engine'!$A$3:$A$225,$P64)</f>
        <v>QB</v>
      </c>
      <c r="C64">
        <f>INDEX('Draft Engine'!$F$3:$F$225,$P64)</f>
        <v>8</v>
      </c>
      <c r="D64" t="str">
        <f>INDEX('Draft Engine'!$B$3:$B$225,$P64)</f>
        <v>Jayden Daniels</v>
      </c>
      <c r="E64" s="4">
        <f>INDEX('Draft Engine'!$E$3:$E$225,$P64)</f>
        <v>86.700299999999999</v>
      </c>
      <c r="F64" t="str">
        <f t="shared" si="0"/>
        <v>TIER 2</v>
      </c>
      <c r="G64" s="4">
        <f>INDEX('Draft Engine'!$G$3:$G$225,$P64)</f>
        <v>360.2</v>
      </c>
      <c r="H64" s="4">
        <f>INDEX('Draft Engine'!$J$3:$J$225,$P64)</f>
        <v>9.1</v>
      </c>
      <c r="I64" s="4">
        <f>INDEX('Draft Engine'!$N$3:$N$225,$P64)</f>
        <v>70.938549615384616</v>
      </c>
      <c r="J64" s="4">
        <f>INDEX('Draft Engine'!$R$3:$R$225,$P64)</f>
        <v>78</v>
      </c>
      <c r="K64" s="4">
        <f>INDEX('Draft Engine'!$S$3:$S$225,$P64)</f>
        <v>16</v>
      </c>
      <c r="L64" t="str">
        <f>INDEX('Draft Engine'!$T$3:$T$225,$P64)</f>
        <v>B</v>
      </c>
      <c r="M64" t="str">
        <f>INDEX('Draft Engine'!$X$3:$X$225,$P64)</f>
        <v>RATE-ADJUSTED VETERAN</v>
      </c>
      <c r="N64" t="str">
        <f>INDEX('LIVE SOURCE'!$H$3:$H$225,$P64)</f>
        <v>Strong every-week QB1; frequent top-8 finishes expected.</v>
      </c>
      <c r="O64" t="str">
        <f>INDEX('LIVE SOURCE'!$J$3:$J$225,$P64)</f>
        <v>Availability/sample risk is elevated after only 7 games; talent is not being punished as heavily as durability.</v>
      </c>
      <c r="P64" s="6">
        <f>MATCH($A64,'Draft Engine'!$Q$3:$Q$225,0)</f>
        <v>8</v>
      </c>
    </row>
    <row r="65" spans="1:16" x14ac:dyDescent="0.25">
      <c r="A65">
        <f>63</f>
        <v>63</v>
      </c>
      <c r="B65" t="str">
        <f>INDEX('Draft Engine'!$A$3:$A$225,$P65)</f>
        <v>RB</v>
      </c>
      <c r="C65">
        <f>INDEX('Draft Engine'!$F$3:$F$225,$P65)</f>
        <v>23</v>
      </c>
      <c r="D65" t="str">
        <f>INDEX('Draft Engine'!$B$3:$B$225,$P65)</f>
        <v>David Montgomery</v>
      </c>
      <c r="E65" s="4">
        <f>INDEX('Draft Engine'!$E$3:$E$225,$P65)</f>
        <v>77.910200000000003</v>
      </c>
      <c r="F65" t="str">
        <f t="shared" si="0"/>
        <v>TIER 4</v>
      </c>
      <c r="G65" s="4">
        <f>INDEX('Draft Engine'!$G$3:$G$225,$P65)</f>
        <v>257.2</v>
      </c>
      <c r="H65" s="4">
        <f>INDEX('Draft Engine'!$J$3:$J$225,$P65)</f>
        <v>18.2</v>
      </c>
      <c r="I65" s="4">
        <f>INDEX('Draft Engine'!$N$3:$N$225,$P65)</f>
        <v>70.470359999999999</v>
      </c>
      <c r="J65" s="4">
        <f>INDEX('Draft Engine'!$R$3:$R$225,$P65)</f>
        <v>94.4</v>
      </c>
      <c r="K65" s="4">
        <f>INDEX('Draft Engine'!$S$3:$S$225,$P65)</f>
        <v>31.400000000000006</v>
      </c>
      <c r="L65" t="str">
        <f>INDEX('Draft Engine'!$T$3:$T$225,$P65)</f>
        <v>A</v>
      </c>
      <c r="M65" t="str">
        <f>INDEX('Draft Engine'!$X$3:$X$225,$P65)</f>
        <v>RATE-ADJUSTED VETERAN</v>
      </c>
      <c r="N65" t="str">
        <f>INDEX('LIVE SOURCE'!$H$3:$H$225,$P65)</f>
        <v>RB2/FLEX; useful weekly but role and receiving volume matter.</v>
      </c>
      <c r="O65" t="str">
        <f>INDEX('LIVE SOURCE'!$J$3:$J$225,$P65)</f>
        <v>Touchdown variance, receiving-role changes and backfield competition are the main downside paths.</v>
      </c>
      <c r="P65" s="6">
        <f>MATCH($A65,'Draft Engine'!$Q$3:$Q$225,0)</f>
        <v>55</v>
      </c>
    </row>
    <row r="66" spans="1:16" x14ac:dyDescent="0.25">
      <c r="A66">
        <f>64</f>
        <v>64</v>
      </c>
      <c r="B66" t="str">
        <f>INDEX('Draft Engine'!$A$3:$A$225,$P66)</f>
        <v>WR</v>
      </c>
      <c r="C66">
        <f>INDEX('Draft Engine'!$F$3:$F$225,$P66)</f>
        <v>24</v>
      </c>
      <c r="D66" t="str">
        <f>INDEX('Draft Engine'!$B$3:$B$225,$P66)</f>
        <v>Davante Adams</v>
      </c>
      <c r="E66" s="4">
        <f>INDEX('Draft Engine'!$E$3:$E$225,$P66)</f>
        <v>78.064999999999998</v>
      </c>
      <c r="F66" t="str">
        <f t="shared" si="0"/>
        <v>TIER 4</v>
      </c>
      <c r="G66" s="4">
        <f>INDEX('Draft Engine'!$G$3:$G$225,$P66)</f>
        <v>257.89999999999998</v>
      </c>
      <c r="H66" s="4">
        <f>INDEX('Draft Engine'!$J$3:$J$225,$P66)</f>
        <v>18.600000000000001</v>
      </c>
      <c r="I66" s="4">
        <f>INDEX('Draft Engine'!$N$3:$N$225,$P66)</f>
        <v>70.117083333333326</v>
      </c>
      <c r="J66" s="4">
        <f>INDEX('Draft Engine'!$R$3:$R$225,$P66)</f>
        <v>88.8</v>
      </c>
      <c r="K66" s="4">
        <f>INDEX('Draft Engine'!$S$3:$S$225,$P66)</f>
        <v>24.799999999999997</v>
      </c>
      <c r="L66" t="str">
        <f>INDEX('Draft Engine'!$T$3:$T$225,$P66)</f>
        <v>C</v>
      </c>
      <c r="M66" t="str">
        <f>INDEX('Draft Engine'!$X$3:$X$225,$P66)</f>
        <v>HISTORY FALLBACK</v>
      </c>
      <c r="N66" t="str">
        <f>INDEX('LIVE SOURCE'!$H$3:$H$225,$P66)</f>
        <v>Strong WR2 with top-12 weekly upside.</v>
      </c>
      <c r="O66" t="str">
        <f>INDEX('LIVE SOURCE'!$J$3:$J$225,$P66)</f>
        <v>Target competition, quarterback efficiency and touchdown regression are the main downside paths.</v>
      </c>
      <c r="P66" s="6">
        <f>MATCH($A66,'Draft Engine'!$Q$3:$Q$225,0)</f>
        <v>105</v>
      </c>
    </row>
    <row r="67" spans="1:16" x14ac:dyDescent="0.25">
      <c r="A67">
        <f>65</f>
        <v>65</v>
      </c>
      <c r="B67" t="str">
        <f>INDEX('Draft Engine'!$A$3:$A$225,$P67)</f>
        <v>RB</v>
      </c>
      <c r="C67">
        <f>INDEX('Draft Engine'!$F$3:$F$225,$P67)</f>
        <v>24</v>
      </c>
      <c r="D67" t="str">
        <f>INDEX('Draft Engine'!$B$3:$B$225,$P67)</f>
        <v>TreVeyon Henderson</v>
      </c>
      <c r="E67" s="4">
        <f>INDEX('Draft Engine'!$E$3:$E$225,$P67)</f>
        <v>77.832499999999996</v>
      </c>
      <c r="F67" t="str">
        <f t="shared" ref="F67:F130" si="1">IF($E67&gt;=95,"ELITE",IF($E67&gt;=90,"TIER 1",IF($E67&gt;=85,"TIER 2",IF($E67&gt;=80,"TIER 3",IF($E67&gt;=75,"TIER 4",IF($E67&gt;=70,"TIER 5",IF($E67&gt;=65,"TIER 6","TIER 7")))))))</f>
        <v>TIER 4</v>
      </c>
      <c r="G67" s="4">
        <f>INDEX('Draft Engine'!$G$3:$G$225,$P67)</f>
        <v>256.89999999999998</v>
      </c>
      <c r="H67" s="4">
        <f>INDEX('Draft Engine'!$J$3:$J$225,$P67)</f>
        <v>17.899999999999999</v>
      </c>
      <c r="I67" s="4">
        <f>INDEX('Draft Engine'!$N$3:$N$225,$P67)</f>
        <v>70.014250000000004</v>
      </c>
      <c r="J67" s="4">
        <f>INDEX('Draft Engine'!$R$3:$R$225,$P67)</f>
        <v>98.600000000000009</v>
      </c>
      <c r="K67" s="4">
        <f>INDEX('Draft Engine'!$S$3:$S$225,$P67)</f>
        <v>33.600000000000009</v>
      </c>
      <c r="L67" t="str">
        <f>INDEX('Draft Engine'!$T$3:$T$225,$P67)</f>
        <v>A</v>
      </c>
      <c r="M67" t="str">
        <f>INDEX('Draft Engine'!$X$3:$X$225,$P67)</f>
        <v>RATE-ADJUSTED VETERAN</v>
      </c>
      <c r="N67" t="str">
        <f>INDEX('LIVE SOURCE'!$H$3:$H$225,$P67)</f>
        <v>RB2/FLEX; useful weekly but role and receiving volume matter.</v>
      </c>
      <c r="O67" t="str">
        <f>INDEX('LIVE SOURCE'!$J$3:$J$225,$P67)</f>
        <v>Touchdown variance, receiving-role changes and backfield competition are the main downside paths.</v>
      </c>
      <c r="P67" s="6">
        <f>MATCH($A67,'Draft Engine'!$Q$3:$Q$225,0)</f>
        <v>56</v>
      </c>
    </row>
    <row r="68" spans="1:16" x14ac:dyDescent="0.25">
      <c r="A68">
        <f>66</f>
        <v>66</v>
      </c>
      <c r="B68" t="str">
        <f>INDEX('Draft Engine'!$A$3:$A$225,$P68)</f>
        <v>TE</v>
      </c>
      <c r="C68">
        <f>INDEX('Draft Engine'!$F$3:$F$225,$P68)</f>
        <v>10</v>
      </c>
      <c r="D68" t="str">
        <f>INDEX('Draft Engine'!$B$3:$B$225,$P68)</f>
        <v>Sam LaPorta</v>
      </c>
      <c r="E68" s="4">
        <f>INDEX('Draft Engine'!$E$3:$E$225,$P68)</f>
        <v>82.865300000000005</v>
      </c>
      <c r="F68" t="str">
        <f t="shared" si="1"/>
        <v>TIER 3</v>
      </c>
      <c r="G68" s="4">
        <f>INDEX('Draft Engine'!$G$3:$G$225,$P68)</f>
        <v>190</v>
      </c>
      <c r="H68" s="4">
        <f>INDEX('Draft Engine'!$J$3:$J$225,$P68)</f>
        <v>10.3</v>
      </c>
      <c r="I68" s="4">
        <f>INDEX('Draft Engine'!$N$3:$N$225,$P68)</f>
        <v>69.699145769230782</v>
      </c>
      <c r="J68" s="4">
        <f>INDEX('Draft Engine'!$R$3:$R$225,$P68)</f>
        <v>98</v>
      </c>
      <c r="K68" s="4">
        <f>INDEX('Draft Engine'!$S$3:$S$225,$P68)</f>
        <v>32</v>
      </c>
      <c r="L68" t="str">
        <f>INDEX('Draft Engine'!$T$3:$T$225,$P68)</f>
        <v>B</v>
      </c>
      <c r="M68" t="str">
        <f>INDEX('Draft Engine'!$X$3:$X$225,$P68)</f>
        <v>RATE-ADJUSTED VETERAN</v>
      </c>
      <c r="N68" t="str">
        <f>INDEX('LIVE SOURCE'!$H$3:$H$225,$P68)</f>
        <v>Low-end TE1; startable but replacement options remain close.</v>
      </c>
      <c r="O68" t="str">
        <f>INDEX('LIVE SOURCE'!$J$3:$J$225,$P68)</f>
        <v>Availability/sample risk is elevated after only 9 games; talent is not being punished as heavily as durability.</v>
      </c>
      <c r="P68" s="6">
        <f>MATCH($A68,'Draft Engine'!$Q$3:$Q$225,0)</f>
        <v>162</v>
      </c>
    </row>
    <row r="69" spans="1:16" x14ac:dyDescent="0.25">
      <c r="A69">
        <f>67</f>
        <v>67</v>
      </c>
      <c r="B69" t="str">
        <f>INDEX('Draft Engine'!$A$3:$A$225,$P69)</f>
        <v>QB</v>
      </c>
      <c r="C69">
        <f>INDEX('Draft Engine'!$F$3:$F$225,$P69)</f>
        <v>9</v>
      </c>
      <c r="D69" t="str">
        <f>INDEX('Draft Engine'!$B$3:$B$225,$P69)</f>
        <v>Joe Burrow</v>
      </c>
      <c r="E69" s="4">
        <f>INDEX('Draft Engine'!$E$3:$E$225,$P69)</f>
        <v>85.591300000000004</v>
      </c>
      <c r="F69" t="str">
        <f t="shared" si="1"/>
        <v>TIER 2</v>
      </c>
      <c r="G69" s="4">
        <f>INDEX('Draft Engine'!$G$3:$G$225,$P69)</f>
        <v>355.2</v>
      </c>
      <c r="H69" s="4">
        <f>INDEX('Draft Engine'!$J$3:$J$225,$P69)</f>
        <v>4.0999999999999996</v>
      </c>
      <c r="I69" s="4">
        <f>INDEX('Draft Engine'!$N$3:$N$225,$P69)</f>
        <v>68.659368846153853</v>
      </c>
      <c r="J69" s="4">
        <f>INDEX('Draft Engine'!$R$3:$R$225,$P69)</f>
        <v>86</v>
      </c>
      <c r="K69" s="4">
        <f>INDEX('Draft Engine'!$S$3:$S$225,$P69)</f>
        <v>19</v>
      </c>
      <c r="L69" t="str">
        <f>INDEX('Draft Engine'!$T$3:$T$225,$P69)</f>
        <v>B</v>
      </c>
      <c r="M69" t="str">
        <f>INDEX('Draft Engine'!$X$3:$X$225,$P69)</f>
        <v>RATE-ADJUSTED VETERAN</v>
      </c>
      <c r="N69" t="str">
        <f>INDEX('LIVE SOURCE'!$H$3:$H$225,$P69)</f>
        <v>Low-end QB1/high-end QB2 in a 10-team league; startable most weeks.</v>
      </c>
      <c r="O69" t="str">
        <f>INDEX('LIVE SOURCE'!$J$3:$J$225,$P69)</f>
        <v>Availability/sample risk is elevated after only 8 games; talent is not being punished as heavily as durability.</v>
      </c>
      <c r="P69" s="6">
        <f>MATCH($A69,'Draft Engine'!$Q$3:$Q$225,0)</f>
        <v>9</v>
      </c>
    </row>
    <row r="70" spans="1:16" x14ac:dyDescent="0.25">
      <c r="A70">
        <f>68</f>
        <v>68</v>
      </c>
      <c r="B70" t="str">
        <f>INDEX('Draft Engine'!$A$3:$A$225,$P70)</f>
        <v>RB</v>
      </c>
      <c r="C70">
        <f>INDEX('Draft Engine'!$F$3:$F$225,$P70)</f>
        <v>25</v>
      </c>
      <c r="D70" t="str">
        <f>INDEX('Draft Engine'!$B$3:$B$225,$P70)</f>
        <v>Jadarian Price</v>
      </c>
      <c r="E70" s="4">
        <f>INDEX('Draft Engine'!$E$3:$E$225,$P70)</f>
        <v>76.662199999999999</v>
      </c>
      <c r="F70" t="str">
        <f t="shared" si="1"/>
        <v>TIER 4</v>
      </c>
      <c r="G70" s="4">
        <f>INDEX('Draft Engine'!$G$3:$G$225,$P70)</f>
        <v>252</v>
      </c>
      <c r="H70" s="4">
        <f>INDEX('Draft Engine'!$J$3:$J$225,$P70)</f>
        <v>13</v>
      </c>
      <c r="I70" s="4">
        <f>INDEX('Draft Engine'!$N$3:$N$225,$P70)</f>
        <v>68.12921</v>
      </c>
      <c r="J70" s="4">
        <f>INDEX('Draft Engine'!$R$3:$R$225,$P70)</f>
        <v>102.8</v>
      </c>
      <c r="K70" s="4">
        <f>INDEX('Draft Engine'!$S$3:$S$225,$P70)</f>
        <v>34.799999999999997</v>
      </c>
      <c r="L70" t="str">
        <f>INDEX('Draft Engine'!$T$3:$T$225,$P70)</f>
        <v>B</v>
      </c>
      <c r="M70" t="str">
        <f>INDEX('Draft Engine'!$X$3:$X$225,$P70)</f>
        <v>ROOKIE ENGINE</v>
      </c>
      <c r="N70" t="str">
        <f>INDEX('LIVE SOURCE'!$H$3:$H$225,$P70)</f>
        <v>RB2/FLEX; useful weekly but role and receiving volume matter.</v>
      </c>
      <c r="O70" t="str">
        <f>INDEX('LIVE SOURCE'!$J$3:$J$225,$P70)</f>
        <v>NFL translation and exact weekly role are the main variables; preseason first-team usage can move this rating quickly.</v>
      </c>
      <c r="P70" s="6">
        <f>MATCH($A70,'Draft Engine'!$Q$3:$Q$225,0)</f>
        <v>57</v>
      </c>
    </row>
    <row r="71" spans="1:16" x14ac:dyDescent="0.25">
      <c r="A71">
        <f>69</f>
        <v>69</v>
      </c>
      <c r="B71" t="str">
        <f>INDEX('Draft Engine'!$A$3:$A$225,$P71)</f>
        <v>TE</v>
      </c>
      <c r="C71">
        <f>INDEX('Draft Engine'!$F$3:$F$225,$P71)</f>
        <v>11</v>
      </c>
      <c r="D71" t="str">
        <f>INDEX('Draft Engine'!$B$3:$B$225,$P71)</f>
        <v>Dalton Kincaid</v>
      </c>
      <c r="E71" s="4">
        <f>INDEX('Draft Engine'!$E$3:$E$225,$P71)</f>
        <v>81.914100000000005</v>
      </c>
      <c r="F71" t="str">
        <f t="shared" si="1"/>
        <v>TIER 3</v>
      </c>
      <c r="G71" s="4">
        <f>INDEX('Draft Engine'!$G$3:$G$225,$P71)</f>
        <v>186.7</v>
      </c>
      <c r="H71" s="4">
        <f>INDEX('Draft Engine'!$J$3:$J$225,$P71)</f>
        <v>7</v>
      </c>
      <c r="I71" s="4">
        <f>INDEX('Draft Engine'!$N$3:$N$225,$P71)</f>
        <v>67.88967807692309</v>
      </c>
      <c r="J71" s="4">
        <f>INDEX('Draft Engine'!$R$3:$R$225,$P71)</f>
        <v>107</v>
      </c>
      <c r="K71" s="4">
        <f>INDEX('Draft Engine'!$S$3:$S$225,$P71)</f>
        <v>38</v>
      </c>
      <c r="L71" t="str">
        <f>INDEX('Draft Engine'!$T$3:$T$225,$P71)</f>
        <v>A</v>
      </c>
      <c r="M71" t="str">
        <f>INDEX('Draft Engine'!$X$3:$X$225,$P71)</f>
        <v>RATE-ADJUSTED VETERAN</v>
      </c>
      <c r="N71" t="str">
        <f>INDEX('LIVE SOURCE'!$H$3:$H$225,$P71)</f>
        <v>Low-end TE1; startable but replacement options remain close.</v>
      </c>
      <c r="O71" t="str">
        <f>INDEX('LIVE SOURCE'!$J$3:$J$225,$P71)</f>
        <v>Route share, target volume and touchdown volatility are the main swing factors.</v>
      </c>
      <c r="P71" s="6">
        <f>MATCH($A71,'Draft Engine'!$Q$3:$Q$225,0)</f>
        <v>163</v>
      </c>
    </row>
    <row r="72" spans="1:16" x14ac:dyDescent="0.25">
      <c r="A72">
        <f>70</f>
        <v>70</v>
      </c>
      <c r="B72" t="str">
        <f>INDEX('Draft Engine'!$A$3:$A$225,$P72)</f>
        <v>WR</v>
      </c>
      <c r="C72">
        <f>INDEX('Draft Engine'!$F$3:$F$225,$P72)</f>
        <v>25</v>
      </c>
      <c r="D72" t="str">
        <f>INDEX('Draft Engine'!$B$3:$B$225,$P72)</f>
        <v>Mike Evans</v>
      </c>
      <c r="E72" s="4">
        <f>INDEX('Draft Engine'!$E$3:$E$225,$P72)</f>
        <v>76.477500000000006</v>
      </c>
      <c r="F72" t="str">
        <f t="shared" si="1"/>
        <v>TIER 4</v>
      </c>
      <c r="G72" s="4">
        <f>INDEX('Draft Engine'!$G$3:$G$225,$P72)</f>
        <v>251.2</v>
      </c>
      <c r="H72" s="4">
        <f>INDEX('Draft Engine'!$J$3:$J$225,$P72)</f>
        <v>11.9</v>
      </c>
      <c r="I72" s="4">
        <f>INDEX('Draft Engine'!$N$3:$N$225,$P72)</f>
        <v>67.704625000000007</v>
      </c>
      <c r="J72" s="4">
        <f>INDEX('Draft Engine'!$R$3:$R$225,$P72)</f>
        <v>108.3</v>
      </c>
      <c r="K72" s="4">
        <f>INDEX('Draft Engine'!$S$3:$S$225,$P72)</f>
        <v>38.299999999999997</v>
      </c>
      <c r="L72" t="str">
        <f>INDEX('Draft Engine'!$T$3:$T$225,$P72)</f>
        <v>C</v>
      </c>
      <c r="M72" t="str">
        <f>INDEX('Draft Engine'!$X$3:$X$225,$P72)</f>
        <v>HISTORY FALLBACK</v>
      </c>
      <c r="N72" t="str">
        <f>INDEX('LIVE SOURCE'!$H$3:$H$225,$P72)</f>
        <v>WR2/FLEX; dependable lineup option with matchup-driven ceiling.</v>
      </c>
      <c r="O72" t="str">
        <f>INDEX('LIVE SOURCE'!$J$3:$J$225,$P72)</f>
        <v>Evidence is thinner than for established veterans, so camp, depth-chart and role news can move the grade materially.</v>
      </c>
      <c r="P72" s="6">
        <f>MATCH($A72,'Draft Engine'!$Q$3:$Q$225,0)</f>
        <v>110</v>
      </c>
    </row>
    <row r="73" spans="1:16" x14ac:dyDescent="0.25">
      <c r="A73">
        <f>71</f>
        <v>71</v>
      </c>
      <c r="B73" t="str">
        <f>INDEX('Draft Engine'!$A$3:$A$225,$P73)</f>
        <v>QB</v>
      </c>
      <c r="C73">
        <f>INDEX('Draft Engine'!$F$3:$F$225,$P73)</f>
        <v>10</v>
      </c>
      <c r="D73" t="str">
        <f>INDEX('Draft Engine'!$B$3:$B$225,$P73)</f>
        <v>Matthew Stafford</v>
      </c>
      <c r="E73" s="4">
        <f>INDEX('Draft Engine'!$E$3:$E$225,$P73)</f>
        <v>85.419700000000006</v>
      </c>
      <c r="F73" t="str">
        <f t="shared" si="1"/>
        <v>TIER 2</v>
      </c>
      <c r="G73" s="4">
        <f>INDEX('Draft Engine'!$G$3:$G$225,$P73)</f>
        <v>354.4</v>
      </c>
      <c r="H73" s="4">
        <f>INDEX('Draft Engine'!$J$3:$J$225,$P73)</f>
        <v>3.3</v>
      </c>
      <c r="I73" s="4">
        <f>INDEX('Draft Engine'!$N$3:$N$225,$P73)</f>
        <v>67.651758076923088</v>
      </c>
      <c r="J73" s="4">
        <f>INDEX('Draft Engine'!$R$3:$R$225,$P73)</f>
        <v>94</v>
      </c>
      <c r="K73" s="4">
        <f>INDEX('Draft Engine'!$S$3:$S$225,$P73)</f>
        <v>23</v>
      </c>
      <c r="L73" t="str">
        <f>INDEX('Draft Engine'!$T$3:$T$225,$P73)</f>
        <v>A</v>
      </c>
      <c r="M73" t="str">
        <f>INDEX('Draft Engine'!$X$3:$X$225,$P73)</f>
        <v>RATE-ADJUSTED VETERAN</v>
      </c>
      <c r="N73" t="str">
        <f>INDEX('LIVE SOURCE'!$H$3:$H$225,$P73)</f>
        <v>Low-end QB1/high-end QB2 in a 10-team league; startable most weeks.</v>
      </c>
      <c r="O73" t="str">
        <f>INDEX('LIVE SOURCE'!$J$3:$J$225,$P73)</f>
        <v>Passing-TD efficiency, rushing volume and supporting-cast health are the main swing factors.</v>
      </c>
      <c r="P73" s="6">
        <f>MATCH($A73,'Draft Engine'!$Q$3:$Q$225,0)</f>
        <v>10</v>
      </c>
    </row>
    <row r="74" spans="1:16" x14ac:dyDescent="0.25">
      <c r="A74">
        <f>72</f>
        <v>72</v>
      </c>
      <c r="B74" t="str">
        <f>INDEX('Draft Engine'!$A$3:$A$225,$P74)</f>
        <v>WR</v>
      </c>
      <c r="C74">
        <f>INDEX('Draft Engine'!$F$3:$F$225,$P74)</f>
        <v>26</v>
      </c>
      <c r="D74" t="str">
        <f>INDEX('Draft Engine'!$B$3:$B$225,$P74)</f>
        <v>Jordyn Tyson</v>
      </c>
      <c r="E74" s="4">
        <f>INDEX('Draft Engine'!$E$3:$E$225,$P74)</f>
        <v>76.22</v>
      </c>
      <c r="F74" t="str">
        <f t="shared" si="1"/>
        <v>TIER 4</v>
      </c>
      <c r="G74" s="4">
        <f>INDEX('Draft Engine'!$G$3:$G$225,$P74)</f>
        <v>250.1</v>
      </c>
      <c r="H74" s="4">
        <f>INDEX('Draft Engine'!$J$3:$J$225,$P74)</f>
        <v>10.8</v>
      </c>
      <c r="I74" s="4">
        <f>INDEX('Draft Engine'!$N$3:$N$225,$P74)</f>
        <v>67.031666666666666</v>
      </c>
      <c r="J74" s="4">
        <f>INDEX('Draft Engine'!$R$3:$R$225,$P74)</f>
        <v>135.6</v>
      </c>
      <c r="K74" s="4">
        <f>INDEX('Draft Engine'!$S$3:$S$225,$P74)</f>
        <v>63.599999999999994</v>
      </c>
      <c r="L74" t="str">
        <f>INDEX('Draft Engine'!$T$3:$T$225,$P74)</f>
        <v>C</v>
      </c>
      <c r="M74" t="str">
        <f>INDEX('Draft Engine'!$X$3:$X$225,$P74)</f>
        <v>HISTORY FALLBACK</v>
      </c>
      <c r="N74" t="str">
        <f>INDEX('LIVE SOURCE'!$H$3:$H$225,$P74)</f>
        <v>WR2/FLEX; dependable lineup option with matchup-driven ceiling.</v>
      </c>
      <c r="O74" t="str">
        <f>INDEX('LIVE SOURCE'!$J$3:$J$225,$P74)</f>
        <v>NFL translation and exact weekly role are the main variables; preseason first-team usage can move this rating quickly.</v>
      </c>
      <c r="P74" s="6">
        <f>MATCH($A74,'Draft Engine'!$Q$3:$Q$225,0)</f>
        <v>117</v>
      </c>
    </row>
    <row r="75" spans="1:16" x14ac:dyDescent="0.25">
      <c r="A75">
        <f>73</f>
        <v>73</v>
      </c>
      <c r="B75" t="str">
        <f>INDEX('Draft Engine'!$A$3:$A$225,$P75)</f>
        <v>RB</v>
      </c>
      <c r="C75">
        <f>INDEX('Draft Engine'!$F$3:$F$225,$P75)</f>
        <v>26</v>
      </c>
      <c r="D75" t="str">
        <f>INDEX('Draft Engine'!$B$3:$B$225,$P75)</f>
        <v>Jaylen Warren</v>
      </c>
      <c r="E75" s="4">
        <f>INDEX('Draft Engine'!$E$3:$E$225,$P75)</f>
        <v>76.091800000000006</v>
      </c>
      <c r="F75" t="str">
        <f t="shared" si="1"/>
        <v>TIER 4</v>
      </c>
      <c r="G75" s="4">
        <f>INDEX('Draft Engine'!$G$3:$G$225,$P75)</f>
        <v>249.6</v>
      </c>
      <c r="H75" s="4">
        <f>INDEX('Draft Engine'!$J$3:$J$225,$P75)</f>
        <v>10.6</v>
      </c>
      <c r="I75" s="4">
        <f>INDEX('Draft Engine'!$N$3:$N$225,$P75)</f>
        <v>67.024115000000009</v>
      </c>
      <c r="J75" s="4">
        <f>INDEX('Draft Engine'!$R$3:$R$225,$P75)</f>
        <v>107</v>
      </c>
      <c r="K75" s="4">
        <f>INDEX('Draft Engine'!$S$3:$S$225,$P75)</f>
        <v>34</v>
      </c>
      <c r="L75" t="str">
        <f>INDEX('Draft Engine'!$T$3:$T$225,$P75)</f>
        <v>A</v>
      </c>
      <c r="M75" t="str">
        <f>INDEX('Draft Engine'!$X$3:$X$225,$P75)</f>
        <v>RATE-ADJUSTED VETERAN</v>
      </c>
      <c r="N75" t="str">
        <f>INDEX('LIVE SOURCE'!$H$3:$H$225,$P75)</f>
        <v>RB2/FLEX; useful weekly but role and receiving volume matter.</v>
      </c>
      <c r="O75" t="str">
        <f>INDEX('LIVE SOURCE'!$J$3:$J$225,$P75)</f>
        <v>Touchdown variance, receiving-role changes and backfield competition are the main downside paths.</v>
      </c>
      <c r="P75" s="6">
        <f>MATCH($A75,'Draft Engine'!$Q$3:$Q$225,0)</f>
        <v>58</v>
      </c>
    </row>
    <row r="76" spans="1:16" x14ac:dyDescent="0.25">
      <c r="A76">
        <f>74</f>
        <v>74</v>
      </c>
      <c r="B76" t="str">
        <f>INDEX('Draft Engine'!$A$3:$A$225,$P76)</f>
        <v>TE</v>
      </c>
      <c r="C76">
        <f>INDEX('Draft Engine'!$F$3:$F$225,$P76)</f>
        <v>12</v>
      </c>
      <c r="D76" t="str">
        <f>INDEX('Draft Engine'!$B$3:$B$225,$P76)</f>
        <v>Travis Kelce</v>
      </c>
      <c r="E76" s="4">
        <f>INDEX('Draft Engine'!$E$3:$E$225,$P76)</f>
        <v>81.747799999999998</v>
      </c>
      <c r="F76" t="str">
        <f t="shared" si="1"/>
        <v>TIER 3</v>
      </c>
      <c r="G76" s="4">
        <f>INDEX('Draft Engine'!$G$3:$G$225,$P76)</f>
        <v>186.1</v>
      </c>
      <c r="H76" s="4">
        <f>INDEX('Draft Engine'!$J$3:$J$225,$P76)</f>
        <v>6.4</v>
      </c>
      <c r="I76" s="4">
        <f>INDEX('Draft Engine'!$N$3:$N$225,$P76)</f>
        <v>66.997905384615393</v>
      </c>
      <c r="J76" s="4">
        <f>INDEX('Draft Engine'!$R$3:$R$225,$P76)</f>
        <v>116</v>
      </c>
      <c r="K76" s="4">
        <f>INDEX('Draft Engine'!$S$3:$S$225,$P76)</f>
        <v>42</v>
      </c>
      <c r="L76" t="str">
        <f>INDEX('Draft Engine'!$T$3:$T$225,$P76)</f>
        <v>A</v>
      </c>
      <c r="M76" t="str">
        <f>INDEX('Draft Engine'!$X$3:$X$225,$P76)</f>
        <v>RATE-ADJUSTED VETERAN</v>
      </c>
      <c r="N76" t="str">
        <f>INDEX('LIVE SOURCE'!$H$3:$H$225,$P76)</f>
        <v>Low-end TE1; startable but replacement options remain close.</v>
      </c>
      <c r="O76" t="str">
        <f>INDEX('LIVE SOURCE'!$J$3:$J$225,$P76)</f>
        <v>Route share, target volume and touchdown volatility are the main swing factors.</v>
      </c>
      <c r="P76" s="6">
        <f>MATCH($A76,'Draft Engine'!$Q$3:$Q$225,0)</f>
        <v>164</v>
      </c>
    </row>
    <row r="77" spans="1:16" x14ac:dyDescent="0.25">
      <c r="A77">
        <f>75</f>
        <v>75</v>
      </c>
      <c r="B77" t="str">
        <f>INDEX('Draft Engine'!$A$3:$A$225,$P77)</f>
        <v>QB</v>
      </c>
      <c r="C77">
        <f>INDEX('Draft Engine'!$F$3:$F$225,$P77)</f>
        <v>11</v>
      </c>
      <c r="D77" t="str">
        <f>INDEX('Draft Engine'!$B$3:$B$225,$P77)</f>
        <v>Bo Nix</v>
      </c>
      <c r="E77" s="4">
        <f>INDEX('Draft Engine'!$E$3:$E$225,$P77)</f>
        <v>85.248500000000007</v>
      </c>
      <c r="F77" t="str">
        <f t="shared" si="1"/>
        <v>TIER 2</v>
      </c>
      <c r="G77" s="4">
        <f>INDEX('Draft Engine'!$G$3:$G$225,$P77)</f>
        <v>353.6</v>
      </c>
      <c r="H77" s="4">
        <f>INDEX('Draft Engine'!$J$3:$J$225,$P77)</f>
        <v>2.5</v>
      </c>
      <c r="I77" s="4">
        <f>INDEX('Draft Engine'!$N$3:$N$225,$P77)</f>
        <v>66.64436730769232</v>
      </c>
      <c r="J77" s="4">
        <f>INDEX('Draft Engine'!$R$3:$R$225,$P77)</f>
        <v>102</v>
      </c>
      <c r="K77" s="4">
        <f>INDEX('Draft Engine'!$S$3:$S$225,$P77)</f>
        <v>27</v>
      </c>
      <c r="L77" t="str">
        <f>INDEX('Draft Engine'!$T$3:$T$225,$P77)</f>
        <v>A</v>
      </c>
      <c r="M77" t="str">
        <f>INDEX('Draft Engine'!$X$3:$X$225,$P77)</f>
        <v>RATE-ADJUSTED VETERAN</v>
      </c>
      <c r="N77" t="str">
        <f>INDEX('LIVE SOURCE'!$H$3:$H$225,$P77)</f>
        <v>Low-end QB1/high-end QB2 in a 10-team league; startable most weeks.</v>
      </c>
      <c r="O77" t="str">
        <f>INDEX('LIVE SOURCE'!$J$3:$J$225,$P77)</f>
        <v>Passing-TD efficiency, rushing volume and supporting-cast health are the main swing factors.</v>
      </c>
      <c r="P77" s="6">
        <f>MATCH($A77,'Draft Engine'!$Q$3:$Q$225,0)</f>
        <v>11</v>
      </c>
    </row>
    <row r="78" spans="1:16" x14ac:dyDescent="0.25">
      <c r="A78">
        <f>76</f>
        <v>76</v>
      </c>
      <c r="B78" t="str">
        <f>INDEX('Draft Engine'!$A$3:$A$225,$P78)</f>
        <v>WR</v>
      </c>
      <c r="C78">
        <f>INDEX('Draft Engine'!$F$3:$F$225,$P78)</f>
        <v>27</v>
      </c>
      <c r="D78" t="str">
        <f>INDEX('Draft Engine'!$B$3:$B$225,$P78)</f>
        <v>Jameson Williams</v>
      </c>
      <c r="E78" s="4">
        <f>INDEX('Draft Engine'!$E$3:$E$225,$P78)</f>
        <v>76.0625</v>
      </c>
      <c r="F78" t="str">
        <f t="shared" si="1"/>
        <v>TIER 4</v>
      </c>
      <c r="G78" s="4">
        <f>INDEX('Draft Engine'!$G$3:$G$225,$P78)</f>
        <v>249.5</v>
      </c>
      <c r="H78" s="4">
        <f>INDEX('Draft Engine'!$J$3:$J$225,$P78)</f>
        <v>10.199999999999999</v>
      </c>
      <c r="I78" s="4">
        <f>INDEX('Draft Engine'!$N$3:$N$225,$P78)</f>
        <v>66.503708333333336</v>
      </c>
      <c r="J78" s="4">
        <f>INDEX('Draft Engine'!$R$3:$R$225,$P78)</f>
        <v>100.5</v>
      </c>
      <c r="K78" s="4">
        <f>INDEX('Draft Engine'!$S$3:$S$225,$P78)</f>
        <v>24.5</v>
      </c>
      <c r="L78" t="str">
        <f>INDEX('Draft Engine'!$T$3:$T$225,$P78)</f>
        <v>C</v>
      </c>
      <c r="M78" t="str">
        <f>INDEX('Draft Engine'!$X$3:$X$225,$P78)</f>
        <v>HISTORY FALLBACK</v>
      </c>
      <c r="N78" t="str">
        <f>INDEX('LIVE SOURCE'!$H$3:$H$225,$P78)</f>
        <v>WR2/FLEX; dependable lineup option with matchup-driven ceiling.</v>
      </c>
      <c r="O78" t="str">
        <f>INDEX('LIVE SOURCE'!$J$3:$J$225,$P78)</f>
        <v>Target competition, quarterback efficiency and touchdown regression are the main downside paths.</v>
      </c>
      <c r="P78" s="6">
        <f>MATCH($A78,'Draft Engine'!$Q$3:$Q$225,0)</f>
        <v>108</v>
      </c>
    </row>
    <row r="79" spans="1:16" x14ac:dyDescent="0.25">
      <c r="A79">
        <f>77</f>
        <v>77</v>
      </c>
      <c r="B79" t="str">
        <f>INDEX('Draft Engine'!$A$3:$A$225,$P79)</f>
        <v>RB</v>
      </c>
      <c r="C79">
        <f>INDEX('Draft Engine'!$F$3:$F$225,$P79)</f>
        <v>27</v>
      </c>
      <c r="D79" t="str">
        <f>INDEX('Draft Engine'!$B$3:$B$225,$P79)</f>
        <v>Rico Dowdle</v>
      </c>
      <c r="E79" s="4">
        <f>INDEX('Draft Engine'!$E$3:$E$225,$P79)</f>
        <v>75.785799999999995</v>
      </c>
      <c r="F79" t="str">
        <f t="shared" si="1"/>
        <v>TIER 4</v>
      </c>
      <c r="G79" s="4">
        <f>INDEX('Draft Engine'!$G$3:$G$225,$P79)</f>
        <v>248.3</v>
      </c>
      <c r="H79" s="4">
        <f>INDEX('Draft Engine'!$J$3:$J$225,$P79)</f>
        <v>9.3000000000000007</v>
      </c>
      <c r="I79" s="4">
        <f>INDEX('Draft Engine'!$N$3:$N$225,$P79)</f>
        <v>66.262439999999998</v>
      </c>
      <c r="J79" s="4">
        <f>INDEX('Draft Engine'!$R$3:$R$225,$P79)</f>
        <v>111.2</v>
      </c>
      <c r="K79" s="4">
        <f>INDEX('Draft Engine'!$S$3:$S$225,$P79)</f>
        <v>34.200000000000003</v>
      </c>
      <c r="L79" t="str">
        <f>INDEX('Draft Engine'!$T$3:$T$225,$P79)</f>
        <v>A</v>
      </c>
      <c r="M79" t="str">
        <f>INDEX('Draft Engine'!$X$3:$X$225,$P79)</f>
        <v>RATE-ADJUSTED VETERAN</v>
      </c>
      <c r="N79" t="str">
        <f>INDEX('LIVE SOURCE'!$H$3:$H$225,$P79)</f>
        <v>RB2/FLEX; useful weekly but role and receiving volume matter.</v>
      </c>
      <c r="O79" t="str">
        <f>INDEX('LIVE SOURCE'!$J$3:$J$225,$P79)</f>
        <v>Touchdown variance, receiving-role changes and backfield competition are the main downside paths.</v>
      </c>
      <c r="P79" s="6">
        <f>MATCH($A79,'Draft Engine'!$Q$3:$Q$225,0)</f>
        <v>59</v>
      </c>
    </row>
    <row r="80" spans="1:16" x14ac:dyDescent="0.25">
      <c r="A80">
        <f>78</f>
        <v>78</v>
      </c>
      <c r="B80" t="str">
        <f>INDEX('Draft Engine'!$A$3:$A$225,$P80)</f>
        <v>QB</v>
      </c>
      <c r="C80">
        <f>INDEX('Draft Engine'!$F$3:$F$225,$P80)</f>
        <v>12</v>
      </c>
      <c r="D80" t="str">
        <f>INDEX('Draft Engine'!$B$3:$B$225,$P80)</f>
        <v>Dak Prescott</v>
      </c>
      <c r="E80" s="4">
        <f>INDEX('Draft Engine'!$E$3:$E$225,$P80)</f>
        <v>85.115600000000001</v>
      </c>
      <c r="F80" t="str">
        <f t="shared" si="1"/>
        <v>TIER 2</v>
      </c>
      <c r="G80" s="4">
        <f>INDEX('Draft Engine'!$G$3:$G$225,$P80)</f>
        <v>353</v>
      </c>
      <c r="H80" s="4">
        <f>INDEX('Draft Engine'!$J$3:$J$225,$P80)</f>
        <v>1.9</v>
      </c>
      <c r="I80" s="4">
        <f>INDEX('Draft Engine'!$N$3:$N$225,$P80)</f>
        <v>65.694041538461533</v>
      </c>
      <c r="J80" s="4">
        <f>INDEX('Draft Engine'!$R$3:$R$225,$P80)</f>
        <v>110</v>
      </c>
      <c r="K80" s="4">
        <f>INDEX('Draft Engine'!$S$3:$S$225,$P80)</f>
        <v>32</v>
      </c>
      <c r="L80" t="str">
        <f>INDEX('Draft Engine'!$T$3:$T$225,$P80)</f>
        <v>A</v>
      </c>
      <c r="M80" t="str">
        <f>INDEX('Draft Engine'!$X$3:$X$225,$P80)</f>
        <v>RATE-ADJUSTED VETERAN</v>
      </c>
      <c r="N80" t="str">
        <f>INDEX('LIVE SOURCE'!$H$3:$H$225,$P80)</f>
        <v>Low-end QB1/high-end QB2 in a 10-team league; startable most weeks.</v>
      </c>
      <c r="O80" t="str">
        <f>INDEX('LIVE SOURCE'!$J$3:$J$225,$P80)</f>
        <v>Passing-TD efficiency, rushing volume and supporting-cast health are the main swing factors.</v>
      </c>
      <c r="P80" s="6">
        <f>MATCH($A80,'Draft Engine'!$Q$3:$Q$225,0)</f>
        <v>12</v>
      </c>
    </row>
    <row r="81" spans="1:16" x14ac:dyDescent="0.25">
      <c r="A81">
        <f>79</f>
        <v>79</v>
      </c>
      <c r="B81" t="str">
        <f>INDEX('Draft Engine'!$A$3:$A$225,$P81)</f>
        <v>WR</v>
      </c>
      <c r="C81">
        <f>INDEX('Draft Engine'!$F$3:$F$225,$P81)</f>
        <v>28</v>
      </c>
      <c r="D81" t="str">
        <f>INDEX('Draft Engine'!$B$3:$B$225,$P81)</f>
        <v>Michael Pittman Jr.</v>
      </c>
      <c r="E81" s="4">
        <f>INDEX('Draft Engine'!$E$3:$E$225,$P81)</f>
        <v>75.55</v>
      </c>
      <c r="F81" t="str">
        <f t="shared" si="1"/>
        <v>TIER 4</v>
      </c>
      <c r="G81" s="4">
        <f>INDEX('Draft Engine'!$G$3:$G$225,$P81)</f>
        <v>247.3</v>
      </c>
      <c r="H81" s="4">
        <f>INDEX('Draft Engine'!$J$3:$J$225,$P81)</f>
        <v>8</v>
      </c>
      <c r="I81" s="4">
        <f>INDEX('Draft Engine'!$N$3:$N$225,$P81)</f>
        <v>65.492500000000007</v>
      </c>
      <c r="J81" s="4">
        <f>INDEX('Draft Engine'!$R$3:$R$225,$P81)</f>
        <v>139.5</v>
      </c>
      <c r="K81" s="4">
        <f>INDEX('Draft Engine'!$S$3:$S$225,$P81)</f>
        <v>60.5</v>
      </c>
      <c r="L81" t="str">
        <f>INDEX('Draft Engine'!$T$3:$T$225,$P81)</f>
        <v>C</v>
      </c>
      <c r="M81" t="str">
        <f>INDEX('Draft Engine'!$X$3:$X$225,$P81)</f>
        <v>HISTORY FALLBACK</v>
      </c>
      <c r="N81" t="str">
        <f>INDEX('LIVE SOURCE'!$H$3:$H$225,$P81)</f>
        <v>WR2/FLEX; dependable lineup option with matchup-driven ceiling.</v>
      </c>
      <c r="O81" t="str">
        <f>INDEX('LIVE SOURCE'!$J$3:$J$225,$P81)</f>
        <v>Target competition, quarterback efficiency and touchdown regression are the main downside paths.</v>
      </c>
      <c r="P81" s="6">
        <f>MATCH($A81,'Draft Engine'!$Q$3:$Q$225,0)</f>
        <v>118</v>
      </c>
    </row>
    <row r="82" spans="1:16" x14ac:dyDescent="0.25">
      <c r="A82">
        <f>80</f>
        <v>80</v>
      </c>
      <c r="B82" t="str">
        <f>INDEX('Draft Engine'!$A$3:$A$225,$P82)</f>
        <v>WR</v>
      </c>
      <c r="C82">
        <f>INDEX('Draft Engine'!$F$3:$F$225,$P82)</f>
        <v>29</v>
      </c>
      <c r="D82" t="str">
        <f>INDEX('Draft Engine'!$B$3:$B$225,$P82)</f>
        <v>DJ Moore</v>
      </c>
      <c r="E82" s="4">
        <f>INDEX('Draft Engine'!$E$3:$E$225,$P82)</f>
        <v>75.48</v>
      </c>
      <c r="F82" t="str">
        <f t="shared" si="1"/>
        <v>TIER 4</v>
      </c>
      <c r="G82" s="4">
        <f>INDEX('Draft Engine'!$G$3:$G$225,$P82)</f>
        <v>247</v>
      </c>
      <c r="H82" s="4">
        <f>INDEX('Draft Engine'!$J$3:$J$225,$P82)</f>
        <v>7.7</v>
      </c>
      <c r="I82" s="4">
        <f>INDEX('Draft Engine'!$N$3:$N$225,$P82)</f>
        <v>65.066666666666677</v>
      </c>
      <c r="J82" s="4">
        <f>INDEX('Draft Engine'!$R$3:$R$225,$P82)</f>
        <v>96.6</v>
      </c>
      <c r="K82" s="4">
        <f>INDEX('Draft Engine'!$S$3:$S$225,$P82)</f>
        <v>16.599999999999994</v>
      </c>
      <c r="L82" t="str">
        <f>INDEX('Draft Engine'!$T$3:$T$225,$P82)</f>
        <v>C</v>
      </c>
      <c r="M82" t="str">
        <f>INDEX('Draft Engine'!$X$3:$X$225,$P82)</f>
        <v>HISTORY FALLBACK</v>
      </c>
      <c r="N82" t="str">
        <f>INDEX('LIVE SOURCE'!$H$3:$H$225,$P82)</f>
        <v>WR2/FLEX; dependable lineup option with matchup-driven ceiling.</v>
      </c>
      <c r="O82" t="str">
        <f>INDEX('LIVE SOURCE'!$J$3:$J$225,$P82)</f>
        <v>Target competition, quarterback efficiency and touchdown regression are the main downside paths.</v>
      </c>
      <c r="P82" s="6">
        <f>MATCH($A82,'Draft Engine'!$Q$3:$Q$225,0)</f>
        <v>107</v>
      </c>
    </row>
    <row r="83" spans="1:16" x14ac:dyDescent="0.25">
      <c r="A83">
        <f>81</f>
        <v>81</v>
      </c>
      <c r="B83" t="str">
        <f>INDEX('Draft Engine'!$A$3:$A$225,$P83)</f>
        <v>RB</v>
      </c>
      <c r="C83">
        <f>INDEX('Draft Engine'!$F$3:$F$225,$P83)</f>
        <v>28</v>
      </c>
      <c r="D83" t="str">
        <f>INDEX('Draft Engine'!$B$3:$B$225,$P83)</f>
        <v>Tony Pollard</v>
      </c>
      <c r="E83" s="4">
        <f>INDEX('Draft Engine'!$E$3:$E$225,$P83)</f>
        <v>75.098600000000005</v>
      </c>
      <c r="F83" t="str">
        <f t="shared" si="1"/>
        <v>TIER 4</v>
      </c>
      <c r="G83" s="4">
        <f>INDEX('Draft Engine'!$G$3:$G$225,$P83)</f>
        <v>245.4</v>
      </c>
      <c r="H83" s="4">
        <f>INDEX('Draft Engine'!$J$3:$J$225,$P83)</f>
        <v>6.4</v>
      </c>
      <c r="I83" s="4">
        <f>INDEX('Draft Engine'!$N$3:$N$225,$P83)</f>
        <v>65.003105000000005</v>
      </c>
      <c r="J83" s="4">
        <f>INDEX('Draft Engine'!$R$3:$R$225,$P83)</f>
        <v>115.4</v>
      </c>
      <c r="K83" s="4">
        <f>INDEX('Draft Engine'!$S$3:$S$225,$P83)</f>
        <v>34.400000000000006</v>
      </c>
      <c r="L83" t="str">
        <f>INDEX('Draft Engine'!$T$3:$T$225,$P83)</f>
        <v>A</v>
      </c>
      <c r="M83" t="str">
        <f>INDEX('Draft Engine'!$X$3:$X$225,$P83)</f>
        <v>RATE-ADJUSTED VETERAN</v>
      </c>
      <c r="N83" t="str">
        <f>INDEX('LIVE SOURCE'!$H$3:$H$225,$P83)</f>
        <v>RB2/FLEX; useful weekly but role and receiving volume matter.</v>
      </c>
      <c r="O83" t="str">
        <f>INDEX('LIVE SOURCE'!$J$3:$J$225,$P83)</f>
        <v>Touchdown variance, receiving-role changes and backfield competition are the main downside paths.</v>
      </c>
      <c r="P83" s="6">
        <f>MATCH($A83,'Draft Engine'!$Q$3:$Q$225,0)</f>
        <v>60</v>
      </c>
    </row>
    <row r="84" spans="1:16" x14ac:dyDescent="0.25">
      <c r="A84">
        <f>82</f>
        <v>82</v>
      </c>
      <c r="B84" t="str">
        <f>INDEX('Draft Engine'!$A$3:$A$225,$P84)</f>
        <v>QB</v>
      </c>
      <c r="C84">
        <f>INDEX('Draft Engine'!$F$3:$F$225,$P84)</f>
        <v>13</v>
      </c>
      <c r="D84" t="str">
        <f>INDEX('Draft Engine'!$B$3:$B$225,$P84)</f>
        <v>Trevor Lawrence</v>
      </c>
      <c r="E84" s="4">
        <f>INDEX('Draft Engine'!$E$3:$E$225,$P84)</f>
        <v>84.692099999999996</v>
      </c>
      <c r="F84" t="str">
        <f t="shared" si="1"/>
        <v>TIER 3</v>
      </c>
      <c r="G84" s="4">
        <f>INDEX('Draft Engine'!$G$3:$G$225,$P84)</f>
        <v>351.1</v>
      </c>
      <c r="H84" s="4">
        <f>INDEX('Draft Engine'!$J$3:$J$225,$P84)</f>
        <v>0</v>
      </c>
      <c r="I84" s="4">
        <f>INDEX('Draft Engine'!$N$3:$N$225,$P84)</f>
        <v>64.349885769230767</v>
      </c>
      <c r="J84" s="4">
        <f>INDEX('Draft Engine'!$R$3:$R$225,$P84)</f>
        <v>118</v>
      </c>
      <c r="K84" s="4">
        <f>INDEX('Draft Engine'!$S$3:$S$225,$P84)</f>
        <v>36</v>
      </c>
      <c r="L84" t="str">
        <f>INDEX('Draft Engine'!$T$3:$T$225,$P84)</f>
        <v>A</v>
      </c>
      <c r="M84" t="str">
        <f>INDEX('Draft Engine'!$X$3:$X$225,$P84)</f>
        <v>RATE-ADJUSTED VETERAN</v>
      </c>
      <c r="N84" t="str">
        <f>INDEX('LIVE SOURCE'!$H$3:$H$225,$P84)</f>
        <v>QB2/streaming tier; useful when matchup and supporting cast line up.</v>
      </c>
      <c r="O84" t="str">
        <f>INDEX('LIVE SOURCE'!$J$3:$J$225,$P84)</f>
        <v>Passing-TD efficiency, rushing volume and supporting-cast health are the main swing factors.</v>
      </c>
      <c r="P84" s="6">
        <f>MATCH($A84,'Draft Engine'!$Q$3:$Q$225,0)</f>
        <v>13</v>
      </c>
    </row>
    <row r="85" spans="1:16" x14ac:dyDescent="0.25">
      <c r="A85">
        <f>83</f>
        <v>83</v>
      </c>
      <c r="B85" t="str">
        <f>INDEX('Draft Engine'!$A$3:$A$225,$P85)</f>
        <v>TE</v>
      </c>
      <c r="C85">
        <f>INDEX('Draft Engine'!$F$3:$F$225,$P85)</f>
        <v>13</v>
      </c>
      <c r="D85" t="str">
        <f>INDEX('Draft Engine'!$B$3:$B$225,$P85)</f>
        <v>Dallas Goedert</v>
      </c>
      <c r="E85" s="4">
        <f>INDEX('Draft Engine'!$E$3:$E$225,$P85)</f>
        <v>79.918099999999995</v>
      </c>
      <c r="F85" t="str">
        <f t="shared" si="1"/>
        <v>TIER 4</v>
      </c>
      <c r="G85" s="4">
        <f>INDEX('Draft Engine'!$G$3:$G$225,$P85)</f>
        <v>179.7</v>
      </c>
      <c r="H85" s="4">
        <f>INDEX('Draft Engine'!$J$3:$J$225,$P85)</f>
        <v>0</v>
      </c>
      <c r="I85" s="4">
        <f>INDEX('Draft Engine'!$N$3:$N$225,$P85)</f>
        <v>64.147262692307692</v>
      </c>
      <c r="J85" s="4">
        <f>INDEX('Draft Engine'!$R$3:$R$225,$P85)</f>
        <v>125</v>
      </c>
      <c r="K85" s="4">
        <f>INDEX('Draft Engine'!$S$3:$S$225,$P85)</f>
        <v>42</v>
      </c>
      <c r="L85" t="str">
        <f>INDEX('Draft Engine'!$T$3:$T$225,$P85)</f>
        <v>A</v>
      </c>
      <c r="M85" t="str">
        <f>INDEX('Draft Engine'!$X$3:$X$225,$P85)</f>
        <v>RATE-ADJUSTED VETERAN</v>
      </c>
      <c r="N85" t="str">
        <f>INDEX('LIVE SOURCE'!$H$3:$H$225,$P85)</f>
        <v>Streaming/TE2 range; touchdown and route volume drive usefulness.</v>
      </c>
      <c r="O85" t="str">
        <f>INDEX('LIVE SOURCE'!$J$3:$J$225,$P85)</f>
        <v>Route share, target volume and touchdown volatility are the main swing factors.</v>
      </c>
      <c r="P85" s="6">
        <f>MATCH($A85,'Draft Engine'!$Q$3:$Q$225,0)</f>
        <v>165</v>
      </c>
    </row>
    <row r="86" spans="1:16" x14ac:dyDescent="0.25">
      <c r="A86">
        <f>84</f>
        <v>84</v>
      </c>
      <c r="B86" t="str">
        <f>INDEX('Draft Engine'!$A$3:$A$225,$P86)</f>
        <v>RB</v>
      </c>
      <c r="C86">
        <f>INDEX('Draft Engine'!$F$3:$F$225,$P86)</f>
        <v>29</v>
      </c>
      <c r="D86" t="str">
        <f>INDEX('Draft Engine'!$B$3:$B$225,$P86)</f>
        <v>Rhamondre Stevenson</v>
      </c>
      <c r="E86" s="4">
        <f>INDEX('Draft Engine'!$E$3:$E$225,$P86)</f>
        <v>74.588099999999997</v>
      </c>
      <c r="F86" t="str">
        <f t="shared" si="1"/>
        <v>TIER 5</v>
      </c>
      <c r="G86" s="4">
        <f>INDEX('Draft Engine'!$G$3:$G$225,$P86)</f>
        <v>243.3</v>
      </c>
      <c r="H86" s="4">
        <f>INDEX('Draft Engine'!$J$3:$J$225,$P86)</f>
        <v>4.3</v>
      </c>
      <c r="I86" s="4">
        <f>INDEX('Draft Engine'!$N$3:$N$225,$P86)</f>
        <v>63.984954999999999</v>
      </c>
      <c r="J86" s="4">
        <f>INDEX('Draft Engine'!$R$3:$R$225,$P86)</f>
        <v>119.6</v>
      </c>
      <c r="K86" s="4">
        <f>INDEX('Draft Engine'!$S$3:$S$225,$P86)</f>
        <v>35.599999999999994</v>
      </c>
      <c r="L86" t="str">
        <f>INDEX('Draft Engine'!$T$3:$T$225,$P86)</f>
        <v>A</v>
      </c>
      <c r="M86" t="str">
        <f>INDEX('Draft Engine'!$X$3:$X$225,$P86)</f>
        <v>RATE-ADJUSTED VETERAN</v>
      </c>
      <c r="N86" t="str">
        <f>INDEX('LIVE SOURCE'!$H$3:$H$225,$P86)</f>
        <v>RB2/FLEX; useful weekly but role and receiving volume matter.</v>
      </c>
      <c r="O86" t="str">
        <f>INDEX('LIVE SOURCE'!$J$3:$J$225,$P86)</f>
        <v>Touchdown variance, receiving-role changes and backfield competition are the main downside paths.</v>
      </c>
      <c r="P86" s="6">
        <f>MATCH($A86,'Draft Engine'!$Q$3:$Q$225,0)</f>
        <v>61</v>
      </c>
    </row>
    <row r="87" spans="1:16" x14ac:dyDescent="0.25">
      <c r="A87">
        <f>85</f>
        <v>85</v>
      </c>
      <c r="B87" t="str">
        <f>INDEX('Draft Engine'!$A$3:$A$225,$P87)</f>
        <v>WR</v>
      </c>
      <c r="C87">
        <f>INDEX('Draft Engine'!$F$3:$F$225,$P87)</f>
        <v>30</v>
      </c>
      <c r="D87" t="str">
        <f>INDEX('Draft Engine'!$B$3:$B$225,$P87)</f>
        <v>Jakobi Meyers</v>
      </c>
      <c r="E87" s="4">
        <f>INDEX('Draft Engine'!$E$3:$E$225,$P87)</f>
        <v>74.88</v>
      </c>
      <c r="F87" t="str">
        <f t="shared" si="1"/>
        <v>TIER 5</v>
      </c>
      <c r="G87" s="4">
        <f>INDEX('Draft Engine'!$G$3:$G$225,$P87)</f>
        <v>244.5</v>
      </c>
      <c r="H87" s="4">
        <f>INDEX('Draft Engine'!$J$3:$J$225,$P87)</f>
        <v>5.2</v>
      </c>
      <c r="I87" s="4">
        <f>INDEX('Draft Engine'!$N$3:$N$225,$P87)</f>
        <v>63.953333333333333</v>
      </c>
      <c r="J87" s="4">
        <f>INDEX('Draft Engine'!$R$3:$R$225,$P87)</f>
        <v>143.4</v>
      </c>
      <c r="K87" s="4">
        <f>INDEX('Draft Engine'!$S$3:$S$225,$P87)</f>
        <v>58.400000000000006</v>
      </c>
      <c r="L87" t="str">
        <f>INDEX('Draft Engine'!$T$3:$T$225,$P87)</f>
        <v>C</v>
      </c>
      <c r="M87" t="str">
        <f>INDEX('Draft Engine'!$X$3:$X$225,$P87)</f>
        <v>HISTORY FALLBACK</v>
      </c>
      <c r="N87" t="str">
        <f>INDEX('LIVE SOURCE'!$H$3:$H$225,$P87)</f>
        <v>WR2/FLEX; dependable lineup option with matchup-driven ceiling.</v>
      </c>
      <c r="O87" t="str">
        <f>INDEX('LIVE SOURCE'!$J$3:$J$225,$P87)</f>
        <v>Target competition, quarterback efficiency and touchdown regression are the main downside paths.</v>
      </c>
      <c r="P87" s="6">
        <f>MATCH($A87,'Draft Engine'!$Q$3:$Q$225,0)</f>
        <v>119</v>
      </c>
    </row>
    <row r="88" spans="1:16" x14ac:dyDescent="0.25">
      <c r="A88">
        <f>86</f>
        <v>86</v>
      </c>
      <c r="B88" t="str">
        <f>INDEX('Draft Engine'!$A$3:$A$225,$P88)</f>
        <v>RB</v>
      </c>
      <c r="C88">
        <f>INDEX('Draft Engine'!$F$3:$F$225,$P88)</f>
        <v>30</v>
      </c>
      <c r="D88" t="str">
        <f>INDEX('Draft Engine'!$B$3:$B$225,$P88)</f>
        <v>Kenneth Gainwell</v>
      </c>
      <c r="E88" s="4">
        <f>INDEX('Draft Engine'!$E$3:$E$225,$P88)</f>
        <v>74.504900000000006</v>
      </c>
      <c r="F88" t="str">
        <f t="shared" si="1"/>
        <v>TIER 5</v>
      </c>
      <c r="G88" s="4">
        <f>INDEX('Draft Engine'!$G$3:$G$225,$P88)</f>
        <v>242.9</v>
      </c>
      <c r="H88" s="4">
        <f>INDEX('Draft Engine'!$J$3:$J$225,$P88)</f>
        <v>3.9</v>
      </c>
      <c r="I88" s="4">
        <f>INDEX('Draft Engine'!$N$3:$N$225,$P88)</f>
        <v>63.507820000000002</v>
      </c>
      <c r="J88" s="4">
        <f>INDEX('Draft Engine'!$R$3:$R$225,$P88)</f>
        <v>123.8</v>
      </c>
      <c r="K88" s="4">
        <f>INDEX('Draft Engine'!$S$3:$S$225,$P88)</f>
        <v>37.799999999999997</v>
      </c>
      <c r="L88" t="str">
        <f>INDEX('Draft Engine'!$T$3:$T$225,$P88)</f>
        <v>A</v>
      </c>
      <c r="M88" t="str">
        <f>INDEX('Draft Engine'!$X$3:$X$225,$P88)</f>
        <v>RATE-ADJUSTED VETERAN</v>
      </c>
      <c r="N88" t="str">
        <f>INDEX('LIVE SOURCE'!$H$3:$H$225,$P88)</f>
        <v>RB2/FLEX; useful weekly but role and receiving volume matter.</v>
      </c>
      <c r="O88" t="str">
        <f>INDEX('LIVE SOURCE'!$J$3:$J$225,$P88)</f>
        <v>Touchdown variance, receiving-role changes and backfield competition are the main downside paths.</v>
      </c>
      <c r="P88" s="6">
        <f>MATCH($A88,'Draft Engine'!$Q$3:$Q$225,0)</f>
        <v>62</v>
      </c>
    </row>
    <row r="89" spans="1:16" x14ac:dyDescent="0.25">
      <c r="A89">
        <f>87</f>
        <v>87</v>
      </c>
      <c r="B89" t="str">
        <f>INDEX('Draft Engine'!$A$3:$A$225,$P89)</f>
        <v>RB</v>
      </c>
      <c r="C89">
        <f>INDEX('Draft Engine'!$F$3:$F$225,$P89)</f>
        <v>31</v>
      </c>
      <c r="D89" t="str">
        <f>INDEX('Draft Engine'!$B$3:$B$225,$P89)</f>
        <v>Bhayshul Tuten</v>
      </c>
      <c r="E89" s="4">
        <f>INDEX('Draft Engine'!$E$3:$E$225,$P89)</f>
        <v>74.467699999999994</v>
      </c>
      <c r="F89" t="str">
        <f t="shared" si="1"/>
        <v>TIER 5</v>
      </c>
      <c r="G89" s="4">
        <f>INDEX('Draft Engine'!$G$3:$G$225,$P89)</f>
        <v>242.8</v>
      </c>
      <c r="H89" s="4">
        <f>INDEX('Draft Engine'!$J$3:$J$225,$P89)</f>
        <v>3.8</v>
      </c>
      <c r="I89" s="4">
        <f>INDEX('Draft Engine'!$N$3:$N$225,$P89)</f>
        <v>63.109984999999995</v>
      </c>
      <c r="J89" s="4">
        <f>INDEX('Draft Engine'!$R$3:$R$225,$P89)</f>
        <v>128</v>
      </c>
      <c r="K89" s="4">
        <f>INDEX('Draft Engine'!$S$3:$S$225,$P89)</f>
        <v>41</v>
      </c>
      <c r="L89" t="str">
        <f>INDEX('Draft Engine'!$T$3:$T$225,$P89)</f>
        <v>A</v>
      </c>
      <c r="M89" t="str">
        <f>INDEX('Draft Engine'!$X$3:$X$225,$P89)</f>
        <v>RATE-ADJUSTED VETERAN</v>
      </c>
      <c r="N89" t="str">
        <f>INDEX('LIVE SOURCE'!$H$3:$H$225,$P89)</f>
        <v>FLEX/bench depth with upside if workload grows.</v>
      </c>
      <c r="O89" t="str">
        <f>INDEX('LIVE SOURCE'!$J$3:$J$225,$P89)</f>
        <v>Touchdown variance, receiving-role changes and backfield competition are the main downside paths.</v>
      </c>
      <c r="P89" s="6">
        <f>MATCH($A89,'Draft Engine'!$Q$3:$Q$225,0)</f>
        <v>63</v>
      </c>
    </row>
    <row r="90" spans="1:16" x14ac:dyDescent="0.25">
      <c r="A90">
        <f>88</f>
        <v>88</v>
      </c>
      <c r="B90" t="str">
        <f>INDEX('Draft Engine'!$A$3:$A$225,$P90)</f>
        <v>WR</v>
      </c>
      <c r="C90">
        <f>INDEX('Draft Engine'!$F$3:$F$225,$P90)</f>
        <v>31</v>
      </c>
      <c r="D90" t="str">
        <f>INDEX('Draft Engine'!$B$3:$B$225,$P90)</f>
        <v>Jordan Addison</v>
      </c>
      <c r="E90" s="4">
        <f>INDEX('Draft Engine'!$E$3:$E$225,$P90)</f>
        <v>74.209999999999994</v>
      </c>
      <c r="F90" t="str">
        <f t="shared" si="1"/>
        <v>TIER 5</v>
      </c>
      <c r="G90" s="4">
        <f>INDEX('Draft Engine'!$G$3:$G$225,$P90)</f>
        <v>241.7</v>
      </c>
      <c r="H90" s="4">
        <f>INDEX('Draft Engine'!$J$3:$J$225,$P90)</f>
        <v>2.4</v>
      </c>
      <c r="I90" s="4">
        <f>INDEX('Draft Engine'!$N$3:$N$225,$P90)</f>
        <v>62.747500000000002</v>
      </c>
      <c r="J90" s="4">
        <f>INDEX('Draft Engine'!$R$3:$R$225,$P90)</f>
        <v>147.30000000000001</v>
      </c>
      <c r="K90" s="4">
        <f>INDEX('Draft Engine'!$S$3:$S$225,$P90)</f>
        <v>59.300000000000011</v>
      </c>
      <c r="L90" t="str">
        <f>INDEX('Draft Engine'!$T$3:$T$225,$P90)</f>
        <v>C</v>
      </c>
      <c r="M90" t="str">
        <f>INDEX('Draft Engine'!$X$3:$X$225,$P90)</f>
        <v>HISTORY FALLBACK</v>
      </c>
      <c r="N90" t="str">
        <f>INDEX('LIVE SOURCE'!$H$3:$H$225,$P90)</f>
        <v>WR2/FLEX; dependable lineup option with matchup-driven ceiling.</v>
      </c>
      <c r="O90" t="str">
        <f>INDEX('LIVE SOURCE'!$J$3:$J$225,$P90)</f>
        <v>Target competition, quarterback efficiency and touchdown regression are the main downside paths.</v>
      </c>
      <c r="P90" s="6">
        <f>MATCH($A90,'Draft Engine'!$Q$3:$Q$225,0)</f>
        <v>120</v>
      </c>
    </row>
    <row r="91" spans="1:16" x14ac:dyDescent="0.25">
      <c r="A91">
        <f>89</f>
        <v>89</v>
      </c>
      <c r="B91" t="str">
        <f>INDEX('Draft Engine'!$A$3:$A$225,$P91)</f>
        <v>TE</v>
      </c>
      <c r="C91">
        <f>INDEX('Draft Engine'!$F$3:$F$225,$P91)</f>
        <v>14</v>
      </c>
      <c r="D91" t="str">
        <f>INDEX('Draft Engine'!$B$3:$B$225,$P91)</f>
        <v>Mark Andrews</v>
      </c>
      <c r="E91" s="4">
        <f>INDEX('Draft Engine'!$E$3:$E$225,$P91)</f>
        <v>79.065399999999997</v>
      </c>
      <c r="F91" t="str">
        <f t="shared" si="1"/>
        <v>TIER 4</v>
      </c>
      <c r="G91" s="4">
        <f>INDEX('Draft Engine'!$G$3:$G$225,$P91)</f>
        <v>176.7</v>
      </c>
      <c r="H91" s="4">
        <f>INDEX('Draft Engine'!$J$3:$J$225,$P91)</f>
        <v>-3</v>
      </c>
      <c r="I91" s="4">
        <f>INDEX('Draft Engine'!$N$3:$N$225,$P91)</f>
        <v>62.445970000000003</v>
      </c>
      <c r="J91" s="4">
        <f>INDEX('Draft Engine'!$R$3:$R$225,$P91)</f>
        <v>134</v>
      </c>
      <c r="K91" s="4">
        <f>INDEX('Draft Engine'!$S$3:$S$225,$P91)</f>
        <v>45</v>
      </c>
      <c r="L91" t="str">
        <f>INDEX('Draft Engine'!$T$3:$T$225,$P91)</f>
        <v>A</v>
      </c>
      <c r="M91" t="str">
        <f>INDEX('Draft Engine'!$X$3:$X$225,$P91)</f>
        <v>RATE-ADJUSTED VETERAN</v>
      </c>
      <c r="N91" t="str">
        <f>INDEX('LIVE SOURCE'!$H$3:$H$225,$P91)</f>
        <v>Streaming/TE2 range; touchdown and route volume drive usefulness.</v>
      </c>
      <c r="O91" t="str">
        <f>INDEX('LIVE SOURCE'!$J$3:$J$225,$P91)</f>
        <v>Route share, target volume and touchdown volatility are the main swing factors.</v>
      </c>
      <c r="P91" s="6">
        <f>MATCH($A91,'Draft Engine'!$Q$3:$Q$225,0)</f>
        <v>166</v>
      </c>
    </row>
    <row r="92" spans="1:16" x14ac:dyDescent="0.25">
      <c r="A92">
        <f>90</f>
        <v>90</v>
      </c>
      <c r="B92" t="str">
        <f>INDEX('Draft Engine'!$A$3:$A$225,$P92)</f>
        <v>QB</v>
      </c>
      <c r="C92">
        <f>INDEX('Draft Engine'!$F$3:$F$225,$P92)</f>
        <v>14</v>
      </c>
      <c r="D92" t="str">
        <f>INDEX('Draft Engine'!$B$3:$B$225,$P92)</f>
        <v>Brock Purdy</v>
      </c>
      <c r="E92" s="4">
        <f>INDEX('Draft Engine'!$E$3:$E$225,$P92)</f>
        <v>83.8386</v>
      </c>
      <c r="F92" t="str">
        <f t="shared" si="1"/>
        <v>TIER 3</v>
      </c>
      <c r="G92" s="4">
        <f>INDEX('Draft Engine'!$G$3:$G$225,$P92)</f>
        <v>347.3</v>
      </c>
      <c r="H92" s="4">
        <f>INDEX('Draft Engine'!$J$3:$J$225,$P92)</f>
        <v>-3.8</v>
      </c>
      <c r="I92" s="4">
        <f>INDEX('Draft Engine'!$N$3:$N$225,$P92)</f>
        <v>62.427230000000009</v>
      </c>
      <c r="J92" s="4">
        <f>INDEX('Draft Engine'!$R$3:$R$225,$P92)</f>
        <v>126</v>
      </c>
      <c r="K92" s="4">
        <f>INDEX('Draft Engine'!$S$3:$S$225,$P92)</f>
        <v>36</v>
      </c>
      <c r="L92" t="str">
        <f>INDEX('Draft Engine'!$T$3:$T$225,$P92)</f>
        <v>B</v>
      </c>
      <c r="M92" t="str">
        <f>INDEX('Draft Engine'!$X$3:$X$225,$P92)</f>
        <v>RATE-ADJUSTED VETERAN</v>
      </c>
      <c r="N92" t="str">
        <f>INDEX('LIVE SOURCE'!$H$3:$H$225,$P92)</f>
        <v>QB2/streaming tier; useful when matchup and supporting cast line up.</v>
      </c>
      <c r="O92" t="str">
        <f>INDEX('LIVE SOURCE'!$J$3:$J$225,$P92)</f>
        <v>Availability/sample risk is elevated after only 9 games; talent is not being punished as heavily as durability.</v>
      </c>
      <c r="P92" s="6">
        <f>MATCH($A92,'Draft Engine'!$Q$3:$Q$225,0)</f>
        <v>14</v>
      </c>
    </row>
    <row r="93" spans="1:16" x14ac:dyDescent="0.25">
      <c r="A93">
        <f>91</f>
        <v>91</v>
      </c>
      <c r="B93" t="str">
        <f>INDEX('Draft Engine'!$A$3:$A$225,$P93)</f>
        <v>WR</v>
      </c>
      <c r="C93">
        <f>INDEX('Draft Engine'!$F$3:$F$225,$P93)</f>
        <v>32</v>
      </c>
      <c r="D93" t="str">
        <f>INDEX('Draft Engine'!$B$3:$B$225,$P93)</f>
        <v>Christian Watson</v>
      </c>
      <c r="E93" s="4">
        <f>INDEX('Draft Engine'!$E$3:$E$225,$P93)</f>
        <v>73.892499999999998</v>
      </c>
      <c r="F93" t="str">
        <f t="shared" si="1"/>
        <v>TIER 5</v>
      </c>
      <c r="G93" s="4">
        <f>INDEX('Draft Engine'!$G$3:$G$225,$P93)</f>
        <v>240.3</v>
      </c>
      <c r="H93" s="4">
        <f>INDEX('Draft Engine'!$J$3:$J$225,$P93)</f>
        <v>1</v>
      </c>
      <c r="I93" s="4">
        <f>INDEX('Draft Engine'!$N$3:$N$225,$P93)</f>
        <v>61.987541666666665</v>
      </c>
      <c r="J93" s="4">
        <f>INDEX('Draft Engine'!$R$3:$R$225,$P93)</f>
        <v>116.1</v>
      </c>
      <c r="K93" s="4">
        <f>INDEX('Draft Engine'!$S$3:$S$225,$P93)</f>
        <v>25.099999999999994</v>
      </c>
      <c r="L93" t="str">
        <f>INDEX('Draft Engine'!$T$3:$T$225,$P93)</f>
        <v>C</v>
      </c>
      <c r="M93" t="str">
        <f>INDEX('Draft Engine'!$X$3:$X$225,$P93)</f>
        <v>HISTORY FALLBACK</v>
      </c>
      <c r="N93" t="str">
        <f>INDEX('LIVE SOURCE'!$H$3:$H$225,$P93)</f>
        <v>WR2/FLEX; dependable lineup option with matchup-driven ceiling.</v>
      </c>
      <c r="O93" t="str">
        <f>INDEX('LIVE SOURCE'!$J$3:$J$225,$P93)</f>
        <v>Target competition, quarterback efficiency and touchdown regression are the main downside paths.</v>
      </c>
      <c r="P93" s="6">
        <f>MATCH($A93,'Draft Engine'!$Q$3:$Q$225,0)</f>
        <v>112</v>
      </c>
    </row>
    <row r="94" spans="1:16" x14ac:dyDescent="0.25">
      <c r="A94">
        <f>92</f>
        <v>92</v>
      </c>
      <c r="B94" t="str">
        <f>INDEX('Draft Engine'!$A$3:$A$225,$P94)</f>
        <v>RB</v>
      </c>
      <c r="C94">
        <f>INDEX('Draft Engine'!$F$3:$F$225,$P94)</f>
        <v>32</v>
      </c>
      <c r="D94" t="str">
        <f>INDEX('Draft Engine'!$B$3:$B$225,$P94)</f>
        <v>RJ Harvey</v>
      </c>
      <c r="E94" s="4">
        <f>INDEX('Draft Engine'!$E$3:$E$225,$P94)</f>
        <v>73.567800000000005</v>
      </c>
      <c r="F94" t="str">
        <f t="shared" si="1"/>
        <v>TIER 5</v>
      </c>
      <c r="G94" s="4">
        <f>INDEX('Draft Engine'!$G$3:$G$225,$P94)</f>
        <v>239</v>
      </c>
      <c r="H94" s="4">
        <f>INDEX('Draft Engine'!$J$3:$J$225,$P94)</f>
        <v>0</v>
      </c>
      <c r="I94" s="4">
        <f>INDEX('Draft Engine'!$N$3:$N$225,$P94)</f>
        <v>61.571665000000003</v>
      </c>
      <c r="J94" s="4">
        <f>INDEX('Draft Engine'!$R$3:$R$225,$P94)</f>
        <v>132.19999999999999</v>
      </c>
      <c r="K94" s="4">
        <f>INDEX('Draft Engine'!$S$3:$S$225,$P94)</f>
        <v>40.199999999999989</v>
      </c>
      <c r="L94" t="str">
        <f>INDEX('Draft Engine'!$T$3:$T$225,$P94)</f>
        <v>A</v>
      </c>
      <c r="M94" t="str">
        <f>INDEX('Draft Engine'!$X$3:$X$225,$P94)</f>
        <v>RATE-ADJUSTED VETERAN</v>
      </c>
      <c r="N94" t="str">
        <f>INDEX('LIVE SOURCE'!$H$3:$H$225,$P94)</f>
        <v>FLEX/bench depth with upside if workload grows.</v>
      </c>
      <c r="O94" t="str">
        <f>INDEX('LIVE SOURCE'!$J$3:$J$225,$P94)</f>
        <v>Touchdown variance, receiving-role changes and backfield competition are the main downside paths.</v>
      </c>
      <c r="P94" s="6">
        <f>MATCH($A94,'Draft Engine'!$Q$3:$Q$225,0)</f>
        <v>64</v>
      </c>
    </row>
    <row r="95" spans="1:16" x14ac:dyDescent="0.25">
      <c r="A95">
        <f>93</f>
        <v>93</v>
      </c>
      <c r="B95" t="str">
        <f>INDEX('Draft Engine'!$A$3:$A$225,$P95)</f>
        <v>WR</v>
      </c>
      <c r="C95">
        <f>INDEX('Draft Engine'!$F$3:$F$225,$P95)</f>
        <v>33</v>
      </c>
      <c r="D95" t="str">
        <f>INDEX('Draft Engine'!$B$3:$B$225,$P95)</f>
        <v>Rome Odunze</v>
      </c>
      <c r="E95" s="4">
        <f>INDEX('Draft Engine'!$E$3:$E$225,$P95)</f>
        <v>73.644999999999996</v>
      </c>
      <c r="F95" t="str">
        <f t="shared" si="1"/>
        <v>TIER 5</v>
      </c>
      <c r="G95" s="4">
        <f>INDEX('Draft Engine'!$G$3:$G$225,$P95)</f>
        <v>239.3</v>
      </c>
      <c r="H95" s="4">
        <f>INDEX('Draft Engine'!$J$3:$J$225,$P95)</f>
        <v>0</v>
      </c>
      <c r="I95" s="4">
        <f>INDEX('Draft Engine'!$N$3:$N$225,$P95)</f>
        <v>61.338083333333337</v>
      </c>
      <c r="J95" s="4">
        <f>INDEX('Draft Engine'!$R$3:$R$225,$P95)</f>
        <v>104.4</v>
      </c>
      <c r="K95" s="4">
        <f>INDEX('Draft Engine'!$S$3:$S$225,$P95)</f>
        <v>11.400000000000006</v>
      </c>
      <c r="L95" t="str">
        <f>INDEX('Draft Engine'!$T$3:$T$225,$P95)</f>
        <v>C</v>
      </c>
      <c r="M95" t="str">
        <f>INDEX('Draft Engine'!$X$3:$X$225,$P95)</f>
        <v>HISTORY FALLBACK</v>
      </c>
      <c r="N95" t="str">
        <f>INDEX('LIVE SOURCE'!$H$3:$H$225,$P95)</f>
        <v>WR2/FLEX; dependable lineup option with matchup-driven ceiling.</v>
      </c>
      <c r="O95" t="str">
        <f>INDEX('LIVE SOURCE'!$J$3:$J$225,$P95)</f>
        <v>Target competition, quarterback efficiency and touchdown regression are the main downside paths.</v>
      </c>
      <c r="P95" s="6">
        <f>MATCH($A95,'Draft Engine'!$Q$3:$Q$225,0)</f>
        <v>109</v>
      </c>
    </row>
    <row r="96" spans="1:16" x14ac:dyDescent="0.25">
      <c r="A96">
        <f>94</f>
        <v>94</v>
      </c>
      <c r="B96" t="str">
        <f>INDEX('Draft Engine'!$A$3:$A$225,$P96)</f>
        <v>TE</v>
      </c>
      <c r="C96">
        <f>INDEX('Draft Engine'!$F$3:$F$225,$P96)</f>
        <v>15</v>
      </c>
      <c r="D96" t="str">
        <f>INDEX('Draft Engine'!$B$3:$B$225,$P96)</f>
        <v>Isaiah Likely</v>
      </c>
      <c r="E96" s="4">
        <f>INDEX('Draft Engine'!$E$3:$E$225,$P96)</f>
        <v>78.579499999999996</v>
      </c>
      <c r="F96" t="str">
        <f t="shared" si="1"/>
        <v>TIER 4</v>
      </c>
      <c r="G96" s="4">
        <f>INDEX('Draft Engine'!$G$3:$G$225,$P96)</f>
        <v>175</v>
      </c>
      <c r="H96" s="4">
        <f>INDEX('Draft Engine'!$J$3:$J$225,$P96)</f>
        <v>-4.7</v>
      </c>
      <c r="I96" s="4">
        <f>INDEX('Draft Engine'!$N$3:$N$225,$P96)</f>
        <v>61.180417307692309</v>
      </c>
      <c r="J96" s="4">
        <f>INDEX('Draft Engine'!$R$3:$R$225,$P96)</f>
        <v>143</v>
      </c>
      <c r="K96" s="4">
        <f>INDEX('Draft Engine'!$S$3:$S$225,$P96)</f>
        <v>49</v>
      </c>
      <c r="L96" t="str">
        <f>INDEX('Draft Engine'!$T$3:$T$225,$P96)</f>
        <v>A</v>
      </c>
      <c r="M96" t="str">
        <f>INDEX('Draft Engine'!$X$3:$X$225,$P96)</f>
        <v>RATE-ADJUSTED VETERAN</v>
      </c>
      <c r="N96" t="str">
        <f>INDEX('LIVE SOURCE'!$H$3:$H$225,$P96)</f>
        <v>Streaming/TE2 range; touchdown and route volume drive usefulness.</v>
      </c>
      <c r="O96" t="str">
        <f>INDEX('LIVE SOURCE'!$J$3:$J$225,$P96)</f>
        <v>Route share, target volume and touchdown volatility are the main swing factors.</v>
      </c>
      <c r="P96" s="6">
        <f>MATCH($A96,'Draft Engine'!$Q$3:$Q$225,0)</f>
        <v>167</v>
      </c>
    </row>
    <row r="97" spans="1:16" x14ac:dyDescent="0.25">
      <c r="A97">
        <f>95</f>
        <v>95</v>
      </c>
      <c r="B97" t="str">
        <f>INDEX('Draft Engine'!$A$3:$A$225,$P97)</f>
        <v>WR</v>
      </c>
      <c r="C97">
        <f>INDEX('Draft Engine'!$F$3:$F$225,$P97)</f>
        <v>34</v>
      </c>
      <c r="D97" t="str">
        <f>INDEX('Draft Engine'!$B$3:$B$225,$P97)</f>
        <v>Wan'Dale Robinson</v>
      </c>
      <c r="E97" s="4">
        <f>INDEX('Draft Engine'!$E$3:$E$225,$P97)</f>
        <v>73.540000000000006</v>
      </c>
      <c r="F97" t="str">
        <f t="shared" si="1"/>
        <v>TIER 5</v>
      </c>
      <c r="G97" s="4">
        <f>INDEX('Draft Engine'!$G$3:$G$225,$P97)</f>
        <v>238.9</v>
      </c>
      <c r="H97" s="4">
        <f>INDEX('Draft Engine'!$J$3:$J$225,$P97)</f>
        <v>-0.4</v>
      </c>
      <c r="I97" s="4">
        <f>INDEX('Draft Engine'!$N$3:$N$225,$P97)</f>
        <v>60.875000000000007</v>
      </c>
      <c r="J97" s="4">
        <f>INDEX('Draft Engine'!$R$3:$R$225,$P97)</f>
        <v>151.19999999999999</v>
      </c>
      <c r="K97" s="4">
        <f>INDEX('Draft Engine'!$S$3:$S$225,$P97)</f>
        <v>56.199999999999989</v>
      </c>
      <c r="L97" t="str">
        <f>INDEX('Draft Engine'!$T$3:$T$225,$P97)</f>
        <v>C</v>
      </c>
      <c r="M97" t="str">
        <f>INDEX('Draft Engine'!$X$3:$X$225,$P97)</f>
        <v>HISTORY FALLBACK</v>
      </c>
      <c r="N97" t="str">
        <f>INDEX('LIVE SOURCE'!$H$3:$H$225,$P97)</f>
        <v>WR2/FLEX; dependable lineup option with matchup-driven ceiling.</v>
      </c>
      <c r="O97" t="str">
        <f>INDEX('LIVE SOURCE'!$J$3:$J$225,$P97)</f>
        <v>Target competition, quarterback efficiency and touchdown regression are the main downside paths.</v>
      </c>
      <c r="P97" s="6">
        <f>MATCH($A97,'Draft Engine'!$Q$3:$Q$225,0)</f>
        <v>121</v>
      </c>
    </row>
    <row r="98" spans="1:16" x14ac:dyDescent="0.25">
      <c r="A98">
        <f>96</f>
        <v>96</v>
      </c>
      <c r="B98" t="str">
        <f>INDEX('Draft Engine'!$A$3:$A$225,$P98)</f>
        <v>QB</v>
      </c>
      <c r="C98">
        <f>INDEX('Draft Engine'!$F$3:$F$225,$P98)</f>
        <v>15</v>
      </c>
      <c r="D98" t="str">
        <f>INDEX('Draft Engine'!$B$3:$B$225,$P98)</f>
        <v>Jaxson Dart</v>
      </c>
      <c r="E98" s="4">
        <f>INDEX('Draft Engine'!$E$3:$E$225,$P98)</f>
        <v>83.060699999999997</v>
      </c>
      <c r="F98" t="str">
        <f t="shared" si="1"/>
        <v>TIER 3</v>
      </c>
      <c r="G98" s="4">
        <f>INDEX('Draft Engine'!$G$3:$G$225,$P98)</f>
        <v>343.8</v>
      </c>
      <c r="H98" s="4">
        <f>INDEX('Draft Engine'!$J$3:$J$225,$P98)</f>
        <v>-7.3</v>
      </c>
      <c r="I98" s="4">
        <f>INDEX('Draft Engine'!$N$3:$N$225,$P98)</f>
        <v>60.600154230769235</v>
      </c>
      <c r="J98" s="4">
        <f>INDEX('Draft Engine'!$R$3:$R$225,$P98)</f>
        <v>134</v>
      </c>
      <c r="K98" s="4">
        <f>INDEX('Draft Engine'!$S$3:$S$225,$P98)</f>
        <v>38</v>
      </c>
      <c r="L98" t="str">
        <f>INDEX('Draft Engine'!$T$3:$T$225,$P98)</f>
        <v>A</v>
      </c>
      <c r="M98" t="str">
        <f>INDEX('Draft Engine'!$X$3:$X$225,$P98)</f>
        <v>RATE-ADJUSTED VETERAN</v>
      </c>
      <c r="N98" t="str">
        <f>INDEX('LIVE SOURCE'!$H$3:$H$225,$P98)</f>
        <v>QB2/streaming tier; useful when matchup and supporting cast line up.</v>
      </c>
      <c r="O98" t="str">
        <f>INDEX('LIVE SOURCE'!$J$3:$J$225,$P98)</f>
        <v>Passing-TD efficiency, rushing volume and supporting-cast health are the main swing factors.</v>
      </c>
      <c r="P98" s="6">
        <f>MATCH($A98,'Draft Engine'!$Q$3:$Q$225,0)</f>
        <v>15</v>
      </c>
    </row>
    <row r="99" spans="1:16" x14ac:dyDescent="0.25">
      <c r="A99">
        <f>97</f>
        <v>97</v>
      </c>
      <c r="B99" t="str">
        <f>INDEX('Draft Engine'!$A$3:$A$225,$P99)</f>
        <v>TE</v>
      </c>
      <c r="C99">
        <f>INDEX('Draft Engine'!$F$3:$F$225,$P99)</f>
        <v>16</v>
      </c>
      <c r="D99" t="str">
        <f>INDEX('Draft Engine'!$B$3:$B$225,$P99)</f>
        <v>Juwan Johnson</v>
      </c>
      <c r="E99" s="4">
        <f>INDEX('Draft Engine'!$E$3:$E$225,$P99)</f>
        <v>78.320300000000003</v>
      </c>
      <c r="F99" t="str">
        <f t="shared" si="1"/>
        <v>TIER 4</v>
      </c>
      <c r="G99" s="4">
        <f>INDEX('Draft Engine'!$G$3:$G$225,$P99)</f>
        <v>174.1</v>
      </c>
      <c r="H99" s="4">
        <f>INDEX('Draft Engine'!$J$3:$J$225,$P99)</f>
        <v>-5.6</v>
      </c>
      <c r="I99" s="4">
        <f>INDEX('Draft Engine'!$N$3:$N$225,$P99)</f>
        <v>60.183549615384614</v>
      </c>
      <c r="J99" s="4">
        <f>INDEX('Draft Engine'!$R$3:$R$225,$P99)</f>
        <v>152</v>
      </c>
      <c r="K99" s="4">
        <f>INDEX('Draft Engine'!$S$3:$S$225,$P99)</f>
        <v>55</v>
      </c>
      <c r="L99" t="str">
        <f>INDEX('Draft Engine'!$T$3:$T$225,$P99)</f>
        <v>A</v>
      </c>
      <c r="M99" t="str">
        <f>INDEX('Draft Engine'!$X$3:$X$225,$P99)</f>
        <v>RATE-ADJUSTED VETERAN</v>
      </c>
      <c r="N99" t="str">
        <f>INDEX('LIVE SOURCE'!$H$3:$H$225,$P99)</f>
        <v>Streaming/TE2 range; touchdown and route volume drive usefulness.</v>
      </c>
      <c r="O99" t="str">
        <f>INDEX('LIVE SOURCE'!$J$3:$J$225,$P99)</f>
        <v>Route share, target volume and touchdown volatility are the main swing factors.</v>
      </c>
      <c r="P99" s="6">
        <f>MATCH($A99,'Draft Engine'!$Q$3:$Q$225,0)</f>
        <v>168</v>
      </c>
    </row>
    <row r="100" spans="1:16" x14ac:dyDescent="0.25">
      <c r="A100">
        <f>98</f>
        <v>98</v>
      </c>
      <c r="B100" t="str">
        <f>INDEX('Draft Engine'!$A$3:$A$225,$P100)</f>
        <v>RB</v>
      </c>
      <c r="C100">
        <f>INDEX('Draft Engine'!$F$3:$F$225,$P100)</f>
        <v>33</v>
      </c>
      <c r="D100" t="str">
        <f>INDEX('Draft Engine'!$B$3:$B$225,$P100)</f>
        <v>Kyle Monangai</v>
      </c>
      <c r="E100" s="4">
        <f>INDEX('Draft Engine'!$E$3:$E$225,$P100)</f>
        <v>72.610200000000006</v>
      </c>
      <c r="F100" t="str">
        <f t="shared" si="1"/>
        <v>TIER 5</v>
      </c>
      <c r="G100" s="4">
        <f>INDEX('Draft Engine'!$G$3:$G$225,$P100)</f>
        <v>235</v>
      </c>
      <c r="H100" s="4">
        <f>INDEX('Draft Engine'!$J$3:$J$225,$P100)</f>
        <v>-4</v>
      </c>
      <c r="I100" s="4">
        <f>INDEX('Draft Engine'!$N$3:$N$225,$P100)</f>
        <v>59.965610000000005</v>
      </c>
      <c r="J100" s="4">
        <f>INDEX('Draft Engine'!$R$3:$R$225,$P100)</f>
        <v>136.4</v>
      </c>
      <c r="K100" s="4">
        <f>INDEX('Draft Engine'!$S$3:$S$225,$P100)</f>
        <v>38.400000000000006</v>
      </c>
      <c r="L100" t="str">
        <f>INDEX('Draft Engine'!$T$3:$T$225,$P100)</f>
        <v>A</v>
      </c>
      <c r="M100" t="str">
        <f>INDEX('Draft Engine'!$X$3:$X$225,$P100)</f>
        <v>RATE-ADJUSTED VETERAN</v>
      </c>
      <c r="N100" t="str">
        <f>INDEX('LIVE SOURCE'!$H$3:$H$225,$P100)</f>
        <v>FLEX/bench depth with upside if workload grows.</v>
      </c>
      <c r="O100" t="str">
        <f>INDEX('LIVE SOURCE'!$J$3:$J$225,$P100)</f>
        <v>Touchdown variance, receiving-role changes and backfield competition are the main downside paths.</v>
      </c>
      <c r="P100" s="6">
        <f>MATCH($A100,'Draft Engine'!$Q$3:$Q$225,0)</f>
        <v>65</v>
      </c>
    </row>
    <row r="101" spans="1:16" x14ac:dyDescent="0.25">
      <c r="A101">
        <f>99</f>
        <v>99</v>
      </c>
      <c r="B101" t="str">
        <f>INDEX('Draft Engine'!$A$3:$A$225,$P101)</f>
        <v>QB</v>
      </c>
      <c r="C101">
        <f>INDEX('Draft Engine'!$F$3:$F$225,$P101)</f>
        <v>16</v>
      </c>
      <c r="D101" t="str">
        <f>INDEX('Draft Engine'!$B$3:$B$225,$P101)</f>
        <v>Jared Goff</v>
      </c>
      <c r="E101" s="4">
        <f>INDEX('Draft Engine'!$E$3:$E$225,$P101)</f>
        <v>82.642499999999998</v>
      </c>
      <c r="F101" t="str">
        <f t="shared" si="1"/>
        <v>TIER 3</v>
      </c>
      <c r="G101" s="4">
        <f>INDEX('Draft Engine'!$G$3:$G$225,$P101)</f>
        <v>341.9</v>
      </c>
      <c r="H101" s="4">
        <f>INDEX('Draft Engine'!$J$3:$J$225,$P101)</f>
        <v>-9.1999999999999993</v>
      </c>
      <c r="I101" s="4">
        <f>INDEX('Draft Engine'!$N$3:$N$225,$P101)</f>
        <v>59.258913461538462</v>
      </c>
      <c r="J101" s="4">
        <f>INDEX('Draft Engine'!$R$3:$R$225,$P101)</f>
        <v>142</v>
      </c>
      <c r="K101" s="4">
        <f>INDEX('Draft Engine'!$S$3:$S$225,$P101)</f>
        <v>43</v>
      </c>
      <c r="L101" t="str">
        <f>INDEX('Draft Engine'!$T$3:$T$225,$P101)</f>
        <v>A</v>
      </c>
      <c r="M101" t="str">
        <f>INDEX('Draft Engine'!$X$3:$X$225,$P101)</f>
        <v>RATE-ADJUSTED VETERAN</v>
      </c>
      <c r="N101" t="str">
        <f>INDEX('LIVE SOURCE'!$H$3:$H$225,$P101)</f>
        <v>QB2/streaming tier; useful when matchup and supporting cast line up.</v>
      </c>
      <c r="O101" t="str">
        <f>INDEX('LIVE SOURCE'!$J$3:$J$225,$P101)</f>
        <v>Passing-TD efficiency, rushing volume and supporting-cast health are the main swing factors.</v>
      </c>
      <c r="P101" s="6">
        <f>MATCH($A101,'Draft Engine'!$Q$3:$Q$225,0)</f>
        <v>16</v>
      </c>
    </row>
    <row r="102" spans="1:16" x14ac:dyDescent="0.25">
      <c r="A102">
        <f>100</f>
        <v>100</v>
      </c>
      <c r="B102" t="str">
        <f>INDEX('Draft Engine'!$A$3:$A$225,$P102)</f>
        <v>RB</v>
      </c>
      <c r="C102">
        <f>INDEX('Draft Engine'!$F$3:$F$225,$P102)</f>
        <v>34</v>
      </c>
      <c r="D102" t="str">
        <f>INDEX('Draft Engine'!$B$3:$B$225,$P102)</f>
        <v>Chuba Hubbard</v>
      </c>
      <c r="E102" s="4">
        <f>INDEX('Draft Engine'!$E$3:$E$225,$P102)</f>
        <v>71.866699999999994</v>
      </c>
      <c r="F102" t="str">
        <f t="shared" si="1"/>
        <v>TIER 5</v>
      </c>
      <c r="G102" s="4">
        <f>INDEX('Draft Engine'!$G$3:$G$225,$P102)</f>
        <v>231.8</v>
      </c>
      <c r="H102" s="4">
        <f>INDEX('Draft Engine'!$J$3:$J$225,$P102)</f>
        <v>-7.2</v>
      </c>
      <c r="I102" s="4">
        <f>INDEX('Draft Engine'!$N$3:$N$225,$P102)</f>
        <v>58.621310000000001</v>
      </c>
      <c r="J102" s="4">
        <f>INDEX('Draft Engine'!$R$3:$R$225,$P102)</f>
        <v>140.6</v>
      </c>
      <c r="K102" s="4">
        <f>INDEX('Draft Engine'!$S$3:$S$225,$P102)</f>
        <v>40.599999999999994</v>
      </c>
      <c r="L102" t="str">
        <f>INDEX('Draft Engine'!$T$3:$T$225,$P102)</f>
        <v>A</v>
      </c>
      <c r="M102" t="str">
        <f>INDEX('Draft Engine'!$X$3:$X$225,$P102)</f>
        <v>RATE-ADJUSTED VETERAN</v>
      </c>
      <c r="N102" t="str">
        <f>INDEX('LIVE SOURCE'!$H$3:$H$225,$P102)</f>
        <v>FLEX/bench depth with upside if workload grows.</v>
      </c>
      <c r="O102" t="str">
        <f>INDEX('LIVE SOURCE'!$J$3:$J$225,$P102)</f>
        <v>Touchdown variance, receiving-role changes and backfield competition are the main downside paths.</v>
      </c>
      <c r="P102" s="6">
        <f>MATCH($A102,'Draft Engine'!$Q$3:$Q$225,0)</f>
        <v>66</v>
      </c>
    </row>
    <row r="103" spans="1:16" x14ac:dyDescent="0.25">
      <c r="A103">
        <f>101</f>
        <v>101</v>
      </c>
      <c r="B103" t="str">
        <f>INDEX('Draft Engine'!$A$3:$A$225,$P103)</f>
        <v>WR</v>
      </c>
      <c r="C103">
        <f>INDEX('Draft Engine'!$F$3:$F$225,$P103)</f>
        <v>35</v>
      </c>
      <c r="D103" t="str">
        <f>INDEX('Draft Engine'!$B$3:$B$225,$P103)</f>
        <v>Carnell Tate</v>
      </c>
      <c r="E103" s="4">
        <f>INDEX('Draft Engine'!$E$3:$E$225,$P103)</f>
        <v>71.89</v>
      </c>
      <c r="F103" t="str">
        <f t="shared" si="1"/>
        <v>TIER 5</v>
      </c>
      <c r="G103" s="4">
        <f>INDEX('Draft Engine'!$G$3:$G$225,$P103)</f>
        <v>231.9</v>
      </c>
      <c r="H103" s="4">
        <f>INDEX('Draft Engine'!$J$3:$J$225,$P103)</f>
        <v>-7.4</v>
      </c>
      <c r="I103" s="4">
        <f>INDEX('Draft Engine'!$N$3:$N$225,$P103)</f>
        <v>58.374166666666667</v>
      </c>
      <c r="J103" s="4">
        <f>INDEX('Draft Engine'!$R$3:$R$225,$P103)</f>
        <v>127.8</v>
      </c>
      <c r="K103" s="4">
        <f>INDEX('Draft Engine'!$S$3:$S$225,$P103)</f>
        <v>26.799999999999997</v>
      </c>
      <c r="L103" t="str">
        <f>INDEX('Draft Engine'!$T$3:$T$225,$P103)</f>
        <v>C</v>
      </c>
      <c r="M103" t="str">
        <f>INDEX('Draft Engine'!$X$3:$X$225,$P103)</f>
        <v>HISTORY FALLBACK</v>
      </c>
      <c r="N103" t="str">
        <f>INDEX('LIVE SOURCE'!$H$3:$H$225,$P103)</f>
        <v>WR2/FLEX; dependable lineup option with matchup-driven ceiling.</v>
      </c>
      <c r="O103" t="str">
        <f>INDEX('LIVE SOURCE'!$J$3:$J$225,$P103)</f>
        <v>NFL translation and exact weekly role are the main variables; preseason first-team usage can move this rating quickly.</v>
      </c>
      <c r="P103" s="6">
        <f>MATCH($A103,'Draft Engine'!$Q$3:$Q$225,0)</f>
        <v>115</v>
      </c>
    </row>
    <row r="104" spans="1:16" x14ac:dyDescent="0.25">
      <c r="A104">
        <f>102</f>
        <v>102</v>
      </c>
      <c r="B104" t="str">
        <f>INDEX('Draft Engine'!$A$3:$A$225,$P104)</f>
        <v>RB</v>
      </c>
      <c r="C104">
        <f>INDEX('Draft Engine'!$F$3:$F$225,$P104)</f>
        <v>35</v>
      </c>
      <c r="D104" t="str">
        <f>INDEX('Draft Engine'!$B$3:$B$225,$P104)</f>
        <v>Aaron Jones Sr.</v>
      </c>
      <c r="E104" s="4">
        <f>INDEX('Draft Engine'!$E$3:$E$225,$P104)</f>
        <v>71.697699999999998</v>
      </c>
      <c r="F104" t="str">
        <f t="shared" si="1"/>
        <v>TIER 5</v>
      </c>
      <c r="G104" s="4">
        <f>INDEX('Draft Engine'!$G$3:$G$225,$P104)</f>
        <v>231.1</v>
      </c>
      <c r="H104" s="4">
        <f>INDEX('Draft Engine'!$J$3:$J$225,$P104)</f>
        <v>-7.9</v>
      </c>
      <c r="I104" s="4">
        <f>INDEX('Draft Engine'!$N$3:$N$225,$P104)</f>
        <v>58.042985000000002</v>
      </c>
      <c r="J104" s="4">
        <f>INDEX('Draft Engine'!$R$3:$R$225,$P104)</f>
        <v>144.80000000000001</v>
      </c>
      <c r="K104" s="4">
        <f>INDEX('Draft Engine'!$S$3:$S$225,$P104)</f>
        <v>42.800000000000011</v>
      </c>
      <c r="L104" t="str">
        <f>INDEX('Draft Engine'!$T$3:$T$225,$P104)</f>
        <v>A</v>
      </c>
      <c r="M104" t="str">
        <f>INDEX('Draft Engine'!$X$3:$X$225,$P104)</f>
        <v>RATE-ADJUSTED VETERAN</v>
      </c>
      <c r="N104" t="str">
        <f>INDEX('LIVE SOURCE'!$H$3:$H$225,$P104)</f>
        <v>FLEX/bench depth with upside if workload grows.</v>
      </c>
      <c r="O104" t="str">
        <f>INDEX('LIVE SOURCE'!$J$3:$J$225,$P104)</f>
        <v>Touchdown variance, receiving-role changes and backfield competition are the main downside paths.</v>
      </c>
      <c r="P104" s="6">
        <f>MATCH($A104,'Draft Engine'!$Q$3:$Q$225,0)</f>
        <v>67</v>
      </c>
    </row>
    <row r="105" spans="1:16" x14ac:dyDescent="0.25">
      <c r="A105">
        <f>103</f>
        <v>103</v>
      </c>
      <c r="B105" t="str">
        <f>INDEX('Draft Engine'!$A$3:$A$225,$P105)</f>
        <v>WR</v>
      </c>
      <c r="C105">
        <f>INDEX('Draft Engine'!$F$3:$F$225,$P105)</f>
        <v>36</v>
      </c>
      <c r="D105" t="str">
        <f>INDEX('Draft Engine'!$B$3:$B$225,$P105)</f>
        <v>Marvin Harrison Jr.</v>
      </c>
      <c r="E105" s="4">
        <f>INDEX('Draft Engine'!$E$3:$E$225,$P105)</f>
        <v>71.81</v>
      </c>
      <c r="F105" t="str">
        <f t="shared" si="1"/>
        <v>TIER 5</v>
      </c>
      <c r="G105" s="4">
        <f>INDEX('Draft Engine'!$G$3:$G$225,$P105)</f>
        <v>231.6</v>
      </c>
      <c r="H105" s="4">
        <f>INDEX('Draft Engine'!$J$3:$J$225,$P105)</f>
        <v>-7.7</v>
      </c>
      <c r="I105" s="4">
        <f>INDEX('Draft Engine'!$N$3:$N$225,$P105)</f>
        <v>57.942833333333347</v>
      </c>
      <c r="J105" s="4">
        <f>INDEX('Draft Engine'!$R$3:$R$225,$P105)</f>
        <v>112.2</v>
      </c>
      <c r="K105" s="4">
        <f>INDEX('Draft Engine'!$S$3:$S$225,$P105)</f>
        <v>9.2000000000000028</v>
      </c>
      <c r="L105" t="str">
        <f>INDEX('Draft Engine'!$T$3:$T$225,$P105)</f>
        <v>C</v>
      </c>
      <c r="M105" t="str">
        <f>INDEX('Draft Engine'!$X$3:$X$225,$P105)</f>
        <v>HISTORY FALLBACK</v>
      </c>
      <c r="N105" t="str">
        <f>INDEX('LIVE SOURCE'!$H$3:$H$225,$P105)</f>
        <v>FLEX/bench receiver; needs target growth or efficiency spikes.</v>
      </c>
      <c r="O105" t="str">
        <f>INDEX('LIVE SOURCE'!$J$3:$J$225,$P105)</f>
        <v>Target competition, quarterback efficiency and touchdown regression are the main downside paths.</v>
      </c>
      <c r="P105" s="6">
        <f>MATCH($A105,'Draft Engine'!$Q$3:$Q$225,0)</f>
        <v>111</v>
      </c>
    </row>
    <row r="106" spans="1:16" x14ac:dyDescent="0.25">
      <c r="A106">
        <f>104</f>
        <v>104</v>
      </c>
      <c r="B106" t="str">
        <f>INDEX('Draft Engine'!$A$3:$A$225,$P106)</f>
        <v>WR</v>
      </c>
      <c r="C106">
        <f>INDEX('Draft Engine'!$F$3:$F$225,$P106)</f>
        <v>37</v>
      </c>
      <c r="D106" t="str">
        <f>INDEX('Draft Engine'!$B$3:$B$225,$P106)</f>
        <v>Parker Washington</v>
      </c>
      <c r="E106" s="4">
        <f>INDEX('Draft Engine'!$E$3:$E$225,$P106)</f>
        <v>71.53</v>
      </c>
      <c r="F106" t="str">
        <f t="shared" si="1"/>
        <v>TIER 5</v>
      </c>
      <c r="G106" s="4">
        <f>INDEX('Draft Engine'!$G$3:$G$225,$P106)</f>
        <v>230.4</v>
      </c>
      <c r="H106" s="4">
        <f>INDEX('Draft Engine'!$J$3:$J$225,$P106)</f>
        <v>-8.9</v>
      </c>
      <c r="I106" s="4">
        <f>INDEX('Draft Engine'!$N$3:$N$225,$P106)</f>
        <v>57.2395</v>
      </c>
      <c r="J106" s="4">
        <f>INDEX('Draft Engine'!$R$3:$R$225,$P106)</f>
        <v>162.9</v>
      </c>
      <c r="K106" s="4">
        <f>INDEX('Draft Engine'!$S$3:$S$225,$P106)</f>
        <v>58.900000000000006</v>
      </c>
      <c r="L106" t="str">
        <f>INDEX('Draft Engine'!$T$3:$T$225,$P106)</f>
        <v>C</v>
      </c>
      <c r="M106" t="str">
        <f>INDEX('Draft Engine'!$X$3:$X$225,$P106)</f>
        <v>HISTORY FALLBACK</v>
      </c>
      <c r="N106" t="str">
        <f>INDEX('LIVE SOURCE'!$H$3:$H$225,$P106)</f>
        <v>FLEX/bench receiver; needs target growth or efficiency spikes.</v>
      </c>
      <c r="O106" t="str">
        <f>INDEX('LIVE SOURCE'!$J$3:$J$225,$P106)</f>
        <v>Target competition, quarterback efficiency and touchdown regression are the main downside paths.</v>
      </c>
      <c r="P106" s="6">
        <f>MATCH($A106,'Draft Engine'!$Q$3:$Q$225,0)</f>
        <v>124</v>
      </c>
    </row>
    <row r="107" spans="1:16" x14ac:dyDescent="0.25">
      <c r="A107">
        <f>105</f>
        <v>105</v>
      </c>
      <c r="B107" t="str">
        <f>INDEX('Draft Engine'!$A$3:$A$225,$P107)</f>
        <v>TE</v>
      </c>
      <c r="C107">
        <f>INDEX('Draft Engine'!$F$3:$F$225,$P107)</f>
        <v>17</v>
      </c>
      <c r="D107" t="str">
        <f>INDEX('Draft Engine'!$B$3:$B$225,$P107)</f>
        <v>Hunter Henry</v>
      </c>
      <c r="E107" s="4">
        <f>INDEX('Draft Engine'!$E$3:$E$225,$P107)</f>
        <v>76.252600000000001</v>
      </c>
      <c r="F107" t="str">
        <f t="shared" si="1"/>
        <v>TIER 4</v>
      </c>
      <c r="G107" s="4">
        <f>INDEX('Draft Engine'!$G$3:$G$225,$P107)</f>
        <v>166.9</v>
      </c>
      <c r="H107" s="4">
        <f>INDEX('Draft Engine'!$J$3:$J$225,$P107)</f>
        <v>-12.8</v>
      </c>
      <c r="I107" s="4">
        <f>INDEX('Draft Engine'!$N$3:$N$225,$P107)</f>
        <v>57.058006923076931</v>
      </c>
      <c r="J107" s="4">
        <f>INDEX('Draft Engine'!$R$3:$R$225,$P107)</f>
        <v>161</v>
      </c>
      <c r="K107" s="4">
        <f>INDEX('Draft Engine'!$S$3:$S$225,$P107)</f>
        <v>56</v>
      </c>
      <c r="L107" t="str">
        <f>INDEX('Draft Engine'!$T$3:$T$225,$P107)</f>
        <v>A</v>
      </c>
      <c r="M107" t="str">
        <f>INDEX('Draft Engine'!$X$3:$X$225,$P107)</f>
        <v>RATE-ADJUSTED VETERAN</v>
      </c>
      <c r="N107" t="str">
        <f>INDEX('LIVE SOURCE'!$H$3:$H$225,$P107)</f>
        <v>Streaming/TE2 range; touchdown and route volume drive usefulness.</v>
      </c>
      <c r="O107" t="str">
        <f>INDEX('LIVE SOURCE'!$J$3:$J$225,$P107)</f>
        <v>Route share, target volume and touchdown volatility are the main swing factors.</v>
      </c>
      <c r="P107" s="6">
        <f>MATCH($A107,'Draft Engine'!$Q$3:$Q$225,0)</f>
        <v>169</v>
      </c>
    </row>
    <row r="108" spans="1:16" x14ac:dyDescent="0.25">
      <c r="A108">
        <f>106</f>
        <v>106</v>
      </c>
      <c r="B108" t="str">
        <f>INDEX('Draft Engine'!$A$3:$A$225,$P108)</f>
        <v>RB</v>
      </c>
      <c r="C108">
        <f>INDEX('Draft Engine'!$F$3:$F$225,$P108)</f>
        <v>36</v>
      </c>
      <c r="D108" t="str">
        <f>INDEX('Draft Engine'!$B$3:$B$225,$P108)</f>
        <v>J.K. Dobbins</v>
      </c>
      <c r="E108" s="4">
        <f>INDEX('Draft Engine'!$E$3:$E$225,$P108)</f>
        <v>71.166600000000003</v>
      </c>
      <c r="F108" t="str">
        <f t="shared" si="1"/>
        <v>TIER 5</v>
      </c>
      <c r="G108" s="4">
        <f>INDEX('Draft Engine'!$G$3:$G$225,$P108)</f>
        <v>228.9</v>
      </c>
      <c r="H108" s="4">
        <f>INDEX('Draft Engine'!$J$3:$J$225,$P108)</f>
        <v>-10.1</v>
      </c>
      <c r="I108" s="4">
        <f>INDEX('Draft Engine'!$N$3:$N$225,$P108)</f>
        <v>56.995505000000009</v>
      </c>
      <c r="J108" s="4">
        <f>INDEX('Draft Engine'!$R$3:$R$225,$P108)</f>
        <v>149</v>
      </c>
      <c r="K108" s="4">
        <f>INDEX('Draft Engine'!$S$3:$S$225,$P108)</f>
        <v>43</v>
      </c>
      <c r="L108" t="str">
        <f>INDEX('Draft Engine'!$T$3:$T$225,$P108)</f>
        <v>B</v>
      </c>
      <c r="M108" t="str">
        <f>INDEX('Draft Engine'!$X$3:$X$225,$P108)</f>
        <v>RATE-ADJUSTED VETERAN</v>
      </c>
      <c r="N108" t="str">
        <f>INDEX('LIVE SOURCE'!$H$3:$H$225,$P108)</f>
        <v>FLEX/bench depth with upside if workload grows.</v>
      </c>
      <c r="O108" t="str">
        <f>INDEX('LIVE SOURCE'!$J$3:$J$225,$P108)</f>
        <v>Touchdown variance, receiving-role changes and backfield competition are the main downside paths.</v>
      </c>
      <c r="P108" s="6">
        <f>MATCH($A108,'Draft Engine'!$Q$3:$Q$225,0)</f>
        <v>68</v>
      </c>
    </row>
    <row r="109" spans="1:16" x14ac:dyDescent="0.25">
      <c r="A109">
        <f>107</f>
        <v>107</v>
      </c>
      <c r="B109" t="str">
        <f>INDEX('Draft Engine'!$A$3:$A$225,$P109)</f>
        <v>TE</v>
      </c>
      <c r="C109">
        <f>INDEX('Draft Engine'!$F$3:$F$225,$P109)</f>
        <v>18</v>
      </c>
      <c r="D109" t="str">
        <f>INDEX('Draft Engine'!$B$3:$B$225,$P109)</f>
        <v>Brenton Strange</v>
      </c>
      <c r="E109" s="4">
        <f>INDEX('Draft Engine'!$E$3:$E$225,$P109)</f>
        <v>76.0321</v>
      </c>
      <c r="F109" t="str">
        <f t="shared" si="1"/>
        <v>TIER 4</v>
      </c>
      <c r="G109" s="4">
        <f>INDEX('Draft Engine'!$G$3:$G$225,$P109)</f>
        <v>166.1</v>
      </c>
      <c r="H109" s="4">
        <f>INDEX('Draft Engine'!$J$3:$J$225,$P109)</f>
        <v>-13.6</v>
      </c>
      <c r="I109" s="4">
        <f>INDEX('Draft Engine'!$N$3:$N$225,$P109)</f>
        <v>56.100424230769235</v>
      </c>
      <c r="J109" s="4">
        <f>INDEX('Draft Engine'!$R$3:$R$225,$P109)</f>
        <v>170</v>
      </c>
      <c r="K109" s="4">
        <f>INDEX('Draft Engine'!$S$3:$S$225,$P109)</f>
        <v>63</v>
      </c>
      <c r="L109" t="str">
        <f>INDEX('Draft Engine'!$T$3:$T$225,$P109)</f>
        <v>A</v>
      </c>
      <c r="M109" t="str">
        <f>INDEX('Draft Engine'!$X$3:$X$225,$P109)</f>
        <v>RATE-ADJUSTED VETERAN</v>
      </c>
      <c r="N109" t="str">
        <f>INDEX('LIVE SOURCE'!$H$3:$H$225,$P109)</f>
        <v>Streaming/TE2 range; touchdown and route volume drive usefulness.</v>
      </c>
      <c r="O109" t="str">
        <f>INDEX('LIVE SOURCE'!$J$3:$J$225,$P109)</f>
        <v>Route share, target volume and touchdown volatility are the main swing factors.</v>
      </c>
      <c r="P109" s="6">
        <f>MATCH($A109,'Draft Engine'!$Q$3:$Q$225,0)</f>
        <v>170</v>
      </c>
    </row>
    <row r="110" spans="1:16" x14ac:dyDescent="0.25">
      <c r="A110">
        <f>108</f>
        <v>108</v>
      </c>
      <c r="B110" t="str">
        <f>INDEX('Draft Engine'!$A$3:$A$225,$P110)</f>
        <v>WR</v>
      </c>
      <c r="C110">
        <f>INDEX('Draft Engine'!$F$3:$F$225,$P110)</f>
        <v>38</v>
      </c>
      <c r="D110" t="str">
        <f>INDEX('Draft Engine'!$B$3:$B$225,$P110)</f>
        <v>Chris Godwin Jr.</v>
      </c>
      <c r="E110" s="4">
        <f>INDEX('Draft Engine'!$E$3:$E$225,$P110)</f>
        <v>70.86</v>
      </c>
      <c r="F110" t="str">
        <f t="shared" si="1"/>
        <v>TIER 5</v>
      </c>
      <c r="G110" s="4">
        <f>INDEX('Draft Engine'!$G$3:$G$225,$P110)</f>
        <v>227.6</v>
      </c>
      <c r="H110" s="4">
        <f>INDEX('Draft Engine'!$J$3:$J$225,$P110)</f>
        <v>-11.7</v>
      </c>
      <c r="I110" s="4">
        <f>INDEX('Draft Engine'!$N$3:$N$225,$P110)</f>
        <v>56.033666666666669</v>
      </c>
      <c r="J110" s="4">
        <f>INDEX('Draft Engine'!$R$3:$R$225,$P110)</f>
        <v>166.8</v>
      </c>
      <c r="K110" s="4">
        <f>INDEX('Draft Engine'!$S$3:$S$225,$P110)</f>
        <v>58.800000000000011</v>
      </c>
      <c r="L110" t="str">
        <f>INDEX('Draft Engine'!$T$3:$T$225,$P110)</f>
        <v>C</v>
      </c>
      <c r="M110" t="str">
        <f>INDEX('Draft Engine'!$X$3:$X$225,$P110)</f>
        <v>HISTORY FALLBACK</v>
      </c>
      <c r="N110" t="str">
        <f>INDEX('LIVE SOURCE'!$H$3:$H$225,$P110)</f>
        <v>FLEX/bench receiver; needs target growth or efficiency spikes.</v>
      </c>
      <c r="O110" t="str">
        <f>INDEX('LIVE SOURCE'!$J$3:$J$225,$P110)</f>
        <v>Evidence is thinner than for established veterans, so camp, depth-chart and role news can move the grade materially.</v>
      </c>
      <c r="P110" s="6">
        <f>MATCH($A110,'Draft Engine'!$Q$3:$Q$225,0)</f>
        <v>125</v>
      </c>
    </row>
    <row r="111" spans="1:16" x14ac:dyDescent="0.25">
      <c r="A111">
        <f>109</f>
        <v>109</v>
      </c>
      <c r="B111" t="str">
        <f>INDEX('Draft Engine'!$A$3:$A$225,$P111)</f>
        <v>QB</v>
      </c>
      <c r="C111">
        <f>INDEX('Draft Engine'!$F$3:$F$225,$P111)</f>
        <v>17</v>
      </c>
      <c r="D111" t="str">
        <f>INDEX('Draft Engine'!$B$3:$B$225,$P111)</f>
        <v>Kyler Murray</v>
      </c>
      <c r="E111" s="4">
        <f>INDEX('Draft Engine'!$E$3:$E$225,$P111)</f>
        <v>80.710099999999997</v>
      </c>
      <c r="F111" t="str">
        <f t="shared" si="1"/>
        <v>TIER 3</v>
      </c>
      <c r="G111" s="4">
        <f>INDEX('Draft Engine'!$G$3:$G$225,$P111)</f>
        <v>333.2</v>
      </c>
      <c r="H111" s="4">
        <f>INDEX('Draft Engine'!$J$3:$J$225,$P111)</f>
        <v>-17.899999999999999</v>
      </c>
      <c r="I111" s="4">
        <f>INDEX('Draft Engine'!$N$3:$N$225,$P111)</f>
        <v>55.860862692307691</v>
      </c>
      <c r="J111" s="4">
        <f>INDEX('Draft Engine'!$R$3:$R$225,$P111)</f>
        <v>150</v>
      </c>
      <c r="K111" s="4">
        <f>INDEX('Draft Engine'!$S$3:$S$225,$P111)</f>
        <v>41</v>
      </c>
      <c r="L111" t="str">
        <f>INDEX('Draft Engine'!$T$3:$T$225,$P111)</f>
        <v>B</v>
      </c>
      <c r="M111" t="str">
        <f>INDEX('Draft Engine'!$X$3:$X$225,$P111)</f>
        <v>RATE-ADJUSTED VETERAN</v>
      </c>
      <c r="N111" t="str">
        <f>INDEX('LIVE SOURCE'!$H$3:$H$225,$P111)</f>
        <v>QB2/streaming tier; useful when matchup and supporting cast line up.</v>
      </c>
      <c r="O111" t="str">
        <f>INDEX('LIVE SOURCE'!$J$3:$J$225,$P111)</f>
        <v>Availability/sample risk is elevated after only 5 games; talent is not being punished as heavily as durability.</v>
      </c>
      <c r="P111" s="6">
        <f>MATCH($A111,'Draft Engine'!$Q$3:$Q$225,0)</f>
        <v>17</v>
      </c>
    </row>
    <row r="112" spans="1:16" x14ac:dyDescent="0.25">
      <c r="A112">
        <f>110</f>
        <v>110</v>
      </c>
      <c r="B112" t="str">
        <f>INDEX('Draft Engine'!$A$3:$A$225,$P112)</f>
        <v>WR</v>
      </c>
      <c r="C112">
        <f>INDEX('Draft Engine'!$F$3:$F$225,$P112)</f>
        <v>39</v>
      </c>
      <c r="D112" t="str">
        <f>INDEX('Draft Engine'!$B$3:$B$225,$P112)</f>
        <v>Alec Pierce</v>
      </c>
      <c r="E112" s="4">
        <f>INDEX('Draft Engine'!$E$3:$E$225,$P112)</f>
        <v>70.724999999999994</v>
      </c>
      <c r="F112" t="str">
        <f t="shared" si="1"/>
        <v>TIER 5</v>
      </c>
      <c r="G112" s="4">
        <f>INDEX('Draft Engine'!$G$3:$G$225,$P112)</f>
        <v>227</v>
      </c>
      <c r="H112" s="4">
        <f>INDEX('Draft Engine'!$J$3:$J$225,$P112)</f>
        <v>-12.3</v>
      </c>
      <c r="I112" s="4">
        <f>INDEX('Draft Engine'!$N$3:$N$225,$P112)</f>
        <v>55.518083333333337</v>
      </c>
      <c r="J112" s="4">
        <f>INDEX('Draft Engine'!$R$3:$R$225,$P112)</f>
        <v>120</v>
      </c>
      <c r="K112" s="4">
        <f>INDEX('Draft Engine'!$S$3:$S$225,$P112)</f>
        <v>10</v>
      </c>
      <c r="L112" t="str">
        <f>INDEX('Draft Engine'!$T$3:$T$225,$P112)</f>
        <v>C</v>
      </c>
      <c r="M112" t="str">
        <f>INDEX('Draft Engine'!$X$3:$X$225,$P112)</f>
        <v>HISTORY FALLBACK</v>
      </c>
      <c r="N112" t="str">
        <f>INDEX('LIVE SOURCE'!$H$3:$H$225,$P112)</f>
        <v>FLEX/bench receiver; needs target growth or efficiency spikes.</v>
      </c>
      <c r="O112" t="str">
        <f>INDEX('LIVE SOURCE'!$J$3:$J$225,$P112)</f>
        <v>Target competition, quarterback efficiency and touchdown regression are the main downside paths.</v>
      </c>
      <c r="P112" s="6">
        <f>MATCH($A112,'Draft Engine'!$Q$3:$Q$225,0)</f>
        <v>113</v>
      </c>
    </row>
    <row r="113" spans="1:16" x14ac:dyDescent="0.25">
      <c r="A113">
        <f>111</f>
        <v>111</v>
      </c>
      <c r="B113" t="str">
        <f>INDEX('Draft Engine'!$A$3:$A$225,$P113)</f>
        <v>TE</v>
      </c>
      <c r="C113">
        <f>INDEX('Draft Engine'!$F$3:$F$225,$P113)</f>
        <v>19</v>
      </c>
      <c r="D113" t="str">
        <f>INDEX('Draft Engine'!$B$3:$B$225,$P113)</f>
        <v>Chig Okonkwo</v>
      </c>
      <c r="E113" s="4">
        <f>INDEX('Draft Engine'!$E$3:$E$225,$P113)</f>
        <v>75.513199999999998</v>
      </c>
      <c r="F113" t="str">
        <f t="shared" si="1"/>
        <v>TIER 4</v>
      </c>
      <c r="G113" s="4">
        <f>INDEX('Draft Engine'!$G$3:$G$225,$P113)</f>
        <v>164.3</v>
      </c>
      <c r="H113" s="4">
        <f>INDEX('Draft Engine'!$J$3:$J$225,$P113)</f>
        <v>-15.4</v>
      </c>
      <c r="I113" s="4">
        <f>INDEX('Draft Engine'!$N$3:$N$225,$P113)</f>
        <v>54.798721538461542</v>
      </c>
      <c r="J113" s="4">
        <f>INDEX('Draft Engine'!$R$3:$R$225,$P113)</f>
        <v>179</v>
      </c>
      <c r="K113" s="4">
        <f>INDEX('Draft Engine'!$S$3:$S$225,$P113)</f>
        <v>68</v>
      </c>
      <c r="L113" t="str">
        <f>INDEX('Draft Engine'!$T$3:$T$225,$P113)</f>
        <v>A</v>
      </c>
      <c r="M113" t="str">
        <f>INDEX('Draft Engine'!$X$3:$X$225,$P113)</f>
        <v>RATE-ADJUSTED VETERAN</v>
      </c>
      <c r="N113" t="str">
        <f>INDEX('LIVE SOURCE'!$H$3:$H$225,$P113)</f>
        <v>Deep TE stash; needs a larger route/target role to matter in 10-team leagues.</v>
      </c>
      <c r="O113" t="str">
        <f>INDEX('LIVE SOURCE'!$J$3:$J$225,$P113)</f>
        <v>Route share, target volume and touchdown volatility are the main swing factors.</v>
      </c>
      <c r="P113" s="6">
        <f>MATCH($A113,'Draft Engine'!$Q$3:$Q$225,0)</f>
        <v>171</v>
      </c>
    </row>
    <row r="114" spans="1:16" x14ac:dyDescent="0.25">
      <c r="A114">
        <f>112</f>
        <v>112</v>
      </c>
      <c r="B114" t="str">
        <f>INDEX('Draft Engine'!$A$3:$A$225,$P114)</f>
        <v>WR</v>
      </c>
      <c r="C114">
        <f>INDEX('Draft Engine'!$F$3:$F$225,$P114)</f>
        <v>40</v>
      </c>
      <c r="D114" t="str">
        <f>INDEX('Draft Engine'!$B$3:$B$225,$P114)</f>
        <v>Quentin Johnston</v>
      </c>
      <c r="E114" s="4">
        <f>INDEX('Draft Engine'!$E$3:$E$225,$P114)</f>
        <v>70.19</v>
      </c>
      <c r="F114" t="str">
        <f t="shared" si="1"/>
        <v>TIER 5</v>
      </c>
      <c r="G114" s="4">
        <f>INDEX('Draft Engine'!$G$3:$G$225,$P114)</f>
        <v>224.8</v>
      </c>
      <c r="H114" s="4">
        <f>INDEX('Draft Engine'!$J$3:$J$225,$P114)</f>
        <v>-14.5</v>
      </c>
      <c r="I114" s="4">
        <f>INDEX('Draft Engine'!$N$3:$N$225,$P114)</f>
        <v>54.494500000000002</v>
      </c>
      <c r="J114" s="4">
        <f>INDEX('Draft Engine'!$R$3:$R$225,$P114)</f>
        <v>170.7</v>
      </c>
      <c r="K114" s="4">
        <f>INDEX('Draft Engine'!$S$3:$S$225,$P114)</f>
        <v>58.699999999999989</v>
      </c>
      <c r="L114" t="str">
        <f>INDEX('Draft Engine'!$T$3:$T$225,$P114)</f>
        <v>C</v>
      </c>
      <c r="M114" t="str">
        <f>INDEX('Draft Engine'!$X$3:$X$225,$P114)</f>
        <v>HISTORY FALLBACK</v>
      </c>
      <c r="N114" t="str">
        <f>INDEX('LIVE SOURCE'!$H$3:$H$225,$P114)</f>
        <v>FLEX/bench receiver; needs target growth or efficiency spikes.</v>
      </c>
      <c r="O114" t="str">
        <f>INDEX('LIVE SOURCE'!$J$3:$J$225,$P114)</f>
        <v>Target competition, quarterback efficiency and touchdown regression are the main downside paths.</v>
      </c>
      <c r="P114" s="6">
        <f>MATCH($A114,'Draft Engine'!$Q$3:$Q$225,0)</f>
        <v>126</v>
      </c>
    </row>
    <row r="115" spans="1:16" x14ac:dyDescent="0.25">
      <c r="A115">
        <f>113</f>
        <v>113</v>
      </c>
      <c r="B115" t="str">
        <f>INDEX('Draft Engine'!$A$3:$A$225,$P115)</f>
        <v>RB</v>
      </c>
      <c r="C115">
        <f>INDEX('Draft Engine'!$F$3:$F$225,$P115)</f>
        <v>37</v>
      </c>
      <c r="D115" t="str">
        <f>INDEX('Draft Engine'!$B$3:$B$225,$P115)</f>
        <v>Blake Corum</v>
      </c>
      <c r="E115" s="4">
        <f>INDEX('Draft Engine'!$E$3:$E$225,$P115)</f>
        <v>69.519599999999997</v>
      </c>
      <c r="F115" t="str">
        <f t="shared" si="1"/>
        <v>TIER 6</v>
      </c>
      <c r="G115" s="4">
        <f>INDEX('Draft Engine'!$G$3:$G$225,$P115)</f>
        <v>222</v>
      </c>
      <c r="H115" s="4">
        <f>INDEX('Draft Engine'!$J$3:$J$225,$P115)</f>
        <v>-17</v>
      </c>
      <c r="I115" s="4">
        <f>INDEX('Draft Engine'!$N$3:$N$225,$P115)</f>
        <v>54.488279999999996</v>
      </c>
      <c r="J115" s="4">
        <f>INDEX('Draft Engine'!$R$3:$R$225,$P115)</f>
        <v>153.19999999999999</v>
      </c>
      <c r="K115" s="4">
        <f>INDEX('Draft Engine'!$S$3:$S$225,$P115)</f>
        <v>40.199999999999989</v>
      </c>
      <c r="L115" t="str">
        <f>INDEX('Draft Engine'!$T$3:$T$225,$P115)</f>
        <v>A</v>
      </c>
      <c r="M115" t="str">
        <f>INDEX('Draft Engine'!$X$3:$X$225,$P115)</f>
        <v>RATE-ADJUSTED VETERAN</v>
      </c>
      <c r="N115" t="str">
        <f>INDEX('LIVE SOURCE'!$H$3:$H$225,$P115)</f>
        <v>FLEX/bench depth with upside if workload grows.</v>
      </c>
      <c r="O115" t="str">
        <f>INDEX('LIVE SOURCE'!$J$3:$J$225,$P115)</f>
        <v>Touchdown variance, receiving-role changes and backfield competition are the main downside paths.</v>
      </c>
      <c r="P115" s="6">
        <f>MATCH($A115,'Draft Engine'!$Q$3:$Q$225,0)</f>
        <v>69</v>
      </c>
    </row>
    <row r="116" spans="1:16" x14ac:dyDescent="0.25">
      <c r="A116">
        <f>114</f>
        <v>114</v>
      </c>
      <c r="B116" t="str">
        <f>INDEX('Draft Engine'!$A$3:$A$225,$P116)</f>
        <v>QB</v>
      </c>
      <c r="C116">
        <f>INDEX('Draft Engine'!$F$3:$F$225,$P116)</f>
        <v>18</v>
      </c>
      <c r="D116" t="str">
        <f>INDEX('Draft Engine'!$B$3:$B$225,$P116)</f>
        <v>Jordan Love</v>
      </c>
      <c r="E116" s="4">
        <f>INDEX('Draft Engine'!$E$3:$E$225,$P116)</f>
        <v>80.040800000000004</v>
      </c>
      <c r="F116" t="str">
        <f t="shared" si="1"/>
        <v>TIER 3</v>
      </c>
      <c r="G116" s="4">
        <f>INDEX('Draft Engine'!$G$3:$G$225,$P116)</f>
        <v>330.2</v>
      </c>
      <c r="H116" s="4">
        <f>INDEX('Draft Engine'!$J$3:$J$225,$P116)</f>
        <v>-20.9</v>
      </c>
      <c r="I116" s="4">
        <f>INDEX('Draft Engine'!$N$3:$N$225,$P116)</f>
        <v>54.183516923076922</v>
      </c>
      <c r="J116" s="4">
        <f>INDEX('Draft Engine'!$R$3:$R$225,$P116)</f>
        <v>158</v>
      </c>
      <c r="K116" s="4">
        <f>INDEX('Draft Engine'!$S$3:$S$225,$P116)</f>
        <v>44</v>
      </c>
      <c r="L116" t="str">
        <f>INDEX('Draft Engine'!$T$3:$T$225,$P116)</f>
        <v>A</v>
      </c>
      <c r="M116" t="str">
        <f>INDEX('Draft Engine'!$X$3:$X$225,$P116)</f>
        <v>RATE-ADJUSTED VETERAN</v>
      </c>
      <c r="N116" t="str">
        <f>INDEX('LIVE SOURCE'!$H$3:$H$225,$P116)</f>
        <v>QB2/streaming tier; useful when matchup and supporting cast line up.</v>
      </c>
      <c r="O116" t="str">
        <f>INDEX('LIVE SOURCE'!$J$3:$J$225,$P116)</f>
        <v>Passing-TD efficiency, rushing volume and supporting-cast health are the main swing factors.</v>
      </c>
      <c r="P116" s="6">
        <f>MATCH($A116,'Draft Engine'!$Q$3:$Q$225,0)</f>
        <v>18</v>
      </c>
    </row>
    <row r="117" spans="1:16" x14ac:dyDescent="0.25">
      <c r="A117">
        <f>115</f>
        <v>115</v>
      </c>
      <c r="B117" t="str">
        <f>INDEX('Draft Engine'!$A$3:$A$225,$P117)</f>
        <v>RB</v>
      </c>
      <c r="C117">
        <f>INDEX('Draft Engine'!$F$3:$F$225,$P117)</f>
        <v>38</v>
      </c>
      <c r="D117" t="str">
        <f>INDEX('Draft Engine'!$B$3:$B$225,$P117)</f>
        <v>Rachaad White</v>
      </c>
      <c r="E117" s="4">
        <f>INDEX('Draft Engine'!$E$3:$E$225,$P117)</f>
        <v>69.203699999999998</v>
      </c>
      <c r="F117" t="str">
        <f t="shared" si="1"/>
        <v>TIER 6</v>
      </c>
      <c r="G117" s="4">
        <f>INDEX('Draft Engine'!$G$3:$G$225,$P117)</f>
        <v>220.7</v>
      </c>
      <c r="H117" s="4">
        <f>INDEX('Draft Engine'!$J$3:$J$225,$P117)</f>
        <v>-18.3</v>
      </c>
      <c r="I117" s="4">
        <f>INDEX('Draft Engine'!$N$3:$N$225,$P117)</f>
        <v>53.721159999999998</v>
      </c>
      <c r="J117" s="4">
        <f>INDEX('Draft Engine'!$R$3:$R$225,$P117)</f>
        <v>157.4</v>
      </c>
      <c r="K117" s="4">
        <f>INDEX('Draft Engine'!$S$3:$S$225,$P117)</f>
        <v>42.400000000000006</v>
      </c>
      <c r="L117" t="str">
        <f>INDEX('Draft Engine'!$T$3:$T$225,$P117)</f>
        <v>A</v>
      </c>
      <c r="M117" t="str">
        <f>INDEX('Draft Engine'!$X$3:$X$225,$P117)</f>
        <v>RATE-ADJUSTED VETERAN</v>
      </c>
      <c r="N117" t="str">
        <f>INDEX('LIVE SOURCE'!$H$3:$H$225,$P117)</f>
        <v>FLEX/bench depth with upside if workload grows.</v>
      </c>
      <c r="O117" t="str">
        <f>INDEX('LIVE SOURCE'!$J$3:$J$225,$P117)</f>
        <v>Touchdown variance, receiving-role changes and backfield competition are the main downside paths.</v>
      </c>
      <c r="P117" s="6">
        <f>MATCH($A117,'Draft Engine'!$Q$3:$Q$225,0)</f>
        <v>70</v>
      </c>
    </row>
    <row r="118" spans="1:16" x14ac:dyDescent="0.25">
      <c r="A118">
        <f>116</f>
        <v>116</v>
      </c>
      <c r="B118" t="str">
        <f>INDEX('Draft Engine'!$A$3:$A$225,$P118)</f>
        <v>WR</v>
      </c>
      <c r="C118">
        <f>INDEX('Draft Engine'!$F$3:$F$225,$P118)</f>
        <v>41</v>
      </c>
      <c r="D118" t="str">
        <f>INDEX('Draft Engine'!$B$3:$B$225,$P118)</f>
        <v>DK Metcalf</v>
      </c>
      <c r="E118" s="4">
        <f>INDEX('Draft Engine'!$E$3:$E$225,$P118)</f>
        <v>69.807500000000005</v>
      </c>
      <c r="F118" t="str">
        <f t="shared" si="1"/>
        <v>TIER 6</v>
      </c>
      <c r="G118" s="4">
        <f>INDEX('Draft Engine'!$G$3:$G$225,$P118)</f>
        <v>223.2</v>
      </c>
      <c r="H118" s="4">
        <f>INDEX('Draft Engine'!$J$3:$J$225,$P118)</f>
        <v>-16.100000000000001</v>
      </c>
      <c r="I118" s="4">
        <f>INDEX('Draft Engine'!$N$3:$N$225,$P118)</f>
        <v>53.662791666666671</v>
      </c>
      <c r="J118" s="4">
        <f>INDEX('Draft Engine'!$R$3:$R$225,$P118)</f>
        <v>123.9</v>
      </c>
      <c r="K118" s="4">
        <f>INDEX('Draft Engine'!$S$3:$S$225,$P118)</f>
        <v>7.9000000000000057</v>
      </c>
      <c r="L118" t="str">
        <f>INDEX('Draft Engine'!$T$3:$T$225,$P118)</f>
        <v>C</v>
      </c>
      <c r="M118" t="str">
        <f>INDEX('Draft Engine'!$X$3:$X$225,$P118)</f>
        <v>HISTORY FALLBACK</v>
      </c>
      <c r="N118" t="str">
        <f>INDEX('LIVE SOURCE'!$H$3:$H$225,$P118)</f>
        <v>FLEX/bench receiver; needs target growth or efficiency spikes.</v>
      </c>
      <c r="O118" t="str">
        <f>INDEX('LIVE SOURCE'!$J$3:$J$225,$P118)</f>
        <v>Price is the biggest risk: the market currently asks you to draft him earlier than the model prefers.</v>
      </c>
      <c r="P118" s="6">
        <f>MATCH($A118,'Draft Engine'!$Q$3:$Q$225,0)</f>
        <v>114</v>
      </c>
    </row>
    <row r="119" spans="1:16" x14ac:dyDescent="0.25">
      <c r="A119">
        <f>117</f>
        <v>117</v>
      </c>
      <c r="B119" t="str">
        <f>INDEX('Draft Engine'!$A$3:$A$225,$P119)</f>
        <v>QB</v>
      </c>
      <c r="C119">
        <f>INDEX('Draft Engine'!$F$3:$F$225,$P119)</f>
        <v>19</v>
      </c>
      <c r="D119" t="str">
        <f>INDEX('Draft Engine'!$B$3:$B$225,$P119)</f>
        <v>Baker Mayfield</v>
      </c>
      <c r="E119" s="4">
        <f>INDEX('Draft Engine'!$E$3:$E$225,$P119)</f>
        <v>79.825999999999993</v>
      </c>
      <c r="F119" t="str">
        <f t="shared" si="1"/>
        <v>TIER 4</v>
      </c>
      <c r="G119" s="4">
        <f>INDEX('Draft Engine'!$G$3:$G$225,$P119)</f>
        <v>329.2</v>
      </c>
      <c r="H119" s="4">
        <f>INDEX('Draft Engine'!$J$3:$J$225,$P119)</f>
        <v>-21.9</v>
      </c>
      <c r="I119" s="4">
        <f>INDEX('Draft Engine'!$N$3:$N$225,$P119)</f>
        <v>53.116146153846152</v>
      </c>
      <c r="J119" s="4">
        <f>INDEX('Draft Engine'!$R$3:$R$225,$P119)</f>
        <v>166</v>
      </c>
      <c r="K119" s="4">
        <f>INDEX('Draft Engine'!$S$3:$S$225,$P119)</f>
        <v>49</v>
      </c>
      <c r="L119" t="str">
        <f>INDEX('Draft Engine'!$T$3:$T$225,$P119)</f>
        <v>A</v>
      </c>
      <c r="M119" t="str">
        <f>INDEX('Draft Engine'!$X$3:$X$225,$P119)</f>
        <v>RATE-ADJUSTED VETERAN</v>
      </c>
      <c r="N119" t="str">
        <f>INDEX('LIVE SOURCE'!$H$3:$H$225,$P119)</f>
        <v>Bench/streaming option; needs matchup, rushing or TD spike weeks.</v>
      </c>
      <c r="O119" t="str">
        <f>INDEX('LIVE SOURCE'!$J$3:$J$225,$P119)</f>
        <v>Passing-TD efficiency, rushing volume and supporting-cast health are the main swing factors.</v>
      </c>
      <c r="P119" s="6">
        <f>MATCH($A119,'Draft Engine'!$Q$3:$Q$225,0)</f>
        <v>19</v>
      </c>
    </row>
    <row r="120" spans="1:16" x14ac:dyDescent="0.25">
      <c r="A120">
        <f>118</f>
        <v>118</v>
      </c>
      <c r="B120" t="str">
        <f>INDEX('Draft Engine'!$A$3:$A$225,$P120)</f>
        <v>RB</v>
      </c>
      <c r="C120">
        <f>INDEX('Draft Engine'!$F$3:$F$225,$P120)</f>
        <v>39</v>
      </c>
      <c r="D120" t="str">
        <f>INDEX('Draft Engine'!$B$3:$B$225,$P120)</f>
        <v>Jacory Croskey-Merritt</v>
      </c>
      <c r="E120" s="4">
        <f>INDEX('Draft Engine'!$E$3:$E$225,$P120)</f>
        <v>68.992199999999997</v>
      </c>
      <c r="F120" t="str">
        <f t="shared" si="1"/>
        <v>TIER 6</v>
      </c>
      <c r="G120" s="4">
        <f>INDEX('Draft Engine'!$G$3:$G$225,$P120)</f>
        <v>219.8</v>
      </c>
      <c r="H120" s="4">
        <f>INDEX('Draft Engine'!$J$3:$J$225,$P120)</f>
        <v>-19.2</v>
      </c>
      <c r="I120" s="4">
        <f>INDEX('Draft Engine'!$N$3:$N$225,$P120)</f>
        <v>53.083460000000002</v>
      </c>
      <c r="J120" s="4">
        <f>INDEX('Draft Engine'!$R$3:$R$225,$P120)</f>
        <v>161.6</v>
      </c>
      <c r="K120" s="4">
        <f>INDEX('Draft Engine'!$S$3:$S$225,$P120)</f>
        <v>43.599999999999994</v>
      </c>
      <c r="L120" t="str">
        <f>INDEX('Draft Engine'!$T$3:$T$225,$P120)</f>
        <v>A</v>
      </c>
      <c r="M120" t="str">
        <f>INDEX('Draft Engine'!$X$3:$X$225,$P120)</f>
        <v>RATE-ADJUSTED VETERAN</v>
      </c>
      <c r="N120" t="str">
        <f>INDEX('LIVE SOURCE'!$H$3:$H$225,$P120)</f>
        <v>FLEX/bench depth with upside if workload grows.</v>
      </c>
      <c r="O120" t="str">
        <f>INDEX('LIVE SOURCE'!$J$3:$J$225,$P120)</f>
        <v>Touchdown variance, receiving-role changes and backfield competition are the main downside paths.</v>
      </c>
      <c r="P120" s="6">
        <f>MATCH($A120,'Draft Engine'!$Q$3:$Q$225,0)</f>
        <v>71</v>
      </c>
    </row>
    <row r="121" spans="1:16" x14ac:dyDescent="0.25">
      <c r="A121">
        <f>119</f>
        <v>119</v>
      </c>
      <c r="B121" t="str">
        <f>INDEX('Draft Engine'!$A$3:$A$225,$P121)</f>
        <v>WR</v>
      </c>
      <c r="C121">
        <f>INDEX('Draft Engine'!$F$3:$F$225,$P121)</f>
        <v>42</v>
      </c>
      <c r="D121" t="str">
        <f>INDEX('Draft Engine'!$B$3:$B$225,$P121)</f>
        <v>Makai Lemon</v>
      </c>
      <c r="E121" s="4">
        <f>INDEX('Draft Engine'!$E$3:$E$225,$P121)</f>
        <v>69.2</v>
      </c>
      <c r="F121" t="str">
        <f t="shared" si="1"/>
        <v>TIER 6</v>
      </c>
      <c r="G121" s="4">
        <f>INDEX('Draft Engine'!$G$3:$G$225,$P121)</f>
        <v>220.6</v>
      </c>
      <c r="H121" s="4">
        <f>INDEX('Draft Engine'!$J$3:$J$225,$P121)</f>
        <v>-18.7</v>
      </c>
      <c r="I121" s="4">
        <f>INDEX('Draft Engine'!$N$3:$N$225,$P121)</f>
        <v>52.527333333333338</v>
      </c>
      <c r="J121" s="4">
        <f>INDEX('Draft Engine'!$R$3:$R$225,$P121)</f>
        <v>159</v>
      </c>
      <c r="K121" s="4">
        <f>INDEX('Draft Engine'!$S$3:$S$225,$P121)</f>
        <v>40</v>
      </c>
      <c r="L121" t="str">
        <f>INDEX('Draft Engine'!$T$3:$T$225,$P121)</f>
        <v>C</v>
      </c>
      <c r="M121" t="str">
        <f>INDEX('Draft Engine'!$X$3:$X$225,$P121)</f>
        <v>HISTORY FALLBACK</v>
      </c>
      <c r="N121" t="str">
        <f>INDEX('LIVE SOURCE'!$H$3:$H$225,$P121)</f>
        <v>WR2/FLEX; dependable lineup option with matchup-driven ceiling.</v>
      </c>
      <c r="O121" t="str">
        <f>INDEX('LIVE SOURCE'!$J$3:$J$225,$P121)</f>
        <v>NFL translation and exact weekly role are the main variables; preseason first-team usage can move this rating quickly.</v>
      </c>
      <c r="P121" s="6">
        <f>MATCH($A121,'Draft Engine'!$Q$3:$Q$225,0)</f>
        <v>123</v>
      </c>
    </row>
    <row r="122" spans="1:16" x14ac:dyDescent="0.25">
      <c r="A122">
        <f>120</f>
        <v>120</v>
      </c>
      <c r="B122" t="str">
        <f>INDEX('Draft Engine'!$A$3:$A$225,$P122)</f>
        <v>TE</v>
      </c>
      <c r="C122">
        <f>INDEX('Draft Engine'!$F$3:$F$225,$P122)</f>
        <v>20</v>
      </c>
      <c r="D122" t="str">
        <f>INDEX('Draft Engine'!$B$3:$B$225,$P122)</f>
        <v>Kenyon Sadiq</v>
      </c>
      <c r="E122" s="4">
        <f>INDEX('Draft Engine'!$E$3:$E$225,$P122)</f>
        <v>74.093800000000002</v>
      </c>
      <c r="F122" t="str">
        <f t="shared" si="1"/>
        <v>TIER 5</v>
      </c>
      <c r="G122" s="4">
        <f>INDEX('Draft Engine'!$G$3:$G$225,$P122)</f>
        <v>159.30000000000001</v>
      </c>
      <c r="H122" s="4">
        <f>INDEX('Draft Engine'!$J$3:$J$225,$P122)</f>
        <v>-20.399999999999999</v>
      </c>
      <c r="I122" s="4">
        <f>INDEX('Draft Engine'!$N$3:$N$225,$P122)</f>
        <v>52.425743846153857</v>
      </c>
      <c r="J122" s="4">
        <f>INDEX('Draft Engine'!$R$3:$R$225,$P122)</f>
        <v>188</v>
      </c>
      <c r="K122" s="4">
        <f>INDEX('Draft Engine'!$S$3:$S$225,$P122)</f>
        <v>68</v>
      </c>
      <c r="L122" t="str">
        <f>INDEX('Draft Engine'!$T$3:$T$225,$P122)</f>
        <v>B</v>
      </c>
      <c r="M122" t="str">
        <f>INDEX('Draft Engine'!$X$3:$X$225,$P122)</f>
        <v>ROOKIE ENGINE</v>
      </c>
      <c r="N122" t="str">
        <f>INDEX('LIVE SOURCE'!$H$3:$H$225,$P122)</f>
        <v>Deep TE stash; needs a larger route/target role to matter in 10-team leagues.</v>
      </c>
      <c r="O122" t="str">
        <f>INDEX('LIVE SOURCE'!$J$3:$J$225,$P122)</f>
        <v>NFL translation and exact weekly role are the main variables; preseason first-team usage can move this rating quickly.</v>
      </c>
      <c r="P122" s="6">
        <f>MATCH($A122,'Draft Engine'!$Q$3:$Q$225,0)</f>
        <v>172</v>
      </c>
    </row>
    <row r="123" spans="1:16" x14ac:dyDescent="0.25">
      <c r="A123">
        <f>121</f>
        <v>121</v>
      </c>
      <c r="B123" t="str">
        <f>INDEX('Draft Engine'!$A$3:$A$225,$P123)</f>
        <v>TE</v>
      </c>
      <c r="C123">
        <f>INDEX('Draft Engine'!$F$3:$F$225,$P123)</f>
        <v>21</v>
      </c>
      <c r="D123" t="str">
        <f>INDEX('Draft Engine'!$B$3:$B$225,$P123)</f>
        <v>T.J. Hockenson</v>
      </c>
      <c r="E123" s="4">
        <f>INDEX('Draft Engine'!$E$3:$E$225,$P123)</f>
        <v>73.852699999999999</v>
      </c>
      <c r="F123" t="str">
        <f t="shared" si="1"/>
        <v>TIER 5</v>
      </c>
      <c r="G123" s="4">
        <f>INDEX('Draft Engine'!$G$3:$G$225,$P123)</f>
        <v>158.5</v>
      </c>
      <c r="H123" s="4">
        <f>INDEX('Draft Engine'!$J$3:$J$225,$P123)</f>
        <v>-21.2</v>
      </c>
      <c r="I123" s="4">
        <f>INDEX('Draft Engine'!$N$3:$N$225,$P123)</f>
        <v>51.802985</v>
      </c>
      <c r="J123" s="4">
        <f>INDEX('Draft Engine'!$R$3:$R$225,$P123)</f>
        <v>197</v>
      </c>
      <c r="K123" s="4">
        <f>INDEX('Draft Engine'!$S$3:$S$225,$P123)</f>
        <v>76</v>
      </c>
      <c r="L123" t="str">
        <f>INDEX('Draft Engine'!$T$3:$T$225,$P123)</f>
        <v>A</v>
      </c>
      <c r="M123" t="str">
        <f>INDEX('Draft Engine'!$X$3:$X$225,$P123)</f>
        <v>RATE-ADJUSTED VETERAN</v>
      </c>
      <c r="N123" t="str">
        <f>INDEX('LIVE SOURCE'!$H$3:$H$225,$P123)</f>
        <v>Deep TE stash; needs a larger route/target role to matter in 10-team leagues.</v>
      </c>
      <c r="O123" t="str">
        <f>INDEX('LIVE SOURCE'!$J$3:$J$225,$P123)</f>
        <v>Route share, target volume and touchdown volatility are the main swing factors.</v>
      </c>
      <c r="P123" s="6">
        <f>MATCH($A123,'Draft Engine'!$Q$3:$Q$225,0)</f>
        <v>173</v>
      </c>
    </row>
    <row r="124" spans="1:16" x14ac:dyDescent="0.25">
      <c r="A124">
        <f>122</f>
        <v>122</v>
      </c>
      <c r="B124" t="str">
        <f>INDEX('Draft Engine'!$A$3:$A$225,$P124)</f>
        <v>WR</v>
      </c>
      <c r="C124">
        <f>INDEX('Draft Engine'!$F$3:$F$225,$P124)</f>
        <v>43</v>
      </c>
      <c r="D124" t="str">
        <f>INDEX('Draft Engine'!$B$3:$B$225,$P124)</f>
        <v>Michael Wilson</v>
      </c>
      <c r="E124" s="4">
        <f>INDEX('Draft Engine'!$E$3:$E$225,$P124)</f>
        <v>68.849999999999994</v>
      </c>
      <c r="F124" t="str">
        <f t="shared" si="1"/>
        <v>TIER 6</v>
      </c>
      <c r="G124" s="4">
        <f>INDEX('Draft Engine'!$G$3:$G$225,$P124)</f>
        <v>219.2</v>
      </c>
      <c r="H124" s="4">
        <f>INDEX('Draft Engine'!$J$3:$J$225,$P124)</f>
        <v>-20.100000000000001</v>
      </c>
      <c r="I124" s="4">
        <f>INDEX('Draft Engine'!$N$3:$N$225,$P124)</f>
        <v>51.749499999999998</v>
      </c>
      <c r="J124" s="4">
        <f>INDEX('Draft Engine'!$R$3:$R$225,$P124)</f>
        <v>178.5</v>
      </c>
      <c r="K124" s="4">
        <f>INDEX('Draft Engine'!$S$3:$S$225,$P124)</f>
        <v>56.5</v>
      </c>
      <c r="L124" t="str">
        <f>INDEX('Draft Engine'!$T$3:$T$225,$P124)</f>
        <v>C</v>
      </c>
      <c r="M124" t="str">
        <f>INDEX('Draft Engine'!$X$3:$X$225,$P124)</f>
        <v>HISTORY FALLBACK</v>
      </c>
      <c r="N124" t="str">
        <f>INDEX('LIVE SOURCE'!$H$3:$H$225,$P124)</f>
        <v>FLEX/bench receiver; needs target growth or efficiency spikes.</v>
      </c>
      <c r="O124" t="str">
        <f>INDEX('LIVE SOURCE'!$J$3:$J$225,$P124)</f>
        <v>Target competition, quarterback efficiency and touchdown regression are the main downside paths.</v>
      </c>
      <c r="P124" s="6">
        <f>MATCH($A124,'Draft Engine'!$Q$3:$Q$225,0)</f>
        <v>128</v>
      </c>
    </row>
    <row r="125" spans="1:16" x14ac:dyDescent="0.25">
      <c r="A125">
        <f>123</f>
        <v>123</v>
      </c>
      <c r="B125" t="str">
        <f>INDEX('Draft Engine'!$A$3:$A$225,$P125)</f>
        <v>WR</v>
      </c>
      <c r="C125">
        <f>INDEX('Draft Engine'!$F$3:$F$225,$P125)</f>
        <v>44</v>
      </c>
      <c r="D125" t="str">
        <f>INDEX('Draft Engine'!$B$3:$B$225,$P125)</f>
        <v>Courtland Sutton</v>
      </c>
      <c r="E125" s="4">
        <f>INDEX('Draft Engine'!$E$3:$E$225,$P125)</f>
        <v>68.722499999999997</v>
      </c>
      <c r="F125" t="str">
        <f t="shared" si="1"/>
        <v>TIER 6</v>
      </c>
      <c r="G125" s="4">
        <f>INDEX('Draft Engine'!$G$3:$G$225,$P125)</f>
        <v>218.6</v>
      </c>
      <c r="H125" s="4">
        <f>INDEX('Draft Engine'!$J$3:$J$225,$P125)</f>
        <v>-20.7</v>
      </c>
      <c r="I125" s="4">
        <f>INDEX('Draft Engine'!$N$3:$N$225,$P125)</f>
        <v>51.238041666666668</v>
      </c>
      <c r="J125" s="4">
        <f>INDEX('Draft Engine'!$R$3:$R$225,$P125)</f>
        <v>131.69999999999999</v>
      </c>
      <c r="K125" s="4">
        <f>INDEX('Draft Engine'!$S$3:$S$225,$P125)</f>
        <v>8.6999999999999886</v>
      </c>
      <c r="L125" t="str">
        <f>INDEX('Draft Engine'!$T$3:$T$225,$P125)</f>
        <v>C</v>
      </c>
      <c r="M125" t="str">
        <f>INDEX('Draft Engine'!$X$3:$X$225,$P125)</f>
        <v>HISTORY FALLBACK</v>
      </c>
      <c r="N125" t="str">
        <f>INDEX('LIVE SOURCE'!$H$3:$H$225,$P125)</f>
        <v>FLEX/bench receiver; needs target growth or efficiency spikes.</v>
      </c>
      <c r="O125" t="str">
        <f>INDEX('LIVE SOURCE'!$J$3:$J$225,$P125)</f>
        <v>Target competition, quarterback efficiency and touchdown regression are the main downside paths.</v>
      </c>
      <c r="P125" s="6">
        <f>MATCH($A125,'Draft Engine'!$Q$3:$Q$225,0)</f>
        <v>116</v>
      </c>
    </row>
    <row r="126" spans="1:16" x14ac:dyDescent="0.25">
      <c r="A126">
        <f>124</f>
        <v>124</v>
      </c>
      <c r="B126" t="str">
        <f>INDEX('Draft Engine'!$A$3:$A$225,$P126)</f>
        <v>TE</v>
      </c>
      <c r="C126">
        <f>INDEX('Draft Engine'!$F$3:$F$225,$P126)</f>
        <v>22</v>
      </c>
      <c r="D126" t="str">
        <f>INDEX('Draft Engine'!$B$3:$B$225,$P126)</f>
        <v>Dalton Schultz</v>
      </c>
      <c r="E126" s="4">
        <f>INDEX('Draft Engine'!$E$3:$E$225,$P126)</f>
        <v>73.279499999999999</v>
      </c>
      <c r="F126" t="str">
        <f t="shared" si="1"/>
        <v>TIER 5</v>
      </c>
      <c r="G126" s="4">
        <f>INDEX('Draft Engine'!$G$3:$G$225,$P126)</f>
        <v>156.5</v>
      </c>
      <c r="H126" s="4">
        <f>INDEX('Draft Engine'!$J$3:$J$225,$P126)</f>
        <v>-23.2</v>
      </c>
      <c r="I126" s="4">
        <f>INDEX('Draft Engine'!$N$3:$N$225,$P126)</f>
        <v>51.127724999999998</v>
      </c>
      <c r="J126" s="4">
        <f>INDEX('Draft Engine'!$R$3:$R$225,$P126)</f>
        <v>206</v>
      </c>
      <c r="K126" s="4">
        <f>INDEX('Draft Engine'!$S$3:$S$225,$P126)</f>
        <v>82</v>
      </c>
      <c r="L126" t="str">
        <f>INDEX('Draft Engine'!$T$3:$T$225,$P126)</f>
        <v>A</v>
      </c>
      <c r="M126" t="str">
        <f>INDEX('Draft Engine'!$X$3:$X$225,$P126)</f>
        <v>RATE-ADJUSTED VETERAN</v>
      </c>
      <c r="N126" t="str">
        <f>INDEX('LIVE SOURCE'!$H$3:$H$225,$P126)</f>
        <v>Deep TE stash; needs a larger route/target role to matter in 10-team leagues.</v>
      </c>
      <c r="O126" t="str">
        <f>INDEX('LIVE SOURCE'!$J$3:$J$225,$P126)</f>
        <v>Route share, target volume and touchdown volatility are the main swing factors.</v>
      </c>
      <c r="P126" s="6">
        <f>MATCH($A126,'Draft Engine'!$Q$3:$Q$225,0)</f>
        <v>174</v>
      </c>
    </row>
    <row r="127" spans="1:16" x14ac:dyDescent="0.25">
      <c r="A127">
        <f>125</f>
        <v>125</v>
      </c>
      <c r="B127" t="str">
        <f>INDEX('Draft Engine'!$A$3:$A$225,$P127)</f>
        <v>RB</v>
      </c>
      <c r="C127">
        <f>INDEX('Draft Engine'!$F$3:$F$225,$P127)</f>
        <v>40</v>
      </c>
      <c r="D127" t="str">
        <f>INDEX('Draft Engine'!$B$3:$B$225,$P127)</f>
        <v>Jordan Mason</v>
      </c>
      <c r="E127" s="4">
        <f>INDEX('Draft Engine'!$E$3:$E$225,$P127)</f>
        <v>67.657399999999996</v>
      </c>
      <c r="F127" t="str">
        <f t="shared" si="1"/>
        <v>TIER 6</v>
      </c>
      <c r="G127" s="4">
        <f>INDEX('Draft Engine'!$G$3:$G$225,$P127)</f>
        <v>214.2</v>
      </c>
      <c r="H127" s="4">
        <f>INDEX('Draft Engine'!$J$3:$J$225,$P127)</f>
        <v>-24.8</v>
      </c>
      <c r="I127" s="4">
        <f>INDEX('Draft Engine'!$N$3:$N$225,$P127)</f>
        <v>50.981945000000003</v>
      </c>
      <c r="J127" s="4">
        <f>INDEX('Draft Engine'!$R$3:$R$225,$P127)</f>
        <v>165.8</v>
      </c>
      <c r="K127" s="4">
        <f>INDEX('Draft Engine'!$S$3:$S$225,$P127)</f>
        <v>40.800000000000011</v>
      </c>
      <c r="L127" t="str">
        <f>INDEX('Draft Engine'!$T$3:$T$225,$P127)</f>
        <v>A</v>
      </c>
      <c r="M127" t="str">
        <f>INDEX('Draft Engine'!$X$3:$X$225,$P127)</f>
        <v>RATE-ADJUSTED VETERAN</v>
      </c>
      <c r="N127" t="str">
        <f>INDEX('LIVE SOURCE'!$H$3:$H$225,$P127)</f>
        <v>FLEX/bench depth with upside if workload grows.</v>
      </c>
      <c r="O127" t="str">
        <f>INDEX('LIVE SOURCE'!$J$3:$J$225,$P127)</f>
        <v>Touchdown variance, receiving-role changes and backfield competition are the main downside paths.</v>
      </c>
      <c r="P127" s="6">
        <f>MATCH($A127,'Draft Engine'!$Q$3:$Q$225,0)</f>
        <v>72</v>
      </c>
    </row>
    <row r="128" spans="1:16" x14ac:dyDescent="0.25">
      <c r="A128">
        <f>126</f>
        <v>126</v>
      </c>
      <c r="B128" t="str">
        <f>INDEX('Draft Engine'!$A$3:$A$225,$P128)</f>
        <v>TE</v>
      </c>
      <c r="C128">
        <f>INDEX('Draft Engine'!$F$3:$F$225,$P128)</f>
        <v>23</v>
      </c>
      <c r="D128" t="str">
        <f>INDEX('Draft Engine'!$B$3:$B$225,$P128)</f>
        <v>Oronde Gadsden II</v>
      </c>
      <c r="E128" s="4">
        <f>INDEX('Draft Engine'!$E$3:$E$225,$P128)</f>
        <v>72.513800000000003</v>
      </c>
      <c r="F128" t="str">
        <f t="shared" si="1"/>
        <v>TIER 5</v>
      </c>
      <c r="G128" s="4">
        <f>INDEX('Draft Engine'!$G$3:$G$225,$P128)</f>
        <v>153.80000000000001</v>
      </c>
      <c r="H128" s="4">
        <f>INDEX('Draft Engine'!$J$3:$J$225,$P128)</f>
        <v>-25.9</v>
      </c>
      <c r="I128" s="4">
        <f>INDEX('Draft Engine'!$N$3:$N$225,$P128)</f>
        <v>50.220590000000009</v>
      </c>
      <c r="J128" s="4">
        <f>INDEX('Draft Engine'!$R$3:$R$225,$P128)</f>
        <v>215</v>
      </c>
      <c r="K128" s="4">
        <f>INDEX('Draft Engine'!$S$3:$S$225,$P128)</f>
        <v>89</v>
      </c>
      <c r="L128" t="str">
        <f>INDEX('Draft Engine'!$T$3:$T$225,$P128)</f>
        <v>A</v>
      </c>
      <c r="M128" t="str">
        <f>INDEX('Draft Engine'!$X$3:$X$225,$P128)</f>
        <v>RATE-ADJUSTED VETERAN</v>
      </c>
      <c r="N128" t="str">
        <f>INDEX('LIVE SOURCE'!$H$3:$H$225,$P128)</f>
        <v>Deep TE stash; needs a larger route/target role to matter in 10-team leagues.</v>
      </c>
      <c r="O128" t="str">
        <f>INDEX('LIVE SOURCE'!$J$3:$J$225,$P128)</f>
        <v>Route share, target volume and touchdown volatility are the main swing factors.</v>
      </c>
      <c r="P128" s="6">
        <f>MATCH($A128,'Draft Engine'!$Q$3:$Q$225,0)</f>
        <v>175</v>
      </c>
    </row>
    <row r="129" spans="1:16" x14ac:dyDescent="0.25">
      <c r="A129">
        <f>127</f>
        <v>127</v>
      </c>
      <c r="B129" t="str">
        <f>INDEX('Draft Engine'!$A$3:$A$225,$P129)</f>
        <v>WR</v>
      </c>
      <c r="C129">
        <f>INDEX('Draft Engine'!$F$3:$F$225,$P129)</f>
        <v>45</v>
      </c>
      <c r="D129" t="str">
        <f>INDEX('Draft Engine'!$B$3:$B$225,$P129)</f>
        <v>Xavier Worthy</v>
      </c>
      <c r="E129" s="4">
        <f>INDEX('Draft Engine'!$E$3:$E$225,$P129)</f>
        <v>68.180000000000007</v>
      </c>
      <c r="F129" t="str">
        <f t="shared" si="1"/>
        <v>TIER 6</v>
      </c>
      <c r="G129" s="4">
        <f>INDEX('Draft Engine'!$G$3:$G$225,$P129)</f>
        <v>216.4</v>
      </c>
      <c r="H129" s="4">
        <f>INDEX('Draft Engine'!$J$3:$J$225,$P129)</f>
        <v>-22.9</v>
      </c>
      <c r="I129" s="4">
        <f>INDEX('Draft Engine'!$N$3:$N$225,$P129)</f>
        <v>50.210333333333345</v>
      </c>
      <c r="J129" s="4">
        <f>INDEX('Draft Engine'!$R$3:$R$225,$P129)</f>
        <v>182.4</v>
      </c>
      <c r="K129" s="4">
        <f>INDEX('Draft Engine'!$S$3:$S$225,$P129)</f>
        <v>55.400000000000006</v>
      </c>
      <c r="L129" t="str">
        <f>INDEX('Draft Engine'!$T$3:$T$225,$P129)</f>
        <v>C</v>
      </c>
      <c r="M129" t="str">
        <f>INDEX('Draft Engine'!$X$3:$X$225,$P129)</f>
        <v>HISTORY FALLBACK</v>
      </c>
      <c r="N129" t="str">
        <f>INDEX('LIVE SOURCE'!$H$3:$H$225,$P129)</f>
        <v>FLEX/bench receiver; needs target growth or efficiency spikes.</v>
      </c>
      <c r="O129" t="str">
        <f>INDEX('LIVE SOURCE'!$J$3:$J$225,$P129)</f>
        <v>Target competition, quarterback efficiency and touchdown regression are the main downside paths.</v>
      </c>
      <c r="P129" s="6">
        <f>MATCH($A129,'Draft Engine'!$Q$3:$Q$225,0)</f>
        <v>129</v>
      </c>
    </row>
    <row r="130" spans="1:16" x14ac:dyDescent="0.25">
      <c r="A130">
        <f>128</f>
        <v>128</v>
      </c>
      <c r="B130" t="str">
        <f>INDEX('Draft Engine'!$A$3:$A$225,$P130)</f>
        <v>RB</v>
      </c>
      <c r="C130">
        <f>INDEX('Draft Engine'!$F$3:$F$225,$P130)</f>
        <v>41</v>
      </c>
      <c r="D130" t="str">
        <f>INDEX('Draft Engine'!$B$3:$B$225,$P130)</f>
        <v>Woody Marks</v>
      </c>
      <c r="E130" s="4">
        <f>INDEX('Draft Engine'!$E$3:$E$225,$P130)</f>
        <v>66.866200000000006</v>
      </c>
      <c r="F130" t="str">
        <f t="shared" si="1"/>
        <v>TIER 6</v>
      </c>
      <c r="G130" s="4">
        <f>INDEX('Draft Engine'!$G$3:$G$225,$P130)</f>
        <v>210.8</v>
      </c>
      <c r="H130" s="4">
        <f>INDEX('Draft Engine'!$J$3:$J$225,$P130)</f>
        <v>-28.2</v>
      </c>
      <c r="I130" s="4">
        <f>INDEX('Draft Engine'!$N$3:$N$225,$P130)</f>
        <v>49.575410000000005</v>
      </c>
      <c r="J130" s="4">
        <f>INDEX('Draft Engine'!$R$3:$R$225,$P130)</f>
        <v>170</v>
      </c>
      <c r="K130" s="4">
        <f>INDEX('Draft Engine'!$S$3:$S$225,$P130)</f>
        <v>42</v>
      </c>
      <c r="L130" t="str">
        <f>INDEX('Draft Engine'!$T$3:$T$225,$P130)</f>
        <v>A</v>
      </c>
      <c r="M130" t="str">
        <f>INDEX('Draft Engine'!$X$3:$X$225,$P130)</f>
        <v>RATE-ADJUSTED VETERAN</v>
      </c>
      <c r="N130" t="str">
        <f>INDEX('LIVE SOURCE'!$H$3:$H$225,$P130)</f>
        <v>Bench stash/handcuff profile; value is tied to role change or injury ahead.</v>
      </c>
      <c r="O130" t="str">
        <f>INDEX('LIVE SOURCE'!$J$3:$J$225,$P130)</f>
        <v>Touchdown variance, receiving-role changes and backfield competition are the main downside paths.</v>
      </c>
      <c r="P130" s="6">
        <f>MATCH($A130,'Draft Engine'!$Q$3:$Q$225,0)</f>
        <v>73</v>
      </c>
    </row>
    <row r="131" spans="1:16" x14ac:dyDescent="0.25">
      <c r="A131">
        <f>129</f>
        <v>129</v>
      </c>
      <c r="B131" t="str">
        <f>INDEX('Draft Engine'!$A$3:$A$225,$P131)</f>
        <v>QB</v>
      </c>
      <c r="C131">
        <f>INDEX('Draft Engine'!$F$3:$F$225,$P131)</f>
        <v>20</v>
      </c>
      <c r="D131" t="str">
        <f>INDEX('Draft Engine'!$B$3:$B$225,$P131)</f>
        <v>Tyler Shough</v>
      </c>
      <c r="E131" s="4">
        <f>INDEX('Draft Engine'!$E$3:$E$225,$P131)</f>
        <v>77.365600000000001</v>
      </c>
      <c r="F131" t="str">
        <f t="shared" ref="F131:F194" si="2">IF($E131&gt;=95,"ELITE",IF($E131&gt;=90,"TIER 1",IF($E131&gt;=85,"TIER 2",IF($E131&gt;=80,"TIER 3",IF($E131&gt;=75,"TIER 4",IF($E131&gt;=70,"TIER 5",IF($E131&gt;=65,"TIER 6","TIER 7")))))))</f>
        <v>TIER 4</v>
      </c>
      <c r="G131" s="4">
        <f>INDEX('Draft Engine'!$G$3:$G$225,$P131)</f>
        <v>318.10000000000002</v>
      </c>
      <c r="H131" s="4">
        <f>INDEX('Draft Engine'!$J$3:$J$225,$P131)</f>
        <v>-33</v>
      </c>
      <c r="I131" s="4">
        <f>INDEX('Draft Engine'!$N$3:$N$225,$P131)</f>
        <v>48.995695384615388</v>
      </c>
      <c r="J131" s="4">
        <f>INDEX('Draft Engine'!$R$3:$R$225,$P131)</f>
        <v>174</v>
      </c>
      <c r="K131" s="4">
        <f>INDEX('Draft Engine'!$S$3:$S$225,$P131)</f>
        <v>45</v>
      </c>
      <c r="L131" t="str">
        <f>INDEX('Draft Engine'!$T$3:$T$225,$P131)</f>
        <v>B</v>
      </c>
      <c r="M131" t="str">
        <f>INDEX('Draft Engine'!$X$3:$X$225,$P131)</f>
        <v>RATE-ADJUSTED VETERAN</v>
      </c>
      <c r="N131" t="str">
        <f>INDEX('LIVE SOURCE'!$H$3:$H$225,$P131)</f>
        <v>Bench/streaming option; needs matchup, rushing or TD spike weeks.</v>
      </c>
      <c r="O131" t="str">
        <f>INDEX('LIVE SOURCE'!$J$3:$J$225,$P131)</f>
        <v>Passing-TD efficiency, rushing volume and supporting-cast health are the main swing factors.</v>
      </c>
      <c r="P131" s="6">
        <f>MATCH($A131,'Draft Engine'!$Q$3:$Q$225,0)</f>
        <v>20</v>
      </c>
    </row>
    <row r="132" spans="1:16" x14ac:dyDescent="0.25">
      <c r="A132">
        <f>130</f>
        <v>130</v>
      </c>
      <c r="B132" t="str">
        <f>INDEX('Draft Engine'!$A$3:$A$225,$P132)</f>
        <v>WR</v>
      </c>
      <c r="C132">
        <f>INDEX('Draft Engine'!$F$3:$F$225,$P132)</f>
        <v>46</v>
      </c>
      <c r="D132" t="str">
        <f>INDEX('Draft Engine'!$B$3:$B$225,$P132)</f>
        <v>Matthew Golden</v>
      </c>
      <c r="E132" s="4">
        <f>INDEX('Draft Engine'!$E$3:$E$225,$P132)</f>
        <v>67.510000000000005</v>
      </c>
      <c r="F132" t="str">
        <f t="shared" si="2"/>
        <v>TIER 6</v>
      </c>
      <c r="G132" s="4">
        <f>INDEX('Draft Engine'!$G$3:$G$225,$P132)</f>
        <v>213.5</v>
      </c>
      <c r="H132" s="4">
        <f>INDEX('Draft Engine'!$J$3:$J$225,$P132)</f>
        <v>-25.8</v>
      </c>
      <c r="I132" s="4">
        <f>INDEX('Draft Engine'!$N$3:$N$225,$P132)</f>
        <v>48.986500000000007</v>
      </c>
      <c r="J132" s="4">
        <f>INDEX('Draft Engine'!$R$3:$R$225,$P132)</f>
        <v>186.3</v>
      </c>
      <c r="K132" s="4">
        <f>INDEX('Draft Engine'!$S$3:$S$225,$P132)</f>
        <v>56.300000000000011</v>
      </c>
      <c r="L132" t="str">
        <f>INDEX('Draft Engine'!$T$3:$T$225,$P132)</f>
        <v>C</v>
      </c>
      <c r="M132" t="str">
        <f>INDEX('Draft Engine'!$X$3:$X$225,$P132)</f>
        <v>HISTORY FALLBACK</v>
      </c>
      <c r="N132" t="str">
        <f>INDEX('LIVE SOURCE'!$H$3:$H$225,$P132)</f>
        <v>FLEX/bench receiver; needs target growth or efficiency spikes.</v>
      </c>
      <c r="O132" t="str">
        <f>INDEX('LIVE SOURCE'!$J$3:$J$225,$P132)</f>
        <v>Evidence is thinner than for established veterans, so camp, depth-chart and role news can move the grade materially.</v>
      </c>
      <c r="P132" s="6">
        <f>MATCH($A132,'Draft Engine'!$Q$3:$Q$225,0)</f>
        <v>130</v>
      </c>
    </row>
    <row r="133" spans="1:16" x14ac:dyDescent="0.25">
      <c r="A133">
        <f>131</f>
        <v>131</v>
      </c>
      <c r="B133" t="str">
        <f>INDEX('Draft Engine'!$A$3:$A$225,$P133)</f>
        <v>DST</v>
      </c>
      <c r="C133">
        <f>INDEX('Draft Engine'!$F$3:$F$225,$P133)</f>
        <v>1</v>
      </c>
      <c r="D133" t="str">
        <f>INDEX('Draft Engine'!$B$3:$B$225,$P133)</f>
        <v>Houston Texans</v>
      </c>
      <c r="E133" s="4">
        <f>INDEX('Draft Engine'!$E$3:$E$225,$P133)</f>
        <v>93</v>
      </c>
      <c r="F133" t="str">
        <f t="shared" si="2"/>
        <v>TIER 1</v>
      </c>
      <c r="G133" s="4">
        <f>INDEX('Draft Engine'!$G$3:$G$225,$P133)</f>
        <v>117.4</v>
      </c>
      <c r="H133" s="4">
        <f>INDEX('Draft Engine'!$J$3:$J$225,$P133)</f>
        <v>17.8</v>
      </c>
      <c r="I133" s="4">
        <f>INDEX('Draft Engine'!$N$3:$N$225,$P133)</f>
        <v>56.854000000000013</v>
      </c>
      <c r="J133" s="4">
        <f>INDEX('Draft Engine'!$R$3:$R$225,$P133)</f>
        <v>160</v>
      </c>
      <c r="K133" s="4">
        <f>INDEX('Draft Engine'!$S$3:$S$225,$P133)</f>
        <v>29</v>
      </c>
      <c r="L133" t="str">
        <f>INDEX('Draft Engine'!$T$3:$T$225,$P133)</f>
        <v>B</v>
      </c>
      <c r="M133" t="str">
        <f>INDEX('Draft Engine'!$X$3:$X$225,$P133)</f>
        <v>DST MODEL</v>
      </c>
      <c r="N133" t="str">
        <f>INDEX('LIVE SOURCE'!$H$3:$H$225,$P133)</f>
        <v>Elite DST target if available in the final rounds; otherwise streaming remains viable.</v>
      </c>
      <c r="O133" t="str">
        <f>INDEX('LIVE SOURCE'!$J$3:$J$225,$P133)</f>
        <v>DST scoring is highly opponent- and turnover-dependent, making season-long rank fragile.</v>
      </c>
      <c r="P133" s="6">
        <f>MATCH($A133,'Draft Engine'!$Q$3:$Q$225,0)</f>
        <v>192</v>
      </c>
    </row>
    <row r="134" spans="1:16" x14ac:dyDescent="0.25">
      <c r="A134">
        <f>132</f>
        <v>132</v>
      </c>
      <c r="B134" t="str">
        <f>INDEX('Draft Engine'!$A$3:$A$225,$P134)</f>
        <v>DST</v>
      </c>
      <c r="C134">
        <f>INDEX('Draft Engine'!$F$3:$F$225,$P134)</f>
        <v>2</v>
      </c>
      <c r="D134" t="str">
        <f>INDEX('Draft Engine'!$B$3:$B$225,$P134)</f>
        <v>Denver Broncos</v>
      </c>
      <c r="E134" s="4">
        <f>INDEX('Draft Engine'!$E$3:$E$225,$P134)</f>
        <v>91.9</v>
      </c>
      <c r="F134" t="str">
        <f t="shared" si="2"/>
        <v>TIER 1</v>
      </c>
      <c r="G134" s="4">
        <f>INDEX('Draft Engine'!$G$3:$G$225,$P134)</f>
        <v>115.4</v>
      </c>
      <c r="H134" s="4">
        <f>INDEX('Draft Engine'!$J$3:$J$225,$P134)</f>
        <v>15.8</v>
      </c>
      <c r="I134" s="4">
        <f>INDEX('Draft Engine'!$N$3:$N$225,$P134)</f>
        <v>55.38900000000001</v>
      </c>
      <c r="J134" s="4">
        <f>INDEX('Draft Engine'!$R$3:$R$225,$P134)</f>
        <v>164</v>
      </c>
      <c r="K134" s="4">
        <f>INDEX('Draft Engine'!$S$3:$S$225,$P134)</f>
        <v>32</v>
      </c>
      <c r="L134" t="str">
        <f>INDEX('Draft Engine'!$T$3:$T$225,$P134)</f>
        <v>B</v>
      </c>
      <c r="M134" t="str">
        <f>INDEX('Draft Engine'!$X$3:$X$225,$P134)</f>
        <v>DST MODEL</v>
      </c>
      <c r="N134" t="str">
        <f>INDEX('LIVE SOURCE'!$H$3:$H$225,$P134)</f>
        <v>Elite DST target if available in the final rounds; otherwise streaming remains viable.</v>
      </c>
      <c r="O134" t="str">
        <f>INDEX('LIVE SOURCE'!$J$3:$J$225,$P134)</f>
        <v>DST scoring is highly opponent- and turnover-dependent, making season-long rank fragile.</v>
      </c>
      <c r="P134" s="6">
        <f>MATCH($A134,'Draft Engine'!$Q$3:$Q$225,0)</f>
        <v>193</v>
      </c>
    </row>
    <row r="135" spans="1:16" x14ac:dyDescent="0.25">
      <c r="A135">
        <f>133</f>
        <v>133</v>
      </c>
      <c r="B135" t="str">
        <f>INDEX('Draft Engine'!$A$3:$A$225,$P135)</f>
        <v>DST</v>
      </c>
      <c r="C135">
        <f>INDEX('Draft Engine'!$F$3:$F$225,$P135)</f>
        <v>3</v>
      </c>
      <c r="D135" t="str">
        <f>INDEX('Draft Engine'!$B$3:$B$225,$P135)</f>
        <v>Seattle Seahawks</v>
      </c>
      <c r="E135" s="4">
        <f>INDEX('Draft Engine'!$E$3:$E$225,$P135)</f>
        <v>90.8</v>
      </c>
      <c r="F135" t="str">
        <f t="shared" si="2"/>
        <v>TIER 1</v>
      </c>
      <c r="G135" s="4">
        <f>INDEX('Draft Engine'!$G$3:$G$225,$P135)</f>
        <v>113.4</v>
      </c>
      <c r="H135" s="4">
        <f>INDEX('Draft Engine'!$J$3:$J$225,$P135)</f>
        <v>13.8</v>
      </c>
      <c r="I135" s="4">
        <f>INDEX('Draft Engine'!$N$3:$N$225,$P135)</f>
        <v>53.924000000000007</v>
      </c>
      <c r="J135" s="4">
        <f>INDEX('Draft Engine'!$R$3:$R$225,$P135)</f>
        <v>168</v>
      </c>
      <c r="K135" s="4">
        <f>INDEX('Draft Engine'!$S$3:$S$225,$P135)</f>
        <v>35</v>
      </c>
      <c r="L135" t="str">
        <f>INDEX('Draft Engine'!$T$3:$T$225,$P135)</f>
        <v>B</v>
      </c>
      <c r="M135" t="str">
        <f>INDEX('Draft Engine'!$X$3:$X$225,$P135)</f>
        <v>DST MODEL</v>
      </c>
      <c r="N135" t="str">
        <f>INDEX('LIVE SOURCE'!$H$3:$H$225,$P135)</f>
        <v>Elite DST target if available in the final rounds; otherwise streaming remains viable.</v>
      </c>
      <c r="O135" t="str">
        <f>INDEX('LIVE SOURCE'!$J$3:$J$225,$P135)</f>
        <v>DST scoring is highly opponent- and turnover-dependent, making season-long rank fragile.</v>
      </c>
      <c r="P135" s="6">
        <f>MATCH($A135,'Draft Engine'!$Q$3:$Q$225,0)</f>
        <v>194</v>
      </c>
    </row>
    <row r="136" spans="1:16" x14ac:dyDescent="0.25">
      <c r="A136">
        <f>134</f>
        <v>134</v>
      </c>
      <c r="B136" t="str">
        <f>INDEX('Draft Engine'!$A$3:$A$225,$P136)</f>
        <v>DST</v>
      </c>
      <c r="C136">
        <f>INDEX('Draft Engine'!$F$3:$F$225,$P136)</f>
        <v>4</v>
      </c>
      <c r="D136" t="str">
        <f>INDEX('Draft Engine'!$B$3:$B$225,$P136)</f>
        <v>Los Angeles Rams</v>
      </c>
      <c r="E136" s="4">
        <f>INDEX('Draft Engine'!$E$3:$E$225,$P136)</f>
        <v>89.7</v>
      </c>
      <c r="F136" t="str">
        <f t="shared" si="2"/>
        <v>TIER 2</v>
      </c>
      <c r="G136" s="4">
        <f>INDEX('Draft Engine'!$G$3:$G$225,$P136)</f>
        <v>111.5</v>
      </c>
      <c r="H136" s="4">
        <f>INDEX('Draft Engine'!$J$3:$J$225,$P136)</f>
        <v>11.9</v>
      </c>
      <c r="I136" s="4">
        <f>INDEX('Draft Engine'!$N$3:$N$225,$P136)</f>
        <v>52.477000000000004</v>
      </c>
      <c r="J136" s="4">
        <f>INDEX('Draft Engine'!$R$3:$R$225,$P136)</f>
        <v>172</v>
      </c>
      <c r="K136" s="4">
        <f>INDEX('Draft Engine'!$S$3:$S$225,$P136)</f>
        <v>38</v>
      </c>
      <c r="L136" t="str">
        <f>INDEX('Draft Engine'!$T$3:$T$225,$P136)</f>
        <v>B</v>
      </c>
      <c r="M136" t="str">
        <f>INDEX('Draft Engine'!$X$3:$X$225,$P136)</f>
        <v>DST MODEL</v>
      </c>
      <c r="N136" t="str">
        <f>INDEX('LIVE SOURCE'!$H$3:$H$225,$P136)</f>
        <v>Elite DST target if available in the final rounds; otherwise streaming remains viable.</v>
      </c>
      <c r="O136" t="str">
        <f>INDEX('LIVE SOURCE'!$J$3:$J$225,$P136)</f>
        <v>DST scoring is highly opponent- and turnover-dependent, making season-long rank fragile.</v>
      </c>
      <c r="P136" s="6">
        <f>MATCH($A136,'Draft Engine'!$Q$3:$Q$225,0)</f>
        <v>195</v>
      </c>
    </row>
    <row r="137" spans="1:16" x14ac:dyDescent="0.25">
      <c r="A137">
        <f>135</f>
        <v>135</v>
      </c>
      <c r="B137" t="str">
        <f>INDEX('Draft Engine'!$A$3:$A$225,$P137)</f>
        <v>DST</v>
      </c>
      <c r="C137">
        <f>INDEX('Draft Engine'!$F$3:$F$225,$P137)</f>
        <v>5</v>
      </c>
      <c r="D137" t="str">
        <f>INDEX('Draft Engine'!$B$3:$B$225,$P137)</f>
        <v>Philadelphia Eagles</v>
      </c>
      <c r="E137" s="4">
        <f>INDEX('Draft Engine'!$E$3:$E$225,$P137)</f>
        <v>88.6</v>
      </c>
      <c r="F137" t="str">
        <f t="shared" si="2"/>
        <v>TIER 2</v>
      </c>
      <c r="G137" s="4">
        <f>INDEX('Draft Engine'!$G$3:$G$225,$P137)</f>
        <v>109.5</v>
      </c>
      <c r="H137" s="4">
        <f>INDEX('Draft Engine'!$J$3:$J$225,$P137)</f>
        <v>9.9</v>
      </c>
      <c r="I137" s="4">
        <f>INDEX('Draft Engine'!$N$3:$N$225,$P137)</f>
        <v>51.012</v>
      </c>
      <c r="J137" s="4">
        <f>INDEX('Draft Engine'!$R$3:$R$225,$P137)</f>
        <v>176</v>
      </c>
      <c r="K137" s="4">
        <f>INDEX('Draft Engine'!$S$3:$S$225,$P137)</f>
        <v>41</v>
      </c>
      <c r="L137" t="str">
        <f>INDEX('Draft Engine'!$T$3:$T$225,$P137)</f>
        <v>B</v>
      </c>
      <c r="M137" t="str">
        <f>INDEX('Draft Engine'!$X$3:$X$225,$P137)</f>
        <v>DST MODEL</v>
      </c>
      <c r="N137" t="str">
        <f>INDEX('LIVE SOURCE'!$H$3:$H$225,$P137)</f>
        <v>Elite DST target if available in the final rounds; otherwise streaming remains viable.</v>
      </c>
      <c r="O137" t="str">
        <f>INDEX('LIVE SOURCE'!$J$3:$J$225,$P137)</f>
        <v>DST scoring is highly opponent- and turnover-dependent, making season-long rank fragile.</v>
      </c>
      <c r="P137" s="6">
        <f>MATCH($A137,'Draft Engine'!$Q$3:$Q$225,0)</f>
        <v>196</v>
      </c>
    </row>
    <row r="138" spans="1:16" x14ac:dyDescent="0.25">
      <c r="A138">
        <f>136</f>
        <v>136</v>
      </c>
      <c r="B138" t="str">
        <f>INDEX('Draft Engine'!$A$3:$A$225,$P138)</f>
        <v>DST</v>
      </c>
      <c r="C138">
        <f>INDEX('Draft Engine'!$F$3:$F$225,$P138)</f>
        <v>6</v>
      </c>
      <c r="D138" t="str">
        <f>INDEX('Draft Engine'!$B$3:$B$225,$P138)</f>
        <v>Minnesota Vikings</v>
      </c>
      <c r="E138" s="4">
        <f>INDEX('Draft Engine'!$E$3:$E$225,$P138)</f>
        <v>87.5</v>
      </c>
      <c r="F138" t="str">
        <f t="shared" si="2"/>
        <v>TIER 2</v>
      </c>
      <c r="G138" s="4">
        <f>INDEX('Draft Engine'!$G$3:$G$225,$P138)</f>
        <v>107.5</v>
      </c>
      <c r="H138" s="4">
        <f>INDEX('Draft Engine'!$J$3:$J$225,$P138)</f>
        <v>7.9</v>
      </c>
      <c r="I138" s="4">
        <f>INDEX('Draft Engine'!$N$3:$N$225,$P138)</f>
        <v>49.547000000000011</v>
      </c>
      <c r="J138" s="4">
        <f>INDEX('Draft Engine'!$R$3:$R$225,$P138)</f>
        <v>180</v>
      </c>
      <c r="K138" s="4">
        <f>INDEX('Draft Engine'!$S$3:$S$225,$P138)</f>
        <v>44</v>
      </c>
      <c r="L138" t="str">
        <f>INDEX('Draft Engine'!$T$3:$T$225,$P138)</f>
        <v>B</v>
      </c>
      <c r="M138" t="str">
        <f>INDEX('Draft Engine'!$X$3:$X$225,$P138)</f>
        <v>DST MODEL</v>
      </c>
      <c r="N138" t="str">
        <f>INDEX('LIVE SOURCE'!$H$3:$H$225,$P138)</f>
        <v>Streaming/late-round defense; matchup matters more than preseason rank.</v>
      </c>
      <c r="O138" t="str">
        <f>INDEX('LIVE SOURCE'!$J$3:$J$225,$P138)</f>
        <v>DST scoring is highly opponent- and turnover-dependent, making season-long rank fragile.</v>
      </c>
      <c r="P138" s="6">
        <f>MATCH($A138,'Draft Engine'!$Q$3:$Q$225,0)</f>
        <v>197</v>
      </c>
    </row>
    <row r="139" spans="1:16" x14ac:dyDescent="0.25">
      <c r="A139">
        <f>137</f>
        <v>137</v>
      </c>
      <c r="B139" t="str">
        <f>INDEX('Draft Engine'!$A$3:$A$225,$P139)</f>
        <v>DST</v>
      </c>
      <c r="C139">
        <f>INDEX('Draft Engine'!$F$3:$F$225,$P139)</f>
        <v>7</v>
      </c>
      <c r="D139" t="str">
        <f>INDEX('Draft Engine'!$B$3:$B$225,$P139)</f>
        <v>New England Patriots</v>
      </c>
      <c r="E139" s="4">
        <f>INDEX('Draft Engine'!$E$3:$E$225,$P139)</f>
        <v>86.4</v>
      </c>
      <c r="F139" t="str">
        <f t="shared" si="2"/>
        <v>TIER 2</v>
      </c>
      <c r="G139" s="4">
        <f>INDEX('Draft Engine'!$G$3:$G$225,$P139)</f>
        <v>105.5</v>
      </c>
      <c r="H139" s="4">
        <f>INDEX('Draft Engine'!$J$3:$J$225,$P139)</f>
        <v>5.9</v>
      </c>
      <c r="I139" s="4">
        <f>INDEX('Draft Engine'!$N$3:$N$225,$P139)</f>
        <v>48.082000000000008</v>
      </c>
      <c r="J139" s="4">
        <f>INDEX('Draft Engine'!$R$3:$R$225,$P139)</f>
        <v>184</v>
      </c>
      <c r="K139" s="4">
        <f>INDEX('Draft Engine'!$S$3:$S$225,$P139)</f>
        <v>47</v>
      </c>
      <c r="L139" t="str">
        <f>INDEX('Draft Engine'!$T$3:$T$225,$P139)</f>
        <v>B</v>
      </c>
      <c r="M139" t="str">
        <f>INDEX('Draft Engine'!$X$3:$X$225,$P139)</f>
        <v>DST MODEL</v>
      </c>
      <c r="N139" t="str">
        <f>INDEX('LIVE SOURCE'!$H$3:$H$225,$P139)</f>
        <v>Streaming/late-round defense; matchup matters more than preseason rank.</v>
      </c>
      <c r="O139" t="str">
        <f>INDEX('LIVE SOURCE'!$J$3:$J$225,$P139)</f>
        <v>DST scoring is highly opponent- and turnover-dependent, making season-long rank fragile.</v>
      </c>
      <c r="P139" s="6">
        <f>MATCH($A139,'Draft Engine'!$Q$3:$Q$225,0)</f>
        <v>198</v>
      </c>
    </row>
    <row r="140" spans="1:16" x14ac:dyDescent="0.25">
      <c r="A140">
        <f>138</f>
        <v>138</v>
      </c>
      <c r="B140" t="str">
        <f>INDEX('Draft Engine'!$A$3:$A$225,$P140)</f>
        <v>DST</v>
      </c>
      <c r="C140">
        <f>INDEX('Draft Engine'!$F$3:$F$225,$P140)</f>
        <v>8</v>
      </c>
      <c r="D140" t="str">
        <f>INDEX('Draft Engine'!$B$3:$B$225,$P140)</f>
        <v>Jacksonville Jaguars</v>
      </c>
      <c r="E140" s="4">
        <f>INDEX('Draft Engine'!$E$3:$E$225,$P140)</f>
        <v>85.3</v>
      </c>
      <c r="F140" t="str">
        <f t="shared" si="2"/>
        <v>TIER 2</v>
      </c>
      <c r="G140" s="4">
        <f>INDEX('Draft Engine'!$G$3:$G$225,$P140)</f>
        <v>103.5</v>
      </c>
      <c r="H140" s="4">
        <f>INDEX('Draft Engine'!$J$3:$J$225,$P140)</f>
        <v>3.9</v>
      </c>
      <c r="I140" s="4">
        <f>INDEX('Draft Engine'!$N$3:$N$225,$P140)</f>
        <v>46.61699999999999</v>
      </c>
      <c r="J140" s="4">
        <f>INDEX('Draft Engine'!$R$3:$R$225,$P140)</f>
        <v>188</v>
      </c>
      <c r="K140" s="4">
        <f>INDEX('Draft Engine'!$S$3:$S$225,$P140)</f>
        <v>50</v>
      </c>
      <c r="L140" t="str">
        <f>INDEX('Draft Engine'!$T$3:$T$225,$P140)</f>
        <v>B</v>
      </c>
      <c r="M140" t="str">
        <f>INDEX('Draft Engine'!$X$3:$X$225,$P140)</f>
        <v>DST MODEL</v>
      </c>
      <c r="N140" t="str">
        <f>INDEX('LIVE SOURCE'!$H$3:$H$225,$P140)</f>
        <v>Streaming/late-round defense; matchup matters more than preseason rank.</v>
      </c>
      <c r="O140" t="str">
        <f>INDEX('LIVE SOURCE'!$J$3:$J$225,$P140)</f>
        <v>DST scoring is highly opponent- and turnover-dependent, making season-long rank fragile.</v>
      </c>
      <c r="P140" s="6">
        <f>MATCH($A140,'Draft Engine'!$Q$3:$Q$225,0)</f>
        <v>199</v>
      </c>
    </row>
    <row r="141" spans="1:16" x14ac:dyDescent="0.25">
      <c r="A141">
        <f>139</f>
        <v>139</v>
      </c>
      <c r="B141" t="str">
        <f>INDEX('Draft Engine'!$A$3:$A$225,$P141)</f>
        <v>DST</v>
      </c>
      <c r="C141">
        <f>INDEX('Draft Engine'!$F$3:$F$225,$P141)</f>
        <v>9</v>
      </c>
      <c r="D141" t="str">
        <f>INDEX('Draft Engine'!$B$3:$B$225,$P141)</f>
        <v>Pittsburgh Steelers</v>
      </c>
      <c r="E141" s="4">
        <f>INDEX('Draft Engine'!$E$3:$E$225,$P141)</f>
        <v>84.2</v>
      </c>
      <c r="F141" t="str">
        <f t="shared" si="2"/>
        <v>TIER 3</v>
      </c>
      <c r="G141" s="4">
        <f>INDEX('Draft Engine'!$G$3:$G$225,$P141)</f>
        <v>101.6</v>
      </c>
      <c r="H141" s="4">
        <f>INDEX('Draft Engine'!$J$3:$J$225,$P141)</f>
        <v>2</v>
      </c>
      <c r="I141" s="4">
        <f>INDEX('Draft Engine'!$N$3:$N$225,$P141)</f>
        <v>45.17</v>
      </c>
      <c r="J141" s="4">
        <f>INDEX('Draft Engine'!$R$3:$R$225,$P141)</f>
        <v>192</v>
      </c>
      <c r="K141" s="4">
        <f>INDEX('Draft Engine'!$S$3:$S$225,$P141)</f>
        <v>53</v>
      </c>
      <c r="L141" t="str">
        <f>INDEX('Draft Engine'!$T$3:$T$225,$P141)</f>
        <v>B</v>
      </c>
      <c r="M141" t="str">
        <f>INDEX('Draft Engine'!$X$3:$X$225,$P141)</f>
        <v>DST MODEL</v>
      </c>
      <c r="N141" t="str">
        <f>INDEX('LIVE SOURCE'!$H$3:$H$225,$P141)</f>
        <v>Streaming/late-round defense; matchup matters more than preseason rank.</v>
      </c>
      <c r="O141" t="str">
        <f>INDEX('LIVE SOURCE'!$J$3:$J$225,$P141)</f>
        <v>DST scoring is highly opponent- and turnover-dependent, making season-long rank fragile.</v>
      </c>
      <c r="P141" s="6">
        <f>MATCH($A141,'Draft Engine'!$Q$3:$Q$225,0)</f>
        <v>200</v>
      </c>
    </row>
    <row r="142" spans="1:16" x14ac:dyDescent="0.25">
      <c r="A142">
        <f>140</f>
        <v>140</v>
      </c>
      <c r="B142" t="str">
        <f>INDEX('Draft Engine'!$A$3:$A$225,$P142)</f>
        <v>DST</v>
      </c>
      <c r="C142">
        <f>INDEX('Draft Engine'!$F$3:$F$225,$P142)</f>
        <v>10</v>
      </c>
      <c r="D142" t="str">
        <f>INDEX('Draft Engine'!$B$3:$B$225,$P142)</f>
        <v>Los Angeles Chargers</v>
      </c>
      <c r="E142" s="4">
        <f>INDEX('Draft Engine'!$E$3:$E$225,$P142)</f>
        <v>83.1</v>
      </c>
      <c r="F142" t="str">
        <f t="shared" si="2"/>
        <v>TIER 3</v>
      </c>
      <c r="G142" s="4">
        <f>INDEX('Draft Engine'!$G$3:$G$225,$P142)</f>
        <v>99.6</v>
      </c>
      <c r="H142" s="4">
        <f>INDEX('Draft Engine'!$J$3:$J$225,$P142)</f>
        <v>0</v>
      </c>
      <c r="I142" s="4">
        <f>INDEX('Draft Engine'!$N$3:$N$225,$P142)</f>
        <v>43.704999999999998</v>
      </c>
      <c r="J142" s="4">
        <f>INDEX('Draft Engine'!$R$3:$R$225,$P142)</f>
        <v>196</v>
      </c>
      <c r="K142" s="4">
        <f>INDEX('Draft Engine'!$S$3:$S$225,$P142)</f>
        <v>56</v>
      </c>
      <c r="L142" t="str">
        <f>INDEX('Draft Engine'!$T$3:$T$225,$P142)</f>
        <v>B</v>
      </c>
      <c r="M142" t="str">
        <f>INDEX('Draft Engine'!$X$3:$X$225,$P142)</f>
        <v>DST MODEL</v>
      </c>
      <c r="N142" t="str">
        <f>INDEX('LIVE SOURCE'!$H$3:$H$225,$P142)</f>
        <v>Streaming/late-round defense; matchup matters more than preseason rank.</v>
      </c>
      <c r="O142" t="str">
        <f>INDEX('LIVE SOURCE'!$J$3:$J$225,$P142)</f>
        <v>DST scoring is highly opponent- and turnover-dependent, making season-long rank fragile.</v>
      </c>
      <c r="P142" s="6">
        <f>MATCH($A142,'Draft Engine'!$Q$3:$Q$225,0)</f>
        <v>201</v>
      </c>
    </row>
    <row r="143" spans="1:16" x14ac:dyDescent="0.25">
      <c r="A143">
        <f>141</f>
        <v>141</v>
      </c>
      <c r="B143" t="str">
        <f>INDEX('Draft Engine'!$A$3:$A$225,$P143)</f>
        <v>K</v>
      </c>
      <c r="C143">
        <f>INDEX('Draft Engine'!$F$3:$F$225,$P143)</f>
        <v>1</v>
      </c>
      <c r="D143" t="str">
        <f>INDEX('Draft Engine'!$B$3:$B$225,$P143)</f>
        <v>Brandon Aubrey</v>
      </c>
      <c r="E143" s="4">
        <f>INDEX('Draft Engine'!$E$3:$E$225,$P143)</f>
        <v>94</v>
      </c>
      <c r="F143" t="str">
        <f t="shared" si="2"/>
        <v>TIER 1</v>
      </c>
      <c r="G143" s="4">
        <f>INDEX('Draft Engine'!$G$3:$G$225,$P143)</f>
        <v>148</v>
      </c>
      <c r="H143" s="4">
        <f>INDEX('Draft Engine'!$J$3:$J$225,$P143)</f>
        <v>39.6</v>
      </c>
      <c r="I143" s="4">
        <f>INDEX('Draft Engine'!$N$3:$N$225,$P143)</f>
        <v>64.078000000000003</v>
      </c>
      <c r="J143" s="4">
        <f>INDEX('Draft Engine'!$R$3:$R$225,$P143)</f>
        <v>155</v>
      </c>
      <c r="K143" s="4">
        <f>INDEX('Draft Engine'!$S$3:$S$225,$P143)</f>
        <v>14</v>
      </c>
      <c r="L143" t="str">
        <f>INDEX('Draft Engine'!$T$3:$T$225,$P143)</f>
        <v>B</v>
      </c>
      <c r="M143" t="str">
        <f>INDEX('Draft Engine'!$X$3:$X$225,$P143)</f>
        <v>KICKER MODEL</v>
      </c>
      <c r="N143" t="str">
        <f>INDEX('LIVE SOURCE'!$H$3:$H$225,$P143)</f>
        <v>Top-tier kicker option, but still a final-round target.</v>
      </c>
      <c r="O143" t="str">
        <f>INDEX('LIVE SOURCE'!$J$3:$J$225,$P143)</f>
        <v>Kicker scoring is volatile and replaceable on waivers; do not pay meaningful draft capital.</v>
      </c>
      <c r="P143" s="6">
        <f>MATCH($A143,'Draft Engine'!$Q$3:$Q$225,0)</f>
        <v>180</v>
      </c>
    </row>
    <row r="144" spans="1:16" x14ac:dyDescent="0.25">
      <c r="A144">
        <f>142</f>
        <v>142</v>
      </c>
      <c r="B144" t="str">
        <f>INDEX('Draft Engine'!$A$3:$A$225,$P144)</f>
        <v>K</v>
      </c>
      <c r="C144">
        <f>INDEX('Draft Engine'!$F$3:$F$225,$P144)</f>
        <v>2</v>
      </c>
      <c r="D144" t="str">
        <f>INDEX('Draft Engine'!$B$3:$B$225,$P144)</f>
        <v>Ka'imi Fairbairn</v>
      </c>
      <c r="E144" s="4">
        <f>INDEX('Draft Engine'!$E$3:$E$225,$P144)</f>
        <v>91.8</v>
      </c>
      <c r="F144" t="str">
        <f t="shared" si="2"/>
        <v>TIER 1</v>
      </c>
      <c r="G144" s="4">
        <f>INDEX('Draft Engine'!$G$3:$G$225,$P144)</f>
        <v>143.6</v>
      </c>
      <c r="H144" s="4">
        <f>INDEX('Draft Engine'!$J$3:$J$225,$P144)</f>
        <v>35.200000000000003</v>
      </c>
      <c r="I144" s="4">
        <f>INDEX('Draft Engine'!$N$3:$N$225,$P144)</f>
        <v>61.52600000000001</v>
      </c>
      <c r="J144" s="4">
        <f>INDEX('Draft Engine'!$R$3:$R$225,$P144)</f>
        <v>160</v>
      </c>
      <c r="K144" s="4">
        <f>INDEX('Draft Engine'!$S$3:$S$225,$P144)</f>
        <v>18</v>
      </c>
      <c r="L144" t="str">
        <f>INDEX('Draft Engine'!$T$3:$T$225,$P144)</f>
        <v>B</v>
      </c>
      <c r="M144" t="str">
        <f>INDEX('Draft Engine'!$X$3:$X$225,$P144)</f>
        <v>KICKER MODEL</v>
      </c>
      <c r="N144" t="str">
        <f>INDEX('LIVE SOURCE'!$H$3:$H$225,$P144)</f>
        <v>Top-tier kicker option, but still a final-round target.</v>
      </c>
      <c r="O144" t="str">
        <f>INDEX('LIVE SOURCE'!$J$3:$J$225,$P144)</f>
        <v>Kicker scoring is volatile and replaceable on waivers; do not pay meaningful draft capital.</v>
      </c>
      <c r="P144" s="6">
        <f>MATCH($A144,'Draft Engine'!$Q$3:$Q$225,0)</f>
        <v>181</v>
      </c>
    </row>
    <row r="145" spans="1:16" x14ac:dyDescent="0.25">
      <c r="A145">
        <f>143</f>
        <v>143</v>
      </c>
      <c r="B145" t="str">
        <f>INDEX('Draft Engine'!$A$3:$A$225,$P145)</f>
        <v>K</v>
      </c>
      <c r="C145">
        <f>INDEX('Draft Engine'!$F$3:$F$225,$P145)</f>
        <v>3</v>
      </c>
      <c r="D145" t="str">
        <f>INDEX('Draft Engine'!$B$3:$B$225,$P145)</f>
        <v>Cameron Dicker</v>
      </c>
      <c r="E145" s="4">
        <f>INDEX('Draft Engine'!$E$3:$E$225,$P145)</f>
        <v>89.6</v>
      </c>
      <c r="F145" t="str">
        <f t="shared" si="2"/>
        <v>TIER 2</v>
      </c>
      <c r="G145" s="4">
        <f>INDEX('Draft Engine'!$G$3:$G$225,$P145)</f>
        <v>139.19999999999999</v>
      </c>
      <c r="H145" s="4">
        <f>INDEX('Draft Engine'!$J$3:$J$225,$P145)</f>
        <v>30.8</v>
      </c>
      <c r="I145" s="4">
        <f>INDEX('Draft Engine'!$N$3:$N$225,$P145)</f>
        <v>58.974000000000004</v>
      </c>
      <c r="J145" s="4">
        <f>INDEX('Draft Engine'!$R$3:$R$225,$P145)</f>
        <v>165</v>
      </c>
      <c r="K145" s="4">
        <f>INDEX('Draft Engine'!$S$3:$S$225,$P145)</f>
        <v>22</v>
      </c>
      <c r="L145" t="str">
        <f>INDEX('Draft Engine'!$T$3:$T$225,$P145)</f>
        <v>B</v>
      </c>
      <c r="M145" t="str">
        <f>INDEX('Draft Engine'!$X$3:$X$225,$P145)</f>
        <v>KICKER MODEL</v>
      </c>
      <c r="N145" t="str">
        <f>INDEX('LIVE SOURCE'!$H$3:$H$225,$P145)</f>
        <v>Top-tier kicker option, but still a final-round target.</v>
      </c>
      <c r="O145" t="str">
        <f>INDEX('LIVE SOURCE'!$J$3:$J$225,$P145)</f>
        <v>Kicker scoring is volatile and replaceable on waivers; do not pay meaningful draft capital.</v>
      </c>
      <c r="P145" s="6">
        <f>MATCH($A145,'Draft Engine'!$Q$3:$Q$225,0)</f>
        <v>182</v>
      </c>
    </row>
    <row r="146" spans="1:16" x14ac:dyDescent="0.25">
      <c r="A146">
        <f>144</f>
        <v>144</v>
      </c>
      <c r="B146" t="str">
        <f>INDEX('Draft Engine'!$A$3:$A$225,$P146)</f>
        <v>K</v>
      </c>
      <c r="C146">
        <f>INDEX('Draft Engine'!$F$3:$F$225,$P146)</f>
        <v>4</v>
      </c>
      <c r="D146" t="str">
        <f>INDEX('Draft Engine'!$B$3:$B$225,$P146)</f>
        <v>Jason Myers</v>
      </c>
      <c r="E146" s="4">
        <f>INDEX('Draft Engine'!$E$3:$E$225,$P146)</f>
        <v>87.4</v>
      </c>
      <c r="F146" t="str">
        <f t="shared" si="2"/>
        <v>TIER 2</v>
      </c>
      <c r="G146" s="4">
        <f>INDEX('Draft Engine'!$G$3:$G$225,$P146)</f>
        <v>134.80000000000001</v>
      </c>
      <c r="H146" s="4">
        <f>INDEX('Draft Engine'!$J$3:$J$225,$P146)</f>
        <v>26.4</v>
      </c>
      <c r="I146" s="4">
        <f>INDEX('Draft Engine'!$N$3:$N$225,$P146)</f>
        <v>56.421999999999997</v>
      </c>
      <c r="J146" s="4">
        <f>INDEX('Draft Engine'!$R$3:$R$225,$P146)</f>
        <v>170</v>
      </c>
      <c r="K146" s="4">
        <f>INDEX('Draft Engine'!$S$3:$S$225,$P146)</f>
        <v>26</v>
      </c>
      <c r="L146" t="str">
        <f>INDEX('Draft Engine'!$T$3:$T$225,$P146)</f>
        <v>B</v>
      </c>
      <c r="M146" t="str">
        <f>INDEX('Draft Engine'!$X$3:$X$225,$P146)</f>
        <v>KICKER MODEL</v>
      </c>
      <c r="N146" t="str">
        <f>INDEX('LIVE SOURCE'!$H$3:$H$225,$P146)</f>
        <v>Top-tier kicker option, but still a final-round target.</v>
      </c>
      <c r="O146" t="str">
        <f>INDEX('LIVE SOURCE'!$J$3:$J$225,$P146)</f>
        <v>Kicker scoring is volatile and replaceable on waivers; do not pay meaningful draft capital.</v>
      </c>
      <c r="P146" s="6">
        <f>MATCH($A146,'Draft Engine'!$Q$3:$Q$225,0)</f>
        <v>183</v>
      </c>
    </row>
    <row r="147" spans="1:16" x14ac:dyDescent="0.25">
      <c r="A147">
        <f>145</f>
        <v>145</v>
      </c>
      <c r="B147" t="str">
        <f>INDEX('Draft Engine'!$A$3:$A$225,$P147)</f>
        <v>K</v>
      </c>
      <c r="C147">
        <f>INDEX('Draft Engine'!$F$3:$F$225,$P147)</f>
        <v>5</v>
      </c>
      <c r="D147" t="str">
        <f>INDEX('Draft Engine'!$B$3:$B$225,$P147)</f>
        <v>Cam Little</v>
      </c>
      <c r="E147" s="4">
        <f>INDEX('Draft Engine'!$E$3:$E$225,$P147)</f>
        <v>85.2</v>
      </c>
      <c r="F147" t="str">
        <f t="shared" si="2"/>
        <v>TIER 2</v>
      </c>
      <c r="G147" s="4">
        <f>INDEX('Draft Engine'!$G$3:$G$225,$P147)</f>
        <v>130.4</v>
      </c>
      <c r="H147" s="4">
        <f>INDEX('Draft Engine'!$J$3:$J$225,$P147)</f>
        <v>22</v>
      </c>
      <c r="I147" s="4">
        <f>INDEX('Draft Engine'!$N$3:$N$225,$P147)</f>
        <v>53.870000000000005</v>
      </c>
      <c r="J147" s="4">
        <f>INDEX('Draft Engine'!$R$3:$R$225,$P147)</f>
        <v>175</v>
      </c>
      <c r="K147" s="4">
        <f>INDEX('Draft Engine'!$S$3:$S$225,$P147)</f>
        <v>30</v>
      </c>
      <c r="L147" t="str">
        <f>INDEX('Draft Engine'!$T$3:$T$225,$P147)</f>
        <v>B</v>
      </c>
      <c r="M147" t="str">
        <f>INDEX('Draft Engine'!$X$3:$X$225,$P147)</f>
        <v>KICKER MODEL</v>
      </c>
      <c r="N147" t="str">
        <f>INDEX('LIVE SOURCE'!$H$3:$H$225,$P147)</f>
        <v>Top-tier kicker option, but still a final-round target.</v>
      </c>
      <c r="O147" t="str">
        <f>INDEX('LIVE SOURCE'!$J$3:$J$225,$P147)</f>
        <v>Kicker scoring is volatile and replaceable on waivers; do not pay meaningful draft capital.</v>
      </c>
      <c r="P147" s="6">
        <f>MATCH($A147,'Draft Engine'!$Q$3:$Q$225,0)</f>
        <v>184</v>
      </c>
    </row>
    <row r="148" spans="1:16" x14ac:dyDescent="0.25">
      <c r="A148">
        <f>146</f>
        <v>146</v>
      </c>
      <c r="B148" t="str">
        <f>INDEX('Draft Engine'!$A$3:$A$225,$P148)</f>
        <v>K</v>
      </c>
      <c r="C148">
        <f>INDEX('Draft Engine'!$F$3:$F$225,$P148)</f>
        <v>6</v>
      </c>
      <c r="D148" t="str">
        <f>INDEX('Draft Engine'!$B$3:$B$225,$P148)</f>
        <v>Eddy Pineiro</v>
      </c>
      <c r="E148" s="4">
        <f>INDEX('Draft Engine'!$E$3:$E$225,$P148)</f>
        <v>83</v>
      </c>
      <c r="F148" t="str">
        <f t="shared" si="2"/>
        <v>TIER 3</v>
      </c>
      <c r="G148" s="4">
        <f>INDEX('Draft Engine'!$G$3:$G$225,$P148)</f>
        <v>126</v>
      </c>
      <c r="H148" s="4">
        <f>INDEX('Draft Engine'!$J$3:$J$225,$P148)</f>
        <v>17.600000000000001</v>
      </c>
      <c r="I148" s="4">
        <f>INDEX('Draft Engine'!$N$3:$N$225,$P148)</f>
        <v>51.318000000000012</v>
      </c>
      <c r="J148" s="4">
        <f>INDEX('Draft Engine'!$R$3:$R$225,$P148)</f>
        <v>180</v>
      </c>
      <c r="K148" s="4">
        <f>INDEX('Draft Engine'!$S$3:$S$225,$P148)</f>
        <v>34</v>
      </c>
      <c r="L148" t="str">
        <f>INDEX('Draft Engine'!$T$3:$T$225,$P148)</f>
        <v>B</v>
      </c>
      <c r="M148" t="str">
        <f>INDEX('Draft Engine'!$X$3:$X$225,$P148)</f>
        <v>KICKER MODEL</v>
      </c>
      <c r="N148" t="str">
        <f>INDEX('LIVE SOURCE'!$H$3:$H$225,$P148)</f>
        <v>Late-round kicker; treat as replaceable unless scoring strongly rewards distance.</v>
      </c>
      <c r="O148" t="str">
        <f>INDEX('LIVE SOURCE'!$J$3:$J$225,$P148)</f>
        <v>Kicker scoring is volatile and replaceable on waivers; do not pay meaningful draft capital.</v>
      </c>
      <c r="P148" s="6">
        <f>MATCH($A148,'Draft Engine'!$Q$3:$Q$225,0)</f>
        <v>185</v>
      </c>
    </row>
    <row r="149" spans="1:16" x14ac:dyDescent="0.25">
      <c r="A149">
        <f>147</f>
        <v>147</v>
      </c>
      <c r="B149" t="str">
        <f>INDEX('Draft Engine'!$A$3:$A$225,$P149)</f>
        <v>K</v>
      </c>
      <c r="C149">
        <f>INDEX('Draft Engine'!$F$3:$F$225,$P149)</f>
        <v>7</v>
      </c>
      <c r="D149" t="str">
        <f>INDEX('Draft Engine'!$B$3:$B$225,$P149)</f>
        <v>Tyler Loop</v>
      </c>
      <c r="E149" s="4">
        <f>INDEX('Draft Engine'!$E$3:$E$225,$P149)</f>
        <v>80.8</v>
      </c>
      <c r="F149" t="str">
        <f t="shared" si="2"/>
        <v>TIER 3</v>
      </c>
      <c r="G149" s="4">
        <f>INDEX('Draft Engine'!$G$3:$G$225,$P149)</f>
        <v>121.6</v>
      </c>
      <c r="H149" s="4">
        <f>INDEX('Draft Engine'!$J$3:$J$225,$P149)</f>
        <v>13.2</v>
      </c>
      <c r="I149" s="4">
        <f>INDEX('Draft Engine'!$N$3:$N$225,$P149)</f>
        <v>48.766000000000005</v>
      </c>
      <c r="J149" s="4">
        <f>INDEX('Draft Engine'!$R$3:$R$225,$P149)</f>
        <v>185</v>
      </c>
      <c r="K149" s="4">
        <f>INDEX('Draft Engine'!$S$3:$S$225,$P149)</f>
        <v>38</v>
      </c>
      <c r="L149" t="str">
        <f>INDEX('Draft Engine'!$T$3:$T$225,$P149)</f>
        <v>B</v>
      </c>
      <c r="M149" t="str">
        <f>INDEX('Draft Engine'!$X$3:$X$225,$P149)</f>
        <v>KICKER MODEL</v>
      </c>
      <c r="N149" t="str">
        <f>INDEX('LIVE SOURCE'!$H$3:$H$225,$P149)</f>
        <v>Late-round kicker; treat as replaceable unless scoring strongly rewards distance.</v>
      </c>
      <c r="O149" t="str">
        <f>INDEX('LIVE SOURCE'!$J$3:$J$225,$P149)</f>
        <v>Kicker scoring is volatile and replaceable on waivers; do not pay meaningful draft capital.</v>
      </c>
      <c r="P149" s="6">
        <f>MATCH($A149,'Draft Engine'!$Q$3:$Q$225,0)</f>
        <v>186</v>
      </c>
    </row>
    <row r="150" spans="1:16" x14ac:dyDescent="0.25">
      <c r="A150">
        <f>148</f>
        <v>148</v>
      </c>
      <c r="B150" t="str">
        <f>INDEX('Draft Engine'!$A$3:$A$225,$P150)</f>
        <v>K</v>
      </c>
      <c r="C150">
        <f>INDEX('Draft Engine'!$F$3:$F$225,$P150)</f>
        <v>8</v>
      </c>
      <c r="D150" t="str">
        <f>INDEX('Draft Engine'!$B$3:$B$225,$P150)</f>
        <v>Harrison Mevis</v>
      </c>
      <c r="E150" s="4">
        <f>INDEX('Draft Engine'!$E$3:$E$225,$P150)</f>
        <v>78.599999999999994</v>
      </c>
      <c r="F150" t="str">
        <f t="shared" si="2"/>
        <v>TIER 4</v>
      </c>
      <c r="G150" s="4">
        <f>INDEX('Draft Engine'!$G$3:$G$225,$P150)</f>
        <v>117.2</v>
      </c>
      <c r="H150" s="4">
        <f>INDEX('Draft Engine'!$J$3:$J$225,$P150)</f>
        <v>8.8000000000000007</v>
      </c>
      <c r="I150" s="4">
        <f>INDEX('Draft Engine'!$N$3:$N$225,$P150)</f>
        <v>46.213999999999999</v>
      </c>
      <c r="J150" s="4">
        <f>INDEX('Draft Engine'!$R$3:$R$225,$P150)</f>
        <v>190</v>
      </c>
      <c r="K150" s="4">
        <f>INDEX('Draft Engine'!$S$3:$S$225,$P150)</f>
        <v>42</v>
      </c>
      <c r="L150" t="str">
        <f>INDEX('Draft Engine'!$T$3:$T$225,$P150)</f>
        <v>B</v>
      </c>
      <c r="M150" t="str">
        <f>INDEX('Draft Engine'!$X$3:$X$225,$P150)</f>
        <v>KICKER MODEL</v>
      </c>
      <c r="N150" t="str">
        <f>INDEX('LIVE SOURCE'!$H$3:$H$225,$P150)</f>
        <v>Late-round kicker; treat as replaceable unless scoring strongly rewards distance.</v>
      </c>
      <c r="O150" t="str">
        <f>INDEX('LIVE SOURCE'!$J$3:$J$225,$P150)</f>
        <v>Kicker scoring is volatile and replaceable on waivers; do not pay meaningful draft capital.</v>
      </c>
      <c r="P150" s="6">
        <f>MATCH($A150,'Draft Engine'!$Q$3:$Q$225,0)</f>
        <v>187</v>
      </c>
    </row>
    <row r="151" spans="1:16" x14ac:dyDescent="0.25">
      <c r="A151">
        <f>149</f>
        <v>149</v>
      </c>
      <c r="B151" t="str">
        <f>INDEX('Draft Engine'!$A$3:$A$225,$P151)</f>
        <v>K</v>
      </c>
      <c r="C151">
        <f>INDEX('Draft Engine'!$F$3:$F$225,$P151)</f>
        <v>9</v>
      </c>
      <c r="D151" t="str">
        <f>INDEX('Draft Engine'!$B$3:$B$225,$P151)</f>
        <v>Chase McLaughlin</v>
      </c>
      <c r="E151" s="4">
        <f>INDEX('Draft Engine'!$E$3:$E$225,$P151)</f>
        <v>76.400000000000006</v>
      </c>
      <c r="F151" t="str">
        <f t="shared" si="2"/>
        <v>TIER 4</v>
      </c>
      <c r="G151" s="4">
        <f>INDEX('Draft Engine'!$G$3:$G$225,$P151)</f>
        <v>112.8</v>
      </c>
      <c r="H151" s="4">
        <f>INDEX('Draft Engine'!$J$3:$J$225,$P151)</f>
        <v>4.4000000000000004</v>
      </c>
      <c r="I151" s="4">
        <f>INDEX('Draft Engine'!$N$3:$N$225,$P151)</f>
        <v>43.662000000000006</v>
      </c>
      <c r="J151" s="4">
        <f>INDEX('Draft Engine'!$R$3:$R$225,$P151)</f>
        <v>195</v>
      </c>
      <c r="K151" s="4">
        <f>INDEX('Draft Engine'!$S$3:$S$225,$P151)</f>
        <v>46</v>
      </c>
      <c r="L151" t="str">
        <f>INDEX('Draft Engine'!$T$3:$T$225,$P151)</f>
        <v>B</v>
      </c>
      <c r="M151" t="str">
        <f>INDEX('Draft Engine'!$X$3:$X$225,$P151)</f>
        <v>KICKER MODEL</v>
      </c>
      <c r="N151" t="str">
        <f>INDEX('LIVE SOURCE'!$H$3:$H$225,$P151)</f>
        <v>Late-round kicker; treat as replaceable unless scoring strongly rewards distance.</v>
      </c>
      <c r="O151" t="str">
        <f>INDEX('LIVE SOURCE'!$J$3:$J$225,$P151)</f>
        <v>Kicker scoring is volatile and replaceable on waivers; do not pay meaningful draft capital.</v>
      </c>
      <c r="P151" s="6">
        <f>MATCH($A151,'Draft Engine'!$Q$3:$Q$225,0)</f>
        <v>188</v>
      </c>
    </row>
    <row r="152" spans="1:16" x14ac:dyDescent="0.25">
      <c r="A152">
        <f>150</f>
        <v>150</v>
      </c>
      <c r="B152" t="str">
        <f>INDEX('Draft Engine'!$A$3:$A$225,$P152)</f>
        <v>K</v>
      </c>
      <c r="C152">
        <f>INDEX('Draft Engine'!$F$3:$F$225,$P152)</f>
        <v>10</v>
      </c>
      <c r="D152" t="str">
        <f>INDEX('Draft Engine'!$B$3:$B$225,$P152)</f>
        <v>Cairo Santos</v>
      </c>
      <c r="E152" s="4">
        <f>INDEX('Draft Engine'!$E$3:$E$225,$P152)</f>
        <v>74.2</v>
      </c>
      <c r="F152" t="str">
        <f t="shared" si="2"/>
        <v>TIER 5</v>
      </c>
      <c r="G152" s="4">
        <f>INDEX('Draft Engine'!$G$3:$G$225,$P152)</f>
        <v>108.4</v>
      </c>
      <c r="H152" s="4">
        <f>INDEX('Draft Engine'!$J$3:$J$225,$P152)</f>
        <v>0</v>
      </c>
      <c r="I152" s="4">
        <f>INDEX('Draft Engine'!$N$3:$N$225,$P152)</f>
        <v>41.11</v>
      </c>
      <c r="J152" s="4">
        <f>INDEX('Draft Engine'!$R$3:$R$225,$P152)</f>
        <v>200</v>
      </c>
      <c r="K152" s="4">
        <f>INDEX('Draft Engine'!$S$3:$S$225,$P152)</f>
        <v>50</v>
      </c>
      <c r="L152" t="str">
        <f>INDEX('Draft Engine'!$T$3:$T$225,$P152)</f>
        <v>B</v>
      </c>
      <c r="M152" t="str">
        <f>INDEX('Draft Engine'!$X$3:$X$225,$P152)</f>
        <v>KICKER MODEL</v>
      </c>
      <c r="N152" t="str">
        <f>INDEX('LIVE SOURCE'!$H$3:$H$225,$P152)</f>
        <v>Late-round kicker; treat as replaceable unless scoring strongly rewards distance.</v>
      </c>
      <c r="O152" t="str">
        <f>INDEX('LIVE SOURCE'!$J$3:$J$225,$P152)</f>
        <v>Kicker scoring is volatile and replaceable on waivers; do not pay meaningful draft capital.</v>
      </c>
      <c r="P152" s="6">
        <f>MATCH($A152,'Draft Engine'!$Q$3:$Q$225,0)</f>
        <v>189</v>
      </c>
    </row>
    <row r="153" spans="1:16" x14ac:dyDescent="0.25">
      <c r="A153">
        <f>151</f>
        <v>151</v>
      </c>
      <c r="B153" t="str">
        <f>INDEX('Draft Engine'!$A$3:$A$225,$P153)</f>
        <v>RB</v>
      </c>
      <c r="C153">
        <f>INDEX('Draft Engine'!$F$3:$F$225,$P153)</f>
        <v>42</v>
      </c>
      <c r="D153" t="str">
        <f>INDEX('Draft Engine'!$B$3:$B$225,$P153)</f>
        <v>Chris Rodriguez Jr.</v>
      </c>
      <c r="E153" s="4">
        <f>INDEX('Draft Engine'!$E$3:$E$225,$P153)</f>
        <v>66.537000000000006</v>
      </c>
      <c r="F153" t="str">
        <f t="shared" si="2"/>
        <v>TIER 6</v>
      </c>
      <c r="G153" s="4">
        <f>INDEX('Draft Engine'!$G$3:$G$225,$P153)</f>
        <v>209.5</v>
      </c>
      <c r="H153" s="4">
        <f>INDEX('Draft Engine'!$J$3:$J$225,$P153)</f>
        <v>-29.5</v>
      </c>
      <c r="I153" s="4">
        <f>INDEX('Draft Engine'!$N$3:$N$225,$P153)</f>
        <v>48.800975000000001</v>
      </c>
      <c r="J153" s="4">
        <f>INDEX('Draft Engine'!$R$3:$R$225,$P153)</f>
        <v>174.2</v>
      </c>
      <c r="K153" s="4">
        <f>INDEX('Draft Engine'!$S$3:$S$225,$P153)</f>
        <v>23.199999999999989</v>
      </c>
      <c r="L153" t="str">
        <f>INDEX('Draft Engine'!$T$3:$T$225,$P153)</f>
        <v>A</v>
      </c>
      <c r="M153" t="str">
        <f>INDEX('Draft Engine'!$X$3:$X$225,$P153)</f>
        <v>RATE-ADJUSTED VETERAN</v>
      </c>
      <c r="N153" t="str">
        <f>INDEX('LIVE SOURCE'!$H$3:$H$225,$P153)</f>
        <v>Bench stash/handcuff profile; value is tied to role change or injury ahead.</v>
      </c>
      <c r="O153" t="str">
        <f>INDEX('LIVE SOURCE'!$J$3:$J$225,$P153)</f>
        <v>Touchdown variance, receiving-role changes and backfield competition are the main downside paths.</v>
      </c>
      <c r="P153" s="6">
        <f>MATCH($A153,'Draft Engine'!$Q$3:$Q$225,0)</f>
        <v>74</v>
      </c>
    </row>
    <row r="154" spans="1:16" x14ac:dyDescent="0.25">
      <c r="A154">
        <f>152</f>
        <v>152</v>
      </c>
      <c r="B154" t="str">
        <f>INDEX('Draft Engine'!$A$3:$A$225,$P154)</f>
        <v>RB</v>
      </c>
      <c r="C154">
        <f>INDEX('Draft Engine'!$F$3:$F$225,$P154)</f>
        <v>43</v>
      </c>
      <c r="D154" t="str">
        <f>INDEX('Draft Engine'!$B$3:$B$225,$P154)</f>
        <v>Tyrone Tracy Jr.</v>
      </c>
      <c r="E154" s="4">
        <f>INDEX('Draft Engine'!$E$3:$E$225,$P154)</f>
        <v>66.531000000000006</v>
      </c>
      <c r="F154" t="str">
        <f t="shared" si="2"/>
        <v>TIER 6</v>
      </c>
      <c r="G154" s="4">
        <f>INDEX('Draft Engine'!$G$3:$G$225,$P154)</f>
        <v>209.4</v>
      </c>
      <c r="H154" s="4">
        <f>INDEX('Draft Engine'!$J$3:$J$225,$P154)</f>
        <v>-29.6</v>
      </c>
      <c r="I154" s="4">
        <f>INDEX('Draft Engine'!$N$3:$N$225,$P154)</f>
        <v>48.420300000000005</v>
      </c>
      <c r="J154" s="4">
        <f>INDEX('Draft Engine'!$R$3:$R$225,$P154)</f>
        <v>178.4</v>
      </c>
      <c r="K154" s="4">
        <f>INDEX('Draft Engine'!$S$3:$S$225,$P154)</f>
        <v>26.400000000000006</v>
      </c>
      <c r="L154" t="str">
        <f>INDEX('Draft Engine'!$T$3:$T$225,$P154)</f>
        <v>A</v>
      </c>
      <c r="M154" t="str">
        <f>INDEX('Draft Engine'!$X$3:$X$225,$P154)</f>
        <v>RATE-ADJUSTED VETERAN</v>
      </c>
      <c r="N154" t="str">
        <f>INDEX('LIVE SOURCE'!$H$3:$H$225,$P154)</f>
        <v>Bench stash/handcuff profile; value is tied to role change or injury ahead.</v>
      </c>
      <c r="O154" t="str">
        <f>INDEX('LIVE SOURCE'!$J$3:$J$225,$P154)</f>
        <v>Touchdown variance, receiving-role changes and backfield competition are the main downside paths.</v>
      </c>
      <c r="P154" s="6">
        <f>MATCH($A154,'Draft Engine'!$Q$3:$Q$225,0)</f>
        <v>75</v>
      </c>
    </row>
    <row r="155" spans="1:16" x14ac:dyDescent="0.25">
      <c r="A155">
        <f>153</f>
        <v>153</v>
      </c>
      <c r="B155" t="str">
        <f>INDEX('Draft Engine'!$A$3:$A$225,$P155)</f>
        <v>WR</v>
      </c>
      <c r="C155">
        <f>INDEX('Draft Engine'!$F$3:$F$225,$P155)</f>
        <v>47</v>
      </c>
      <c r="D155" t="str">
        <f>INDEX('Draft Engine'!$B$3:$B$225,$P155)</f>
        <v>Brian Thomas Jr.</v>
      </c>
      <c r="E155" s="4">
        <f>INDEX('Draft Engine'!$E$3:$E$225,$P155)</f>
        <v>66.967500000000001</v>
      </c>
      <c r="F155" t="str">
        <f t="shared" si="2"/>
        <v>TIER 6</v>
      </c>
      <c r="G155" s="4">
        <f>INDEX('Draft Engine'!$G$3:$G$225,$P155)</f>
        <v>211.3</v>
      </c>
      <c r="H155" s="4">
        <f>INDEX('Draft Engine'!$J$3:$J$225,$P155)</f>
        <v>-28</v>
      </c>
      <c r="I155" s="4">
        <f>INDEX('Draft Engine'!$N$3:$N$225,$P155)</f>
        <v>47.95879166666667</v>
      </c>
      <c r="J155" s="4">
        <f>INDEX('Draft Engine'!$R$3:$R$225,$P155)</f>
        <v>155.1</v>
      </c>
      <c r="K155" s="4">
        <f>INDEX('Draft Engine'!$S$3:$S$225,$P155)</f>
        <v>2.0999999999999943</v>
      </c>
      <c r="L155" t="str">
        <f>INDEX('Draft Engine'!$T$3:$T$225,$P155)</f>
        <v>C</v>
      </c>
      <c r="M155" t="str">
        <f>INDEX('Draft Engine'!$X$3:$X$225,$P155)</f>
        <v>HISTORY FALLBACK</v>
      </c>
      <c r="N155" t="str">
        <f>INDEX('LIVE SOURCE'!$H$3:$H$225,$P155)</f>
        <v>FLEX/bench receiver; needs target growth or efficiency spikes.</v>
      </c>
      <c r="O155" t="str">
        <f>INDEX('LIVE SOURCE'!$J$3:$J$225,$P155)</f>
        <v>Target competition, quarterback efficiency and touchdown regression are the main downside paths.</v>
      </c>
      <c r="P155" s="6">
        <f>MATCH($A155,'Draft Engine'!$Q$3:$Q$225,0)</f>
        <v>122</v>
      </c>
    </row>
    <row r="156" spans="1:16" x14ac:dyDescent="0.25">
      <c r="A156">
        <f>154</f>
        <v>154</v>
      </c>
      <c r="B156" t="str">
        <f>INDEX('Draft Engine'!$A$3:$A$225,$P156)</f>
        <v>WR</v>
      </c>
      <c r="C156">
        <f>INDEX('Draft Engine'!$F$3:$F$225,$P156)</f>
        <v>48</v>
      </c>
      <c r="D156" t="str">
        <f>INDEX('Draft Engine'!$B$3:$B$225,$P156)</f>
        <v>Josh Downs</v>
      </c>
      <c r="E156" s="4">
        <f>INDEX('Draft Engine'!$E$3:$E$225,$P156)</f>
        <v>66.84</v>
      </c>
      <c r="F156" t="str">
        <f t="shared" si="2"/>
        <v>TIER 6</v>
      </c>
      <c r="G156" s="4">
        <f>INDEX('Draft Engine'!$G$3:$G$225,$P156)</f>
        <v>210.7</v>
      </c>
      <c r="H156" s="4">
        <f>INDEX('Draft Engine'!$J$3:$J$225,$P156)</f>
        <v>-28.6</v>
      </c>
      <c r="I156" s="4">
        <f>INDEX('Draft Engine'!$N$3:$N$225,$P156)</f>
        <v>47.44733333333334</v>
      </c>
      <c r="J156" s="4">
        <f>INDEX('Draft Engine'!$R$3:$R$225,$P156)</f>
        <v>190.2</v>
      </c>
      <c r="K156" s="4">
        <f>INDEX('Draft Engine'!$S$3:$S$225,$P156)</f>
        <v>36.199999999999989</v>
      </c>
      <c r="L156" t="str">
        <f>INDEX('Draft Engine'!$T$3:$T$225,$P156)</f>
        <v>C</v>
      </c>
      <c r="M156" t="str">
        <f>INDEX('Draft Engine'!$X$3:$X$225,$P156)</f>
        <v>HISTORY FALLBACK</v>
      </c>
      <c r="N156" t="str">
        <f>INDEX('LIVE SOURCE'!$H$3:$H$225,$P156)</f>
        <v>FLEX/bench receiver; needs target growth or efficiency spikes.</v>
      </c>
      <c r="O156" t="str">
        <f>INDEX('LIVE SOURCE'!$J$3:$J$225,$P156)</f>
        <v>Target competition, quarterback efficiency and touchdown regression are the main downside paths.</v>
      </c>
      <c r="P156" s="6">
        <f>MATCH($A156,'Draft Engine'!$Q$3:$Q$225,0)</f>
        <v>131</v>
      </c>
    </row>
    <row r="157" spans="1:16" x14ac:dyDescent="0.25">
      <c r="A157">
        <f>155</f>
        <v>155</v>
      </c>
      <c r="B157" t="str">
        <f>INDEX('Draft Engine'!$A$3:$A$225,$P157)</f>
        <v>TE</v>
      </c>
      <c r="C157">
        <f>INDEX('Draft Engine'!$F$3:$F$225,$P157)</f>
        <v>24</v>
      </c>
      <c r="D157" t="str">
        <f>INDEX('Draft Engine'!$B$3:$B$225,$P157)</f>
        <v>AJ Barner</v>
      </c>
      <c r="E157" s="4">
        <f>INDEX('Draft Engine'!$E$3:$E$225,$P157)</f>
        <v>70.124499999999998</v>
      </c>
      <c r="F157" t="str">
        <f t="shared" si="2"/>
        <v>TIER 5</v>
      </c>
      <c r="G157" s="4">
        <f>INDEX('Draft Engine'!$G$3:$G$225,$P157)</f>
        <v>145.4</v>
      </c>
      <c r="H157" s="4">
        <f>INDEX('Draft Engine'!$J$3:$J$225,$P157)</f>
        <v>-34.299999999999997</v>
      </c>
      <c r="I157" s="4">
        <f>INDEX('Draft Engine'!$N$3:$N$225,$P157)</f>
        <v>47.394475</v>
      </c>
      <c r="J157" s="4">
        <f>INDEX('Draft Engine'!$R$3:$R$225,$P157)</f>
        <v>224</v>
      </c>
      <c r="K157" s="4">
        <f>INDEX('Draft Engine'!$S$3:$S$225,$P157)</f>
        <v>69</v>
      </c>
      <c r="L157" t="str">
        <f>INDEX('Draft Engine'!$T$3:$T$225,$P157)</f>
        <v>A</v>
      </c>
      <c r="M157" t="str">
        <f>INDEX('Draft Engine'!$X$3:$X$225,$P157)</f>
        <v>RATE-ADJUSTED VETERAN</v>
      </c>
      <c r="N157" t="str">
        <f>INDEX('LIVE SOURCE'!$H$3:$H$225,$P157)</f>
        <v>Deep TE stash; needs a larger route/target role to matter in 10-team leagues.</v>
      </c>
      <c r="O157" t="str">
        <f>INDEX('LIVE SOURCE'!$J$3:$J$225,$P157)</f>
        <v>Route share, target volume and touchdown volatility are the main swing factors.</v>
      </c>
      <c r="P157" s="6">
        <f>MATCH($A157,'Draft Engine'!$Q$3:$Q$225,0)</f>
        <v>176</v>
      </c>
    </row>
    <row r="158" spans="1:16" x14ac:dyDescent="0.25">
      <c r="A158">
        <f>156</f>
        <v>156</v>
      </c>
      <c r="B158" t="str">
        <f>INDEX('Draft Engine'!$A$3:$A$225,$P158)</f>
        <v>QB</v>
      </c>
      <c r="C158">
        <f>INDEX('Draft Engine'!$F$3:$F$225,$P158)</f>
        <v>21</v>
      </c>
      <c r="D158" t="str">
        <f>INDEX('Draft Engine'!$B$3:$B$225,$P158)</f>
        <v>C.J. Stroud</v>
      </c>
      <c r="E158" s="4">
        <f>INDEX('Draft Engine'!$E$3:$E$225,$P158)</f>
        <v>75.762100000000004</v>
      </c>
      <c r="F158" t="str">
        <f t="shared" si="2"/>
        <v>TIER 4</v>
      </c>
      <c r="G158" s="4">
        <f>INDEX('Draft Engine'!$G$3:$G$225,$P158)</f>
        <v>310.89999999999998</v>
      </c>
      <c r="H158" s="4">
        <f>INDEX('Draft Engine'!$J$3:$J$225,$P158)</f>
        <v>-40.200000000000003</v>
      </c>
      <c r="I158" s="4">
        <f>INDEX('Draft Engine'!$N$3:$N$225,$P158)</f>
        <v>46.433154999999999</v>
      </c>
      <c r="J158" s="4">
        <f>INDEX('Draft Engine'!$R$3:$R$225,$P158)</f>
        <v>182</v>
      </c>
      <c r="K158" s="4">
        <f>INDEX('Draft Engine'!$S$3:$S$225,$P158)</f>
        <v>26</v>
      </c>
      <c r="L158" t="str">
        <f>INDEX('Draft Engine'!$T$3:$T$225,$P158)</f>
        <v>A</v>
      </c>
      <c r="M158" t="str">
        <f>INDEX('Draft Engine'!$X$3:$X$225,$P158)</f>
        <v>RATE-ADJUSTED VETERAN</v>
      </c>
      <c r="N158" t="str">
        <f>INDEX('LIVE SOURCE'!$H$3:$H$225,$P158)</f>
        <v>Bench/streaming option; needs matchup, rushing or TD spike weeks.</v>
      </c>
      <c r="O158" t="str">
        <f>INDEX('LIVE SOURCE'!$J$3:$J$225,$P158)</f>
        <v>Passing-TD efficiency, rushing volume and supporting-cast health are the main swing factors.</v>
      </c>
      <c r="P158" s="6">
        <f>MATCH($A158,'Draft Engine'!$Q$3:$Q$225,0)</f>
        <v>21</v>
      </c>
    </row>
    <row r="159" spans="1:16" x14ac:dyDescent="0.25">
      <c r="A159">
        <f>157</f>
        <v>157</v>
      </c>
      <c r="B159" t="str">
        <f>INDEX('Draft Engine'!$A$3:$A$225,$P159)</f>
        <v>WR</v>
      </c>
      <c r="C159">
        <f>INDEX('Draft Engine'!$F$3:$F$225,$P159)</f>
        <v>49</v>
      </c>
      <c r="D159" t="str">
        <f>INDEX('Draft Engine'!$B$3:$B$225,$P159)</f>
        <v>Jayden Reed</v>
      </c>
      <c r="E159" s="4">
        <f>INDEX('Draft Engine'!$E$3:$E$225,$P159)</f>
        <v>66.17</v>
      </c>
      <c r="F159" t="str">
        <f t="shared" si="2"/>
        <v>TIER 6</v>
      </c>
      <c r="G159" s="4">
        <f>INDEX('Draft Engine'!$G$3:$G$225,$P159)</f>
        <v>207.9</v>
      </c>
      <c r="H159" s="4">
        <f>INDEX('Draft Engine'!$J$3:$J$225,$P159)</f>
        <v>-31.4</v>
      </c>
      <c r="I159" s="4">
        <f>INDEX('Draft Engine'!$N$3:$N$225,$P159)</f>
        <v>46.241500000000002</v>
      </c>
      <c r="J159" s="4">
        <f>INDEX('Draft Engine'!$R$3:$R$225,$P159)</f>
        <v>194.1</v>
      </c>
      <c r="K159" s="4">
        <f>INDEX('Draft Engine'!$S$3:$S$225,$P159)</f>
        <v>37.099999999999994</v>
      </c>
      <c r="L159" t="str">
        <f>INDEX('Draft Engine'!$T$3:$T$225,$P159)</f>
        <v>C</v>
      </c>
      <c r="M159" t="str">
        <f>INDEX('Draft Engine'!$X$3:$X$225,$P159)</f>
        <v>HISTORY FALLBACK</v>
      </c>
      <c r="N159" t="str">
        <f>INDEX('LIVE SOURCE'!$H$3:$H$225,$P159)</f>
        <v>FLEX/bench receiver; needs target growth or efficiency spikes.</v>
      </c>
      <c r="O159" t="str">
        <f>INDEX('LIVE SOURCE'!$J$3:$J$225,$P159)</f>
        <v>Evidence is thinner than for established veterans, so camp, depth-chart and role news can move the grade materially.</v>
      </c>
      <c r="P159" s="6">
        <f>MATCH($A159,'Draft Engine'!$Q$3:$Q$225,0)</f>
        <v>132</v>
      </c>
    </row>
    <row r="160" spans="1:16" x14ac:dyDescent="0.25">
      <c r="A160">
        <f>158</f>
        <v>158</v>
      </c>
      <c r="B160" t="str">
        <f>INDEX('Draft Engine'!$A$3:$A$225,$P160)</f>
        <v>QB</v>
      </c>
      <c r="C160">
        <f>INDEX('Draft Engine'!$F$3:$F$225,$P160)</f>
        <v>22</v>
      </c>
      <c r="D160" t="str">
        <f>INDEX('Draft Engine'!$B$3:$B$225,$P160)</f>
        <v>Sam Darnold</v>
      </c>
      <c r="E160" s="4">
        <f>INDEX('Draft Engine'!$E$3:$E$225,$P160)</f>
        <v>75.554199999999994</v>
      </c>
      <c r="F160" t="str">
        <f t="shared" si="2"/>
        <v>TIER 4</v>
      </c>
      <c r="G160" s="4">
        <f>INDEX('Draft Engine'!$G$3:$G$225,$P160)</f>
        <v>310</v>
      </c>
      <c r="H160" s="4">
        <f>INDEX('Draft Engine'!$J$3:$J$225,$P160)</f>
        <v>-41.1</v>
      </c>
      <c r="I160" s="4">
        <f>INDEX('Draft Engine'!$N$3:$N$225,$P160)</f>
        <v>46.15681</v>
      </c>
      <c r="J160" s="4">
        <f>INDEX('Draft Engine'!$R$3:$R$225,$P160)</f>
        <v>190</v>
      </c>
      <c r="K160" s="4">
        <f>INDEX('Draft Engine'!$S$3:$S$225,$P160)</f>
        <v>32</v>
      </c>
      <c r="L160" t="str">
        <f>INDEX('Draft Engine'!$T$3:$T$225,$P160)</f>
        <v>A</v>
      </c>
      <c r="M160" t="str">
        <f>INDEX('Draft Engine'!$X$3:$X$225,$P160)</f>
        <v>RATE-ADJUSTED VETERAN</v>
      </c>
      <c r="N160" t="str">
        <f>INDEX('LIVE SOURCE'!$H$3:$H$225,$P160)</f>
        <v>Bench/streaming option; needs matchup, rushing or TD spike weeks.</v>
      </c>
      <c r="O160" t="str">
        <f>INDEX('LIVE SOURCE'!$J$3:$J$225,$P160)</f>
        <v>Passing-TD efficiency, rushing volume and supporting-cast health are the main swing factors.</v>
      </c>
      <c r="P160" s="6">
        <f>MATCH($A160,'Draft Engine'!$Q$3:$Q$225,0)</f>
        <v>22</v>
      </c>
    </row>
    <row r="161" spans="1:16" x14ac:dyDescent="0.25">
      <c r="A161">
        <f>159</f>
        <v>159</v>
      </c>
      <c r="B161" t="str">
        <f>INDEX('Draft Engine'!$A$3:$A$225,$P161)</f>
        <v>QB</v>
      </c>
      <c r="C161">
        <f>INDEX('Draft Engine'!$F$3:$F$225,$P161)</f>
        <v>23</v>
      </c>
      <c r="D161" t="str">
        <f>INDEX('Draft Engine'!$B$3:$B$225,$P161)</f>
        <v>Daniel Jones</v>
      </c>
      <c r="E161" s="4">
        <f>INDEX('Draft Engine'!$E$3:$E$225,$P161)</f>
        <v>74.790400000000005</v>
      </c>
      <c r="F161" t="str">
        <f t="shared" si="2"/>
        <v>TIER 5</v>
      </c>
      <c r="G161" s="4">
        <f>INDEX('Draft Engine'!$G$3:$G$225,$P161)</f>
        <v>306.60000000000002</v>
      </c>
      <c r="H161" s="4">
        <f>INDEX('Draft Engine'!$J$3:$J$225,$P161)</f>
        <v>-44.5</v>
      </c>
      <c r="I161" s="4">
        <f>INDEX('Draft Engine'!$N$3:$N$225,$P161)</f>
        <v>45.124720000000011</v>
      </c>
      <c r="J161" s="4">
        <f>INDEX('Draft Engine'!$R$3:$R$225,$P161)</f>
        <v>198</v>
      </c>
      <c r="K161" s="4">
        <f>INDEX('Draft Engine'!$S$3:$S$225,$P161)</f>
        <v>39</v>
      </c>
      <c r="L161" t="str">
        <f>INDEX('Draft Engine'!$T$3:$T$225,$P161)</f>
        <v>A</v>
      </c>
      <c r="M161" t="str">
        <f>INDEX('Draft Engine'!$X$3:$X$225,$P161)</f>
        <v>RATE-ADJUSTED VETERAN</v>
      </c>
      <c r="N161" t="str">
        <f>INDEX('LIVE SOURCE'!$H$3:$H$225,$P161)</f>
        <v>Bench/streaming option; needs matchup, rushing or TD spike weeks.</v>
      </c>
      <c r="O161" t="str">
        <f>INDEX('LIVE SOURCE'!$J$3:$J$225,$P161)</f>
        <v>Passing-TD efficiency, rushing volume and supporting-cast health are the main swing factors.</v>
      </c>
      <c r="P161" s="6">
        <f>MATCH($A161,'Draft Engine'!$Q$3:$Q$225,0)</f>
        <v>23</v>
      </c>
    </row>
    <row r="162" spans="1:16" x14ac:dyDescent="0.25">
      <c r="A162">
        <f>160</f>
        <v>160</v>
      </c>
      <c r="B162" t="str">
        <f>INDEX('Draft Engine'!$A$3:$A$225,$P162)</f>
        <v>WR</v>
      </c>
      <c r="C162">
        <f>INDEX('Draft Engine'!$F$3:$F$225,$P162)</f>
        <v>50</v>
      </c>
      <c r="D162" t="str">
        <f>INDEX('Draft Engine'!$B$3:$B$225,$P162)</f>
        <v>Khalil Shakir</v>
      </c>
      <c r="E162" s="4">
        <f>INDEX('Draft Engine'!$E$3:$E$225,$P162)</f>
        <v>65.5</v>
      </c>
      <c r="F162" t="str">
        <f t="shared" si="2"/>
        <v>TIER 6</v>
      </c>
      <c r="G162" s="4">
        <f>INDEX('Draft Engine'!$G$3:$G$225,$P162)</f>
        <v>205.1</v>
      </c>
      <c r="H162" s="4">
        <f>INDEX('Draft Engine'!$J$3:$J$225,$P162)</f>
        <v>-34.200000000000003</v>
      </c>
      <c r="I162" s="4">
        <f>INDEX('Draft Engine'!$N$3:$N$225,$P162)</f>
        <v>45.035666666666671</v>
      </c>
      <c r="J162" s="4">
        <f>INDEX('Draft Engine'!$R$3:$R$225,$P162)</f>
        <v>198</v>
      </c>
      <c r="K162" s="4">
        <f>INDEX('Draft Engine'!$S$3:$S$225,$P162)</f>
        <v>38</v>
      </c>
      <c r="L162" t="str">
        <f>INDEX('Draft Engine'!$T$3:$T$225,$P162)</f>
        <v>C</v>
      </c>
      <c r="M162" t="str">
        <f>INDEX('Draft Engine'!$X$3:$X$225,$P162)</f>
        <v>HISTORY FALLBACK</v>
      </c>
      <c r="N162" t="str">
        <f>INDEX('LIVE SOURCE'!$H$3:$H$225,$P162)</f>
        <v>Late-round bench upside; role growth is required for weekly relevance.</v>
      </c>
      <c r="O162" t="str">
        <f>INDEX('LIVE SOURCE'!$J$3:$J$225,$P162)</f>
        <v>Target competition, quarterback efficiency and touchdown regression are the main downside paths.</v>
      </c>
      <c r="P162" s="6">
        <f>MATCH($A162,'Draft Engine'!$Q$3:$Q$225,0)</f>
        <v>133</v>
      </c>
    </row>
    <row r="163" spans="1:16" x14ac:dyDescent="0.25">
      <c r="A163">
        <f>161</f>
        <v>161</v>
      </c>
      <c r="B163" t="str">
        <f>INDEX('Draft Engine'!$A$3:$A$225,$P163)</f>
        <v>QB</v>
      </c>
      <c r="C163">
        <f>INDEX('Draft Engine'!$F$3:$F$225,$P163)</f>
        <v>24</v>
      </c>
      <c r="D163" t="str">
        <f>INDEX('Draft Engine'!$B$3:$B$225,$P163)</f>
        <v>Malik Willis</v>
      </c>
      <c r="E163" s="4">
        <f>INDEX('Draft Engine'!$E$3:$E$225,$P163)</f>
        <v>74.240300000000005</v>
      </c>
      <c r="F163" t="str">
        <f t="shared" si="2"/>
        <v>TIER 5</v>
      </c>
      <c r="G163" s="4">
        <f>INDEX('Draft Engine'!$G$3:$G$225,$P163)</f>
        <v>304.10000000000002</v>
      </c>
      <c r="H163" s="4">
        <f>INDEX('Draft Engine'!$J$3:$J$225,$P163)</f>
        <v>-47</v>
      </c>
      <c r="I163" s="4">
        <f>INDEX('Draft Engine'!$N$3:$N$225,$P163)</f>
        <v>44.372165000000003</v>
      </c>
      <c r="J163" s="4">
        <f>INDEX('Draft Engine'!$R$3:$R$225,$P163)</f>
        <v>206</v>
      </c>
      <c r="K163" s="4">
        <f>INDEX('Draft Engine'!$S$3:$S$225,$P163)</f>
        <v>45</v>
      </c>
      <c r="L163" t="str">
        <f>INDEX('Draft Engine'!$T$3:$T$225,$P163)</f>
        <v>B</v>
      </c>
      <c r="M163" t="str">
        <f>INDEX('Draft Engine'!$X$3:$X$225,$P163)</f>
        <v>RATE-ADJUSTED VETERAN</v>
      </c>
      <c r="N163" t="str">
        <f>INDEX('LIVE SOURCE'!$H$3:$H$225,$P163)</f>
        <v>Bench/streaming option; needs matchup, rushing or TD spike weeks.</v>
      </c>
      <c r="O163" t="str">
        <f>INDEX('LIVE SOURCE'!$J$3:$J$225,$P163)</f>
        <v>Availability/sample risk is elevated after only 4 games; talent is not being punished as heavily as durability.</v>
      </c>
      <c r="P163" s="6">
        <f>MATCH($A163,'Draft Engine'!$Q$3:$Q$225,0)</f>
        <v>24</v>
      </c>
    </row>
    <row r="164" spans="1:16" x14ac:dyDescent="0.25">
      <c r="A164">
        <f>162</f>
        <v>162</v>
      </c>
      <c r="B164" t="str">
        <f>INDEX('Draft Engine'!$A$3:$A$225,$P164)</f>
        <v>WR</v>
      </c>
      <c r="C164">
        <f>INDEX('Draft Engine'!$F$3:$F$225,$P164)</f>
        <v>51</v>
      </c>
      <c r="D164" t="str">
        <f>INDEX('Draft Engine'!$B$3:$B$225,$P164)</f>
        <v>Jalin Hyatt</v>
      </c>
      <c r="E164" s="4">
        <f>INDEX('Draft Engine'!$E$3:$E$225,$P164)</f>
        <v>64.83</v>
      </c>
      <c r="F164" t="str">
        <f t="shared" si="2"/>
        <v>TIER 7</v>
      </c>
      <c r="G164" s="4">
        <f>INDEX('Draft Engine'!$G$3:$G$225,$P164)</f>
        <v>202.3</v>
      </c>
      <c r="H164" s="4">
        <f>INDEX('Draft Engine'!$J$3:$J$225,$P164)</f>
        <v>-37</v>
      </c>
      <c r="I164" s="4">
        <f>INDEX('Draft Engine'!$N$3:$N$225,$P164)</f>
        <v>43.996499999999997</v>
      </c>
      <c r="J164" s="4">
        <f>INDEX('Draft Engine'!$R$3:$R$225,$P164)</f>
        <v>201.9</v>
      </c>
      <c r="K164" s="4">
        <f>INDEX('Draft Engine'!$S$3:$S$225,$P164)</f>
        <v>39.900000000000006</v>
      </c>
      <c r="L164" t="str">
        <f>INDEX('Draft Engine'!$T$3:$T$225,$P164)</f>
        <v>C</v>
      </c>
      <c r="M164" t="str">
        <f>INDEX('Draft Engine'!$X$3:$X$225,$P164)</f>
        <v>HISTORY FALLBACK</v>
      </c>
      <c r="N164" t="str">
        <f>INDEX('LIVE SOURCE'!$H$3:$H$225,$P164)</f>
        <v>Late-round bench upside; role growth is required for weekly relevance.</v>
      </c>
      <c r="O164" t="str">
        <f>INDEX('LIVE SOURCE'!$J$3:$J$225,$P164)</f>
        <v>Evidence is thinner than for established veterans, so camp, depth-chart and role news can move the grade materially.</v>
      </c>
      <c r="P164" s="6">
        <f>MATCH($A164,'Draft Engine'!$Q$3:$Q$225,0)</f>
        <v>134</v>
      </c>
    </row>
    <row r="165" spans="1:16" x14ac:dyDescent="0.25">
      <c r="A165">
        <f>163</f>
        <v>163</v>
      </c>
      <c r="B165" t="str">
        <f>INDEX('Draft Engine'!$A$3:$A$225,$P165)</f>
        <v>RB</v>
      </c>
      <c r="C165">
        <f>INDEX('Draft Engine'!$F$3:$F$225,$P165)</f>
        <v>44</v>
      </c>
      <c r="D165" t="str">
        <f>INDEX('Draft Engine'!$B$3:$B$225,$P165)</f>
        <v>Tyler Allgeier</v>
      </c>
      <c r="E165" s="4">
        <f>INDEX('Draft Engine'!$E$3:$E$225,$P165)</f>
        <v>63.032200000000003</v>
      </c>
      <c r="F165" t="str">
        <f t="shared" si="2"/>
        <v>TIER 7</v>
      </c>
      <c r="G165" s="4">
        <f>INDEX('Draft Engine'!$G$3:$G$225,$P165)</f>
        <v>194.7</v>
      </c>
      <c r="H165" s="4">
        <f>INDEX('Draft Engine'!$J$3:$J$225,$P165)</f>
        <v>-44.3</v>
      </c>
      <c r="I165" s="4">
        <f>INDEX('Draft Engine'!$N$3:$N$225,$P165)</f>
        <v>43.49058500000001</v>
      </c>
      <c r="J165" s="4">
        <f>INDEX('Draft Engine'!$R$3:$R$225,$P165)</f>
        <v>182.6</v>
      </c>
      <c r="K165" s="4">
        <f>INDEX('Draft Engine'!$S$3:$S$225,$P165)</f>
        <v>19.599999999999994</v>
      </c>
      <c r="L165" t="str">
        <f>INDEX('Draft Engine'!$T$3:$T$225,$P165)</f>
        <v>A</v>
      </c>
      <c r="M165" t="str">
        <f>INDEX('Draft Engine'!$X$3:$X$225,$P165)</f>
        <v>RATE-ADJUSTED VETERAN</v>
      </c>
      <c r="N165" t="str">
        <f>INDEX('LIVE SOURCE'!$H$3:$H$225,$P165)</f>
        <v>Bench stash/handcuff profile; value is tied to role change or injury ahead.</v>
      </c>
      <c r="O165" t="str">
        <f>INDEX('LIVE SOURCE'!$J$3:$J$225,$P165)</f>
        <v>Touchdown variance, receiving-role changes and backfield competition are the main downside paths.</v>
      </c>
      <c r="P165" s="6">
        <f>MATCH($A165,'Draft Engine'!$Q$3:$Q$225,0)</f>
        <v>76</v>
      </c>
    </row>
    <row r="166" spans="1:16" x14ac:dyDescent="0.25">
      <c r="A166">
        <f>164</f>
        <v>164</v>
      </c>
      <c r="B166" t="str">
        <f>INDEX('Draft Engine'!$A$3:$A$225,$P166)</f>
        <v>TE</v>
      </c>
      <c r="C166">
        <f>INDEX('Draft Engine'!$F$3:$F$225,$P166)</f>
        <v>25</v>
      </c>
      <c r="D166" t="str">
        <f>INDEX('Draft Engine'!$B$3:$B$225,$P166)</f>
        <v>Cade Otton</v>
      </c>
      <c r="E166" s="4">
        <f>INDEX('Draft Engine'!$E$3:$E$225,$P166)</f>
        <v>66.649000000000001</v>
      </c>
      <c r="F166" t="str">
        <f t="shared" si="2"/>
        <v>TIER 6</v>
      </c>
      <c r="G166" s="4">
        <f>INDEX('Draft Engine'!$G$3:$G$225,$P166)</f>
        <v>133.30000000000001</v>
      </c>
      <c r="H166" s="4">
        <f>INDEX('Draft Engine'!$J$3:$J$225,$P166)</f>
        <v>-46.4</v>
      </c>
      <c r="I166" s="4">
        <f>INDEX('Draft Engine'!$N$3:$N$225,$P166)</f>
        <v>43.304950000000005</v>
      </c>
      <c r="J166" s="4">
        <f>INDEX('Draft Engine'!$R$3:$R$225,$P166)</f>
        <v>233</v>
      </c>
      <c r="K166" s="4">
        <f>INDEX('Draft Engine'!$S$3:$S$225,$P166)</f>
        <v>69</v>
      </c>
      <c r="L166" t="str">
        <f>INDEX('Draft Engine'!$T$3:$T$225,$P166)</f>
        <v>A</v>
      </c>
      <c r="M166" t="str">
        <f>INDEX('Draft Engine'!$X$3:$X$225,$P166)</f>
        <v>RATE-ADJUSTED VETERAN</v>
      </c>
      <c r="N166" t="str">
        <f>INDEX('LIVE SOURCE'!$H$3:$H$225,$P166)</f>
        <v>Deep TE stash; needs a larger route/target role to matter in 10-team leagues.</v>
      </c>
      <c r="O166" t="str">
        <f>INDEX('LIVE SOURCE'!$J$3:$J$225,$P166)</f>
        <v>Route share, target volume and touchdown volatility are the main swing factors.</v>
      </c>
      <c r="P166" s="6">
        <f>MATCH($A166,'Draft Engine'!$Q$3:$Q$225,0)</f>
        <v>177</v>
      </c>
    </row>
    <row r="167" spans="1:16" x14ac:dyDescent="0.25">
      <c r="A167">
        <f>165</f>
        <v>165</v>
      </c>
      <c r="B167" t="str">
        <f>INDEX('Draft Engine'!$A$3:$A$225,$P167)</f>
        <v>TE</v>
      </c>
      <c r="C167">
        <f>INDEX('Draft Engine'!$F$3:$F$225,$P167)</f>
        <v>26</v>
      </c>
      <c r="D167" t="str">
        <f>INDEX('Draft Engine'!$B$3:$B$225,$P167)</f>
        <v>Gunnar Helm</v>
      </c>
      <c r="E167" s="4">
        <f>INDEX('Draft Engine'!$E$3:$E$225,$P167)</f>
        <v>66.622299999999996</v>
      </c>
      <c r="F167" t="str">
        <f t="shared" si="2"/>
        <v>TIER 6</v>
      </c>
      <c r="G167" s="4">
        <f>INDEX('Draft Engine'!$G$3:$G$225,$P167)</f>
        <v>133.19999999999999</v>
      </c>
      <c r="H167" s="4">
        <f>INDEX('Draft Engine'!$J$3:$J$225,$P167)</f>
        <v>-46.5</v>
      </c>
      <c r="I167" s="4">
        <f>INDEX('Draft Engine'!$N$3:$N$225,$P167)</f>
        <v>43.272265000000004</v>
      </c>
      <c r="J167" s="4">
        <f>INDEX('Draft Engine'!$R$3:$R$225,$P167)</f>
        <v>242</v>
      </c>
      <c r="K167" s="4">
        <f>INDEX('Draft Engine'!$S$3:$S$225,$P167)</f>
        <v>77</v>
      </c>
      <c r="L167" t="str">
        <f>INDEX('Draft Engine'!$T$3:$T$225,$P167)</f>
        <v>A</v>
      </c>
      <c r="M167" t="str">
        <f>INDEX('Draft Engine'!$X$3:$X$225,$P167)</f>
        <v>RATE-ADJUSTED VETERAN</v>
      </c>
      <c r="N167" t="str">
        <f>INDEX('LIVE SOURCE'!$H$3:$H$225,$P167)</f>
        <v>Deep TE stash; needs a larger route/target role to matter in 10-team leagues.</v>
      </c>
      <c r="O167" t="str">
        <f>INDEX('LIVE SOURCE'!$J$3:$J$225,$P167)</f>
        <v>Route share, target volume and touchdown volatility are the main swing factors.</v>
      </c>
      <c r="P167" s="6">
        <f>MATCH($A167,'Draft Engine'!$Q$3:$Q$225,0)</f>
        <v>178</v>
      </c>
    </row>
    <row r="168" spans="1:16" x14ac:dyDescent="0.25">
      <c r="A168">
        <f>166</f>
        <v>166</v>
      </c>
      <c r="B168" t="str">
        <f>INDEX('Draft Engine'!$A$3:$A$225,$P168)</f>
        <v>WR</v>
      </c>
      <c r="C168">
        <f>INDEX('Draft Engine'!$F$3:$F$225,$P168)</f>
        <v>52</v>
      </c>
      <c r="D168" t="str">
        <f>INDEX('Draft Engine'!$B$3:$B$225,$P168)</f>
        <v>Romeo Doubs</v>
      </c>
      <c r="E168" s="4">
        <f>INDEX('Draft Engine'!$E$3:$E$225,$P168)</f>
        <v>64.16</v>
      </c>
      <c r="F168" t="str">
        <f t="shared" si="2"/>
        <v>TIER 7</v>
      </c>
      <c r="G168" s="4">
        <f>INDEX('Draft Engine'!$G$3:$G$225,$P168)</f>
        <v>199.5</v>
      </c>
      <c r="H168" s="4">
        <f>INDEX('Draft Engine'!$J$3:$J$225,$P168)</f>
        <v>-39.799999999999997</v>
      </c>
      <c r="I168" s="4">
        <f>INDEX('Draft Engine'!$N$3:$N$225,$P168)</f>
        <v>43.124000000000002</v>
      </c>
      <c r="J168" s="4">
        <f>INDEX('Draft Engine'!$R$3:$R$225,$P168)</f>
        <v>205.8</v>
      </c>
      <c r="K168" s="4">
        <f>INDEX('Draft Engine'!$S$3:$S$225,$P168)</f>
        <v>39.800000000000011</v>
      </c>
      <c r="L168" t="str">
        <f>INDEX('Draft Engine'!$T$3:$T$225,$P168)</f>
        <v>C</v>
      </c>
      <c r="M168" t="str">
        <f>INDEX('Draft Engine'!$X$3:$X$225,$P168)</f>
        <v>HISTORY FALLBACK</v>
      </c>
      <c r="N168" t="str">
        <f>INDEX('LIVE SOURCE'!$H$3:$H$225,$P168)</f>
        <v>Late-round bench upside; role growth is required for weekly relevance.</v>
      </c>
      <c r="O168" t="str">
        <f>INDEX('LIVE SOURCE'!$J$3:$J$225,$P168)</f>
        <v>Target competition, quarterback efficiency and touchdown regression are the main downside paths.</v>
      </c>
      <c r="P168" s="6">
        <f>MATCH($A168,'Draft Engine'!$Q$3:$Q$225,0)</f>
        <v>135</v>
      </c>
    </row>
    <row r="169" spans="1:16" x14ac:dyDescent="0.25">
      <c r="A169">
        <f>167</f>
        <v>167</v>
      </c>
      <c r="B169" t="str">
        <f>INDEX('Draft Engine'!$A$3:$A$225,$P169)</f>
        <v>RB</v>
      </c>
      <c r="C169">
        <f>INDEX('Draft Engine'!$F$3:$F$225,$P169)</f>
        <v>45</v>
      </c>
      <c r="D169" t="str">
        <f>INDEX('Draft Engine'!$B$3:$B$225,$P169)</f>
        <v>Zach Charbonnet</v>
      </c>
      <c r="E169" s="4">
        <f>INDEX('Draft Engine'!$E$3:$E$225,$P169)</f>
        <v>62.549799999999998</v>
      </c>
      <c r="F169" t="str">
        <f t="shared" si="2"/>
        <v>TIER 7</v>
      </c>
      <c r="G169" s="4">
        <f>INDEX('Draft Engine'!$G$3:$G$225,$P169)</f>
        <v>192.7</v>
      </c>
      <c r="H169" s="4">
        <f>INDEX('Draft Engine'!$J$3:$J$225,$P169)</f>
        <v>-46.3</v>
      </c>
      <c r="I169" s="4">
        <f>INDEX('Draft Engine'!$N$3:$N$225,$P169)</f>
        <v>42.505890000000008</v>
      </c>
      <c r="J169" s="4">
        <f>INDEX('Draft Engine'!$R$3:$R$225,$P169)</f>
        <v>186.8</v>
      </c>
      <c r="K169" s="4">
        <f>INDEX('Draft Engine'!$S$3:$S$225,$P169)</f>
        <v>19.800000000000011</v>
      </c>
      <c r="L169" t="str">
        <f>INDEX('Draft Engine'!$T$3:$T$225,$P169)</f>
        <v>A</v>
      </c>
      <c r="M169" t="str">
        <f>INDEX('Draft Engine'!$X$3:$X$225,$P169)</f>
        <v>RATE-ADJUSTED VETERAN</v>
      </c>
      <c r="N169" t="str">
        <f>INDEX('LIVE SOURCE'!$H$3:$H$225,$P169)</f>
        <v>Bench stash/handcuff profile; value is tied to role change or injury ahead.</v>
      </c>
      <c r="O169" t="str">
        <f>INDEX('LIVE SOURCE'!$J$3:$J$225,$P169)</f>
        <v>Touchdown variance, receiving-role changes and backfield competition are the main downside paths.</v>
      </c>
      <c r="P169" s="6">
        <f>MATCH($A169,'Draft Engine'!$Q$3:$Q$225,0)</f>
        <v>77</v>
      </c>
    </row>
    <row r="170" spans="1:16" x14ac:dyDescent="0.25">
      <c r="A170">
        <f>168</f>
        <v>168</v>
      </c>
      <c r="B170" t="str">
        <f>INDEX('Draft Engine'!$A$3:$A$225,$P170)</f>
        <v>QB</v>
      </c>
      <c r="C170">
        <f>INDEX('Draft Engine'!$F$3:$F$225,$P170)</f>
        <v>25</v>
      </c>
      <c r="D170" t="str">
        <f>INDEX('Draft Engine'!$B$3:$B$225,$P170)</f>
        <v>Bryce Young</v>
      </c>
      <c r="E170" s="4">
        <f>INDEX('Draft Engine'!$E$3:$E$225,$P170)</f>
        <v>72.797600000000003</v>
      </c>
      <c r="F170" t="str">
        <f t="shared" si="2"/>
        <v>TIER 5</v>
      </c>
      <c r="G170" s="4">
        <f>INDEX('Draft Engine'!$G$3:$G$225,$P170)</f>
        <v>297.60000000000002</v>
      </c>
      <c r="H170" s="4">
        <f>INDEX('Draft Engine'!$J$3:$J$225,$P170)</f>
        <v>-53.5</v>
      </c>
      <c r="I170" s="4">
        <f>INDEX('Draft Engine'!$N$3:$N$225,$P170)</f>
        <v>42.408680000000004</v>
      </c>
      <c r="J170" s="4">
        <f>INDEX('Draft Engine'!$R$3:$R$225,$P170)</f>
        <v>214</v>
      </c>
      <c r="K170" s="4">
        <f>INDEX('Draft Engine'!$S$3:$S$225,$P170)</f>
        <v>46</v>
      </c>
      <c r="L170" t="str">
        <f>INDEX('Draft Engine'!$T$3:$T$225,$P170)</f>
        <v>A</v>
      </c>
      <c r="M170" t="str">
        <f>INDEX('Draft Engine'!$X$3:$X$225,$P170)</f>
        <v>RATE-ADJUSTED VETERAN</v>
      </c>
      <c r="N170" t="str">
        <f>INDEX('LIVE SOURCE'!$H$3:$H$225,$P170)</f>
        <v>Deep QB2; waiver-level in a normal 10-team format.</v>
      </c>
      <c r="O170" t="str">
        <f>INDEX('LIVE SOURCE'!$J$3:$J$225,$P170)</f>
        <v>Passing-TD efficiency, rushing volume and supporting-cast health are the main swing factors.</v>
      </c>
      <c r="P170" s="6">
        <f>MATCH($A170,'Draft Engine'!$Q$3:$Q$225,0)</f>
        <v>25</v>
      </c>
    </row>
    <row r="171" spans="1:16" x14ac:dyDescent="0.25">
      <c r="A171">
        <f>169</f>
        <v>169</v>
      </c>
      <c r="B171" t="str">
        <f>INDEX('Draft Engine'!$A$3:$A$225,$P171)</f>
        <v>WR</v>
      </c>
      <c r="C171">
        <f>INDEX('Draft Engine'!$F$3:$F$225,$P171)</f>
        <v>53</v>
      </c>
      <c r="D171" t="str">
        <f>INDEX('Draft Engine'!$B$3:$B$225,$P171)</f>
        <v>Jalen Coker</v>
      </c>
      <c r="E171" s="4">
        <f>INDEX('Draft Engine'!$E$3:$E$225,$P171)</f>
        <v>63.49</v>
      </c>
      <c r="F171" t="str">
        <f t="shared" si="2"/>
        <v>TIER 7</v>
      </c>
      <c r="G171" s="4">
        <f>INDEX('Draft Engine'!$G$3:$G$225,$P171)</f>
        <v>196.7</v>
      </c>
      <c r="H171" s="4">
        <f>INDEX('Draft Engine'!$J$3:$J$225,$P171)</f>
        <v>-42.6</v>
      </c>
      <c r="I171" s="4">
        <f>INDEX('Draft Engine'!$N$3:$N$225,$P171)</f>
        <v>42.251500000000007</v>
      </c>
      <c r="J171" s="4">
        <f>INDEX('Draft Engine'!$R$3:$R$225,$P171)</f>
        <v>209.7</v>
      </c>
      <c r="K171" s="4">
        <f>INDEX('Draft Engine'!$S$3:$S$225,$P171)</f>
        <v>40.699999999999989</v>
      </c>
      <c r="L171" t="str">
        <f>INDEX('Draft Engine'!$T$3:$T$225,$P171)</f>
        <v>C</v>
      </c>
      <c r="M171" t="str">
        <f>INDEX('Draft Engine'!$X$3:$X$225,$P171)</f>
        <v>HISTORY FALLBACK</v>
      </c>
      <c r="N171" t="str">
        <f>INDEX('LIVE SOURCE'!$H$3:$H$225,$P171)</f>
        <v>Late-round bench upside; role growth is required for weekly relevance.</v>
      </c>
      <c r="O171" t="str">
        <f>INDEX('LIVE SOURCE'!$J$3:$J$225,$P171)</f>
        <v>Target competition, quarterback efficiency and touchdown regression are the main downside paths.</v>
      </c>
      <c r="P171" s="6">
        <f>MATCH($A171,'Draft Engine'!$Q$3:$Q$225,0)</f>
        <v>136</v>
      </c>
    </row>
    <row r="172" spans="1:16" x14ac:dyDescent="0.25">
      <c r="A172">
        <f>170</f>
        <v>170</v>
      </c>
      <c r="B172" t="str">
        <f>INDEX('Draft Engine'!$A$3:$A$225,$P172)</f>
        <v>QB</v>
      </c>
      <c r="C172">
        <f>INDEX('Draft Engine'!$F$3:$F$225,$P172)</f>
        <v>26</v>
      </c>
      <c r="D172" t="str">
        <f>INDEX('Draft Engine'!$B$3:$B$225,$P172)</f>
        <v>Cam Ward</v>
      </c>
      <c r="E172" s="4">
        <f>INDEX('Draft Engine'!$E$3:$E$225,$P172)</f>
        <v>72.664599999999993</v>
      </c>
      <c r="F172" t="str">
        <f t="shared" si="2"/>
        <v>TIER 5</v>
      </c>
      <c r="G172" s="4">
        <f>INDEX('Draft Engine'!$G$3:$G$225,$P172)</f>
        <v>297</v>
      </c>
      <c r="H172" s="4">
        <f>INDEX('Draft Engine'!$J$3:$J$225,$P172)</f>
        <v>-54.1</v>
      </c>
      <c r="I172" s="4">
        <f>INDEX('Draft Engine'!$N$3:$N$225,$P172)</f>
        <v>42.227530000000002</v>
      </c>
      <c r="J172" s="4">
        <f>INDEX('Draft Engine'!$R$3:$R$225,$P172)</f>
        <v>222</v>
      </c>
      <c r="K172" s="4">
        <f>INDEX('Draft Engine'!$S$3:$S$225,$P172)</f>
        <v>52</v>
      </c>
      <c r="L172" t="str">
        <f>INDEX('Draft Engine'!$T$3:$T$225,$P172)</f>
        <v>A</v>
      </c>
      <c r="M172" t="str">
        <f>INDEX('Draft Engine'!$X$3:$X$225,$P172)</f>
        <v>RATE-ADJUSTED VETERAN</v>
      </c>
      <c r="N172" t="str">
        <f>INDEX('LIVE SOURCE'!$H$3:$H$225,$P172)</f>
        <v>Deep QB2; waiver-level in a normal 10-team format.</v>
      </c>
      <c r="O172" t="str">
        <f>INDEX('LIVE SOURCE'!$J$3:$J$225,$P172)</f>
        <v>Passing-TD efficiency, rushing volume and supporting-cast health are the main swing factors.</v>
      </c>
      <c r="P172" s="6">
        <f>MATCH($A172,'Draft Engine'!$Q$3:$Q$225,0)</f>
        <v>26</v>
      </c>
    </row>
    <row r="173" spans="1:16" x14ac:dyDescent="0.25">
      <c r="A173">
        <f>171</f>
        <v>171</v>
      </c>
      <c r="B173" t="str">
        <f>INDEX('Draft Engine'!$A$3:$A$225,$P173)</f>
        <v>RB</v>
      </c>
      <c r="C173">
        <f>INDEX('Draft Engine'!$F$3:$F$225,$P173)</f>
        <v>46</v>
      </c>
      <c r="D173" t="str">
        <f>INDEX('Draft Engine'!$B$3:$B$225,$P173)</f>
        <v>Jonathon Brooks</v>
      </c>
      <c r="E173" s="4">
        <f>INDEX('Draft Engine'!$E$3:$E$225,$P173)</f>
        <v>62.2</v>
      </c>
      <c r="F173" t="str">
        <f t="shared" si="2"/>
        <v>TIER 7</v>
      </c>
      <c r="G173" s="4">
        <f>INDEX('Draft Engine'!$G$3:$G$225,$P173)</f>
        <v>191.2</v>
      </c>
      <c r="H173" s="4">
        <f>INDEX('Draft Engine'!$J$3:$J$225,$P173)</f>
        <v>-47.8</v>
      </c>
      <c r="I173" s="4">
        <f>INDEX('Draft Engine'!$N$3:$N$225,$P173)</f>
        <v>41.684125000000002</v>
      </c>
      <c r="J173" s="4">
        <f>INDEX('Draft Engine'!$R$3:$R$225,$P173)</f>
        <v>191</v>
      </c>
      <c r="K173" s="4">
        <f>INDEX('Draft Engine'!$S$3:$S$225,$P173)</f>
        <v>20</v>
      </c>
      <c r="L173" t="str">
        <f>INDEX('Draft Engine'!$T$3:$T$225,$P173)</f>
        <v>C</v>
      </c>
      <c r="M173" t="str">
        <f>INDEX('Draft Engine'!$X$3:$X$225,$P173)</f>
        <v>HISTORY FALLBACK</v>
      </c>
      <c r="N173" t="str">
        <f>INDEX('LIVE SOURCE'!$H$3:$H$225,$P173)</f>
        <v>Bench stash/handcuff profile; value is tied to role change or injury ahead.</v>
      </c>
      <c r="O173" t="str">
        <f>INDEX('LIVE SOURCE'!$J$3:$J$225,$P173)</f>
        <v>Evidence is thinner than for established veterans, so camp, depth-chart and role news can move the grade materially.</v>
      </c>
      <c r="P173" s="6">
        <f>MATCH($A173,'Draft Engine'!$Q$3:$Q$225,0)</f>
        <v>78</v>
      </c>
    </row>
    <row r="174" spans="1:16" x14ac:dyDescent="0.25">
      <c r="A174">
        <f>172</f>
        <v>172</v>
      </c>
      <c r="B174" t="str">
        <f>INDEX('Draft Engine'!$A$3:$A$225,$P174)</f>
        <v>WR</v>
      </c>
      <c r="C174">
        <f>INDEX('Draft Engine'!$F$3:$F$225,$P174)</f>
        <v>54</v>
      </c>
      <c r="D174" t="str">
        <f>INDEX('Draft Engine'!$B$3:$B$225,$P174)</f>
        <v>KC Concepcion</v>
      </c>
      <c r="E174" s="4">
        <f>INDEX('Draft Engine'!$E$3:$E$225,$P174)</f>
        <v>62.82</v>
      </c>
      <c r="F174" t="str">
        <f t="shared" si="2"/>
        <v>TIER 7</v>
      </c>
      <c r="G174" s="4">
        <f>INDEX('Draft Engine'!$G$3:$G$225,$P174)</f>
        <v>193.8</v>
      </c>
      <c r="H174" s="4">
        <f>INDEX('Draft Engine'!$J$3:$J$225,$P174)</f>
        <v>-45.5</v>
      </c>
      <c r="I174" s="4">
        <f>INDEX('Draft Engine'!$N$3:$N$225,$P174)</f>
        <v>41.361000000000004</v>
      </c>
      <c r="J174" s="4">
        <f>INDEX('Draft Engine'!$R$3:$R$225,$P174)</f>
        <v>213.6</v>
      </c>
      <c r="K174" s="4">
        <f>INDEX('Draft Engine'!$S$3:$S$225,$P174)</f>
        <v>41.599999999999994</v>
      </c>
      <c r="L174" t="str">
        <f>INDEX('Draft Engine'!$T$3:$T$225,$P174)</f>
        <v>C</v>
      </c>
      <c r="M174" t="str">
        <f>INDEX('Draft Engine'!$X$3:$X$225,$P174)</f>
        <v>HISTORY FALLBACK</v>
      </c>
      <c r="N174" t="str">
        <f>INDEX('LIVE SOURCE'!$H$3:$H$225,$P174)</f>
        <v>Late-round bench upside; role growth is required for weekly relevance.</v>
      </c>
      <c r="O174" t="str">
        <f>INDEX('LIVE SOURCE'!$J$3:$J$225,$P174)</f>
        <v>NFL translation and exact weekly role are the main variables; preseason first-team usage can move this rating quickly.</v>
      </c>
      <c r="P174" s="6">
        <f>MATCH($A174,'Draft Engine'!$Q$3:$Q$225,0)</f>
        <v>137</v>
      </c>
    </row>
    <row r="175" spans="1:16" x14ac:dyDescent="0.25">
      <c r="A175">
        <f>173</f>
        <v>173</v>
      </c>
      <c r="B175" t="str">
        <f>INDEX('Draft Engine'!$A$3:$A$225,$P175)</f>
        <v>RB</v>
      </c>
      <c r="C175">
        <f>INDEX('Draft Engine'!$F$3:$F$225,$P175)</f>
        <v>47</v>
      </c>
      <c r="D175" t="str">
        <f>INDEX('Draft Engine'!$B$3:$B$225,$P175)</f>
        <v>Emanuel Wilson</v>
      </c>
      <c r="E175" s="4">
        <f>INDEX('Draft Engine'!$E$3:$E$225,$P175)</f>
        <v>61.982100000000003</v>
      </c>
      <c r="F175" t="str">
        <f t="shared" si="2"/>
        <v>TIER 7</v>
      </c>
      <c r="G175" s="4">
        <f>INDEX('Draft Engine'!$G$3:$G$225,$P175)</f>
        <v>190.3</v>
      </c>
      <c r="H175" s="4">
        <f>INDEX('Draft Engine'!$J$3:$J$225,$P175)</f>
        <v>-48.7</v>
      </c>
      <c r="I175" s="4">
        <f>INDEX('Draft Engine'!$N$3:$N$225,$P175)</f>
        <v>41.042905000000005</v>
      </c>
      <c r="J175" s="4">
        <f>INDEX('Draft Engine'!$R$3:$R$225,$P175)</f>
        <v>195.2</v>
      </c>
      <c r="K175" s="4">
        <f>INDEX('Draft Engine'!$S$3:$S$225,$P175)</f>
        <v>22.199999999999989</v>
      </c>
      <c r="L175" t="str">
        <f>INDEX('Draft Engine'!$T$3:$T$225,$P175)</f>
        <v>A</v>
      </c>
      <c r="M175" t="str">
        <f>INDEX('Draft Engine'!$X$3:$X$225,$P175)</f>
        <v>RATE-ADJUSTED VETERAN</v>
      </c>
      <c r="N175" t="str">
        <f>INDEX('LIVE SOURCE'!$H$3:$H$225,$P175)</f>
        <v>Bench stash/handcuff profile; value is tied to role change or injury ahead.</v>
      </c>
      <c r="O175" t="str">
        <f>INDEX('LIVE SOURCE'!$J$3:$J$225,$P175)</f>
        <v>Touchdown variance, receiving-role changes and backfield competition are the main downside paths.</v>
      </c>
      <c r="P175" s="6">
        <f>MATCH($A175,'Draft Engine'!$Q$3:$Q$225,0)</f>
        <v>79</v>
      </c>
    </row>
    <row r="176" spans="1:16" x14ac:dyDescent="0.25">
      <c r="A176">
        <f>174</f>
        <v>174</v>
      </c>
      <c r="B176" t="str">
        <f>INDEX('Draft Engine'!$A$3:$A$225,$P176)</f>
        <v>TE</v>
      </c>
      <c r="C176">
        <f>INDEX('Draft Engine'!$F$3:$F$225,$P176)</f>
        <v>27</v>
      </c>
      <c r="D176" t="str">
        <f>INDEX('Draft Engine'!$B$3:$B$225,$P176)</f>
        <v>Terrance Ferguson</v>
      </c>
      <c r="E176" s="4">
        <f>INDEX('Draft Engine'!$E$3:$E$225,$P176)</f>
        <v>64.362099999999998</v>
      </c>
      <c r="F176" t="str">
        <f t="shared" si="2"/>
        <v>TIER 7</v>
      </c>
      <c r="G176" s="4">
        <f>INDEX('Draft Engine'!$G$3:$G$225,$P176)</f>
        <v>125.3</v>
      </c>
      <c r="H176" s="4">
        <f>INDEX('Draft Engine'!$J$3:$J$225,$P176)</f>
        <v>-54.4</v>
      </c>
      <c r="I176" s="4">
        <f>INDEX('Draft Engine'!$N$3:$N$225,$P176)</f>
        <v>40.607154999999999</v>
      </c>
      <c r="J176" s="4">
        <f>INDEX('Draft Engine'!$R$3:$R$225,$P176)</f>
        <v>251</v>
      </c>
      <c r="K176" s="4">
        <f>INDEX('Draft Engine'!$S$3:$S$225,$P176)</f>
        <v>77</v>
      </c>
      <c r="L176" t="str">
        <f>INDEX('Draft Engine'!$T$3:$T$225,$P176)</f>
        <v>A</v>
      </c>
      <c r="M176" t="str">
        <f>INDEX('Draft Engine'!$X$3:$X$225,$P176)</f>
        <v>RATE-ADJUSTED VETERAN</v>
      </c>
      <c r="N176" t="str">
        <f>INDEX('LIVE SOURCE'!$H$3:$H$225,$P176)</f>
        <v>Deep TE stash; needs a larger route/target role to matter in 10-team leagues.</v>
      </c>
      <c r="O176" t="str">
        <f>INDEX('LIVE SOURCE'!$J$3:$J$225,$P176)</f>
        <v>Route share, target volume and touchdown volatility are the main swing factors.</v>
      </c>
      <c r="P176" s="6">
        <f>MATCH($A176,'Draft Engine'!$Q$3:$Q$225,0)</f>
        <v>179</v>
      </c>
    </row>
    <row r="177" spans="1:16" x14ac:dyDescent="0.25">
      <c r="A177">
        <f>175</f>
        <v>175</v>
      </c>
      <c r="B177" t="str">
        <f>INDEX('Draft Engine'!$A$3:$A$225,$P177)</f>
        <v>WR</v>
      </c>
      <c r="C177">
        <f>INDEX('Draft Engine'!$F$3:$F$225,$P177)</f>
        <v>55</v>
      </c>
      <c r="D177" t="str">
        <f>INDEX('Draft Engine'!$B$3:$B$225,$P177)</f>
        <v>Rashid Shaheed</v>
      </c>
      <c r="E177" s="4">
        <f>INDEX('Draft Engine'!$E$3:$E$225,$P177)</f>
        <v>62.15</v>
      </c>
      <c r="F177" t="str">
        <f t="shared" si="2"/>
        <v>TIER 7</v>
      </c>
      <c r="G177" s="4">
        <f>INDEX('Draft Engine'!$G$3:$G$225,$P177)</f>
        <v>191</v>
      </c>
      <c r="H177" s="4">
        <f>INDEX('Draft Engine'!$J$3:$J$225,$P177)</f>
        <v>-48.3</v>
      </c>
      <c r="I177" s="4">
        <f>INDEX('Draft Engine'!$N$3:$N$225,$P177)</f>
        <v>40.488500000000002</v>
      </c>
      <c r="J177" s="4">
        <f>INDEX('Draft Engine'!$R$3:$R$225,$P177)</f>
        <v>217.5</v>
      </c>
      <c r="K177" s="4">
        <f>INDEX('Draft Engine'!$S$3:$S$225,$P177)</f>
        <v>42.5</v>
      </c>
      <c r="L177" t="str">
        <f>INDEX('Draft Engine'!$T$3:$T$225,$P177)</f>
        <v>C</v>
      </c>
      <c r="M177" t="str">
        <f>INDEX('Draft Engine'!$X$3:$X$225,$P177)</f>
        <v>HISTORY FALLBACK</v>
      </c>
      <c r="N177" t="str">
        <f>INDEX('LIVE SOURCE'!$H$3:$H$225,$P177)</f>
        <v>Late-round bench upside; role growth is required for weekly relevance.</v>
      </c>
      <c r="O177" t="str">
        <f>INDEX('LIVE SOURCE'!$J$3:$J$225,$P177)</f>
        <v>Target competition, quarterback efficiency and touchdown regression are the main downside paths.</v>
      </c>
      <c r="P177" s="6">
        <f>MATCH($A177,'Draft Engine'!$Q$3:$Q$225,0)</f>
        <v>138</v>
      </c>
    </row>
    <row r="178" spans="1:16" x14ac:dyDescent="0.25">
      <c r="A178">
        <f>176</f>
        <v>176</v>
      </c>
      <c r="B178" t="str">
        <f>INDEX('Draft Engine'!$A$3:$A$225,$P178)</f>
        <v>QB</v>
      </c>
      <c r="C178">
        <f>INDEX('Draft Engine'!$F$3:$F$225,$P178)</f>
        <v>27</v>
      </c>
      <c r="D178" t="str">
        <f>INDEX('Draft Engine'!$B$3:$B$225,$P178)</f>
        <v>Jacoby Brissett</v>
      </c>
      <c r="E178" s="4">
        <f>INDEX('Draft Engine'!$E$3:$E$225,$P178)</f>
        <v>71.333399999999997</v>
      </c>
      <c r="F178" t="str">
        <f t="shared" si="2"/>
        <v>TIER 5</v>
      </c>
      <c r="G178" s="4">
        <f>INDEX('Draft Engine'!$G$3:$G$225,$P178)</f>
        <v>291</v>
      </c>
      <c r="H178" s="4">
        <f>INDEX('Draft Engine'!$J$3:$J$225,$P178)</f>
        <v>-60.1</v>
      </c>
      <c r="I178" s="4">
        <f>INDEX('Draft Engine'!$N$3:$N$225,$P178)</f>
        <v>40.415370000000003</v>
      </c>
      <c r="J178" s="4">
        <f>INDEX('Draft Engine'!$R$3:$R$225,$P178)</f>
        <v>230</v>
      </c>
      <c r="K178" s="4">
        <f>INDEX('Draft Engine'!$S$3:$S$225,$P178)</f>
        <v>54</v>
      </c>
      <c r="L178" t="str">
        <f>INDEX('Draft Engine'!$T$3:$T$225,$P178)</f>
        <v>A</v>
      </c>
      <c r="M178" t="str">
        <f>INDEX('Draft Engine'!$X$3:$X$225,$P178)</f>
        <v>RATE-ADJUSTED VETERAN</v>
      </c>
      <c r="N178" t="str">
        <f>INDEX('LIVE SOURCE'!$H$3:$H$225,$P178)</f>
        <v>Deep QB2; waiver-level in a normal 10-team format.</v>
      </c>
      <c r="O178" t="str">
        <f>INDEX('LIVE SOURCE'!$J$3:$J$225,$P178)</f>
        <v>Passing-TD efficiency, rushing volume and supporting-cast health are the main swing factors.</v>
      </c>
      <c r="P178" s="6">
        <f>MATCH($A178,'Draft Engine'!$Q$3:$Q$225,0)</f>
        <v>27</v>
      </c>
    </row>
    <row r="179" spans="1:16" x14ac:dyDescent="0.25">
      <c r="A179">
        <f>177</f>
        <v>177</v>
      </c>
      <c r="B179" t="str">
        <f>INDEX('Draft Engine'!$A$3:$A$225,$P179)</f>
        <v>QB</v>
      </c>
      <c r="C179">
        <f>INDEX('Draft Engine'!$F$3:$F$225,$P179)</f>
        <v>28</v>
      </c>
      <c r="D179" t="str">
        <f>INDEX('Draft Engine'!$B$3:$B$225,$P179)</f>
        <v>Geno Smith</v>
      </c>
      <c r="E179" s="4">
        <f>INDEX('Draft Engine'!$E$3:$E$225,$P179)</f>
        <v>71.098600000000005</v>
      </c>
      <c r="F179" t="str">
        <f t="shared" si="2"/>
        <v>TIER 5</v>
      </c>
      <c r="G179" s="4">
        <f>INDEX('Draft Engine'!$G$3:$G$225,$P179)</f>
        <v>289.89999999999998</v>
      </c>
      <c r="H179" s="4">
        <f>INDEX('Draft Engine'!$J$3:$J$225,$P179)</f>
        <v>-61.2</v>
      </c>
      <c r="I179" s="4">
        <f>INDEX('Draft Engine'!$N$3:$N$225,$P179)</f>
        <v>40.08823000000001</v>
      </c>
      <c r="J179" s="4">
        <f>INDEX('Draft Engine'!$R$3:$R$225,$P179)</f>
        <v>238</v>
      </c>
      <c r="K179" s="4">
        <f>INDEX('Draft Engine'!$S$3:$S$225,$P179)</f>
        <v>61</v>
      </c>
      <c r="L179" t="str">
        <f>INDEX('Draft Engine'!$T$3:$T$225,$P179)</f>
        <v>A</v>
      </c>
      <c r="M179" t="str">
        <f>INDEX('Draft Engine'!$X$3:$X$225,$P179)</f>
        <v>RATE-ADJUSTED VETERAN</v>
      </c>
      <c r="N179" t="str">
        <f>INDEX('LIVE SOURCE'!$H$3:$H$225,$P179)</f>
        <v>Deep QB2; waiver-level in a normal 10-team format.</v>
      </c>
      <c r="O179" t="str">
        <f>INDEX('LIVE SOURCE'!$J$3:$J$225,$P179)</f>
        <v>Passing-TD efficiency, rushing volume and supporting-cast health are the main swing factors.</v>
      </c>
      <c r="P179" s="6">
        <f>MATCH($A179,'Draft Engine'!$Q$3:$Q$225,0)</f>
        <v>28</v>
      </c>
    </row>
    <row r="180" spans="1:16" x14ac:dyDescent="0.25">
      <c r="A180">
        <f>178</f>
        <v>178</v>
      </c>
      <c r="B180" t="str">
        <f>INDEX('Draft Engine'!$A$3:$A$225,$P180)</f>
        <v>QB</v>
      </c>
      <c r="C180">
        <f>INDEX('Draft Engine'!$F$3:$F$225,$P180)</f>
        <v>29</v>
      </c>
      <c r="D180" t="str">
        <f>INDEX('Draft Engine'!$B$3:$B$225,$P180)</f>
        <v>Aaron Rodgers</v>
      </c>
      <c r="E180" s="4">
        <f>INDEX('Draft Engine'!$E$3:$E$225,$P180)</f>
        <v>70.884799999999998</v>
      </c>
      <c r="F180" t="str">
        <f t="shared" si="2"/>
        <v>TIER 5</v>
      </c>
      <c r="G180" s="4">
        <f>INDEX('Draft Engine'!$G$3:$G$225,$P180)</f>
        <v>289</v>
      </c>
      <c r="H180" s="4">
        <f>INDEX('Draft Engine'!$J$3:$J$225,$P180)</f>
        <v>-62.1</v>
      </c>
      <c r="I180" s="4">
        <f>INDEX('Draft Engine'!$N$3:$N$225,$P180)</f>
        <v>39.808640000000004</v>
      </c>
      <c r="J180" s="4">
        <f>INDEX('Draft Engine'!$R$3:$R$225,$P180)</f>
        <v>246</v>
      </c>
      <c r="K180" s="4">
        <f>INDEX('Draft Engine'!$S$3:$S$225,$P180)</f>
        <v>68</v>
      </c>
      <c r="L180" t="str">
        <f>INDEX('Draft Engine'!$T$3:$T$225,$P180)</f>
        <v>A</v>
      </c>
      <c r="M180" t="str">
        <f>INDEX('Draft Engine'!$X$3:$X$225,$P180)</f>
        <v>RATE-ADJUSTED VETERAN</v>
      </c>
      <c r="N180" t="str">
        <f>INDEX('LIVE SOURCE'!$H$3:$H$225,$P180)</f>
        <v>Deep QB2; waiver-level in a normal 10-team format.</v>
      </c>
      <c r="O180" t="str">
        <f>INDEX('LIVE SOURCE'!$J$3:$J$225,$P180)</f>
        <v>Passing-TD efficiency, rushing volume and supporting-cast health are the main swing factors.</v>
      </c>
      <c r="P180" s="6">
        <f>MATCH($A180,'Draft Engine'!$Q$3:$Q$225,0)</f>
        <v>29</v>
      </c>
    </row>
    <row r="181" spans="1:16" x14ac:dyDescent="0.25">
      <c r="A181">
        <f>179</f>
        <v>179</v>
      </c>
      <c r="B181" t="str">
        <f>INDEX('Draft Engine'!$A$3:$A$225,$P181)</f>
        <v>WR</v>
      </c>
      <c r="C181">
        <f>INDEX('Draft Engine'!$F$3:$F$225,$P181)</f>
        <v>56</v>
      </c>
      <c r="D181" t="str">
        <f>INDEX('Draft Engine'!$B$3:$B$225,$P181)</f>
        <v>Calvin Ridley</v>
      </c>
      <c r="E181" s="4">
        <f>INDEX('Draft Engine'!$E$3:$E$225,$P181)</f>
        <v>61.48</v>
      </c>
      <c r="F181" t="str">
        <f t="shared" si="2"/>
        <v>TIER 7</v>
      </c>
      <c r="G181" s="4">
        <f>INDEX('Draft Engine'!$G$3:$G$225,$P181)</f>
        <v>188.2</v>
      </c>
      <c r="H181" s="4">
        <f>INDEX('Draft Engine'!$J$3:$J$225,$P181)</f>
        <v>-51.1</v>
      </c>
      <c r="I181" s="4">
        <f>INDEX('Draft Engine'!$N$3:$N$225,$P181)</f>
        <v>39.616</v>
      </c>
      <c r="J181" s="4">
        <f>INDEX('Draft Engine'!$R$3:$R$225,$P181)</f>
        <v>221.4</v>
      </c>
      <c r="K181" s="4">
        <f>INDEX('Draft Engine'!$S$3:$S$225,$P181)</f>
        <v>42.400000000000006</v>
      </c>
      <c r="L181" t="str">
        <f>INDEX('Draft Engine'!$T$3:$T$225,$P181)</f>
        <v>C</v>
      </c>
      <c r="M181" t="str">
        <f>INDEX('Draft Engine'!$X$3:$X$225,$P181)</f>
        <v>HISTORY FALLBACK</v>
      </c>
      <c r="N181" t="str">
        <f>INDEX('LIVE SOURCE'!$H$3:$H$225,$P181)</f>
        <v>Late-round bench upside; role growth is required for weekly relevance.</v>
      </c>
      <c r="O181" t="str">
        <f>INDEX('LIVE SOURCE'!$J$3:$J$225,$P181)</f>
        <v>Evidence is thinner than for established veterans, so camp, depth-chart and role news can move the grade materially.</v>
      </c>
      <c r="P181" s="6">
        <f>MATCH($A181,'Draft Engine'!$Q$3:$Q$225,0)</f>
        <v>139</v>
      </c>
    </row>
    <row r="182" spans="1:16" x14ac:dyDescent="0.25">
      <c r="A182">
        <f>180</f>
        <v>180</v>
      </c>
      <c r="B182" t="str">
        <f>INDEX('Draft Engine'!$A$3:$A$225,$P182)</f>
        <v>WR</v>
      </c>
      <c r="C182">
        <f>INDEX('Draft Engine'!$F$3:$F$225,$P182)</f>
        <v>57</v>
      </c>
      <c r="D182" t="str">
        <f>INDEX('Draft Engine'!$B$3:$B$225,$P182)</f>
        <v>Omar Cooper Jr.</v>
      </c>
      <c r="E182" s="4">
        <f>INDEX('Draft Engine'!$E$3:$E$225,$P182)</f>
        <v>60.81</v>
      </c>
      <c r="F182" t="str">
        <f t="shared" si="2"/>
        <v>TIER 7</v>
      </c>
      <c r="G182" s="4">
        <f>INDEX('Draft Engine'!$G$3:$G$225,$P182)</f>
        <v>185.4</v>
      </c>
      <c r="H182" s="4">
        <f>INDEX('Draft Engine'!$J$3:$J$225,$P182)</f>
        <v>-53.9</v>
      </c>
      <c r="I182" s="4">
        <f>INDEX('Draft Engine'!$N$3:$N$225,$P182)</f>
        <v>38.743500000000004</v>
      </c>
      <c r="J182" s="4">
        <f>INDEX('Draft Engine'!$R$3:$R$225,$P182)</f>
        <v>225.3</v>
      </c>
      <c r="K182" s="4">
        <f>INDEX('Draft Engine'!$S$3:$S$225,$P182)</f>
        <v>45.300000000000011</v>
      </c>
      <c r="L182" t="str">
        <f>INDEX('Draft Engine'!$T$3:$T$225,$P182)</f>
        <v>C</v>
      </c>
      <c r="M182" t="str">
        <f>INDEX('Draft Engine'!$X$3:$X$225,$P182)</f>
        <v>HISTORY FALLBACK</v>
      </c>
      <c r="N182" t="str">
        <f>INDEX('LIVE SOURCE'!$H$3:$H$225,$P182)</f>
        <v>Late-round bench upside; role growth is required for weekly relevance.</v>
      </c>
      <c r="O182" t="str">
        <f>INDEX('LIVE SOURCE'!$J$3:$J$225,$P182)</f>
        <v>NFL translation and exact weekly role are the main variables; preseason first-team usage can move this rating quickly.</v>
      </c>
      <c r="P182" s="6">
        <f>MATCH($A182,'Draft Engine'!$Q$3:$Q$225,0)</f>
        <v>140</v>
      </c>
    </row>
    <row r="183" spans="1:16" x14ac:dyDescent="0.25">
      <c r="A183">
        <f>181</f>
        <v>181</v>
      </c>
      <c r="B183" t="str">
        <f>INDEX('Draft Engine'!$A$3:$A$225,$P183)</f>
        <v>RB</v>
      </c>
      <c r="C183">
        <f>INDEX('Draft Engine'!$F$3:$F$225,$P183)</f>
        <v>48</v>
      </c>
      <c r="D183" t="str">
        <f>INDEX('Draft Engine'!$B$3:$B$225,$P183)</f>
        <v>Isiah Pacheco</v>
      </c>
      <c r="E183" s="4">
        <f>INDEX('Draft Engine'!$E$3:$E$225,$P183)</f>
        <v>60.0092</v>
      </c>
      <c r="F183" t="str">
        <f t="shared" si="2"/>
        <v>TIER 7</v>
      </c>
      <c r="G183" s="4">
        <f>INDEX('Draft Engine'!$G$3:$G$225,$P183)</f>
        <v>182</v>
      </c>
      <c r="H183" s="4">
        <f>INDEX('Draft Engine'!$J$3:$J$225,$P183)</f>
        <v>-57</v>
      </c>
      <c r="I183" s="4">
        <f>INDEX('Draft Engine'!$N$3:$N$225,$P183)</f>
        <v>38.104435000000002</v>
      </c>
      <c r="J183" s="4">
        <f>INDEX('Draft Engine'!$R$3:$R$225,$P183)</f>
        <v>199.4</v>
      </c>
      <c r="K183" s="4">
        <f>INDEX('Draft Engine'!$S$3:$S$225,$P183)</f>
        <v>18.400000000000006</v>
      </c>
      <c r="L183" t="str">
        <f>INDEX('Draft Engine'!$T$3:$T$225,$P183)</f>
        <v>B</v>
      </c>
      <c r="M183" t="str">
        <f>INDEX('Draft Engine'!$X$3:$X$225,$P183)</f>
        <v>HISTORY FALLBACK</v>
      </c>
      <c r="N183" t="str">
        <f>INDEX('LIVE SOURCE'!$H$3:$H$225,$P183)</f>
        <v>Bench stash/handcuff profile; value is tied to role change or injury ahead.</v>
      </c>
      <c r="O183" t="str">
        <f>INDEX('LIVE SOURCE'!$J$3:$J$225,$P183)</f>
        <v>Touchdown variance, receiving-role changes and backfield competition are the main downside paths.</v>
      </c>
      <c r="P183" s="6">
        <f>MATCH($A183,'Draft Engine'!$Q$3:$Q$225,0)</f>
        <v>80</v>
      </c>
    </row>
    <row r="184" spans="1:16" x14ac:dyDescent="0.25">
      <c r="A184">
        <f>182</f>
        <v>182</v>
      </c>
      <c r="B184" t="str">
        <f>INDEX('Draft Engine'!$A$3:$A$225,$P184)</f>
        <v>WR</v>
      </c>
      <c r="C184">
        <f>INDEX('Draft Engine'!$F$3:$F$225,$P184)</f>
        <v>58</v>
      </c>
      <c r="D184" t="str">
        <f>INDEX('Draft Engine'!$B$3:$B$225,$P184)</f>
        <v>Jerry Jeudy</v>
      </c>
      <c r="E184" s="4">
        <f>INDEX('Draft Engine'!$E$3:$E$225,$P184)</f>
        <v>60.14</v>
      </c>
      <c r="F184" t="str">
        <f t="shared" si="2"/>
        <v>TIER 7</v>
      </c>
      <c r="G184" s="4">
        <f>INDEX('Draft Engine'!$G$3:$G$225,$P184)</f>
        <v>182.6</v>
      </c>
      <c r="H184" s="4">
        <f>INDEX('Draft Engine'!$J$3:$J$225,$P184)</f>
        <v>-56.7</v>
      </c>
      <c r="I184" s="4">
        <f>INDEX('Draft Engine'!$N$3:$N$225,$P184)</f>
        <v>37.871000000000002</v>
      </c>
      <c r="J184" s="4">
        <f>INDEX('Draft Engine'!$R$3:$R$225,$P184)</f>
        <v>229.2</v>
      </c>
      <c r="K184" s="4">
        <f>INDEX('Draft Engine'!$S$3:$S$225,$P184)</f>
        <v>47.199999999999989</v>
      </c>
      <c r="L184" t="str">
        <f>INDEX('Draft Engine'!$T$3:$T$225,$P184)</f>
        <v>C</v>
      </c>
      <c r="M184" t="str">
        <f>INDEX('Draft Engine'!$X$3:$X$225,$P184)</f>
        <v>HISTORY FALLBACK</v>
      </c>
      <c r="N184" t="str">
        <f>INDEX('LIVE SOURCE'!$H$3:$H$225,$P184)</f>
        <v>Late-round bench upside; role growth is required for weekly relevance.</v>
      </c>
      <c r="O184" t="str">
        <f>INDEX('LIVE SOURCE'!$J$3:$J$225,$P184)</f>
        <v>Target competition, quarterback efficiency and touchdown regression are the main downside paths.</v>
      </c>
      <c r="P184" s="6">
        <f>MATCH($A184,'Draft Engine'!$Q$3:$Q$225,0)</f>
        <v>141</v>
      </c>
    </row>
    <row r="185" spans="1:16" x14ac:dyDescent="0.25">
      <c r="A185">
        <f>183</f>
        <v>183</v>
      </c>
      <c r="B185" t="str">
        <f>INDEX('Draft Engine'!$A$3:$A$225,$P185)</f>
        <v>WR</v>
      </c>
      <c r="C185">
        <f>INDEX('Draft Engine'!$F$3:$F$225,$P185)</f>
        <v>59</v>
      </c>
      <c r="D185" t="str">
        <f>INDEX('Draft Engine'!$B$3:$B$225,$P185)</f>
        <v>Jalen Nailor</v>
      </c>
      <c r="E185" s="4">
        <f>INDEX('Draft Engine'!$E$3:$E$225,$P185)</f>
        <v>59.47</v>
      </c>
      <c r="F185" t="str">
        <f t="shared" si="2"/>
        <v>TIER 7</v>
      </c>
      <c r="G185" s="4">
        <f>INDEX('Draft Engine'!$G$3:$G$225,$P185)</f>
        <v>179.8</v>
      </c>
      <c r="H185" s="4">
        <f>INDEX('Draft Engine'!$J$3:$J$225,$P185)</f>
        <v>-59.5</v>
      </c>
      <c r="I185" s="4">
        <f>INDEX('Draft Engine'!$N$3:$N$225,$P185)</f>
        <v>36.9985</v>
      </c>
      <c r="J185" s="4">
        <f>INDEX('Draft Engine'!$R$3:$R$225,$P185)</f>
        <v>233.1</v>
      </c>
      <c r="K185" s="4">
        <f>INDEX('Draft Engine'!$S$3:$S$225,$P185)</f>
        <v>50.099999999999994</v>
      </c>
      <c r="L185" t="str">
        <f>INDEX('Draft Engine'!$T$3:$T$225,$P185)</f>
        <v>C</v>
      </c>
      <c r="M185" t="str">
        <f>INDEX('Draft Engine'!$X$3:$X$225,$P185)</f>
        <v>HISTORY FALLBACK</v>
      </c>
      <c r="N185" t="str">
        <f>INDEX('LIVE SOURCE'!$H$3:$H$225,$P185)</f>
        <v>Late-round bench upside; role growth is required for weekly relevance.</v>
      </c>
      <c r="O185" t="str">
        <f>INDEX('LIVE SOURCE'!$J$3:$J$225,$P185)</f>
        <v>Target competition, quarterback efficiency and touchdown regression are the main downside paths.</v>
      </c>
      <c r="P185" s="6">
        <f>MATCH($A185,'Draft Engine'!$Q$3:$Q$225,0)</f>
        <v>142</v>
      </c>
    </row>
    <row r="186" spans="1:16" x14ac:dyDescent="0.25">
      <c r="A186">
        <f>184</f>
        <v>184</v>
      </c>
      <c r="B186" t="str">
        <f>INDEX('Draft Engine'!$A$3:$A$225,$P186)</f>
        <v>RB</v>
      </c>
      <c r="C186">
        <f>INDEX('Draft Engine'!$F$3:$F$225,$P186)</f>
        <v>49</v>
      </c>
      <c r="D186" t="str">
        <f>INDEX('Draft Engine'!$B$3:$B$225,$P186)</f>
        <v>Alvin Kamara</v>
      </c>
      <c r="E186" s="4">
        <f>INDEX('Draft Engine'!$E$3:$E$225,$P186)</f>
        <v>59.15</v>
      </c>
      <c r="F186" t="str">
        <f t="shared" si="2"/>
        <v>TIER 7</v>
      </c>
      <c r="G186" s="4">
        <f>INDEX('Draft Engine'!$G$3:$G$225,$P186)</f>
        <v>178.4</v>
      </c>
      <c r="H186" s="4">
        <f>INDEX('Draft Engine'!$J$3:$J$225,$P186)</f>
        <v>-60.6</v>
      </c>
      <c r="I186" s="4">
        <f>INDEX('Draft Engine'!$N$3:$N$225,$P186)</f>
        <v>36.624499999999998</v>
      </c>
      <c r="J186" s="4">
        <f>INDEX('Draft Engine'!$R$3:$R$225,$P186)</f>
        <v>203.6</v>
      </c>
      <c r="K186" s="4">
        <f>INDEX('Draft Engine'!$S$3:$S$225,$P186)</f>
        <v>19.599999999999994</v>
      </c>
      <c r="L186" t="str">
        <f>INDEX('Draft Engine'!$T$3:$T$225,$P186)</f>
        <v>B</v>
      </c>
      <c r="M186" t="str">
        <f>INDEX('Draft Engine'!$X$3:$X$225,$P186)</f>
        <v>HISTORY FALLBACK</v>
      </c>
      <c r="N186" t="str">
        <f>INDEX('LIVE SOURCE'!$H$3:$H$225,$P186)</f>
        <v>Bench stash/handcuff profile; value is tied to role change or injury ahead.</v>
      </c>
      <c r="O186" t="str">
        <f>INDEX('LIVE SOURCE'!$J$3:$J$225,$P186)</f>
        <v>Touchdown variance, receiving-role changes and backfield competition are the main downside paths.</v>
      </c>
      <c r="P186" s="6">
        <f>MATCH($A186,'Draft Engine'!$Q$3:$Q$225,0)</f>
        <v>81</v>
      </c>
    </row>
    <row r="187" spans="1:16" x14ac:dyDescent="0.25">
      <c r="A187">
        <f>185</f>
        <v>185</v>
      </c>
      <c r="B187" t="str">
        <f>INDEX('Draft Engine'!$A$3:$A$225,$P187)</f>
        <v>WR</v>
      </c>
      <c r="C187">
        <f>INDEX('Draft Engine'!$F$3:$F$225,$P187)</f>
        <v>60</v>
      </c>
      <c r="D187" t="str">
        <f>INDEX('Draft Engine'!$B$3:$B$225,$P187)</f>
        <v>Jalen McMillan</v>
      </c>
      <c r="E187" s="4">
        <f>INDEX('Draft Engine'!$E$3:$E$225,$P187)</f>
        <v>58.8</v>
      </c>
      <c r="F187" t="str">
        <f t="shared" si="2"/>
        <v>TIER 7</v>
      </c>
      <c r="G187" s="4">
        <f>INDEX('Draft Engine'!$G$3:$G$225,$P187)</f>
        <v>177</v>
      </c>
      <c r="H187" s="4">
        <f>INDEX('Draft Engine'!$J$3:$J$225,$P187)</f>
        <v>-62.3</v>
      </c>
      <c r="I187" s="4">
        <f>INDEX('Draft Engine'!$N$3:$N$225,$P187)</f>
        <v>36.126000000000005</v>
      </c>
      <c r="J187" s="4">
        <f>INDEX('Draft Engine'!$R$3:$R$225,$P187)</f>
        <v>237</v>
      </c>
      <c r="K187" s="4">
        <f>INDEX('Draft Engine'!$S$3:$S$225,$P187)</f>
        <v>52</v>
      </c>
      <c r="L187" t="str">
        <f>INDEX('Draft Engine'!$T$3:$T$225,$P187)</f>
        <v>C</v>
      </c>
      <c r="M187" t="str">
        <f>INDEX('Draft Engine'!$X$3:$X$225,$P187)</f>
        <v>HISTORY FALLBACK</v>
      </c>
      <c r="N187" t="str">
        <f>INDEX('LIVE SOURCE'!$H$3:$H$225,$P187)</f>
        <v>Late-round bench upside; role growth is required for weekly relevance.</v>
      </c>
      <c r="O187" t="str">
        <f>INDEX('LIVE SOURCE'!$J$3:$J$225,$P187)</f>
        <v>Evidence is thinner than for established veterans, so camp, depth-chart and role news can move the grade materially.</v>
      </c>
      <c r="P187" s="6">
        <f>MATCH($A187,'Draft Engine'!$Q$3:$Q$225,0)</f>
        <v>143</v>
      </c>
    </row>
    <row r="188" spans="1:16" x14ac:dyDescent="0.25">
      <c r="A188">
        <f>186</f>
        <v>186</v>
      </c>
      <c r="B188" t="str">
        <f>INDEX('Draft Engine'!$A$3:$A$225,$P188)</f>
        <v>QB</v>
      </c>
      <c r="C188">
        <f>INDEX('Draft Engine'!$F$3:$F$225,$P188)</f>
        <v>30</v>
      </c>
      <c r="D188" t="str">
        <f>INDEX('Draft Engine'!$B$3:$B$225,$P188)</f>
        <v>Tua Tagovailoa</v>
      </c>
      <c r="E188" s="4">
        <f>INDEX('Draft Engine'!$E$3:$E$225,$P188)</f>
        <v>67.851200000000006</v>
      </c>
      <c r="F188" t="str">
        <f t="shared" si="2"/>
        <v>TIER 6</v>
      </c>
      <c r="G188" s="4">
        <f>INDEX('Draft Engine'!$G$3:$G$225,$P188)</f>
        <v>275.3</v>
      </c>
      <c r="H188" s="4">
        <f>INDEX('Draft Engine'!$J$3:$J$225,$P188)</f>
        <v>-75.8</v>
      </c>
      <c r="I188" s="4">
        <f>INDEX('Draft Engine'!$N$3:$N$225,$P188)</f>
        <v>35.674160000000008</v>
      </c>
      <c r="J188" s="4">
        <f>INDEX('Draft Engine'!$R$3:$R$225,$P188)</f>
        <v>254</v>
      </c>
      <c r="K188" s="4">
        <f>INDEX('Draft Engine'!$S$3:$S$225,$P188)</f>
        <v>68</v>
      </c>
      <c r="L188" t="str">
        <f>INDEX('Draft Engine'!$T$3:$T$225,$P188)</f>
        <v>A</v>
      </c>
      <c r="M188" t="str">
        <f>INDEX('Draft Engine'!$X$3:$X$225,$P188)</f>
        <v>RATE-ADJUSTED VETERAN</v>
      </c>
      <c r="N188" t="str">
        <f>INDEX('LIVE SOURCE'!$H$3:$H$225,$P188)</f>
        <v>Deep QB2; waiver-level in a normal 10-team format.</v>
      </c>
      <c r="O188" t="str">
        <f>INDEX('LIVE SOURCE'!$J$3:$J$225,$P188)</f>
        <v>Passing-TD efficiency, rushing volume and supporting-cast health are the main swing factors.</v>
      </c>
      <c r="P188" s="6">
        <f>MATCH($A188,'Draft Engine'!$Q$3:$Q$225,0)</f>
        <v>30</v>
      </c>
    </row>
    <row r="189" spans="1:16" x14ac:dyDescent="0.25">
      <c r="A189">
        <f>187</f>
        <v>187</v>
      </c>
      <c r="B189" t="str">
        <f>INDEX('Draft Engine'!$A$3:$A$225,$P189)</f>
        <v>WR</v>
      </c>
      <c r="C189">
        <f>INDEX('Draft Engine'!$F$3:$F$225,$P189)</f>
        <v>61</v>
      </c>
      <c r="D189" t="str">
        <f>INDEX('Draft Engine'!$B$3:$B$225,$P189)</f>
        <v>Adonai Mitchell</v>
      </c>
      <c r="E189" s="4">
        <f>INDEX('Draft Engine'!$E$3:$E$225,$P189)</f>
        <v>58.13</v>
      </c>
      <c r="F189" t="str">
        <f t="shared" si="2"/>
        <v>TIER 7</v>
      </c>
      <c r="G189" s="4">
        <f>INDEX('Draft Engine'!$G$3:$G$225,$P189)</f>
        <v>174.1</v>
      </c>
      <c r="H189" s="4">
        <f>INDEX('Draft Engine'!$J$3:$J$225,$P189)</f>
        <v>-65.2</v>
      </c>
      <c r="I189" s="4">
        <f>INDEX('Draft Engine'!$N$3:$N$225,$P189)</f>
        <v>35.235500000000002</v>
      </c>
      <c r="J189" s="4">
        <f>INDEX('Draft Engine'!$R$3:$R$225,$P189)</f>
        <v>240.9</v>
      </c>
      <c r="K189" s="4">
        <f>INDEX('Draft Engine'!$S$3:$S$225,$P189)</f>
        <v>53.900000000000006</v>
      </c>
      <c r="L189" t="str">
        <f>INDEX('Draft Engine'!$T$3:$T$225,$P189)</f>
        <v>C</v>
      </c>
      <c r="M189" t="str">
        <f>INDEX('Draft Engine'!$X$3:$X$225,$P189)</f>
        <v>HISTORY FALLBACK</v>
      </c>
      <c r="N189" t="str">
        <f>INDEX('LIVE SOURCE'!$H$3:$H$225,$P189)</f>
        <v>Late-round bench upside; role growth is required for weekly relevance.</v>
      </c>
      <c r="O189" t="str">
        <f>INDEX('LIVE SOURCE'!$J$3:$J$225,$P189)</f>
        <v>Evidence is thinner than for established veterans, so camp, depth-chart and role news can move the grade materially.</v>
      </c>
      <c r="P189" s="6">
        <f>MATCH($A189,'Draft Engine'!$Q$3:$Q$225,0)</f>
        <v>144</v>
      </c>
    </row>
    <row r="190" spans="1:16" x14ac:dyDescent="0.25">
      <c r="A190">
        <f>188</f>
        <v>188</v>
      </c>
      <c r="B190" t="str">
        <f>INDEX('Draft Engine'!$A$3:$A$225,$P190)</f>
        <v>WR</v>
      </c>
      <c r="C190">
        <f>INDEX('Draft Engine'!$F$3:$F$225,$P190)</f>
        <v>62</v>
      </c>
      <c r="D190" t="str">
        <f>INDEX('Draft Engine'!$B$3:$B$225,$P190)</f>
        <v>Isaac TeSlaa</v>
      </c>
      <c r="E190" s="4">
        <f>INDEX('Draft Engine'!$E$3:$E$225,$P190)</f>
        <v>57.46</v>
      </c>
      <c r="F190" t="str">
        <f t="shared" si="2"/>
        <v>TIER 7</v>
      </c>
      <c r="G190" s="4">
        <f>INDEX('Draft Engine'!$G$3:$G$225,$P190)</f>
        <v>171.3</v>
      </c>
      <c r="H190" s="4">
        <f>INDEX('Draft Engine'!$J$3:$J$225,$P190)</f>
        <v>-68</v>
      </c>
      <c r="I190" s="4">
        <f>INDEX('Draft Engine'!$N$3:$N$225,$P190)</f>
        <v>34.363</v>
      </c>
      <c r="J190" s="4">
        <f>INDEX('Draft Engine'!$R$3:$R$225,$P190)</f>
        <v>244.8</v>
      </c>
      <c r="K190" s="4">
        <f>INDEX('Draft Engine'!$S$3:$S$225,$P190)</f>
        <v>56.800000000000011</v>
      </c>
      <c r="L190" t="str">
        <f>INDEX('Draft Engine'!$T$3:$T$225,$P190)</f>
        <v>C</v>
      </c>
      <c r="M190" t="str">
        <f>INDEX('Draft Engine'!$X$3:$X$225,$P190)</f>
        <v>HISTORY FALLBACK</v>
      </c>
      <c r="N190" t="str">
        <f>INDEX('LIVE SOURCE'!$H$3:$H$225,$P190)</f>
        <v>Late-round bench upside; role growth is required for weekly relevance.</v>
      </c>
      <c r="O190" t="str">
        <f>INDEX('LIVE SOURCE'!$J$3:$J$225,$P190)</f>
        <v>Target competition, quarterback efficiency and touchdown regression are the main downside paths.</v>
      </c>
      <c r="P190" s="6">
        <f>MATCH($A190,'Draft Engine'!$Q$3:$Q$225,0)</f>
        <v>145</v>
      </c>
    </row>
    <row r="191" spans="1:16" x14ac:dyDescent="0.25">
      <c r="A191">
        <f>189</f>
        <v>189</v>
      </c>
      <c r="B191" t="str">
        <f>INDEX('Draft Engine'!$A$3:$A$225,$P191)</f>
        <v>WR</v>
      </c>
      <c r="C191">
        <f>INDEX('Draft Engine'!$F$3:$F$225,$P191)</f>
        <v>63</v>
      </c>
      <c r="D191" t="str">
        <f>INDEX('Draft Engine'!$B$3:$B$225,$P191)</f>
        <v>Denzel Boston</v>
      </c>
      <c r="E191" s="4">
        <f>INDEX('Draft Engine'!$E$3:$E$225,$P191)</f>
        <v>56.79</v>
      </c>
      <c r="F191" t="str">
        <f t="shared" si="2"/>
        <v>TIER 7</v>
      </c>
      <c r="G191" s="4">
        <f>INDEX('Draft Engine'!$G$3:$G$225,$P191)</f>
        <v>168.5</v>
      </c>
      <c r="H191" s="4">
        <f>INDEX('Draft Engine'!$J$3:$J$225,$P191)</f>
        <v>-70.8</v>
      </c>
      <c r="I191" s="4">
        <f>INDEX('Draft Engine'!$N$3:$N$225,$P191)</f>
        <v>33.490500000000004</v>
      </c>
      <c r="J191" s="4">
        <f>INDEX('Draft Engine'!$R$3:$R$225,$P191)</f>
        <v>248.7</v>
      </c>
      <c r="K191" s="4">
        <f>INDEX('Draft Engine'!$S$3:$S$225,$P191)</f>
        <v>59.699999999999989</v>
      </c>
      <c r="L191" t="str">
        <f>INDEX('Draft Engine'!$T$3:$T$225,$P191)</f>
        <v>C</v>
      </c>
      <c r="M191" t="str">
        <f>INDEX('Draft Engine'!$X$3:$X$225,$P191)</f>
        <v>HISTORY FALLBACK</v>
      </c>
      <c r="N191" t="str">
        <f>INDEX('LIVE SOURCE'!$H$3:$H$225,$P191)</f>
        <v>Late-round bench upside; role growth is required for weekly relevance.</v>
      </c>
      <c r="O191" t="str">
        <f>INDEX('LIVE SOURCE'!$J$3:$J$225,$P191)</f>
        <v>NFL translation and exact weekly role are the main variables; preseason first-team usage can move this rating quickly.</v>
      </c>
      <c r="P191" s="6">
        <f>MATCH($A191,'Draft Engine'!$Q$3:$Q$225,0)</f>
        <v>146</v>
      </c>
    </row>
    <row r="192" spans="1:16" x14ac:dyDescent="0.25">
      <c r="A192">
        <f>190</f>
        <v>190</v>
      </c>
      <c r="B192" t="str">
        <f>INDEX('Draft Engine'!$A$3:$A$225,$P192)</f>
        <v>QB</v>
      </c>
      <c r="C192">
        <f>INDEX('Draft Engine'!$F$3:$F$225,$P192)</f>
        <v>31</v>
      </c>
      <c r="D192" t="str">
        <f>INDEX('Draft Engine'!$B$3:$B$225,$P192)</f>
        <v>Kirk Cousins</v>
      </c>
      <c r="E192" s="4">
        <f>INDEX('Draft Engine'!$E$3:$E$225,$P192)</f>
        <v>65.792900000000003</v>
      </c>
      <c r="F192" t="str">
        <f t="shared" si="2"/>
        <v>TIER 6</v>
      </c>
      <c r="G192" s="4">
        <f>INDEX('Draft Engine'!$G$3:$G$225,$P192)</f>
        <v>266.10000000000002</v>
      </c>
      <c r="H192" s="4">
        <f>INDEX('Draft Engine'!$J$3:$J$225,$P192)</f>
        <v>-85</v>
      </c>
      <c r="I192" s="4">
        <f>INDEX('Draft Engine'!$N$3:$N$225,$P192)</f>
        <v>33.186095000000002</v>
      </c>
      <c r="J192" s="4">
        <f>INDEX('Draft Engine'!$R$3:$R$225,$P192)</f>
        <v>262</v>
      </c>
      <c r="K192" s="4">
        <f>INDEX('Draft Engine'!$S$3:$S$225,$P192)</f>
        <v>72</v>
      </c>
      <c r="L192" t="str">
        <f>INDEX('Draft Engine'!$T$3:$T$225,$P192)</f>
        <v>B</v>
      </c>
      <c r="M192" t="str">
        <f>INDEX('Draft Engine'!$X$3:$X$225,$P192)</f>
        <v>RATE-ADJUSTED VETERAN</v>
      </c>
      <c r="N192" t="str">
        <f>INDEX('LIVE SOURCE'!$H$3:$H$225,$P192)</f>
        <v>Deep QB2; waiver-level in a normal 10-team format.</v>
      </c>
      <c r="O192" t="str">
        <f>INDEX('LIVE SOURCE'!$J$3:$J$225,$P192)</f>
        <v>Passing-TD efficiency, rushing volume and supporting-cast health are the main swing factors.</v>
      </c>
      <c r="P192" s="6">
        <f>MATCH($A192,'Draft Engine'!$Q$3:$Q$225,0)</f>
        <v>31</v>
      </c>
    </row>
    <row r="193" spans="1:16" x14ac:dyDescent="0.25">
      <c r="A193">
        <f>191</f>
        <v>191</v>
      </c>
      <c r="B193" t="str">
        <f>INDEX('Draft Engine'!$A$3:$A$225,$P193)</f>
        <v>WR</v>
      </c>
      <c r="C193">
        <f>INDEX('Draft Engine'!$F$3:$F$225,$P193)</f>
        <v>64</v>
      </c>
      <c r="D193" t="str">
        <f>INDEX('Draft Engine'!$B$3:$B$225,$P193)</f>
        <v>Tre Tucker</v>
      </c>
      <c r="E193" s="4">
        <f>INDEX('Draft Engine'!$E$3:$E$225,$P193)</f>
        <v>56.12</v>
      </c>
      <c r="F193" t="str">
        <f t="shared" si="2"/>
        <v>TIER 7</v>
      </c>
      <c r="G193" s="4">
        <f>INDEX('Draft Engine'!$G$3:$G$225,$P193)</f>
        <v>165.7</v>
      </c>
      <c r="H193" s="4">
        <f>INDEX('Draft Engine'!$J$3:$J$225,$P193)</f>
        <v>-73.599999999999994</v>
      </c>
      <c r="I193" s="4">
        <f>INDEX('Draft Engine'!$N$3:$N$225,$P193)</f>
        <v>32.618000000000002</v>
      </c>
      <c r="J193" s="4">
        <f>INDEX('Draft Engine'!$R$3:$R$225,$P193)</f>
        <v>252.6</v>
      </c>
      <c r="K193" s="4">
        <f>INDEX('Draft Engine'!$S$3:$S$225,$P193)</f>
        <v>61.599999999999994</v>
      </c>
      <c r="L193" t="str">
        <f>INDEX('Draft Engine'!$T$3:$T$225,$P193)</f>
        <v>C</v>
      </c>
      <c r="M193" t="str">
        <f>INDEX('Draft Engine'!$X$3:$X$225,$P193)</f>
        <v>HISTORY FALLBACK</v>
      </c>
      <c r="N193" t="str">
        <f>INDEX('LIVE SOURCE'!$H$3:$H$225,$P193)</f>
        <v>Late-round bench upside; role growth is required for weekly relevance.</v>
      </c>
      <c r="O193" t="str">
        <f>INDEX('LIVE SOURCE'!$J$3:$J$225,$P193)</f>
        <v>Target competition, quarterback efficiency and touchdown regression are the main downside paths.</v>
      </c>
      <c r="P193" s="6">
        <f>MATCH($A193,'Draft Engine'!$Q$3:$Q$225,0)</f>
        <v>147</v>
      </c>
    </row>
    <row r="194" spans="1:16" x14ac:dyDescent="0.25">
      <c r="A194">
        <f>192</f>
        <v>192</v>
      </c>
      <c r="B194" t="str">
        <f>INDEX('Draft Engine'!$A$3:$A$225,$P194)</f>
        <v>WR</v>
      </c>
      <c r="C194">
        <f>INDEX('Draft Engine'!$F$3:$F$225,$P194)</f>
        <v>65</v>
      </c>
      <c r="D194" t="str">
        <f>INDEX('Draft Engine'!$B$3:$B$225,$P194)</f>
        <v>Antonio Williams</v>
      </c>
      <c r="E194" s="4">
        <f>INDEX('Draft Engine'!$E$3:$E$225,$P194)</f>
        <v>55.45</v>
      </c>
      <c r="F194" t="str">
        <f t="shared" si="2"/>
        <v>TIER 7</v>
      </c>
      <c r="G194" s="4">
        <f>INDEX('Draft Engine'!$G$3:$G$225,$P194)</f>
        <v>162.9</v>
      </c>
      <c r="H194" s="4">
        <f>INDEX('Draft Engine'!$J$3:$J$225,$P194)</f>
        <v>-76.400000000000006</v>
      </c>
      <c r="I194" s="4">
        <f>INDEX('Draft Engine'!$N$3:$N$225,$P194)</f>
        <v>31.7455</v>
      </c>
      <c r="J194" s="4">
        <f>INDEX('Draft Engine'!$R$3:$R$225,$P194)</f>
        <v>256.5</v>
      </c>
      <c r="K194" s="4">
        <f>INDEX('Draft Engine'!$S$3:$S$225,$P194)</f>
        <v>64.5</v>
      </c>
      <c r="L194" t="str">
        <f>INDEX('Draft Engine'!$T$3:$T$225,$P194)</f>
        <v>C</v>
      </c>
      <c r="M194" t="str">
        <f>INDEX('Draft Engine'!$X$3:$X$225,$P194)</f>
        <v>HISTORY FALLBACK</v>
      </c>
      <c r="N194" t="str">
        <f>INDEX('LIVE SOURCE'!$H$3:$H$225,$P194)</f>
        <v>Late-round bench upside; role growth is required for weekly relevance.</v>
      </c>
      <c r="O194" t="str">
        <f>INDEX('LIVE SOURCE'!$J$3:$J$225,$P194)</f>
        <v>Evidence is thinner than for established veterans, so camp, depth-chart and role news can move the grade materially.</v>
      </c>
      <c r="P194" s="6">
        <f>MATCH($A194,'Draft Engine'!$Q$3:$Q$225,0)</f>
        <v>148</v>
      </c>
    </row>
    <row r="195" spans="1:16" x14ac:dyDescent="0.25">
      <c r="A195">
        <f>193</f>
        <v>193</v>
      </c>
      <c r="B195" t="str">
        <f>INDEX('Draft Engine'!$A$3:$A$225,$P195)</f>
        <v>RB</v>
      </c>
      <c r="C195">
        <f>INDEX('Draft Engine'!$F$3:$F$225,$P195)</f>
        <v>50</v>
      </c>
      <c r="D195" t="str">
        <f>INDEX('Draft Engine'!$B$3:$B$225,$P195)</f>
        <v>Justice Hill</v>
      </c>
      <c r="E195" s="4">
        <f>INDEX('Draft Engine'!$E$3:$E$225,$P195)</f>
        <v>54.88</v>
      </c>
      <c r="F195" t="str">
        <f t="shared" ref="F195:F225" si="3">IF($E195&gt;=95,"ELITE",IF($E195&gt;=90,"TIER 1",IF($E195&gt;=85,"TIER 2",IF($E195&gt;=80,"TIER 3",IF($E195&gt;=75,"TIER 4",IF($E195&gt;=70,"TIER 5",IF($E195&gt;=65,"TIER 6","TIER 7")))))))</f>
        <v>TIER 7</v>
      </c>
      <c r="G195" s="4">
        <f>INDEX('Draft Engine'!$G$3:$G$225,$P195)</f>
        <v>160.5</v>
      </c>
      <c r="H195" s="4">
        <f>INDEX('Draft Engine'!$J$3:$J$225,$P195)</f>
        <v>-78.5</v>
      </c>
      <c r="I195" s="4">
        <f>INDEX('Draft Engine'!$N$3:$N$225,$P195)</f>
        <v>31.054000000000006</v>
      </c>
      <c r="J195" s="4">
        <f>INDEX('Draft Engine'!$R$3:$R$225,$P195)</f>
        <v>207.8</v>
      </c>
      <c r="K195" s="4">
        <f>INDEX('Draft Engine'!$S$3:$S$225,$P195)</f>
        <v>14.800000000000011</v>
      </c>
      <c r="L195" t="str">
        <f>INDEX('Draft Engine'!$T$3:$T$225,$P195)</f>
        <v>B</v>
      </c>
      <c r="M195" t="str">
        <f>INDEX('Draft Engine'!$X$3:$X$225,$P195)</f>
        <v>HISTORY FALLBACK</v>
      </c>
      <c r="N195" t="str">
        <f>INDEX('LIVE SOURCE'!$H$3:$H$225,$P195)</f>
        <v>Bench stash/handcuff profile; value is tied to role change or injury ahead.</v>
      </c>
      <c r="O195" t="str">
        <f>INDEX('LIVE SOURCE'!$J$3:$J$225,$P195)</f>
        <v>Touchdown variance, receiving-role changes and backfield competition are the main downside paths.</v>
      </c>
      <c r="P195" s="6">
        <f>MATCH($A195,'Draft Engine'!$Q$3:$Q$225,0)</f>
        <v>82</v>
      </c>
    </row>
    <row r="196" spans="1:16" x14ac:dyDescent="0.25">
      <c r="A196">
        <f>194</f>
        <v>194</v>
      </c>
      <c r="B196" t="str">
        <f>INDEX('Draft Engine'!$A$3:$A$225,$P196)</f>
        <v>WR</v>
      </c>
      <c r="C196">
        <f>INDEX('Draft Engine'!$F$3:$F$225,$P196)</f>
        <v>66</v>
      </c>
      <c r="D196" t="str">
        <f>INDEX('Draft Engine'!$B$3:$B$225,$P196)</f>
        <v>Travis Hunter</v>
      </c>
      <c r="E196" s="4">
        <f>INDEX('Draft Engine'!$E$3:$E$225,$P196)</f>
        <v>54.78</v>
      </c>
      <c r="F196" t="str">
        <f t="shared" si="3"/>
        <v>TIER 7</v>
      </c>
      <c r="G196" s="4">
        <f>INDEX('Draft Engine'!$G$3:$G$225,$P196)</f>
        <v>160.1</v>
      </c>
      <c r="H196" s="4">
        <f>INDEX('Draft Engine'!$J$3:$J$225,$P196)</f>
        <v>-79.2</v>
      </c>
      <c r="I196" s="4">
        <f>INDEX('Draft Engine'!$N$3:$N$225,$P196)</f>
        <v>30.873000000000001</v>
      </c>
      <c r="J196" s="4">
        <f>INDEX('Draft Engine'!$R$3:$R$225,$P196)</f>
        <v>260.39999999999998</v>
      </c>
      <c r="K196" s="4">
        <f>INDEX('Draft Engine'!$S$3:$S$225,$P196)</f>
        <v>66.399999999999977</v>
      </c>
      <c r="L196" t="str">
        <f>INDEX('Draft Engine'!$T$3:$T$225,$P196)</f>
        <v>C</v>
      </c>
      <c r="M196" t="str">
        <f>INDEX('Draft Engine'!$X$3:$X$225,$P196)</f>
        <v>HISTORY FALLBACK</v>
      </c>
      <c r="N196" t="str">
        <f>INDEX('LIVE SOURCE'!$H$3:$H$225,$P196)</f>
        <v>Late-round bench upside; role growth is required for weekly relevance.</v>
      </c>
      <c r="O196" t="str">
        <f>INDEX('LIVE SOURCE'!$J$3:$J$225,$P196)</f>
        <v>Evidence is thinner than for established veterans, so camp, depth-chart and role news can move the grade materially.</v>
      </c>
      <c r="P196" s="6">
        <f>MATCH($A196,'Draft Engine'!$Q$3:$Q$225,0)</f>
        <v>149</v>
      </c>
    </row>
    <row r="197" spans="1:16" x14ac:dyDescent="0.25">
      <c r="A197">
        <f>195</f>
        <v>195</v>
      </c>
      <c r="B197" t="str">
        <f>INDEX('Draft Engine'!$A$3:$A$225,$P197)</f>
        <v>QB</v>
      </c>
      <c r="C197">
        <f>INDEX('Draft Engine'!$F$3:$F$225,$P197)</f>
        <v>32</v>
      </c>
      <c r="D197" t="str">
        <f>INDEX('Draft Engine'!$B$3:$B$225,$P197)</f>
        <v>Deshaun Watson</v>
      </c>
      <c r="E197" s="4">
        <f>INDEX('Draft Engine'!$E$3:$E$225,$P197)</f>
        <v>60.25</v>
      </c>
      <c r="F197" t="str">
        <f t="shared" si="3"/>
        <v>TIER 7</v>
      </c>
      <c r="G197" s="4">
        <f>INDEX('Draft Engine'!$G$3:$G$225,$P197)</f>
        <v>241.1</v>
      </c>
      <c r="H197" s="4">
        <f>INDEX('Draft Engine'!$J$3:$J$225,$P197)</f>
        <v>-110</v>
      </c>
      <c r="I197" s="4">
        <f>INDEX('Draft Engine'!$N$3:$N$225,$P197)</f>
        <v>30.137500000000003</v>
      </c>
      <c r="J197" s="4">
        <f>INDEX('Draft Engine'!$R$3:$R$225,$P197)</f>
        <v>270</v>
      </c>
      <c r="K197" s="4">
        <f>INDEX('Draft Engine'!$S$3:$S$225,$P197)</f>
        <v>75</v>
      </c>
      <c r="L197" t="str">
        <f>INDEX('Draft Engine'!$T$3:$T$225,$P197)</f>
        <v>C</v>
      </c>
      <c r="M197" t="str">
        <f>INDEX('Draft Engine'!$X$3:$X$225,$P197)</f>
        <v>HISTORY FALLBACK</v>
      </c>
      <c r="N197" t="str">
        <f>INDEX('LIVE SOURCE'!$H$3:$H$225,$P197)</f>
        <v>Deep QB2; waiver-level in a normal 10-team format.</v>
      </c>
      <c r="O197" t="str">
        <f>INDEX('LIVE SOURCE'!$J$3:$J$225,$P197)</f>
        <v>Evidence is thinner than for established veterans, so camp, depth-chart and role news can move the grade materially.</v>
      </c>
      <c r="P197" s="6">
        <f>MATCH($A197,'Draft Engine'!$Q$3:$Q$225,0)</f>
        <v>32</v>
      </c>
    </row>
    <row r="198" spans="1:16" x14ac:dyDescent="0.25">
      <c r="A198">
        <f>196</f>
        <v>196</v>
      </c>
      <c r="B198" t="str">
        <f>INDEX('Draft Engine'!$A$3:$A$225,$P198)</f>
        <v>WR</v>
      </c>
      <c r="C198">
        <f>INDEX('Draft Engine'!$F$3:$F$225,$P198)</f>
        <v>67</v>
      </c>
      <c r="D198" t="str">
        <f>INDEX('Draft Engine'!$B$3:$B$225,$P198)</f>
        <v>Ryan Flournoy</v>
      </c>
      <c r="E198" s="4">
        <f>INDEX('Draft Engine'!$E$3:$E$225,$P198)</f>
        <v>54.11</v>
      </c>
      <c r="F198" t="str">
        <f t="shared" si="3"/>
        <v>TIER 7</v>
      </c>
      <c r="G198" s="4">
        <f>INDEX('Draft Engine'!$G$3:$G$225,$P198)</f>
        <v>157.30000000000001</v>
      </c>
      <c r="H198" s="4">
        <f>INDEX('Draft Engine'!$J$3:$J$225,$P198)</f>
        <v>-82</v>
      </c>
      <c r="I198" s="4">
        <f>INDEX('Draft Engine'!$N$3:$N$225,$P198)</f>
        <v>30.000500000000002</v>
      </c>
      <c r="J198" s="4">
        <f>INDEX('Draft Engine'!$R$3:$R$225,$P198)</f>
        <v>264.3</v>
      </c>
      <c r="K198" s="4">
        <f>INDEX('Draft Engine'!$S$3:$S$225,$P198)</f>
        <v>68.300000000000011</v>
      </c>
      <c r="L198" t="str">
        <f>INDEX('Draft Engine'!$T$3:$T$225,$P198)</f>
        <v>C</v>
      </c>
      <c r="M198" t="str">
        <f>INDEX('Draft Engine'!$X$3:$X$225,$P198)</f>
        <v>HISTORY FALLBACK</v>
      </c>
      <c r="N198" t="str">
        <f>INDEX('LIVE SOURCE'!$H$3:$H$225,$P198)</f>
        <v>Late-round bench upside; role growth is required for weekly relevance.</v>
      </c>
      <c r="O198" t="str">
        <f>INDEX('LIVE SOURCE'!$J$3:$J$225,$P198)</f>
        <v>Target competition, quarterback efficiency and touchdown regression are the main downside paths.</v>
      </c>
      <c r="P198" s="6">
        <f>MATCH($A198,'Draft Engine'!$Q$3:$Q$225,0)</f>
        <v>150</v>
      </c>
    </row>
    <row r="199" spans="1:16" x14ac:dyDescent="0.25">
      <c r="A199">
        <f>197</f>
        <v>197</v>
      </c>
      <c r="B199" t="str">
        <f>INDEX('Draft Engine'!$A$3:$A$225,$P199)</f>
        <v>WR</v>
      </c>
      <c r="C199">
        <f>INDEX('Draft Engine'!$F$3:$F$225,$P199)</f>
        <v>68</v>
      </c>
      <c r="D199" t="str">
        <f>INDEX('Draft Engine'!$B$3:$B$225,$P199)</f>
        <v>Jauan Jennings</v>
      </c>
      <c r="E199" s="4">
        <f>INDEX('Draft Engine'!$E$3:$E$225,$P199)</f>
        <v>53.44</v>
      </c>
      <c r="F199" t="str">
        <f t="shared" si="3"/>
        <v>TIER 7</v>
      </c>
      <c r="G199" s="4">
        <f>INDEX('Draft Engine'!$G$3:$G$225,$P199)</f>
        <v>154.4</v>
      </c>
      <c r="H199" s="4">
        <f>INDEX('Draft Engine'!$J$3:$J$225,$P199)</f>
        <v>-84.9</v>
      </c>
      <c r="I199" s="4">
        <f>INDEX('Draft Engine'!$N$3:$N$225,$P199)</f>
        <v>29.391999999999999</v>
      </c>
      <c r="J199" s="4">
        <f>INDEX('Draft Engine'!$R$3:$R$225,$P199)</f>
        <v>268.2</v>
      </c>
      <c r="K199" s="4">
        <f>INDEX('Draft Engine'!$S$3:$S$225,$P199)</f>
        <v>71.199999999999989</v>
      </c>
      <c r="L199" t="str">
        <f>INDEX('Draft Engine'!$T$3:$T$225,$P199)</f>
        <v>C</v>
      </c>
      <c r="M199" t="str">
        <f>INDEX('Draft Engine'!$X$3:$X$225,$P199)</f>
        <v>HISTORY FALLBACK</v>
      </c>
      <c r="N199" t="str">
        <f>INDEX('LIVE SOURCE'!$H$3:$H$225,$P199)</f>
        <v>Late-round bench upside; role growth is required for weekly relevance.</v>
      </c>
      <c r="O199" t="str">
        <f>INDEX('LIVE SOURCE'!$J$3:$J$225,$P199)</f>
        <v>Target competition, quarterback efficiency and touchdown regression are the main downside paths.</v>
      </c>
      <c r="P199" s="6">
        <f>MATCH($A199,'Draft Engine'!$Q$3:$Q$225,0)</f>
        <v>151</v>
      </c>
    </row>
    <row r="200" spans="1:16" x14ac:dyDescent="0.25">
      <c r="A200">
        <f>198</f>
        <v>198</v>
      </c>
      <c r="B200" t="str">
        <f>INDEX('Draft Engine'!$A$3:$A$225,$P200)</f>
        <v>WR</v>
      </c>
      <c r="C200">
        <f>INDEX('Draft Engine'!$F$3:$F$225,$P200)</f>
        <v>69</v>
      </c>
      <c r="D200" t="str">
        <f>INDEX('Draft Engine'!$B$3:$B$225,$P200)</f>
        <v>Darnell Mooney</v>
      </c>
      <c r="E200" s="4">
        <f>INDEX('Draft Engine'!$E$3:$E$225,$P200)</f>
        <v>52.77</v>
      </c>
      <c r="F200" t="str">
        <f t="shared" si="3"/>
        <v>TIER 7</v>
      </c>
      <c r="G200" s="4">
        <f>INDEX('Draft Engine'!$G$3:$G$225,$P200)</f>
        <v>151.6</v>
      </c>
      <c r="H200" s="4">
        <f>INDEX('Draft Engine'!$J$3:$J$225,$P200)</f>
        <v>-87.7</v>
      </c>
      <c r="I200" s="4">
        <f>INDEX('Draft Engine'!$N$3:$N$225,$P200)</f>
        <v>29.023500000000006</v>
      </c>
      <c r="J200" s="4">
        <f>INDEX('Draft Engine'!$R$3:$R$225,$P200)</f>
        <v>272.10000000000002</v>
      </c>
      <c r="K200" s="4">
        <f>INDEX('Draft Engine'!$S$3:$S$225,$P200)</f>
        <v>74.100000000000023</v>
      </c>
      <c r="L200" t="str">
        <f>INDEX('Draft Engine'!$T$3:$T$225,$P200)</f>
        <v>C</v>
      </c>
      <c r="M200" t="str">
        <f>INDEX('Draft Engine'!$X$3:$X$225,$P200)</f>
        <v>HISTORY FALLBACK</v>
      </c>
      <c r="N200" t="str">
        <f>INDEX('LIVE SOURCE'!$H$3:$H$225,$P200)</f>
        <v>Late-round bench upside; role growth is required for weekly relevance.</v>
      </c>
      <c r="O200" t="str">
        <f>INDEX('LIVE SOURCE'!$J$3:$J$225,$P200)</f>
        <v>Evidence is thinner than for established veterans, so camp, depth-chart and role news can move the grade materially.</v>
      </c>
      <c r="P200" s="6">
        <f>MATCH($A200,'Draft Engine'!$Q$3:$Q$225,0)</f>
        <v>152</v>
      </c>
    </row>
    <row r="201" spans="1:16" x14ac:dyDescent="0.25">
      <c r="A201">
        <f>199</f>
        <v>199</v>
      </c>
      <c r="B201" t="str">
        <f>INDEX('Draft Engine'!$A$3:$A$225,$P201)</f>
        <v>WR</v>
      </c>
      <c r="C201">
        <f>INDEX('Draft Engine'!$F$3:$F$225,$P201)</f>
        <v>70</v>
      </c>
      <c r="D201" t="str">
        <f>INDEX('Draft Engine'!$B$3:$B$225,$P201)</f>
        <v>Ricky Pearsall</v>
      </c>
      <c r="E201" s="4">
        <f>INDEX('Draft Engine'!$E$3:$E$225,$P201)</f>
        <v>40</v>
      </c>
      <c r="F201" t="str">
        <f t="shared" si="3"/>
        <v>TIER 7</v>
      </c>
      <c r="G201" s="4">
        <f>INDEX('Draft Engine'!$G$3:$G$225,$P201)</f>
        <v>98</v>
      </c>
      <c r="H201" s="4">
        <f>INDEX('Draft Engine'!$J$3:$J$225,$P201)</f>
        <v>-141.30000000000001</v>
      </c>
      <c r="I201" s="4">
        <f>INDEX('Draft Engine'!$N$3:$N$225,$P201)</f>
        <v>22</v>
      </c>
      <c r="J201" s="4">
        <f>INDEX('Draft Engine'!$R$3:$R$225,$P201)</f>
        <v>174.6</v>
      </c>
      <c r="K201" s="4">
        <f>INDEX('Draft Engine'!$S$3:$S$225,$P201)</f>
        <v>-24.400000000000006</v>
      </c>
      <c r="L201" t="str">
        <f>INDEX('Draft Engine'!$T$3:$T$225,$P201)</f>
        <v>C</v>
      </c>
      <c r="M201" t="str">
        <f>INDEX('Draft Engine'!$X$3:$X$225,$P201)</f>
        <v>HISTORY FALLBACK</v>
      </c>
      <c r="N201" t="str">
        <f>INDEX('LIVE SOURCE'!$H$3:$H$225,$P201)</f>
        <v>FLEX/bench receiver; needs target growth or efficiency spikes.</v>
      </c>
      <c r="O201" t="str">
        <f>INDEX('LIVE SOURCE'!$J$3:$J$225,$P201)</f>
        <v>Evidence is thinner than for established veterans, so camp, depth-chart and role news can move the grade materially.</v>
      </c>
      <c r="P201" s="6">
        <f>MATCH($A201,'Draft Engine'!$Q$3:$Q$225,0)</f>
        <v>127</v>
      </c>
    </row>
    <row r="202" spans="1:16" x14ac:dyDescent="0.25">
      <c r="A202">
        <f>200</f>
        <v>200</v>
      </c>
      <c r="B202" t="str">
        <f>INDEX('Draft Engine'!$A$3:$A$225,$P202)</f>
        <v>DST</v>
      </c>
      <c r="C202">
        <f>INDEX('Draft Engine'!$F$3:$F$225,$P202)</f>
        <v>11</v>
      </c>
      <c r="D202" t="str">
        <f>INDEX('Draft Engine'!$B$3:$B$225,$P202)</f>
        <v>Baltimore Ravens</v>
      </c>
      <c r="E202" s="4">
        <f>INDEX('Draft Engine'!$E$3:$E$225,$P202)</f>
        <v>82</v>
      </c>
      <c r="F202" t="str">
        <f t="shared" si="3"/>
        <v>TIER 3</v>
      </c>
      <c r="G202" s="4">
        <f>INDEX('Draft Engine'!$G$3:$G$225,$P202)</f>
        <v>97.6</v>
      </c>
      <c r="H202" s="4">
        <f>INDEX('Draft Engine'!$J$3:$J$225,$P202)</f>
        <v>-2</v>
      </c>
      <c r="I202" s="4">
        <f>INDEX('Draft Engine'!$N$3:$N$225,$P202)</f>
        <v>42.24</v>
      </c>
      <c r="J202" s="4">
        <f>INDEX('Draft Engine'!$R$3:$R$225,$P202)</f>
        <v>200</v>
      </c>
      <c r="K202" s="4">
        <f>INDEX('Draft Engine'!$S$3:$S$225,$P202)</f>
        <v>0</v>
      </c>
      <c r="L202" t="str">
        <f>INDEX('Draft Engine'!$T$3:$T$225,$P202)</f>
        <v>B</v>
      </c>
      <c r="M202" t="str">
        <f>INDEX('Draft Engine'!$X$3:$X$225,$P202)</f>
        <v>DST MODEL</v>
      </c>
      <c r="N202" t="str">
        <f>INDEX('LIVE SOURCE'!$H$3:$H$225,$P202)</f>
        <v>Streaming/late-round defense; matchup matters more than preseason rank.</v>
      </c>
      <c r="O202" t="str">
        <f>INDEX('LIVE SOURCE'!$J$3:$J$225,$P202)</f>
        <v>DST scoring is highly opponent- and turnover-dependent, making season-long rank fragile.</v>
      </c>
      <c r="P202" s="6">
        <f>MATCH($A202,'Draft Engine'!$Q$3:$Q$225,0)</f>
        <v>202</v>
      </c>
    </row>
    <row r="203" spans="1:16" x14ac:dyDescent="0.25">
      <c r="A203">
        <f>201</f>
        <v>201</v>
      </c>
      <c r="B203" t="str">
        <f>INDEX('Draft Engine'!$A$3:$A$225,$P203)</f>
        <v>DST</v>
      </c>
      <c r="C203">
        <f>INDEX('Draft Engine'!$F$3:$F$225,$P203)</f>
        <v>12</v>
      </c>
      <c r="D203" t="str">
        <f>INDEX('Draft Engine'!$B$3:$B$225,$P203)</f>
        <v>Green Bay Packers</v>
      </c>
      <c r="E203" s="4">
        <f>INDEX('Draft Engine'!$E$3:$E$225,$P203)</f>
        <v>80.900000000000006</v>
      </c>
      <c r="F203" t="str">
        <f t="shared" si="3"/>
        <v>TIER 3</v>
      </c>
      <c r="G203" s="4">
        <f>INDEX('Draft Engine'!$G$3:$G$225,$P203)</f>
        <v>95.6</v>
      </c>
      <c r="H203" s="4">
        <f>INDEX('Draft Engine'!$J$3:$J$225,$P203)</f>
        <v>-4</v>
      </c>
      <c r="I203" s="4">
        <f>INDEX('Draft Engine'!$N$3:$N$225,$P203)</f>
        <v>40.775000000000006</v>
      </c>
      <c r="J203" s="4">
        <f>INDEX('Draft Engine'!$R$3:$R$225,$P203)</f>
        <v>204</v>
      </c>
      <c r="K203" s="4">
        <f>INDEX('Draft Engine'!$S$3:$S$225,$P203)</f>
        <v>3</v>
      </c>
      <c r="L203" t="str">
        <f>INDEX('Draft Engine'!$T$3:$T$225,$P203)</f>
        <v>B</v>
      </c>
      <c r="M203" t="str">
        <f>INDEX('Draft Engine'!$X$3:$X$225,$P203)</f>
        <v>DST MODEL</v>
      </c>
      <c r="N203" t="str">
        <f>INDEX('LIVE SOURCE'!$H$3:$H$225,$P203)</f>
        <v>Streaming/late-round defense; matchup matters more than preseason rank.</v>
      </c>
      <c r="O203" t="str">
        <f>INDEX('LIVE SOURCE'!$J$3:$J$225,$P203)</f>
        <v>DST scoring is highly opponent- and turnover-dependent, making season-long rank fragile.</v>
      </c>
      <c r="P203" s="6">
        <f>MATCH($A203,'Draft Engine'!$Q$3:$Q$225,0)</f>
        <v>203</v>
      </c>
    </row>
    <row r="204" spans="1:16" x14ac:dyDescent="0.25">
      <c r="A204">
        <f>202</f>
        <v>202</v>
      </c>
      <c r="B204" t="str">
        <f>INDEX('Draft Engine'!$A$3:$A$225,$P204)</f>
        <v>DST</v>
      </c>
      <c r="C204">
        <f>INDEX('Draft Engine'!$F$3:$F$225,$P204)</f>
        <v>13</v>
      </c>
      <c r="D204" t="str">
        <f>INDEX('Draft Engine'!$B$3:$B$225,$P204)</f>
        <v>Detroit Lions</v>
      </c>
      <c r="E204" s="4">
        <f>INDEX('Draft Engine'!$E$3:$E$225,$P204)</f>
        <v>79.8</v>
      </c>
      <c r="F204" t="str">
        <f t="shared" si="3"/>
        <v>TIER 4</v>
      </c>
      <c r="G204" s="4">
        <f>INDEX('Draft Engine'!$G$3:$G$225,$P204)</f>
        <v>93.6</v>
      </c>
      <c r="H204" s="4">
        <f>INDEX('Draft Engine'!$J$3:$J$225,$P204)</f>
        <v>-6</v>
      </c>
      <c r="I204" s="4">
        <f>INDEX('Draft Engine'!$N$3:$N$225,$P204)</f>
        <v>39.31</v>
      </c>
      <c r="J204" s="4">
        <f>INDEX('Draft Engine'!$R$3:$R$225,$P204)</f>
        <v>208</v>
      </c>
      <c r="K204" s="4">
        <f>INDEX('Draft Engine'!$S$3:$S$225,$P204)</f>
        <v>6</v>
      </c>
      <c r="L204" t="str">
        <f>INDEX('Draft Engine'!$T$3:$T$225,$P204)</f>
        <v>B</v>
      </c>
      <c r="M204" t="str">
        <f>INDEX('Draft Engine'!$X$3:$X$225,$P204)</f>
        <v>DST MODEL</v>
      </c>
      <c r="N204" t="str">
        <f>INDEX('LIVE SOURCE'!$H$3:$H$225,$P204)</f>
        <v>Streaming/late-round defense; matchup matters more than preseason rank.</v>
      </c>
      <c r="O204" t="str">
        <f>INDEX('LIVE SOURCE'!$J$3:$J$225,$P204)</f>
        <v>DST scoring is highly opponent- and turnover-dependent, making season-long rank fragile.</v>
      </c>
      <c r="P204" s="6">
        <f>MATCH($A204,'Draft Engine'!$Q$3:$Q$225,0)</f>
        <v>204</v>
      </c>
    </row>
    <row r="205" spans="1:16" x14ac:dyDescent="0.25">
      <c r="A205">
        <f>203</f>
        <v>203</v>
      </c>
      <c r="B205" t="str">
        <f>INDEX('Draft Engine'!$A$3:$A$225,$P205)</f>
        <v>DST</v>
      </c>
      <c r="C205">
        <f>INDEX('Draft Engine'!$F$3:$F$225,$P205)</f>
        <v>14</v>
      </c>
      <c r="D205" t="str">
        <f>INDEX('Draft Engine'!$B$3:$B$225,$P205)</f>
        <v>Buffalo Bills</v>
      </c>
      <c r="E205" s="4">
        <f>INDEX('Draft Engine'!$E$3:$E$225,$P205)</f>
        <v>78.7</v>
      </c>
      <c r="F205" t="str">
        <f t="shared" si="3"/>
        <v>TIER 4</v>
      </c>
      <c r="G205" s="4">
        <f>INDEX('Draft Engine'!$G$3:$G$225,$P205)</f>
        <v>91.7</v>
      </c>
      <c r="H205" s="4">
        <f>INDEX('Draft Engine'!$J$3:$J$225,$P205)</f>
        <v>-7.9</v>
      </c>
      <c r="I205" s="4">
        <f>INDEX('Draft Engine'!$N$3:$N$225,$P205)</f>
        <v>37.863</v>
      </c>
      <c r="J205" s="4">
        <f>INDEX('Draft Engine'!$R$3:$R$225,$P205)</f>
        <v>212</v>
      </c>
      <c r="K205" s="4">
        <f>INDEX('Draft Engine'!$S$3:$S$225,$P205)</f>
        <v>9</v>
      </c>
      <c r="L205" t="str">
        <f>INDEX('Draft Engine'!$T$3:$T$225,$P205)</f>
        <v>B</v>
      </c>
      <c r="M205" t="str">
        <f>INDEX('Draft Engine'!$X$3:$X$225,$P205)</f>
        <v>DST MODEL</v>
      </c>
      <c r="N205" t="str">
        <f>INDEX('LIVE SOURCE'!$H$3:$H$225,$P205)</f>
        <v>Streaming/late-round defense; matchup matters more than preseason rank.</v>
      </c>
      <c r="O205" t="str">
        <f>INDEX('LIVE SOURCE'!$J$3:$J$225,$P205)</f>
        <v>DST scoring is highly opponent- and turnover-dependent, making season-long rank fragile.</v>
      </c>
      <c r="P205" s="6">
        <f>MATCH($A205,'Draft Engine'!$Q$3:$Q$225,0)</f>
        <v>205</v>
      </c>
    </row>
    <row r="206" spans="1:16" x14ac:dyDescent="0.25">
      <c r="A206">
        <f>204</f>
        <v>204</v>
      </c>
      <c r="B206" t="str">
        <f>INDEX('Draft Engine'!$A$3:$A$225,$P206)</f>
        <v>DST</v>
      </c>
      <c r="C206">
        <f>INDEX('Draft Engine'!$F$3:$F$225,$P206)</f>
        <v>15</v>
      </c>
      <c r="D206" t="str">
        <f>INDEX('Draft Engine'!$B$3:$B$225,$P206)</f>
        <v>Kansas City Chiefs</v>
      </c>
      <c r="E206" s="4">
        <f>INDEX('Draft Engine'!$E$3:$E$225,$P206)</f>
        <v>77.599999999999994</v>
      </c>
      <c r="F206" t="str">
        <f t="shared" si="3"/>
        <v>TIER 4</v>
      </c>
      <c r="G206" s="4">
        <f>INDEX('Draft Engine'!$G$3:$G$225,$P206)</f>
        <v>89.7</v>
      </c>
      <c r="H206" s="4">
        <f>INDEX('Draft Engine'!$J$3:$J$225,$P206)</f>
        <v>-9.9</v>
      </c>
      <c r="I206" s="4">
        <f>INDEX('Draft Engine'!$N$3:$N$225,$P206)</f>
        <v>36.397999999999996</v>
      </c>
      <c r="J206" s="4">
        <f>INDEX('Draft Engine'!$R$3:$R$225,$P206)</f>
        <v>216</v>
      </c>
      <c r="K206" s="4">
        <f>INDEX('Draft Engine'!$S$3:$S$225,$P206)</f>
        <v>12</v>
      </c>
      <c r="L206" t="str">
        <f>INDEX('Draft Engine'!$T$3:$T$225,$P206)</f>
        <v>B</v>
      </c>
      <c r="M206" t="str">
        <f>INDEX('Draft Engine'!$X$3:$X$225,$P206)</f>
        <v>DST MODEL</v>
      </c>
      <c r="N206" t="str">
        <f>INDEX('LIVE SOURCE'!$H$3:$H$225,$P206)</f>
        <v>Streaming/late-round defense; matchup matters more than preseason rank.</v>
      </c>
      <c r="O206" t="str">
        <f>INDEX('LIVE SOURCE'!$J$3:$J$225,$P206)</f>
        <v>DST scoring is highly opponent- and turnover-dependent, making season-long rank fragile.</v>
      </c>
      <c r="P206" s="6">
        <f>MATCH($A206,'Draft Engine'!$Q$3:$Q$225,0)</f>
        <v>206</v>
      </c>
    </row>
    <row r="207" spans="1:16" x14ac:dyDescent="0.25">
      <c r="A207">
        <f>205</f>
        <v>205</v>
      </c>
      <c r="B207" t="str">
        <f>INDEX('Draft Engine'!$A$3:$A$225,$P207)</f>
        <v>DST</v>
      </c>
      <c r="C207">
        <f>INDEX('Draft Engine'!$F$3:$F$225,$P207)</f>
        <v>16</v>
      </c>
      <c r="D207" t="str">
        <f>INDEX('Draft Engine'!$B$3:$B$225,$P207)</f>
        <v>Cleveland Browns</v>
      </c>
      <c r="E207" s="4">
        <f>INDEX('Draft Engine'!$E$3:$E$225,$P207)</f>
        <v>76.5</v>
      </c>
      <c r="F207" t="str">
        <f t="shared" si="3"/>
        <v>TIER 4</v>
      </c>
      <c r="G207" s="4">
        <f>INDEX('Draft Engine'!$G$3:$G$225,$P207)</f>
        <v>87.7</v>
      </c>
      <c r="H207" s="4">
        <f>INDEX('Draft Engine'!$J$3:$J$225,$P207)</f>
        <v>-11.9</v>
      </c>
      <c r="I207" s="4">
        <f>INDEX('Draft Engine'!$N$3:$N$225,$P207)</f>
        <v>34.933</v>
      </c>
      <c r="J207" s="4">
        <f>INDEX('Draft Engine'!$R$3:$R$225,$P207)</f>
        <v>220</v>
      </c>
      <c r="K207" s="4">
        <f>INDEX('Draft Engine'!$S$3:$S$225,$P207)</f>
        <v>15</v>
      </c>
      <c r="L207" t="str">
        <f>INDEX('Draft Engine'!$T$3:$T$225,$P207)</f>
        <v>B</v>
      </c>
      <c r="M207" t="str">
        <f>INDEX('Draft Engine'!$X$3:$X$225,$P207)</f>
        <v>DST MODEL</v>
      </c>
      <c r="N207" t="str">
        <f>INDEX('LIVE SOURCE'!$H$3:$H$225,$P207)</f>
        <v>Streaming/late-round defense; matchup matters more than preseason rank.</v>
      </c>
      <c r="O207" t="str">
        <f>INDEX('LIVE SOURCE'!$J$3:$J$225,$P207)</f>
        <v>DST scoring is highly opponent- and turnover-dependent, making season-long rank fragile.</v>
      </c>
      <c r="P207" s="6">
        <f>MATCH($A207,'Draft Engine'!$Q$3:$Q$225,0)</f>
        <v>207</v>
      </c>
    </row>
    <row r="208" spans="1:16" x14ac:dyDescent="0.25">
      <c r="A208">
        <f>206</f>
        <v>206</v>
      </c>
      <c r="B208" t="str">
        <f>INDEX('Draft Engine'!$A$3:$A$225,$P208)</f>
        <v>DST</v>
      </c>
      <c r="C208">
        <f>INDEX('Draft Engine'!$F$3:$F$225,$P208)</f>
        <v>17</v>
      </c>
      <c r="D208" t="str">
        <f>INDEX('Draft Engine'!$B$3:$B$225,$P208)</f>
        <v>San Francisco 49ers</v>
      </c>
      <c r="E208" s="4">
        <f>INDEX('Draft Engine'!$E$3:$E$225,$P208)</f>
        <v>75.400000000000006</v>
      </c>
      <c r="F208" t="str">
        <f t="shared" si="3"/>
        <v>TIER 4</v>
      </c>
      <c r="G208" s="4">
        <f>INDEX('Draft Engine'!$G$3:$G$225,$P208)</f>
        <v>85.7</v>
      </c>
      <c r="H208" s="4">
        <f>INDEX('Draft Engine'!$J$3:$J$225,$P208)</f>
        <v>-13.9</v>
      </c>
      <c r="I208" s="4">
        <f>INDEX('Draft Engine'!$N$3:$N$225,$P208)</f>
        <v>33.968000000000004</v>
      </c>
      <c r="J208" s="4">
        <f>INDEX('Draft Engine'!$R$3:$R$225,$P208)</f>
        <v>224</v>
      </c>
      <c r="K208" s="4">
        <f>INDEX('Draft Engine'!$S$3:$S$225,$P208)</f>
        <v>18</v>
      </c>
      <c r="L208" t="str">
        <f>INDEX('Draft Engine'!$T$3:$T$225,$P208)</f>
        <v>B</v>
      </c>
      <c r="M208" t="str">
        <f>INDEX('Draft Engine'!$X$3:$X$225,$P208)</f>
        <v>DST MODEL</v>
      </c>
      <c r="N208" t="str">
        <f>INDEX('LIVE SOURCE'!$H$3:$H$225,$P208)</f>
        <v>Streaming/late-round defense; matchup matters more than preseason rank.</v>
      </c>
      <c r="O208" t="str">
        <f>INDEX('LIVE SOURCE'!$J$3:$J$225,$P208)</f>
        <v>DST scoring is highly opponent- and turnover-dependent, making season-long rank fragile.</v>
      </c>
      <c r="P208" s="6">
        <f>MATCH($A208,'Draft Engine'!$Q$3:$Q$225,0)</f>
        <v>208</v>
      </c>
    </row>
    <row r="209" spans="1:16" x14ac:dyDescent="0.25">
      <c r="A209">
        <f>207</f>
        <v>207</v>
      </c>
      <c r="B209" t="str">
        <f>INDEX('Draft Engine'!$A$3:$A$225,$P209)</f>
        <v>DST</v>
      </c>
      <c r="C209">
        <f>INDEX('Draft Engine'!$F$3:$F$225,$P209)</f>
        <v>18</v>
      </c>
      <c r="D209" t="str">
        <f>INDEX('Draft Engine'!$B$3:$B$225,$P209)</f>
        <v>New Orleans Saints</v>
      </c>
      <c r="E209" s="4">
        <f>INDEX('Draft Engine'!$E$3:$E$225,$P209)</f>
        <v>74.3</v>
      </c>
      <c r="F209" t="str">
        <f t="shared" si="3"/>
        <v>TIER 5</v>
      </c>
      <c r="G209" s="4">
        <f>INDEX('Draft Engine'!$G$3:$G$225,$P209)</f>
        <v>83.7</v>
      </c>
      <c r="H209" s="4">
        <f>INDEX('Draft Engine'!$J$3:$J$225,$P209)</f>
        <v>-15.9</v>
      </c>
      <c r="I209" s="4">
        <f>INDEX('Draft Engine'!$N$3:$N$225,$P209)</f>
        <v>33.003</v>
      </c>
      <c r="J209" s="4">
        <f>INDEX('Draft Engine'!$R$3:$R$225,$P209)</f>
        <v>228</v>
      </c>
      <c r="K209" s="4">
        <f>INDEX('Draft Engine'!$S$3:$S$225,$P209)</f>
        <v>21</v>
      </c>
      <c r="L209" t="str">
        <f>INDEX('Draft Engine'!$T$3:$T$225,$P209)</f>
        <v>B</v>
      </c>
      <c r="M209" t="str">
        <f>INDEX('Draft Engine'!$X$3:$X$225,$P209)</f>
        <v>DST MODEL</v>
      </c>
      <c r="N209" t="str">
        <f>INDEX('LIVE SOURCE'!$H$3:$H$225,$P209)</f>
        <v>Streaming/late-round defense; matchup matters more than preseason rank.</v>
      </c>
      <c r="O209" t="str">
        <f>INDEX('LIVE SOURCE'!$J$3:$J$225,$P209)</f>
        <v>DST scoring is highly opponent- and turnover-dependent, making season-long rank fragile.</v>
      </c>
      <c r="P209" s="6">
        <f>MATCH($A209,'Draft Engine'!$Q$3:$Q$225,0)</f>
        <v>209</v>
      </c>
    </row>
    <row r="210" spans="1:16" x14ac:dyDescent="0.25">
      <c r="A210">
        <f>208</f>
        <v>208</v>
      </c>
      <c r="B210" t="str">
        <f>INDEX('Draft Engine'!$A$3:$A$225,$P210)</f>
        <v>DST</v>
      </c>
      <c r="C210">
        <f>INDEX('Draft Engine'!$F$3:$F$225,$P210)</f>
        <v>19</v>
      </c>
      <c r="D210" t="str">
        <f>INDEX('Draft Engine'!$B$3:$B$225,$P210)</f>
        <v>Atlanta Falcons</v>
      </c>
      <c r="E210" s="4">
        <f>INDEX('Draft Engine'!$E$3:$E$225,$P210)</f>
        <v>73.2</v>
      </c>
      <c r="F210" t="str">
        <f t="shared" si="3"/>
        <v>TIER 5</v>
      </c>
      <c r="G210" s="4">
        <f>INDEX('Draft Engine'!$G$3:$G$225,$P210)</f>
        <v>81.8</v>
      </c>
      <c r="H210" s="4">
        <f>INDEX('Draft Engine'!$J$3:$J$225,$P210)</f>
        <v>-17.8</v>
      </c>
      <c r="I210" s="4">
        <f>INDEX('Draft Engine'!$N$3:$N$225,$P210)</f>
        <v>32.056000000000004</v>
      </c>
      <c r="J210" s="4">
        <f>INDEX('Draft Engine'!$R$3:$R$225,$P210)</f>
        <v>232</v>
      </c>
      <c r="K210" s="4">
        <f>INDEX('Draft Engine'!$S$3:$S$225,$P210)</f>
        <v>24</v>
      </c>
      <c r="L210" t="str">
        <f>INDEX('Draft Engine'!$T$3:$T$225,$P210)</f>
        <v>B</v>
      </c>
      <c r="M210" t="str">
        <f>INDEX('Draft Engine'!$X$3:$X$225,$P210)</f>
        <v>DST MODEL</v>
      </c>
      <c r="N210" t="str">
        <f>INDEX('LIVE SOURCE'!$H$3:$H$225,$P210)</f>
        <v>Streaming/late-round defense; matchup matters more than preseason rank.</v>
      </c>
      <c r="O210" t="str">
        <f>INDEX('LIVE SOURCE'!$J$3:$J$225,$P210)</f>
        <v>DST scoring is highly opponent- and turnover-dependent, making season-long rank fragile.</v>
      </c>
      <c r="P210" s="6">
        <f>MATCH($A210,'Draft Engine'!$Q$3:$Q$225,0)</f>
        <v>210</v>
      </c>
    </row>
    <row r="211" spans="1:16" x14ac:dyDescent="0.25">
      <c r="A211">
        <f>209</f>
        <v>209</v>
      </c>
      <c r="B211" t="str">
        <f>INDEX('Draft Engine'!$A$3:$A$225,$P211)</f>
        <v>DST</v>
      </c>
      <c r="C211">
        <f>INDEX('Draft Engine'!$F$3:$F$225,$P211)</f>
        <v>20</v>
      </c>
      <c r="D211" t="str">
        <f>INDEX('Draft Engine'!$B$3:$B$225,$P211)</f>
        <v>Chicago Bears</v>
      </c>
      <c r="E211" s="4">
        <f>INDEX('Draft Engine'!$E$3:$E$225,$P211)</f>
        <v>72.099999999999994</v>
      </c>
      <c r="F211" t="str">
        <f t="shared" si="3"/>
        <v>TIER 5</v>
      </c>
      <c r="G211" s="4">
        <f>INDEX('Draft Engine'!$G$3:$G$225,$P211)</f>
        <v>79.8</v>
      </c>
      <c r="H211" s="4">
        <f>INDEX('Draft Engine'!$J$3:$J$225,$P211)</f>
        <v>-19.8</v>
      </c>
      <c r="I211" s="4">
        <f>INDEX('Draft Engine'!$N$3:$N$225,$P211)</f>
        <v>31.091000000000001</v>
      </c>
      <c r="J211" s="4">
        <f>INDEX('Draft Engine'!$R$3:$R$225,$P211)</f>
        <v>236</v>
      </c>
      <c r="K211" s="4">
        <f>INDEX('Draft Engine'!$S$3:$S$225,$P211)</f>
        <v>27</v>
      </c>
      <c r="L211" t="str">
        <f>INDEX('Draft Engine'!$T$3:$T$225,$P211)</f>
        <v>B</v>
      </c>
      <c r="M211" t="str">
        <f>INDEX('Draft Engine'!$X$3:$X$225,$P211)</f>
        <v>DST MODEL</v>
      </c>
      <c r="N211" t="str">
        <f>INDEX('LIVE SOURCE'!$H$3:$H$225,$P211)</f>
        <v>Streaming/late-round defense; matchup matters more than preseason rank.</v>
      </c>
      <c r="O211" t="str">
        <f>INDEX('LIVE SOURCE'!$J$3:$J$225,$P211)</f>
        <v>DST scoring is highly opponent- and turnover-dependent, making season-long rank fragile.</v>
      </c>
      <c r="P211" s="6">
        <f>MATCH($A211,'Draft Engine'!$Q$3:$Q$225,0)</f>
        <v>211</v>
      </c>
    </row>
    <row r="212" spans="1:16" x14ac:dyDescent="0.25">
      <c r="A212">
        <f>210</f>
        <v>210</v>
      </c>
      <c r="B212" t="str">
        <f>INDEX('Draft Engine'!$A$3:$A$225,$P212)</f>
        <v>DST</v>
      </c>
      <c r="C212">
        <f>INDEX('Draft Engine'!$F$3:$F$225,$P212)</f>
        <v>21</v>
      </c>
      <c r="D212" t="str">
        <f>INDEX('Draft Engine'!$B$3:$B$225,$P212)</f>
        <v>Indianapolis Colts</v>
      </c>
      <c r="E212" s="4">
        <f>INDEX('Draft Engine'!$E$3:$E$225,$P212)</f>
        <v>71</v>
      </c>
      <c r="F212" t="str">
        <f t="shared" si="3"/>
        <v>TIER 5</v>
      </c>
      <c r="G212" s="4">
        <f>INDEX('Draft Engine'!$G$3:$G$225,$P212)</f>
        <v>77.8</v>
      </c>
      <c r="H212" s="4">
        <f>INDEX('Draft Engine'!$J$3:$J$225,$P212)</f>
        <v>-21.8</v>
      </c>
      <c r="I212" s="4">
        <f>INDEX('Draft Engine'!$N$3:$N$225,$P212)</f>
        <v>30.126000000000005</v>
      </c>
      <c r="J212" s="4">
        <f>INDEX('Draft Engine'!$R$3:$R$225,$P212)</f>
        <v>240</v>
      </c>
      <c r="K212" s="4">
        <f>INDEX('Draft Engine'!$S$3:$S$225,$P212)</f>
        <v>30</v>
      </c>
      <c r="L212" t="str">
        <f>INDEX('Draft Engine'!$T$3:$T$225,$P212)</f>
        <v>B</v>
      </c>
      <c r="M212" t="str">
        <f>INDEX('Draft Engine'!$X$3:$X$225,$P212)</f>
        <v>DST MODEL</v>
      </c>
      <c r="N212" t="str">
        <f>INDEX('LIVE SOURCE'!$H$3:$H$225,$P212)</f>
        <v>Streaming/late-round defense; matchup matters more than preseason rank.</v>
      </c>
      <c r="O212" t="str">
        <f>INDEX('LIVE SOURCE'!$J$3:$J$225,$P212)</f>
        <v>DST scoring is highly opponent- and turnover-dependent, making season-long rank fragile.</v>
      </c>
      <c r="P212" s="6">
        <f>MATCH($A212,'Draft Engine'!$Q$3:$Q$225,0)</f>
        <v>212</v>
      </c>
    </row>
    <row r="213" spans="1:16" x14ac:dyDescent="0.25">
      <c r="A213">
        <f>211</f>
        <v>211</v>
      </c>
      <c r="B213" t="str">
        <f>INDEX('Draft Engine'!$A$3:$A$225,$P213)</f>
        <v>DST</v>
      </c>
      <c r="C213">
        <f>INDEX('Draft Engine'!$F$3:$F$225,$P213)</f>
        <v>22</v>
      </c>
      <c r="D213" t="str">
        <f>INDEX('Draft Engine'!$B$3:$B$225,$P213)</f>
        <v>New York Giants</v>
      </c>
      <c r="E213" s="4">
        <f>INDEX('Draft Engine'!$E$3:$E$225,$P213)</f>
        <v>69.900000000000006</v>
      </c>
      <c r="F213" t="str">
        <f t="shared" si="3"/>
        <v>TIER 6</v>
      </c>
      <c r="G213" s="4">
        <f>INDEX('Draft Engine'!$G$3:$G$225,$P213)</f>
        <v>75.8</v>
      </c>
      <c r="H213" s="4">
        <f>INDEX('Draft Engine'!$J$3:$J$225,$P213)</f>
        <v>-23.8</v>
      </c>
      <c r="I213" s="4">
        <f>INDEX('Draft Engine'!$N$3:$N$225,$P213)</f>
        <v>29.161000000000008</v>
      </c>
      <c r="J213" s="4">
        <f>INDEX('Draft Engine'!$R$3:$R$225,$P213)</f>
        <v>244</v>
      </c>
      <c r="K213" s="4">
        <f>INDEX('Draft Engine'!$S$3:$S$225,$P213)</f>
        <v>33</v>
      </c>
      <c r="L213" t="str">
        <f>INDEX('Draft Engine'!$T$3:$T$225,$P213)</f>
        <v>B</v>
      </c>
      <c r="M213" t="str">
        <f>INDEX('Draft Engine'!$X$3:$X$225,$P213)</f>
        <v>DST MODEL</v>
      </c>
      <c r="N213" t="str">
        <f>INDEX('LIVE SOURCE'!$H$3:$H$225,$P213)</f>
        <v>Streaming/late-round defense; matchup matters more than preseason rank.</v>
      </c>
      <c r="O213" t="str">
        <f>INDEX('LIVE SOURCE'!$J$3:$J$225,$P213)</f>
        <v>DST scoring is highly opponent- and turnover-dependent, making season-long rank fragile.</v>
      </c>
      <c r="P213" s="6">
        <f>MATCH($A213,'Draft Engine'!$Q$3:$Q$225,0)</f>
        <v>213</v>
      </c>
    </row>
    <row r="214" spans="1:16" x14ac:dyDescent="0.25">
      <c r="A214">
        <f>212</f>
        <v>212</v>
      </c>
      <c r="B214" t="str">
        <f>INDEX('Draft Engine'!$A$3:$A$225,$P214)</f>
        <v>DST</v>
      </c>
      <c r="C214">
        <f>INDEX('Draft Engine'!$F$3:$F$225,$P214)</f>
        <v>23</v>
      </c>
      <c r="D214" t="str">
        <f>INDEX('Draft Engine'!$B$3:$B$225,$P214)</f>
        <v>Tampa Bay Buccaneers</v>
      </c>
      <c r="E214" s="4">
        <f>INDEX('Draft Engine'!$E$3:$E$225,$P214)</f>
        <v>68.8</v>
      </c>
      <c r="F214" t="str">
        <f t="shared" si="3"/>
        <v>TIER 6</v>
      </c>
      <c r="G214" s="4">
        <f>INDEX('Draft Engine'!$G$3:$G$225,$P214)</f>
        <v>73.8</v>
      </c>
      <c r="H214" s="4">
        <f>INDEX('Draft Engine'!$J$3:$J$225,$P214)</f>
        <v>-25.8</v>
      </c>
      <c r="I214" s="4">
        <f>INDEX('Draft Engine'!$N$3:$N$225,$P214)</f>
        <v>28.195999999999998</v>
      </c>
      <c r="J214" s="4">
        <f>INDEX('Draft Engine'!$R$3:$R$225,$P214)</f>
        <v>248</v>
      </c>
      <c r="K214" s="4">
        <f>INDEX('Draft Engine'!$S$3:$S$225,$P214)</f>
        <v>36</v>
      </c>
      <c r="L214" t="str">
        <f>INDEX('Draft Engine'!$T$3:$T$225,$P214)</f>
        <v>B</v>
      </c>
      <c r="M214" t="str">
        <f>INDEX('Draft Engine'!$X$3:$X$225,$P214)</f>
        <v>DST MODEL</v>
      </c>
      <c r="N214" t="str">
        <f>INDEX('LIVE SOURCE'!$H$3:$H$225,$P214)</f>
        <v>Streaming/late-round defense; matchup matters more than preseason rank.</v>
      </c>
      <c r="O214" t="str">
        <f>INDEX('LIVE SOURCE'!$J$3:$J$225,$P214)</f>
        <v>DST scoring is highly opponent- and turnover-dependent, making season-long rank fragile.</v>
      </c>
      <c r="P214" s="6">
        <f>MATCH($A214,'Draft Engine'!$Q$3:$Q$225,0)</f>
        <v>214</v>
      </c>
    </row>
    <row r="215" spans="1:16" x14ac:dyDescent="0.25">
      <c r="A215">
        <f>213</f>
        <v>213</v>
      </c>
      <c r="B215" t="str">
        <f>INDEX('Draft Engine'!$A$3:$A$225,$P215)</f>
        <v>DST</v>
      </c>
      <c r="C215">
        <f>INDEX('Draft Engine'!$F$3:$F$225,$P215)</f>
        <v>24</v>
      </c>
      <c r="D215" t="str">
        <f>INDEX('Draft Engine'!$B$3:$B$225,$P215)</f>
        <v>Dallas Cowboys</v>
      </c>
      <c r="E215" s="4">
        <f>INDEX('Draft Engine'!$E$3:$E$225,$P215)</f>
        <v>67.7</v>
      </c>
      <c r="F215" t="str">
        <f t="shared" si="3"/>
        <v>TIER 6</v>
      </c>
      <c r="G215" s="4">
        <f>INDEX('Draft Engine'!$G$3:$G$225,$P215)</f>
        <v>71.900000000000006</v>
      </c>
      <c r="H215" s="4">
        <f>INDEX('Draft Engine'!$J$3:$J$225,$P215)</f>
        <v>-27.7</v>
      </c>
      <c r="I215" s="4">
        <f>INDEX('Draft Engine'!$N$3:$N$225,$P215)</f>
        <v>27.249000000000009</v>
      </c>
      <c r="J215" s="4">
        <f>INDEX('Draft Engine'!$R$3:$R$225,$P215)</f>
        <v>252</v>
      </c>
      <c r="K215" s="4">
        <f>INDEX('Draft Engine'!$S$3:$S$225,$P215)</f>
        <v>39</v>
      </c>
      <c r="L215" t="str">
        <f>INDEX('Draft Engine'!$T$3:$T$225,$P215)</f>
        <v>B</v>
      </c>
      <c r="M215" t="str">
        <f>INDEX('Draft Engine'!$X$3:$X$225,$P215)</f>
        <v>DST MODEL</v>
      </c>
      <c r="N215" t="str">
        <f>INDEX('LIVE SOURCE'!$H$3:$H$225,$P215)</f>
        <v>Streaming/late-round defense; matchup matters more than preseason rank.</v>
      </c>
      <c r="O215" t="str">
        <f>INDEX('LIVE SOURCE'!$J$3:$J$225,$P215)</f>
        <v>DST scoring is highly opponent- and turnover-dependent, making season-long rank fragile.</v>
      </c>
      <c r="P215" s="6">
        <f>MATCH($A215,'Draft Engine'!$Q$3:$Q$225,0)</f>
        <v>215</v>
      </c>
    </row>
    <row r="216" spans="1:16" x14ac:dyDescent="0.25">
      <c r="A216">
        <f>214</f>
        <v>214</v>
      </c>
      <c r="B216" t="str">
        <f>INDEX('Draft Engine'!$A$3:$A$225,$P216)</f>
        <v>DST</v>
      </c>
      <c r="C216">
        <f>INDEX('Draft Engine'!$F$3:$F$225,$P216)</f>
        <v>25</v>
      </c>
      <c r="D216" t="str">
        <f>INDEX('Draft Engine'!$B$3:$B$225,$P216)</f>
        <v>Carolina Panthers</v>
      </c>
      <c r="E216" s="4">
        <f>INDEX('Draft Engine'!$E$3:$E$225,$P216)</f>
        <v>66.599999999999994</v>
      </c>
      <c r="F216" t="str">
        <f t="shared" si="3"/>
        <v>TIER 6</v>
      </c>
      <c r="G216" s="4">
        <f>INDEX('Draft Engine'!$G$3:$G$225,$P216)</f>
        <v>69.900000000000006</v>
      </c>
      <c r="H216" s="4">
        <f>INDEX('Draft Engine'!$J$3:$J$225,$P216)</f>
        <v>-29.7</v>
      </c>
      <c r="I216" s="4">
        <f>INDEX('Draft Engine'!$N$3:$N$225,$P216)</f>
        <v>26.284000000000006</v>
      </c>
      <c r="J216" s="4">
        <f>INDEX('Draft Engine'!$R$3:$R$225,$P216)</f>
        <v>256</v>
      </c>
      <c r="K216" s="4">
        <f>INDEX('Draft Engine'!$S$3:$S$225,$P216)</f>
        <v>42</v>
      </c>
      <c r="L216" t="str">
        <f>INDEX('Draft Engine'!$T$3:$T$225,$P216)</f>
        <v>B</v>
      </c>
      <c r="M216" t="str">
        <f>INDEX('Draft Engine'!$X$3:$X$225,$P216)</f>
        <v>DST MODEL</v>
      </c>
      <c r="N216" t="str">
        <f>INDEX('LIVE SOURCE'!$H$3:$H$225,$P216)</f>
        <v>Streaming/late-round defense; matchup matters more than preseason rank.</v>
      </c>
      <c r="O216" t="str">
        <f>INDEX('LIVE SOURCE'!$J$3:$J$225,$P216)</f>
        <v>DST scoring is highly opponent- and turnover-dependent, making season-long rank fragile.</v>
      </c>
      <c r="P216" s="6">
        <f>MATCH($A216,'Draft Engine'!$Q$3:$Q$225,0)</f>
        <v>216</v>
      </c>
    </row>
    <row r="217" spans="1:16" x14ac:dyDescent="0.25">
      <c r="A217">
        <f>215</f>
        <v>215</v>
      </c>
      <c r="B217" t="str">
        <f>INDEX('Draft Engine'!$A$3:$A$225,$P217)</f>
        <v>DST</v>
      </c>
      <c r="C217">
        <f>INDEX('Draft Engine'!$F$3:$F$225,$P217)</f>
        <v>26</v>
      </c>
      <c r="D217" t="str">
        <f>INDEX('Draft Engine'!$B$3:$B$225,$P217)</f>
        <v>Tennessee Titans</v>
      </c>
      <c r="E217" s="4">
        <f>INDEX('Draft Engine'!$E$3:$E$225,$P217)</f>
        <v>65.5</v>
      </c>
      <c r="F217" t="str">
        <f t="shared" si="3"/>
        <v>TIER 6</v>
      </c>
      <c r="G217" s="4">
        <f>INDEX('Draft Engine'!$G$3:$G$225,$P217)</f>
        <v>67.900000000000006</v>
      </c>
      <c r="H217" s="4">
        <f>INDEX('Draft Engine'!$J$3:$J$225,$P217)</f>
        <v>-31.7</v>
      </c>
      <c r="I217" s="4">
        <f>INDEX('Draft Engine'!$N$3:$N$225,$P217)</f>
        <v>25.319000000000003</v>
      </c>
      <c r="J217" s="4">
        <f>INDEX('Draft Engine'!$R$3:$R$225,$P217)</f>
        <v>260</v>
      </c>
      <c r="K217" s="4">
        <f>INDEX('Draft Engine'!$S$3:$S$225,$P217)</f>
        <v>45</v>
      </c>
      <c r="L217" t="str">
        <f>INDEX('Draft Engine'!$T$3:$T$225,$P217)</f>
        <v>B</v>
      </c>
      <c r="M217" t="str">
        <f>INDEX('Draft Engine'!$X$3:$X$225,$P217)</f>
        <v>DST MODEL</v>
      </c>
      <c r="N217" t="str">
        <f>INDEX('LIVE SOURCE'!$H$3:$H$225,$P217)</f>
        <v>Streaming/late-round defense; matchup matters more than preseason rank.</v>
      </c>
      <c r="O217" t="str">
        <f>INDEX('LIVE SOURCE'!$J$3:$J$225,$P217)</f>
        <v>DST scoring is highly opponent- and turnover-dependent, making season-long rank fragile.</v>
      </c>
      <c r="P217" s="6">
        <f>MATCH($A217,'Draft Engine'!$Q$3:$Q$225,0)</f>
        <v>217</v>
      </c>
    </row>
    <row r="218" spans="1:16" x14ac:dyDescent="0.25">
      <c r="A218">
        <f>216</f>
        <v>216</v>
      </c>
      <c r="B218" t="str">
        <f>INDEX('Draft Engine'!$A$3:$A$225,$P218)</f>
        <v>DST</v>
      </c>
      <c r="C218">
        <f>INDEX('Draft Engine'!$F$3:$F$225,$P218)</f>
        <v>27</v>
      </c>
      <c r="D218" t="str">
        <f>INDEX('Draft Engine'!$B$3:$B$225,$P218)</f>
        <v>Miami Dolphins</v>
      </c>
      <c r="E218" s="4">
        <f>INDEX('Draft Engine'!$E$3:$E$225,$P218)</f>
        <v>64.400000000000006</v>
      </c>
      <c r="F218" t="str">
        <f t="shared" si="3"/>
        <v>TIER 7</v>
      </c>
      <c r="G218" s="4">
        <f>INDEX('Draft Engine'!$G$3:$G$225,$P218)</f>
        <v>65.900000000000006</v>
      </c>
      <c r="H218" s="4">
        <f>INDEX('Draft Engine'!$J$3:$J$225,$P218)</f>
        <v>-33.700000000000003</v>
      </c>
      <c r="I218" s="4">
        <f>INDEX('Draft Engine'!$N$3:$N$225,$P218)</f>
        <v>24.354000000000006</v>
      </c>
      <c r="J218" s="4">
        <f>INDEX('Draft Engine'!$R$3:$R$225,$P218)</f>
        <v>264</v>
      </c>
      <c r="K218" s="4">
        <f>INDEX('Draft Engine'!$S$3:$S$225,$P218)</f>
        <v>48</v>
      </c>
      <c r="L218" t="str">
        <f>INDEX('Draft Engine'!$T$3:$T$225,$P218)</f>
        <v>B</v>
      </c>
      <c r="M218" t="str">
        <f>INDEX('Draft Engine'!$X$3:$X$225,$P218)</f>
        <v>DST MODEL</v>
      </c>
      <c r="N218" t="str">
        <f>INDEX('LIVE SOURCE'!$H$3:$H$225,$P218)</f>
        <v>Streaming/late-round defense; matchup matters more than preseason rank.</v>
      </c>
      <c r="O218" t="str">
        <f>INDEX('LIVE SOURCE'!$J$3:$J$225,$P218)</f>
        <v>DST scoring is highly opponent- and turnover-dependent, making season-long rank fragile.</v>
      </c>
      <c r="P218" s="6">
        <f>MATCH($A218,'Draft Engine'!$Q$3:$Q$225,0)</f>
        <v>218</v>
      </c>
    </row>
    <row r="219" spans="1:16" x14ac:dyDescent="0.25">
      <c r="A219">
        <f>217</f>
        <v>217</v>
      </c>
      <c r="B219" t="str">
        <f>INDEX('Draft Engine'!$A$3:$A$225,$P219)</f>
        <v>DST</v>
      </c>
      <c r="C219">
        <f>INDEX('Draft Engine'!$F$3:$F$225,$P219)</f>
        <v>28</v>
      </c>
      <c r="D219" t="str">
        <f>INDEX('Draft Engine'!$B$3:$B$225,$P219)</f>
        <v>Washington Commanders</v>
      </c>
      <c r="E219" s="4">
        <f>INDEX('Draft Engine'!$E$3:$E$225,$P219)</f>
        <v>63.3</v>
      </c>
      <c r="F219" t="str">
        <f t="shared" si="3"/>
        <v>TIER 7</v>
      </c>
      <c r="G219" s="4">
        <f>INDEX('Draft Engine'!$G$3:$G$225,$P219)</f>
        <v>63.9</v>
      </c>
      <c r="H219" s="4">
        <f>INDEX('Draft Engine'!$J$3:$J$225,$P219)</f>
        <v>-35.700000000000003</v>
      </c>
      <c r="I219" s="4">
        <f>INDEX('Draft Engine'!$N$3:$N$225,$P219)</f>
        <v>23.388999999999996</v>
      </c>
      <c r="J219" s="4">
        <f>INDEX('Draft Engine'!$R$3:$R$225,$P219)</f>
        <v>268</v>
      </c>
      <c r="K219" s="4">
        <f>INDEX('Draft Engine'!$S$3:$S$225,$P219)</f>
        <v>51</v>
      </c>
      <c r="L219" t="str">
        <f>INDEX('Draft Engine'!$T$3:$T$225,$P219)</f>
        <v>B</v>
      </c>
      <c r="M219" t="str">
        <f>INDEX('Draft Engine'!$X$3:$X$225,$P219)</f>
        <v>DST MODEL</v>
      </c>
      <c r="N219" t="str">
        <f>INDEX('LIVE SOURCE'!$H$3:$H$225,$P219)</f>
        <v>Streaming/late-round defense; matchup matters more than preseason rank.</v>
      </c>
      <c r="O219" t="str">
        <f>INDEX('LIVE SOURCE'!$J$3:$J$225,$P219)</f>
        <v>DST scoring is highly opponent- and turnover-dependent, making season-long rank fragile.</v>
      </c>
      <c r="P219" s="6">
        <f>MATCH($A219,'Draft Engine'!$Q$3:$Q$225,0)</f>
        <v>219</v>
      </c>
    </row>
    <row r="220" spans="1:16" x14ac:dyDescent="0.25">
      <c r="A220">
        <f>218</f>
        <v>218</v>
      </c>
      <c r="B220" t="str">
        <f>INDEX('Draft Engine'!$A$3:$A$225,$P220)</f>
        <v>DST</v>
      </c>
      <c r="C220">
        <f>INDEX('Draft Engine'!$F$3:$F$225,$P220)</f>
        <v>29</v>
      </c>
      <c r="D220" t="str">
        <f>INDEX('Draft Engine'!$B$3:$B$225,$P220)</f>
        <v>New York Jets</v>
      </c>
      <c r="E220" s="4">
        <f>INDEX('Draft Engine'!$E$3:$E$225,$P220)</f>
        <v>62.2</v>
      </c>
      <c r="F220" t="str">
        <f t="shared" si="3"/>
        <v>TIER 7</v>
      </c>
      <c r="G220" s="4">
        <f>INDEX('Draft Engine'!$G$3:$G$225,$P220)</f>
        <v>62</v>
      </c>
      <c r="H220" s="4">
        <f>INDEX('Draft Engine'!$J$3:$J$225,$P220)</f>
        <v>-37.6</v>
      </c>
      <c r="I220" s="4">
        <f>INDEX('Draft Engine'!$N$3:$N$225,$P220)</f>
        <v>22.442</v>
      </c>
      <c r="J220" s="4">
        <f>INDEX('Draft Engine'!$R$3:$R$225,$P220)</f>
        <v>272</v>
      </c>
      <c r="K220" s="4">
        <f>INDEX('Draft Engine'!$S$3:$S$225,$P220)</f>
        <v>54</v>
      </c>
      <c r="L220" t="str">
        <f>INDEX('Draft Engine'!$T$3:$T$225,$P220)</f>
        <v>B</v>
      </c>
      <c r="M220" t="str">
        <f>INDEX('Draft Engine'!$X$3:$X$225,$P220)</f>
        <v>DST MODEL</v>
      </c>
      <c r="N220" t="str">
        <f>INDEX('LIVE SOURCE'!$H$3:$H$225,$P220)</f>
        <v>Streaming/late-round defense; matchup matters more than preseason rank.</v>
      </c>
      <c r="O220" t="str">
        <f>INDEX('LIVE SOURCE'!$J$3:$J$225,$P220)</f>
        <v>DST scoring is highly opponent- and turnover-dependent, making season-long rank fragile.</v>
      </c>
      <c r="P220" s="6">
        <f>MATCH($A220,'Draft Engine'!$Q$3:$Q$225,0)</f>
        <v>220</v>
      </c>
    </row>
    <row r="221" spans="1:16" x14ac:dyDescent="0.25">
      <c r="A221">
        <f>219</f>
        <v>219</v>
      </c>
      <c r="B221" t="str">
        <f>INDEX('Draft Engine'!$A$3:$A$225,$P221)</f>
        <v>DST</v>
      </c>
      <c r="C221">
        <f>INDEX('Draft Engine'!$F$3:$F$225,$P221)</f>
        <v>30</v>
      </c>
      <c r="D221" t="str">
        <f>INDEX('Draft Engine'!$B$3:$B$225,$P221)</f>
        <v>Arizona Cardinals</v>
      </c>
      <c r="E221" s="4">
        <f>INDEX('Draft Engine'!$E$3:$E$225,$P221)</f>
        <v>61.1</v>
      </c>
      <c r="F221" t="str">
        <f t="shared" si="3"/>
        <v>TIER 7</v>
      </c>
      <c r="G221" s="4">
        <f>INDEX('Draft Engine'!$G$3:$G$225,$P221)</f>
        <v>60</v>
      </c>
      <c r="H221" s="4">
        <f>INDEX('Draft Engine'!$J$3:$J$225,$P221)</f>
        <v>-39.6</v>
      </c>
      <c r="I221" s="4">
        <f>INDEX('Draft Engine'!$N$3:$N$225,$P221)</f>
        <v>21.477000000000004</v>
      </c>
      <c r="J221" s="4">
        <f>INDEX('Draft Engine'!$R$3:$R$225,$P221)</f>
        <v>276</v>
      </c>
      <c r="K221" s="4">
        <f>INDEX('Draft Engine'!$S$3:$S$225,$P221)</f>
        <v>57</v>
      </c>
      <c r="L221" t="str">
        <f>INDEX('Draft Engine'!$T$3:$T$225,$P221)</f>
        <v>B</v>
      </c>
      <c r="M221" t="str">
        <f>INDEX('Draft Engine'!$X$3:$X$225,$P221)</f>
        <v>DST MODEL</v>
      </c>
      <c r="N221" t="str">
        <f>INDEX('LIVE SOURCE'!$H$3:$H$225,$P221)</f>
        <v>Streaming/late-round defense; matchup matters more than preseason rank.</v>
      </c>
      <c r="O221" t="str">
        <f>INDEX('LIVE SOURCE'!$J$3:$J$225,$P221)</f>
        <v>DST scoring is highly opponent- and turnover-dependent, making season-long rank fragile.</v>
      </c>
      <c r="P221" s="6">
        <f>MATCH($A221,'Draft Engine'!$Q$3:$Q$225,0)</f>
        <v>221</v>
      </c>
    </row>
    <row r="222" spans="1:16" x14ac:dyDescent="0.25">
      <c r="A222">
        <f>220</f>
        <v>220</v>
      </c>
      <c r="B222" t="str">
        <f>INDEX('Draft Engine'!$A$3:$A$225,$P222)</f>
        <v>DST</v>
      </c>
      <c r="C222">
        <f>INDEX('Draft Engine'!$F$3:$F$225,$P222)</f>
        <v>31</v>
      </c>
      <c r="D222" t="str">
        <f>INDEX('Draft Engine'!$B$3:$B$225,$P222)</f>
        <v>Cincinnati Bengals</v>
      </c>
      <c r="E222" s="4">
        <f>INDEX('Draft Engine'!$E$3:$E$225,$P222)</f>
        <v>60</v>
      </c>
      <c r="F222" t="str">
        <f t="shared" si="3"/>
        <v>TIER 7</v>
      </c>
      <c r="G222" s="4">
        <f>INDEX('Draft Engine'!$G$3:$G$225,$P222)</f>
        <v>58</v>
      </c>
      <c r="H222" s="4">
        <f>INDEX('Draft Engine'!$J$3:$J$225,$P222)</f>
        <v>-41.6</v>
      </c>
      <c r="I222" s="4">
        <f>INDEX('Draft Engine'!$N$3:$N$225,$P222)</f>
        <v>20.512</v>
      </c>
      <c r="J222" s="4">
        <f>INDEX('Draft Engine'!$R$3:$R$225,$P222)</f>
        <v>280</v>
      </c>
      <c r="K222" s="4">
        <f>INDEX('Draft Engine'!$S$3:$S$225,$P222)</f>
        <v>60</v>
      </c>
      <c r="L222" t="str">
        <f>INDEX('Draft Engine'!$T$3:$T$225,$P222)</f>
        <v>B</v>
      </c>
      <c r="M222" t="str">
        <f>INDEX('Draft Engine'!$X$3:$X$225,$P222)</f>
        <v>DST MODEL</v>
      </c>
      <c r="N222" t="str">
        <f>INDEX('LIVE SOURCE'!$H$3:$H$225,$P222)</f>
        <v>Streaming/late-round defense; matchup matters more than preseason rank.</v>
      </c>
      <c r="O222" t="str">
        <f>INDEX('LIVE SOURCE'!$J$3:$J$225,$P222)</f>
        <v>DST scoring is highly opponent- and turnover-dependent, making season-long rank fragile.</v>
      </c>
      <c r="P222" s="6">
        <f>MATCH($A222,'Draft Engine'!$Q$3:$Q$225,0)</f>
        <v>222</v>
      </c>
    </row>
    <row r="223" spans="1:16" x14ac:dyDescent="0.25">
      <c r="A223">
        <f>221</f>
        <v>221</v>
      </c>
      <c r="B223" t="str">
        <f>INDEX('Draft Engine'!$A$3:$A$225,$P223)</f>
        <v>DST</v>
      </c>
      <c r="C223">
        <f>INDEX('Draft Engine'!$F$3:$F$225,$P223)</f>
        <v>32</v>
      </c>
      <c r="D223" t="str">
        <f>INDEX('Draft Engine'!$B$3:$B$225,$P223)</f>
        <v>Las Vegas Raiders</v>
      </c>
      <c r="E223" s="4">
        <f>INDEX('Draft Engine'!$E$3:$E$225,$P223)</f>
        <v>58.9</v>
      </c>
      <c r="F223" t="str">
        <f t="shared" si="3"/>
        <v>TIER 7</v>
      </c>
      <c r="G223" s="4">
        <f>INDEX('Draft Engine'!$G$3:$G$225,$P223)</f>
        <v>56</v>
      </c>
      <c r="H223" s="4">
        <f>INDEX('Draft Engine'!$J$3:$J$225,$P223)</f>
        <v>-43.6</v>
      </c>
      <c r="I223" s="4">
        <f>INDEX('Draft Engine'!$N$3:$N$225,$P223)</f>
        <v>19.547000000000004</v>
      </c>
      <c r="J223" s="4">
        <f>INDEX('Draft Engine'!$R$3:$R$225,$P223)</f>
        <v>284</v>
      </c>
      <c r="K223" s="4">
        <f>INDEX('Draft Engine'!$S$3:$S$225,$P223)</f>
        <v>63</v>
      </c>
      <c r="L223" t="str">
        <f>INDEX('Draft Engine'!$T$3:$T$225,$P223)</f>
        <v>B</v>
      </c>
      <c r="M223" t="str">
        <f>INDEX('Draft Engine'!$X$3:$X$225,$P223)</f>
        <v>DST MODEL</v>
      </c>
      <c r="N223" t="str">
        <f>INDEX('LIVE SOURCE'!$H$3:$H$225,$P223)</f>
        <v>Streaming/late-round defense; matchup matters more than preseason rank.</v>
      </c>
      <c r="O223" t="str">
        <f>INDEX('LIVE SOURCE'!$J$3:$J$225,$P223)</f>
        <v>DST scoring is highly opponent- and turnover-dependent, making season-long rank fragile.</v>
      </c>
      <c r="P223" s="6">
        <f>MATCH($A223,'Draft Engine'!$Q$3:$Q$225,0)</f>
        <v>223</v>
      </c>
    </row>
    <row r="224" spans="1:16" x14ac:dyDescent="0.25">
      <c r="A224">
        <f>222</f>
        <v>222</v>
      </c>
      <c r="B224" t="str">
        <f>INDEX('Draft Engine'!$A$3:$A$225,$P224)</f>
        <v>K</v>
      </c>
      <c r="C224">
        <f>INDEX('Draft Engine'!$F$3:$F$225,$P224)</f>
        <v>11</v>
      </c>
      <c r="D224" t="str">
        <f>INDEX('Draft Engine'!$B$3:$B$225,$P224)</f>
        <v>Andy Borregales</v>
      </c>
      <c r="E224" s="4">
        <f>INDEX('Draft Engine'!$E$3:$E$225,$P224)</f>
        <v>72</v>
      </c>
      <c r="F224" t="str">
        <f t="shared" si="3"/>
        <v>TIER 5</v>
      </c>
      <c r="G224" s="4">
        <f>INDEX('Draft Engine'!$G$3:$G$225,$P224)</f>
        <v>104</v>
      </c>
      <c r="H224" s="4">
        <f>INDEX('Draft Engine'!$J$3:$J$225,$P224)</f>
        <v>-4.4000000000000004</v>
      </c>
      <c r="I224" s="4">
        <f>INDEX('Draft Engine'!$N$3:$N$225,$P224)</f>
        <v>38.558</v>
      </c>
      <c r="J224" s="4">
        <f>INDEX('Draft Engine'!$R$3:$R$225,$P224)</f>
        <v>205</v>
      </c>
      <c r="K224" s="4">
        <f>INDEX('Draft Engine'!$S$3:$S$225,$P224)</f>
        <v>-17</v>
      </c>
      <c r="L224" t="str">
        <f>INDEX('Draft Engine'!$T$3:$T$225,$P224)</f>
        <v>B</v>
      </c>
      <c r="M224" t="str">
        <f>INDEX('Draft Engine'!$X$3:$X$225,$P224)</f>
        <v>KICKER MODEL</v>
      </c>
      <c r="N224" t="str">
        <f>INDEX('LIVE SOURCE'!$H$3:$H$225,$P224)</f>
        <v>Late-round kicker; treat as replaceable unless scoring strongly rewards distance.</v>
      </c>
      <c r="O224" t="str">
        <f>INDEX('LIVE SOURCE'!$J$3:$J$225,$P224)</f>
        <v>Kicker scoring is volatile and replaceable on waivers; do not pay meaningful draft capital.</v>
      </c>
      <c r="P224" s="6">
        <f>MATCH($A224,'Draft Engine'!$Q$3:$Q$225,0)</f>
        <v>190</v>
      </c>
    </row>
    <row r="225" spans="1:16" x14ac:dyDescent="0.25">
      <c r="A225">
        <f>223</f>
        <v>223</v>
      </c>
      <c r="B225" t="str">
        <f>INDEX('Draft Engine'!$A$3:$A$225,$P225)</f>
        <v>K</v>
      </c>
      <c r="C225">
        <f>INDEX('Draft Engine'!$F$3:$F$225,$P225)</f>
        <v>12</v>
      </c>
      <c r="D225" t="str">
        <f>INDEX('Draft Engine'!$B$3:$B$225,$P225)</f>
        <v>Evan McPherson</v>
      </c>
      <c r="E225" s="4">
        <f>INDEX('Draft Engine'!$E$3:$E$225,$P225)</f>
        <v>69.8</v>
      </c>
      <c r="F225" t="str">
        <f t="shared" si="3"/>
        <v>TIER 6</v>
      </c>
      <c r="G225" s="4">
        <f>INDEX('Draft Engine'!$G$3:$G$225,$P225)</f>
        <v>99.6</v>
      </c>
      <c r="H225" s="4">
        <f>INDEX('Draft Engine'!$J$3:$J$225,$P225)</f>
        <v>-8.8000000000000007</v>
      </c>
      <c r="I225" s="4">
        <f>INDEX('Draft Engine'!$N$3:$N$225,$P225)</f>
        <v>36.006</v>
      </c>
      <c r="J225" s="4">
        <f>INDEX('Draft Engine'!$R$3:$R$225,$P225)</f>
        <v>210</v>
      </c>
      <c r="K225" s="4">
        <f>INDEX('Draft Engine'!$S$3:$S$225,$P225)</f>
        <v>-13</v>
      </c>
      <c r="L225" t="str">
        <f>INDEX('Draft Engine'!$T$3:$T$225,$P225)</f>
        <v>B</v>
      </c>
      <c r="M225" t="str">
        <f>INDEX('Draft Engine'!$X$3:$X$225,$P225)</f>
        <v>KICKER MODEL</v>
      </c>
      <c r="N225" t="str">
        <f>INDEX('LIVE SOURCE'!$H$3:$H$225,$P225)</f>
        <v>Late-round kicker; treat as replaceable unless scoring strongly rewards distance.</v>
      </c>
      <c r="O225" t="str">
        <f>INDEX('LIVE SOURCE'!$J$3:$J$225,$P225)</f>
        <v>Kicker scoring is volatile and replaceable on waivers; do not pay meaningful draft capital.</v>
      </c>
      <c r="P225" s="6">
        <f>MATCH($A225,'Draft Engine'!$Q$3:$Q$225,0)</f>
        <v>191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O202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8" customWidth="1"/>
    <col min="2" max="2" width="6" customWidth="1"/>
    <col min="3" max="3" width="8" customWidth="1"/>
    <col min="4" max="4" width="22" customWidth="1"/>
    <col min="5" max="5" width="11" customWidth="1"/>
    <col min="6" max="7" width="10" customWidth="1"/>
    <col min="8" max="8" width="8" customWidth="1"/>
    <col min="9" max="9" width="9" customWidth="1"/>
    <col min="10" max="10" width="10" customWidth="1"/>
    <col min="11" max="11" width="9" customWidth="1"/>
    <col min="12" max="13" width="8" customWidth="1"/>
    <col min="14" max="14" width="10" customWidth="1"/>
    <col min="15" max="15" width="6" customWidth="1"/>
  </cols>
  <sheetData>
    <row r="1" spans="1:15" ht="18.75" x14ac:dyDescent="0.3">
      <c r="A1" s="1" t="s">
        <v>573</v>
      </c>
    </row>
    <row r="2" spans="1:15" ht="27.95" customHeight="1" x14ac:dyDescent="0.25">
      <c r="A2" s="3" t="s">
        <v>2</v>
      </c>
      <c r="B2" s="3" t="s">
        <v>3</v>
      </c>
      <c r="C2" s="3" t="s">
        <v>4</v>
      </c>
      <c r="D2" s="3" t="s">
        <v>64</v>
      </c>
      <c r="E2" s="3" t="s">
        <v>8</v>
      </c>
      <c r="F2" s="3" t="s">
        <v>6</v>
      </c>
      <c r="G2" s="3" t="s">
        <v>571</v>
      </c>
      <c r="H2" s="3" t="s">
        <v>572</v>
      </c>
      <c r="I2" s="3" t="s">
        <v>574</v>
      </c>
      <c r="J2" s="3" t="s">
        <v>9</v>
      </c>
      <c r="K2" s="3" t="s">
        <v>10</v>
      </c>
      <c r="L2" s="3" t="s">
        <v>575</v>
      </c>
      <c r="M2" s="3" t="s">
        <v>576</v>
      </c>
      <c r="N2" s="3" t="s">
        <v>77</v>
      </c>
      <c r="O2" s="3" t="s">
        <v>14</v>
      </c>
    </row>
    <row r="3" spans="1:15" x14ac:dyDescent="0.25">
      <c r="A3">
        <f>1</f>
        <v>1</v>
      </c>
      <c r="B3" t="str">
        <f>INDEX('Draft Engine'!$A$3:$A$225,$O3)</f>
        <v>WR</v>
      </c>
      <c r="C3">
        <f>INDEX('Draft Engine'!$F$3:$F$225,$O3)</f>
        <v>1</v>
      </c>
      <c r="D3" t="str">
        <f>INDEX('Draft Engine'!$B$3:$B$225,$O3)</f>
        <v>Puka Nacua</v>
      </c>
      <c r="E3" s="4">
        <f>INDEX('Draft Engine'!$N$3:$N$225,$O3)</f>
        <v>99.167245000000008</v>
      </c>
      <c r="F3" s="4">
        <f>INDEX('Draft Engine'!$E$3:$E$225,$O3)</f>
        <v>98.485900000000001</v>
      </c>
      <c r="G3" s="4">
        <f>INDEX('Draft Engine'!$G$3:$G$225,$O3)</f>
        <v>343.6</v>
      </c>
      <c r="H3" s="4">
        <f>INDEX('Draft Engine'!$J$3:$J$225,$O3)</f>
        <v>104.3</v>
      </c>
      <c r="I3" s="4">
        <f>INDEX('Draft Engine'!$L$3:$L$225,$O3)</f>
        <v>100</v>
      </c>
      <c r="J3" s="4">
        <f>INDEX('Draft Engine'!$R$3:$R$225,$O3)</f>
        <v>3.8</v>
      </c>
      <c r="K3" s="4">
        <f>INDEX('Draft Engine'!$S$3:$S$225,$O3)</f>
        <v>2.8</v>
      </c>
      <c r="L3" s="4">
        <f>INDEX('Draft Engine'!$U$3:$U$225,$O3)</f>
        <v>92.485900000000001</v>
      </c>
      <c r="M3" s="4">
        <f>INDEX('Draft Engine'!$W$3:$W$225,$O3)</f>
        <v>100</v>
      </c>
      <c r="N3" t="str">
        <f>INDEX('Draft Engine'!$T$3:$T$225,$O3)</f>
        <v>A</v>
      </c>
      <c r="O3" s="6">
        <f>MATCH($A3,'Draft Engine'!$Q$3:$Q$225,0)</f>
        <v>84</v>
      </c>
    </row>
    <row r="4" spans="1:15" x14ac:dyDescent="0.25">
      <c r="A4">
        <f>2</f>
        <v>2</v>
      </c>
      <c r="B4" t="str">
        <f>INDEX('Draft Engine'!$A$3:$A$225,$O4)</f>
        <v>RB</v>
      </c>
      <c r="C4">
        <f>INDEX('Draft Engine'!$F$3:$F$225,$O4)</f>
        <v>1</v>
      </c>
      <c r="D4" t="str">
        <f>INDEX('Draft Engine'!$B$3:$B$225,$O4)</f>
        <v>Bijan Robinson</v>
      </c>
      <c r="E4" s="4">
        <f>INDEX('Draft Engine'!$N$3:$N$225,$O4)</f>
        <v>98.552015000000011</v>
      </c>
      <c r="F4" s="4">
        <f>INDEX('Draft Engine'!$E$3:$E$225,$O4)</f>
        <v>97.3673</v>
      </c>
      <c r="G4" s="4">
        <f>INDEX('Draft Engine'!$G$3:$G$225,$O4)</f>
        <v>338.9</v>
      </c>
      <c r="H4" s="4">
        <f>INDEX('Draft Engine'!$J$3:$J$225,$O4)</f>
        <v>99.9</v>
      </c>
      <c r="I4" s="4">
        <f>INDEX('Draft Engine'!$L$3:$L$225,$O4)</f>
        <v>100</v>
      </c>
      <c r="J4" s="4">
        <f>INDEX('Draft Engine'!$R$3:$R$225,$O4)</f>
        <v>1.8</v>
      </c>
      <c r="K4" s="4">
        <f>INDEX('Draft Engine'!$S$3:$S$225,$O4)</f>
        <v>-0.19999999999999996</v>
      </c>
      <c r="L4" s="4">
        <f>INDEX('Draft Engine'!$U$3:$U$225,$O4)</f>
        <v>91.3673</v>
      </c>
      <c r="M4" s="4">
        <f>INDEX('Draft Engine'!$W$3:$W$225,$O4)</f>
        <v>100</v>
      </c>
      <c r="N4" t="str">
        <f>INDEX('Draft Engine'!$T$3:$T$225,$O4)</f>
        <v>A</v>
      </c>
      <c r="O4" s="6">
        <f>MATCH($A4,'Draft Engine'!$Q$3:$Q$225,0)</f>
        <v>33</v>
      </c>
    </row>
    <row r="5" spans="1:15" x14ac:dyDescent="0.25">
      <c r="A5">
        <f>3</f>
        <v>3</v>
      </c>
      <c r="B5" t="str">
        <f>INDEX('Draft Engine'!$A$3:$A$225,$O5)</f>
        <v>WR</v>
      </c>
      <c r="C5">
        <f>INDEX('Draft Engine'!$F$3:$F$225,$O5)</f>
        <v>2</v>
      </c>
      <c r="D5" t="str">
        <f>INDEX('Draft Engine'!$B$3:$B$225,$O5)</f>
        <v>Ja'Marr Chase</v>
      </c>
      <c r="E5" s="4">
        <f>INDEX('Draft Engine'!$N$3:$N$225,$O5)</f>
        <v>98.202764999999999</v>
      </c>
      <c r="F5" s="4">
        <f>INDEX('Draft Engine'!$E$3:$E$225,$O5)</f>
        <v>96.732299999999995</v>
      </c>
      <c r="G5" s="4">
        <f>INDEX('Draft Engine'!$G$3:$G$225,$O5)</f>
        <v>336.3</v>
      </c>
      <c r="H5" s="4">
        <f>INDEX('Draft Engine'!$J$3:$J$225,$O5)</f>
        <v>97</v>
      </c>
      <c r="I5" s="4">
        <f>INDEX('Draft Engine'!$L$3:$L$225,$O5)</f>
        <v>100</v>
      </c>
      <c r="J5" s="4">
        <f>INDEX('Draft Engine'!$R$3:$R$225,$O5)</f>
        <v>3.2</v>
      </c>
      <c r="K5" s="4">
        <f>INDEX('Draft Engine'!$S$3:$S$225,$O5)</f>
        <v>0.20000000000000018</v>
      </c>
      <c r="L5" s="4">
        <f>INDEX('Draft Engine'!$U$3:$U$225,$O5)</f>
        <v>90.732299999999995</v>
      </c>
      <c r="M5" s="4">
        <f>INDEX('Draft Engine'!$W$3:$W$225,$O5)</f>
        <v>100</v>
      </c>
      <c r="N5" t="str">
        <f>INDEX('Draft Engine'!$T$3:$T$225,$O5)</f>
        <v>A</v>
      </c>
      <c r="O5" s="6">
        <f>MATCH($A5,'Draft Engine'!$Q$3:$Q$225,0)</f>
        <v>83</v>
      </c>
    </row>
    <row r="6" spans="1:15" x14ac:dyDescent="0.25">
      <c r="A6">
        <f>4</f>
        <v>4</v>
      </c>
      <c r="B6" t="str">
        <f>INDEX('Draft Engine'!$A$3:$A$225,$O6)</f>
        <v>RB</v>
      </c>
      <c r="C6">
        <f>INDEX('Draft Engine'!$F$3:$F$225,$O6)</f>
        <v>2</v>
      </c>
      <c r="D6" t="str">
        <f>INDEX('Draft Engine'!$B$3:$B$225,$O6)</f>
        <v>Jahmyr Gibbs</v>
      </c>
      <c r="E6" s="4">
        <f>INDEX('Draft Engine'!$N$3:$N$225,$O6)</f>
        <v>97.982765000000001</v>
      </c>
      <c r="F6" s="4">
        <f>INDEX('Draft Engine'!$E$3:$E$225,$O6)</f>
        <v>96.332300000000004</v>
      </c>
      <c r="G6" s="4">
        <f>INDEX('Draft Engine'!$G$3:$G$225,$O6)</f>
        <v>334.6</v>
      </c>
      <c r="H6" s="4">
        <f>INDEX('Draft Engine'!$J$3:$J$225,$O6)</f>
        <v>95.6</v>
      </c>
      <c r="I6" s="4">
        <f>INDEX('Draft Engine'!$L$3:$L$225,$O6)</f>
        <v>100</v>
      </c>
      <c r="J6" s="4">
        <f>INDEX('Draft Engine'!$R$3:$R$225,$O6)</f>
        <v>1.2</v>
      </c>
      <c r="K6" s="4">
        <f>INDEX('Draft Engine'!$S$3:$S$225,$O6)</f>
        <v>-2.8</v>
      </c>
      <c r="L6" s="4">
        <f>INDEX('Draft Engine'!$U$3:$U$225,$O6)</f>
        <v>90.332300000000004</v>
      </c>
      <c r="M6" s="4">
        <f>INDEX('Draft Engine'!$W$3:$W$225,$O6)</f>
        <v>100</v>
      </c>
      <c r="N6" t="str">
        <f>INDEX('Draft Engine'!$T$3:$T$225,$O6)</f>
        <v>A</v>
      </c>
      <c r="O6" s="6">
        <f>MATCH($A6,'Draft Engine'!$Q$3:$Q$225,0)</f>
        <v>34</v>
      </c>
    </row>
    <row r="7" spans="1:15" x14ac:dyDescent="0.25">
      <c r="A7">
        <f>5</f>
        <v>5</v>
      </c>
      <c r="B7" t="str">
        <f>INDEX('Draft Engine'!$A$3:$A$225,$O7)</f>
        <v>RB</v>
      </c>
      <c r="C7">
        <f>INDEX('Draft Engine'!$F$3:$F$225,$O7)</f>
        <v>3</v>
      </c>
      <c r="D7" t="str">
        <f>INDEX('Draft Engine'!$B$3:$B$225,$O7)</f>
        <v>Christian McCaffrey</v>
      </c>
      <c r="E7" s="4">
        <f>INDEX('Draft Engine'!$N$3:$N$225,$O7)</f>
        <v>96.834585000000004</v>
      </c>
      <c r="F7" s="4">
        <f>INDEX('Draft Engine'!$E$3:$E$225,$O7)</f>
        <v>94.244699999999995</v>
      </c>
      <c r="G7" s="4">
        <f>INDEX('Draft Engine'!$G$3:$G$225,$O7)</f>
        <v>325.8</v>
      </c>
      <c r="H7" s="4">
        <f>INDEX('Draft Engine'!$J$3:$J$225,$O7)</f>
        <v>86.8</v>
      </c>
      <c r="I7" s="4">
        <f>INDEX('Draft Engine'!$L$3:$L$225,$O7)</f>
        <v>100</v>
      </c>
      <c r="J7" s="4">
        <f>INDEX('Draft Engine'!$R$3:$R$225,$O7)</f>
        <v>7</v>
      </c>
      <c r="K7" s="4">
        <f>INDEX('Draft Engine'!$S$3:$S$225,$O7)</f>
        <v>2</v>
      </c>
      <c r="L7" s="4">
        <f>INDEX('Draft Engine'!$U$3:$U$225,$O7)</f>
        <v>88.244699999999995</v>
      </c>
      <c r="M7" s="4">
        <f>INDEX('Draft Engine'!$W$3:$W$225,$O7)</f>
        <v>100</v>
      </c>
      <c r="N7" t="str">
        <f>INDEX('Draft Engine'!$T$3:$T$225,$O7)</f>
        <v>A</v>
      </c>
      <c r="O7" s="6">
        <f>MATCH($A7,'Draft Engine'!$Q$3:$Q$225,0)</f>
        <v>35</v>
      </c>
    </row>
    <row r="8" spans="1:15" x14ac:dyDescent="0.25">
      <c r="A8">
        <f>6</f>
        <v>6</v>
      </c>
      <c r="B8" t="str">
        <f>INDEX('Draft Engine'!$A$3:$A$225,$O8)</f>
        <v>WR</v>
      </c>
      <c r="C8">
        <f>INDEX('Draft Engine'!$F$3:$F$225,$O8)</f>
        <v>3</v>
      </c>
      <c r="D8" t="str">
        <f>INDEX('Draft Engine'!$B$3:$B$225,$O8)</f>
        <v>Jaxon Smith-Njigba</v>
      </c>
      <c r="E8" s="4">
        <f>INDEX('Draft Engine'!$N$3:$N$225,$O8)</f>
        <v>96.743944999999997</v>
      </c>
      <c r="F8" s="4">
        <f>INDEX('Draft Engine'!$E$3:$E$225,$O8)</f>
        <v>94.079899999999995</v>
      </c>
      <c r="G8" s="4">
        <f>INDEX('Draft Engine'!$G$3:$G$225,$O8)</f>
        <v>325.10000000000002</v>
      </c>
      <c r="H8" s="4">
        <f>INDEX('Draft Engine'!$J$3:$J$225,$O8)</f>
        <v>85.8</v>
      </c>
      <c r="I8" s="4">
        <f>INDEX('Draft Engine'!$L$3:$L$225,$O8)</f>
        <v>100</v>
      </c>
      <c r="J8" s="4">
        <f>INDEX('Draft Engine'!$R$3:$R$225,$O8)</f>
        <v>5.4</v>
      </c>
      <c r="K8" s="4">
        <f>INDEX('Draft Engine'!$S$3:$S$225,$O8)</f>
        <v>-0.59999999999999964</v>
      </c>
      <c r="L8" s="4">
        <f>INDEX('Draft Engine'!$U$3:$U$225,$O8)</f>
        <v>88.079899999999995</v>
      </c>
      <c r="M8" s="4">
        <f>INDEX('Draft Engine'!$W$3:$W$225,$O8)</f>
        <v>100</v>
      </c>
      <c r="N8" t="str">
        <f>INDEX('Draft Engine'!$T$3:$T$225,$O8)</f>
        <v>A</v>
      </c>
      <c r="O8" s="6">
        <f>MATCH($A8,'Draft Engine'!$Q$3:$Q$225,0)</f>
        <v>85</v>
      </c>
    </row>
    <row r="9" spans="1:15" x14ac:dyDescent="0.25">
      <c r="A9">
        <f>7</f>
        <v>7</v>
      </c>
      <c r="B9" t="str">
        <f>INDEX('Draft Engine'!$A$3:$A$225,$O9)</f>
        <v>WR</v>
      </c>
      <c r="C9">
        <f>INDEX('Draft Engine'!$F$3:$F$225,$O9)</f>
        <v>4</v>
      </c>
      <c r="D9" t="str">
        <f>INDEX('Draft Engine'!$B$3:$B$225,$O9)</f>
        <v>Amon-Ra St. Brown</v>
      </c>
      <c r="E9" s="4">
        <f>INDEX('Draft Engine'!$N$3:$N$225,$O9)</f>
        <v>96.127144999999999</v>
      </c>
      <c r="F9" s="4">
        <f>INDEX('Draft Engine'!$E$3:$E$225,$O9)</f>
        <v>93.263900000000007</v>
      </c>
      <c r="G9" s="4">
        <f>INDEX('Draft Engine'!$G$3:$G$225,$O9)</f>
        <v>321.7</v>
      </c>
      <c r="H9" s="4">
        <f>INDEX('Draft Engine'!$J$3:$J$225,$O9)</f>
        <v>82.4</v>
      </c>
      <c r="I9" s="4">
        <f>INDEX('Draft Engine'!$L$3:$L$225,$O9)</f>
        <v>100</v>
      </c>
      <c r="J9" s="4">
        <f>INDEX('Draft Engine'!$R$3:$R$225,$O9)</f>
        <v>6</v>
      </c>
      <c r="K9" s="4">
        <f>INDEX('Draft Engine'!$S$3:$S$225,$O9)</f>
        <v>-1</v>
      </c>
      <c r="L9" s="4">
        <f>INDEX('Draft Engine'!$U$3:$U$225,$O9)</f>
        <v>87.263900000000007</v>
      </c>
      <c r="M9" s="4">
        <f>INDEX('Draft Engine'!$W$3:$W$225,$O9)</f>
        <v>99.263900000000007</v>
      </c>
      <c r="N9" t="str">
        <f>INDEX('Draft Engine'!$T$3:$T$225,$O9)</f>
        <v>A</v>
      </c>
      <c r="O9" s="6">
        <f>MATCH($A9,'Draft Engine'!$Q$3:$Q$225,0)</f>
        <v>86</v>
      </c>
    </row>
    <row r="10" spans="1:15" x14ac:dyDescent="0.25">
      <c r="A10">
        <f>8</f>
        <v>8</v>
      </c>
      <c r="B10" t="str">
        <f>INDEX('Draft Engine'!$A$3:$A$225,$O10)</f>
        <v>RB</v>
      </c>
      <c r="C10">
        <f>INDEX('Draft Engine'!$F$3:$F$225,$O10)</f>
        <v>4</v>
      </c>
      <c r="D10" t="str">
        <f>INDEX('Draft Engine'!$B$3:$B$225,$O10)</f>
        <v>Jonathan Taylor</v>
      </c>
      <c r="E10" s="4">
        <f>INDEX('Draft Engine'!$N$3:$N$225,$O10)</f>
        <v>94.720850000000013</v>
      </c>
      <c r="F10" s="4">
        <f>INDEX('Draft Engine'!$E$3:$E$225,$O10)</f>
        <v>92.147000000000006</v>
      </c>
      <c r="G10" s="4">
        <f>INDEX('Draft Engine'!$G$3:$G$225,$O10)</f>
        <v>317</v>
      </c>
      <c r="H10" s="4">
        <f>INDEX('Draft Engine'!$J$3:$J$225,$O10)</f>
        <v>78</v>
      </c>
      <c r="I10" s="4">
        <f>INDEX('Draft Engine'!$L$3:$L$225,$O10)</f>
        <v>100</v>
      </c>
      <c r="J10" s="4">
        <f>INDEX('Draft Engine'!$R$3:$R$225,$O10)</f>
        <v>11</v>
      </c>
      <c r="K10" s="4">
        <f>INDEX('Draft Engine'!$S$3:$S$225,$O10)</f>
        <v>3</v>
      </c>
      <c r="L10" s="4">
        <f>INDEX('Draft Engine'!$U$3:$U$225,$O10)</f>
        <v>86.147000000000006</v>
      </c>
      <c r="M10" s="4">
        <f>INDEX('Draft Engine'!$W$3:$W$225,$O10)</f>
        <v>98.147000000000006</v>
      </c>
      <c r="N10" t="str">
        <f>INDEX('Draft Engine'!$T$3:$T$225,$O10)</f>
        <v>A</v>
      </c>
      <c r="O10" s="6">
        <f>MATCH($A10,'Draft Engine'!$Q$3:$Q$225,0)</f>
        <v>36</v>
      </c>
    </row>
    <row r="11" spans="1:15" x14ac:dyDescent="0.25">
      <c r="A11">
        <f>9</f>
        <v>9</v>
      </c>
      <c r="B11" t="str">
        <f>INDEX('Draft Engine'!$A$3:$A$225,$O11)</f>
        <v>WR</v>
      </c>
      <c r="C11">
        <f>INDEX('Draft Engine'!$F$3:$F$225,$O11)</f>
        <v>5</v>
      </c>
      <c r="D11" t="str">
        <f>INDEX('Draft Engine'!$B$3:$B$225,$O11)</f>
        <v>Nico Collins</v>
      </c>
      <c r="E11" s="4">
        <f>INDEX('Draft Engine'!$N$3:$N$225,$O11)</f>
        <v>93.820875000000001</v>
      </c>
      <c r="F11" s="4">
        <f>INDEX('Draft Engine'!$E$3:$E$225,$O11)</f>
        <v>91.492500000000007</v>
      </c>
      <c r="G11" s="4">
        <f>INDEX('Draft Engine'!$G$3:$G$225,$O11)</f>
        <v>314.3</v>
      </c>
      <c r="H11" s="4">
        <f>INDEX('Draft Engine'!$J$3:$J$225,$O11)</f>
        <v>75</v>
      </c>
      <c r="I11" s="4">
        <f>INDEX('Draft Engine'!$L$3:$L$225,$O11)</f>
        <v>100</v>
      </c>
      <c r="J11" s="4">
        <f>INDEX('Draft Engine'!$R$3:$R$225,$O11)</f>
        <v>12</v>
      </c>
      <c r="K11" s="4">
        <f>INDEX('Draft Engine'!$S$3:$S$225,$O11)</f>
        <v>3</v>
      </c>
      <c r="L11" s="4">
        <f>INDEX('Draft Engine'!$U$3:$U$225,$O11)</f>
        <v>82.492500000000007</v>
      </c>
      <c r="M11" s="4">
        <f>INDEX('Draft Engine'!$W$3:$W$225,$O11)</f>
        <v>100</v>
      </c>
      <c r="N11" t="str">
        <f>INDEX('Draft Engine'!$T$3:$T$225,$O11)</f>
        <v>B</v>
      </c>
      <c r="O11" s="6">
        <f>MATCH($A11,'Draft Engine'!$Q$3:$Q$225,0)</f>
        <v>92</v>
      </c>
    </row>
    <row r="12" spans="1:15" x14ac:dyDescent="0.25">
      <c r="A12">
        <f>10</f>
        <v>10</v>
      </c>
      <c r="B12" t="str">
        <f>INDEX('Draft Engine'!$A$3:$A$225,$O12)</f>
        <v>TE</v>
      </c>
      <c r="C12">
        <f>INDEX('Draft Engine'!$F$3:$F$225,$O12)</f>
        <v>1</v>
      </c>
      <c r="D12" t="str">
        <f>INDEX('Draft Engine'!$B$3:$B$225,$O12)</f>
        <v>Trey McBride</v>
      </c>
      <c r="E12" s="4">
        <f>INDEX('Draft Engine'!$N$3:$N$225,$O12)</f>
        <v>93.487404999999995</v>
      </c>
      <c r="F12" s="4">
        <f>INDEX('Draft Engine'!$E$3:$E$225,$O12)</f>
        <v>97.737099999999998</v>
      </c>
      <c r="G12" s="4">
        <f>INDEX('Draft Engine'!$G$3:$G$225,$O12)</f>
        <v>242.1</v>
      </c>
      <c r="H12" s="4">
        <f>INDEX('Draft Engine'!$J$3:$J$225,$O12)</f>
        <v>62.4</v>
      </c>
      <c r="I12" s="4">
        <f>INDEX('Draft Engine'!$L$3:$L$225,$O12)</f>
        <v>90</v>
      </c>
      <c r="J12" s="4">
        <f>INDEX('Draft Engine'!$R$3:$R$225,$O12)</f>
        <v>17</v>
      </c>
      <c r="K12" s="4">
        <f>INDEX('Draft Engine'!$S$3:$S$225,$O12)</f>
        <v>7</v>
      </c>
      <c r="L12" s="4">
        <f>INDEX('Draft Engine'!$U$3:$U$225,$O12)</f>
        <v>91.737099999999998</v>
      </c>
      <c r="M12" s="4">
        <f>INDEX('Draft Engine'!$W$3:$W$225,$O12)</f>
        <v>100</v>
      </c>
      <c r="N12" t="str">
        <f>INDEX('Draft Engine'!$T$3:$T$225,$O12)</f>
        <v>A</v>
      </c>
      <c r="O12" s="6">
        <f>MATCH($A12,'Draft Engine'!$Q$3:$Q$225,0)</f>
        <v>153</v>
      </c>
    </row>
    <row r="13" spans="1:15" x14ac:dyDescent="0.25">
      <c r="A13">
        <f>11</f>
        <v>11</v>
      </c>
      <c r="B13" t="str">
        <f>INDEX('Draft Engine'!$A$3:$A$225,$O13)</f>
        <v>RB</v>
      </c>
      <c r="C13">
        <f>INDEX('Draft Engine'!$F$3:$F$225,$O13)</f>
        <v>5</v>
      </c>
      <c r="D13" t="str">
        <f>INDEX('Draft Engine'!$B$3:$B$225,$O13)</f>
        <v>Jeremiyah Love</v>
      </c>
      <c r="E13" s="4">
        <f>INDEX('Draft Engine'!$N$3:$N$225,$O13)</f>
        <v>93.044245000000004</v>
      </c>
      <c r="F13" s="4">
        <f>INDEX('Draft Engine'!$E$3:$E$225,$O13)</f>
        <v>90.865899999999996</v>
      </c>
      <c r="G13" s="4">
        <f>INDEX('Draft Engine'!$G$3:$G$225,$O13)</f>
        <v>311.60000000000002</v>
      </c>
      <c r="H13" s="4">
        <f>INDEX('Draft Engine'!$J$3:$J$225,$O13)</f>
        <v>72.599999999999994</v>
      </c>
      <c r="I13" s="4">
        <f>INDEX('Draft Engine'!$L$3:$L$225,$O13)</f>
        <v>100</v>
      </c>
      <c r="J13" s="4">
        <f>INDEX('Draft Engine'!$R$3:$R$225,$O13)</f>
        <v>18.8</v>
      </c>
      <c r="K13" s="4">
        <f>INDEX('Draft Engine'!$S$3:$S$225,$O13)</f>
        <v>7.8000000000000007</v>
      </c>
      <c r="L13" s="4">
        <f>INDEX('Draft Engine'!$U$3:$U$225,$O13)</f>
        <v>81.865899999999996</v>
      </c>
      <c r="M13" s="4">
        <f>INDEX('Draft Engine'!$W$3:$W$225,$O13)</f>
        <v>99.865899999999996</v>
      </c>
      <c r="N13" t="str">
        <f>INDEX('Draft Engine'!$T$3:$T$225,$O13)</f>
        <v>B</v>
      </c>
      <c r="O13" s="6">
        <f>MATCH($A13,'Draft Engine'!$Q$3:$Q$225,0)</f>
        <v>37</v>
      </c>
    </row>
    <row r="14" spans="1:15" x14ac:dyDescent="0.25">
      <c r="A14">
        <f>12</f>
        <v>12</v>
      </c>
      <c r="B14" t="str">
        <f>INDEX('Draft Engine'!$A$3:$A$225,$O14)</f>
        <v>QB</v>
      </c>
      <c r="C14">
        <f>INDEX('Draft Engine'!$F$3:$F$225,$O14)</f>
        <v>1</v>
      </c>
      <c r="D14" t="str">
        <f>INDEX('Draft Engine'!$B$3:$B$225,$O14)</f>
        <v>Josh Allen</v>
      </c>
      <c r="E14" s="4">
        <f>INDEX('Draft Engine'!$N$3:$N$225,$O14)</f>
        <v>90.744444999999999</v>
      </c>
      <c r="F14" s="4">
        <f>INDEX('Draft Engine'!$E$3:$E$225,$O14)</f>
        <v>97.309899999999999</v>
      </c>
      <c r="G14" s="4">
        <f>INDEX('Draft Engine'!$G$3:$G$225,$O14)</f>
        <v>407.9</v>
      </c>
      <c r="H14" s="4">
        <f>INDEX('Draft Engine'!$J$3:$J$225,$O14)</f>
        <v>56.8</v>
      </c>
      <c r="I14" s="4">
        <f>INDEX('Draft Engine'!$L$3:$L$225,$O14)</f>
        <v>100</v>
      </c>
      <c r="J14" s="4">
        <f>INDEX('Draft Engine'!$R$3:$R$225,$O14)</f>
        <v>23</v>
      </c>
      <c r="K14" s="4">
        <f>INDEX('Draft Engine'!$S$3:$S$225,$O14)</f>
        <v>11</v>
      </c>
      <c r="L14" s="4">
        <f>INDEX('Draft Engine'!$U$3:$U$225,$O14)</f>
        <v>91.309899999999999</v>
      </c>
      <c r="M14" s="4">
        <f>INDEX('Draft Engine'!$W$3:$W$225,$O14)</f>
        <v>100</v>
      </c>
      <c r="N14" t="str">
        <f>INDEX('Draft Engine'!$T$3:$T$225,$O14)</f>
        <v>A</v>
      </c>
      <c r="O14" s="6">
        <f>MATCH($A14,'Draft Engine'!$Q$3:$Q$225,0)</f>
        <v>1</v>
      </c>
    </row>
    <row r="15" spans="1:15" x14ac:dyDescent="0.25">
      <c r="A15">
        <f>13</f>
        <v>13</v>
      </c>
      <c r="B15" t="str">
        <f>INDEX('Draft Engine'!$A$3:$A$225,$O15)</f>
        <v>WR</v>
      </c>
      <c r="C15">
        <f>INDEX('Draft Engine'!$F$3:$F$225,$O15)</f>
        <v>6</v>
      </c>
      <c r="D15" t="str">
        <f>INDEX('Draft Engine'!$B$3:$B$225,$O15)</f>
        <v>Chris Olave</v>
      </c>
      <c r="E15" s="4">
        <f>INDEX('Draft Engine'!$N$3:$N$225,$O15)</f>
        <v>90.270458333333337</v>
      </c>
      <c r="F15" s="4">
        <f>INDEX('Draft Engine'!$E$3:$E$225,$O15)</f>
        <v>88.907499999999999</v>
      </c>
      <c r="G15" s="4">
        <f>INDEX('Draft Engine'!$G$3:$G$225,$O15)</f>
        <v>303.39999999999998</v>
      </c>
      <c r="H15" s="4">
        <f>INDEX('Draft Engine'!$J$3:$J$225,$O15)</f>
        <v>64.099999999999994</v>
      </c>
      <c r="I15" s="4">
        <f>INDEX('Draft Engine'!$L$3:$L$225,$O15)</f>
        <v>98.8888888888889</v>
      </c>
      <c r="J15" s="4">
        <f>INDEX('Draft Engine'!$R$3:$R$225,$O15)</f>
        <v>19</v>
      </c>
      <c r="K15" s="4">
        <f>INDEX('Draft Engine'!$S$3:$S$225,$O15)</f>
        <v>6</v>
      </c>
      <c r="L15" s="4">
        <f>INDEX('Draft Engine'!$U$3:$U$225,$O15)</f>
        <v>79.907499999999999</v>
      </c>
      <c r="M15" s="4">
        <f>INDEX('Draft Engine'!$W$3:$W$225,$O15)</f>
        <v>97.907499999999999</v>
      </c>
      <c r="N15" t="str">
        <f>INDEX('Draft Engine'!$T$3:$T$225,$O15)</f>
        <v>B</v>
      </c>
      <c r="O15" s="6">
        <f>MATCH($A15,'Draft Engine'!$Q$3:$Q$225,0)</f>
        <v>94</v>
      </c>
    </row>
    <row r="16" spans="1:15" x14ac:dyDescent="0.25">
      <c r="A16">
        <f>14</f>
        <v>14</v>
      </c>
      <c r="B16" t="str">
        <f>INDEX('Draft Engine'!$A$3:$A$225,$O16)</f>
        <v>RB</v>
      </c>
      <c r="C16">
        <f>INDEX('Draft Engine'!$F$3:$F$225,$O16)</f>
        <v>6</v>
      </c>
      <c r="D16" t="str">
        <f>INDEX('Draft Engine'!$B$3:$B$225,$O16)</f>
        <v>Omarion Hampton</v>
      </c>
      <c r="E16" s="4">
        <f>INDEX('Draft Engine'!$N$3:$N$225,$O16)</f>
        <v>90.147154999999998</v>
      </c>
      <c r="F16" s="4">
        <f>INDEX('Draft Engine'!$E$3:$E$225,$O16)</f>
        <v>88.642099999999999</v>
      </c>
      <c r="G16" s="4">
        <f>INDEX('Draft Engine'!$G$3:$G$225,$O16)</f>
        <v>302.3</v>
      </c>
      <c r="H16" s="4">
        <f>INDEX('Draft Engine'!$J$3:$J$225,$O16)</f>
        <v>63.3</v>
      </c>
      <c r="I16" s="4">
        <f>INDEX('Draft Engine'!$L$3:$L$225,$O16)</f>
        <v>100</v>
      </c>
      <c r="J16" s="4">
        <f>INDEX('Draft Engine'!$R$3:$R$225,$O16)</f>
        <v>23</v>
      </c>
      <c r="K16" s="4">
        <f>INDEX('Draft Engine'!$S$3:$S$225,$O16)</f>
        <v>9</v>
      </c>
      <c r="L16" s="4">
        <f>INDEX('Draft Engine'!$U$3:$U$225,$O16)</f>
        <v>79.642099999999999</v>
      </c>
      <c r="M16" s="4">
        <f>INDEX('Draft Engine'!$W$3:$W$225,$O16)</f>
        <v>97.642099999999999</v>
      </c>
      <c r="N16" t="str">
        <f>INDEX('Draft Engine'!$T$3:$T$225,$O16)</f>
        <v>B</v>
      </c>
      <c r="O16" s="6">
        <f>MATCH($A16,'Draft Engine'!$Q$3:$Q$225,0)</f>
        <v>38</v>
      </c>
    </row>
    <row r="17" spans="1:15" x14ac:dyDescent="0.25">
      <c r="A17">
        <f>15</f>
        <v>15</v>
      </c>
      <c r="B17" t="str">
        <f>INDEX('Draft Engine'!$A$3:$A$225,$O17)</f>
        <v>TE</v>
      </c>
      <c r="C17">
        <f>INDEX('Draft Engine'!$F$3:$F$225,$O17)</f>
        <v>2</v>
      </c>
      <c r="D17" t="str">
        <f>INDEX('Draft Engine'!$B$3:$B$225,$O17)</f>
        <v>Brock Bowers</v>
      </c>
      <c r="E17" s="4">
        <f>INDEX('Draft Engine'!$N$3:$N$225,$O17)</f>
        <v>89.426222307692314</v>
      </c>
      <c r="F17" s="4">
        <f>INDEX('Draft Engine'!$E$3:$E$225,$O17)</f>
        <v>94.884600000000006</v>
      </c>
      <c r="G17" s="4">
        <f>INDEX('Draft Engine'!$G$3:$G$225,$O17)</f>
        <v>232.1</v>
      </c>
      <c r="H17" s="4">
        <f>INDEX('Draft Engine'!$J$3:$J$225,$O17)</f>
        <v>52.4</v>
      </c>
      <c r="I17" s="4">
        <f>INDEX('Draft Engine'!$L$3:$L$225,$O17)</f>
        <v>85.384615384615373</v>
      </c>
      <c r="J17" s="4">
        <f>INDEX('Draft Engine'!$R$3:$R$225,$O17)</f>
        <v>20</v>
      </c>
      <c r="K17" s="4">
        <f>INDEX('Draft Engine'!$S$3:$S$225,$O17)</f>
        <v>5</v>
      </c>
      <c r="L17" s="4">
        <f>INDEX('Draft Engine'!$U$3:$U$225,$O17)</f>
        <v>88.884600000000006</v>
      </c>
      <c r="M17" s="4">
        <f>INDEX('Draft Engine'!$W$3:$W$225,$O17)</f>
        <v>100</v>
      </c>
      <c r="N17" t="str">
        <f>INDEX('Draft Engine'!$T$3:$T$225,$O17)</f>
        <v>A</v>
      </c>
      <c r="O17" s="6">
        <f>MATCH($A17,'Draft Engine'!$Q$3:$Q$225,0)</f>
        <v>154</v>
      </c>
    </row>
    <row r="18" spans="1:15" x14ac:dyDescent="0.25">
      <c r="A18">
        <f>16</f>
        <v>16</v>
      </c>
      <c r="B18" t="str">
        <f>INDEX('Draft Engine'!$A$3:$A$225,$O18)</f>
        <v>RB</v>
      </c>
      <c r="C18">
        <f>INDEX('Draft Engine'!$F$3:$F$225,$O18)</f>
        <v>7</v>
      </c>
      <c r="D18" t="str">
        <f>INDEX('Draft Engine'!$B$3:$B$225,$O18)</f>
        <v>De'Von Achane</v>
      </c>
      <c r="E18" s="4">
        <f>INDEX('Draft Engine'!$N$3:$N$225,$O18)</f>
        <v>89.241200000000006</v>
      </c>
      <c r="F18" s="4">
        <f>INDEX('Draft Engine'!$E$3:$E$225,$O18)</f>
        <v>87.944000000000003</v>
      </c>
      <c r="G18" s="4">
        <f>INDEX('Draft Engine'!$G$3:$G$225,$O18)</f>
        <v>299.39999999999998</v>
      </c>
      <c r="H18" s="4">
        <f>INDEX('Draft Engine'!$J$3:$J$225,$O18)</f>
        <v>60.4</v>
      </c>
      <c r="I18" s="4">
        <f>INDEX('Draft Engine'!$L$3:$L$225,$O18)</f>
        <v>100</v>
      </c>
      <c r="J18" s="4">
        <f>INDEX('Draft Engine'!$R$3:$R$225,$O18)</f>
        <v>18</v>
      </c>
      <c r="K18" s="4">
        <f>INDEX('Draft Engine'!$S$3:$S$225,$O18)</f>
        <v>2</v>
      </c>
      <c r="L18" s="4">
        <f>INDEX('Draft Engine'!$U$3:$U$225,$O18)</f>
        <v>81.944000000000003</v>
      </c>
      <c r="M18" s="4">
        <f>INDEX('Draft Engine'!$W$3:$W$225,$O18)</f>
        <v>93.944000000000003</v>
      </c>
      <c r="N18" t="str">
        <f>INDEX('Draft Engine'!$T$3:$T$225,$O18)</f>
        <v>A</v>
      </c>
      <c r="O18" s="6">
        <f>MATCH($A18,'Draft Engine'!$Q$3:$Q$225,0)</f>
        <v>39</v>
      </c>
    </row>
    <row r="19" spans="1:15" x14ac:dyDescent="0.25">
      <c r="A19">
        <f>17</f>
        <v>17</v>
      </c>
      <c r="B19" t="str">
        <f>INDEX('Draft Engine'!$A$3:$A$225,$O19)</f>
        <v>RB</v>
      </c>
      <c r="C19">
        <f>INDEX('Draft Engine'!$F$3:$F$225,$O19)</f>
        <v>8</v>
      </c>
      <c r="D19" t="str">
        <f>INDEX('Draft Engine'!$B$3:$B$225,$O19)</f>
        <v>Kenneth Walker III</v>
      </c>
      <c r="E19" s="4">
        <f>INDEX('Draft Engine'!$N$3:$N$225,$O19)</f>
        <v>88.113304999999997</v>
      </c>
      <c r="F19" s="4">
        <f>INDEX('Draft Engine'!$E$3:$E$225,$O19)</f>
        <v>87.292599999999993</v>
      </c>
      <c r="G19" s="4">
        <f>INDEX('Draft Engine'!$G$3:$G$225,$O19)</f>
        <v>296.60000000000002</v>
      </c>
      <c r="H19" s="4">
        <f>INDEX('Draft Engine'!$J$3:$J$225,$O19)</f>
        <v>57.6</v>
      </c>
      <c r="I19" s="4">
        <f>INDEX('Draft Engine'!$L$3:$L$225,$O19)</f>
        <v>98.229166666666643</v>
      </c>
      <c r="J19" s="4">
        <f>INDEX('Draft Engine'!$R$3:$R$225,$O19)</f>
        <v>31.4</v>
      </c>
      <c r="K19" s="4">
        <f>INDEX('Draft Engine'!$S$3:$S$225,$O19)</f>
        <v>14.399999999999999</v>
      </c>
      <c r="L19" s="4">
        <f>INDEX('Draft Engine'!$U$3:$U$225,$O19)</f>
        <v>81.292599999999993</v>
      </c>
      <c r="M19" s="4">
        <f>INDEX('Draft Engine'!$W$3:$W$225,$O19)</f>
        <v>93.292599999999993</v>
      </c>
      <c r="N19" t="str">
        <f>INDEX('Draft Engine'!$T$3:$T$225,$O19)</f>
        <v>A</v>
      </c>
      <c r="O19" s="6">
        <f>MATCH($A19,'Draft Engine'!$Q$3:$Q$225,0)</f>
        <v>40</v>
      </c>
    </row>
    <row r="20" spans="1:15" x14ac:dyDescent="0.25">
      <c r="A20">
        <f>18</f>
        <v>18</v>
      </c>
      <c r="B20" t="str">
        <f>INDEX('Draft Engine'!$A$3:$A$225,$O20)</f>
        <v>WR</v>
      </c>
      <c r="C20">
        <f>INDEX('Draft Engine'!$F$3:$F$225,$O20)</f>
        <v>7</v>
      </c>
      <c r="D20" t="str">
        <f>INDEX('Draft Engine'!$B$3:$B$225,$O20)</f>
        <v>Drake London</v>
      </c>
      <c r="E20" s="4">
        <f>INDEX('Draft Engine'!$N$3:$N$225,$O20)</f>
        <v>88.106830000000002</v>
      </c>
      <c r="F20" s="4">
        <f>INDEX('Draft Engine'!$E$3:$E$225,$O20)</f>
        <v>87.510599999999997</v>
      </c>
      <c r="G20" s="4">
        <f>INDEX('Draft Engine'!$G$3:$G$225,$O20)</f>
        <v>297.5</v>
      </c>
      <c r="H20" s="4">
        <f>INDEX('Draft Engine'!$J$3:$J$225,$O20)</f>
        <v>58.2</v>
      </c>
      <c r="I20" s="4">
        <f>INDEX('Draft Engine'!$L$3:$L$225,$O20)</f>
        <v>96.666666666666671</v>
      </c>
      <c r="J20" s="4">
        <f>INDEX('Draft Engine'!$R$3:$R$225,$O20)</f>
        <v>10</v>
      </c>
      <c r="K20" s="4">
        <f>INDEX('Draft Engine'!$S$3:$S$225,$O20)</f>
        <v>-8</v>
      </c>
      <c r="L20" s="4">
        <f>INDEX('Draft Engine'!$U$3:$U$225,$O20)</f>
        <v>81.510599999999997</v>
      </c>
      <c r="M20" s="4">
        <f>INDEX('Draft Engine'!$W$3:$W$225,$O20)</f>
        <v>93.510599999999997</v>
      </c>
      <c r="N20" t="str">
        <f>INDEX('Draft Engine'!$T$3:$T$225,$O20)</f>
        <v>A</v>
      </c>
      <c r="O20" s="6">
        <f>MATCH($A20,'Draft Engine'!$Q$3:$Q$225,0)</f>
        <v>91</v>
      </c>
    </row>
    <row r="21" spans="1:15" x14ac:dyDescent="0.25">
      <c r="A21">
        <f>19</f>
        <v>19</v>
      </c>
      <c r="B21" t="str">
        <f>INDEX('Draft Engine'!$A$3:$A$225,$O21)</f>
        <v>WR</v>
      </c>
      <c r="C21">
        <f>INDEX('Draft Engine'!$F$3:$F$225,$O21)</f>
        <v>8</v>
      </c>
      <c r="D21" t="str">
        <f>INDEX('Draft Engine'!$B$3:$B$225,$O21)</f>
        <v>DeVonta Smith</v>
      </c>
      <c r="E21" s="4">
        <f>INDEX('Draft Engine'!$N$3:$N$225,$O21)</f>
        <v>87.742791666666662</v>
      </c>
      <c r="F21" s="4">
        <f>INDEX('Draft Engine'!$E$3:$E$225,$O21)</f>
        <v>87.487499999999997</v>
      </c>
      <c r="G21" s="4">
        <f>INDEX('Draft Engine'!$G$3:$G$225,$O21)</f>
        <v>297.39999999999998</v>
      </c>
      <c r="H21" s="4">
        <f>INDEX('Draft Engine'!$J$3:$J$225,$O21)</f>
        <v>58.1</v>
      </c>
      <c r="I21" s="4">
        <f>INDEX('Draft Engine'!$L$3:$L$225,$O21)</f>
        <v>94.444444444444443</v>
      </c>
      <c r="J21" s="4">
        <f>INDEX('Draft Engine'!$R$3:$R$225,$O21)</f>
        <v>24</v>
      </c>
      <c r="K21" s="4">
        <f>INDEX('Draft Engine'!$S$3:$S$225,$O21)</f>
        <v>5</v>
      </c>
      <c r="L21" s="4">
        <f>INDEX('Draft Engine'!$U$3:$U$225,$O21)</f>
        <v>78.487499999999997</v>
      </c>
      <c r="M21" s="4">
        <f>INDEX('Draft Engine'!$W$3:$W$225,$O21)</f>
        <v>96.487499999999997</v>
      </c>
      <c r="N21" t="str">
        <f>INDEX('Draft Engine'!$T$3:$T$225,$O21)</f>
        <v>B</v>
      </c>
      <c r="O21" s="6">
        <f>MATCH($A21,'Draft Engine'!$Q$3:$Q$225,0)</f>
        <v>98</v>
      </c>
    </row>
    <row r="22" spans="1:15" x14ac:dyDescent="0.25">
      <c r="A22">
        <f>20</f>
        <v>20</v>
      </c>
      <c r="B22" t="str">
        <f>INDEX('Draft Engine'!$A$3:$A$225,$O22)</f>
        <v>RB</v>
      </c>
      <c r="C22">
        <f>INDEX('Draft Engine'!$F$3:$F$225,$O22)</f>
        <v>9</v>
      </c>
      <c r="D22" t="str">
        <f>INDEX('Draft Engine'!$B$3:$B$225,$O22)</f>
        <v>James Cook III</v>
      </c>
      <c r="E22" s="4">
        <f>INDEX('Draft Engine'!$N$3:$N$225,$O22)</f>
        <v>87.444900000000018</v>
      </c>
      <c r="F22" s="4">
        <f>INDEX('Draft Engine'!$E$3:$E$225,$O22)</f>
        <v>87.058000000000007</v>
      </c>
      <c r="G22" s="4">
        <f>INDEX('Draft Engine'!$G$3:$G$225,$O22)</f>
        <v>295.60000000000002</v>
      </c>
      <c r="H22" s="4">
        <f>INDEX('Draft Engine'!$J$3:$J$225,$O22)</f>
        <v>56.6</v>
      </c>
      <c r="I22" s="4">
        <f>INDEX('Draft Engine'!$L$3:$L$225,$O22)</f>
        <v>95.833333333333343</v>
      </c>
      <c r="J22" s="4">
        <f>INDEX('Draft Engine'!$R$3:$R$225,$O22)</f>
        <v>15</v>
      </c>
      <c r="K22" s="4">
        <f>INDEX('Draft Engine'!$S$3:$S$225,$O22)</f>
        <v>-5</v>
      </c>
      <c r="L22" s="4">
        <f>INDEX('Draft Engine'!$U$3:$U$225,$O22)</f>
        <v>81.058000000000007</v>
      </c>
      <c r="M22" s="4">
        <f>INDEX('Draft Engine'!$W$3:$W$225,$O22)</f>
        <v>93.058000000000007</v>
      </c>
      <c r="N22" t="str">
        <f>INDEX('Draft Engine'!$T$3:$T$225,$O22)</f>
        <v>A</v>
      </c>
      <c r="O22" s="6">
        <f>MATCH($A22,'Draft Engine'!$Q$3:$Q$225,0)</f>
        <v>41</v>
      </c>
    </row>
    <row r="23" spans="1:15" x14ac:dyDescent="0.25">
      <c r="A23">
        <f>21</f>
        <v>21</v>
      </c>
      <c r="B23" t="str">
        <f>INDEX('Draft Engine'!$A$3:$A$225,$O23)</f>
        <v>WR</v>
      </c>
      <c r="C23">
        <f>INDEX('Draft Engine'!$F$3:$F$225,$O23)</f>
        <v>9</v>
      </c>
      <c r="D23" t="str">
        <f>INDEX('Draft Engine'!$B$3:$B$225,$O23)</f>
        <v>Zay Flowers</v>
      </c>
      <c r="E23" s="4">
        <f>INDEX('Draft Engine'!$N$3:$N$225,$O23)</f>
        <v>86.220833333333331</v>
      </c>
      <c r="F23" s="4">
        <f>INDEX('Draft Engine'!$E$3:$E$225,$O23)</f>
        <v>86.57</v>
      </c>
      <c r="G23" s="4">
        <f>INDEX('Draft Engine'!$G$3:$G$225,$O23)</f>
        <v>293.60000000000002</v>
      </c>
      <c r="H23" s="4">
        <f>INDEX('Draft Engine'!$J$3:$J$225,$O23)</f>
        <v>54.3</v>
      </c>
      <c r="I23" s="4">
        <f>INDEX('Draft Engine'!$L$3:$L$225,$O23)</f>
        <v>92.222222222222229</v>
      </c>
      <c r="J23" s="4">
        <f>INDEX('Draft Engine'!$R$3:$R$225,$O23)</f>
        <v>65.400000000000006</v>
      </c>
      <c r="K23" s="4">
        <f>INDEX('Draft Engine'!$S$3:$S$225,$O23)</f>
        <v>44.400000000000006</v>
      </c>
      <c r="L23" s="4">
        <f>INDEX('Draft Engine'!$U$3:$U$225,$O23)</f>
        <v>77.569999999999993</v>
      </c>
      <c r="M23" s="4">
        <f>INDEX('Draft Engine'!$W$3:$W$225,$O23)</f>
        <v>95.57</v>
      </c>
      <c r="N23" t="str">
        <f>INDEX('Draft Engine'!$T$3:$T$225,$O23)</f>
        <v>B</v>
      </c>
      <c r="O23" s="6">
        <f>MATCH($A23,'Draft Engine'!$Q$3:$Q$225,0)</f>
        <v>99</v>
      </c>
    </row>
    <row r="24" spans="1:15" x14ac:dyDescent="0.25">
      <c r="A24">
        <f>22</f>
        <v>22</v>
      </c>
      <c r="B24" t="str">
        <f>INDEX('Draft Engine'!$A$3:$A$225,$O24)</f>
        <v>RB</v>
      </c>
      <c r="C24">
        <f>INDEX('Draft Engine'!$F$3:$F$225,$O24)</f>
        <v>10</v>
      </c>
      <c r="D24" t="str">
        <f>INDEX('Draft Engine'!$B$3:$B$225,$O24)</f>
        <v>Kyren Williams</v>
      </c>
      <c r="E24" s="4">
        <f>INDEX('Draft Engine'!$N$3:$N$225,$O24)</f>
        <v>85.647355000000005</v>
      </c>
      <c r="F24" s="4">
        <f>INDEX('Draft Engine'!$E$3:$E$225,$O24)</f>
        <v>85.948599999999999</v>
      </c>
      <c r="G24" s="4">
        <f>INDEX('Draft Engine'!$G$3:$G$225,$O24)</f>
        <v>291</v>
      </c>
      <c r="H24" s="4">
        <f>INDEX('Draft Engine'!$J$3:$J$225,$O24)</f>
        <v>52</v>
      </c>
      <c r="I24" s="4">
        <f>INDEX('Draft Engine'!$L$3:$L$225,$O24)</f>
        <v>93.437499999999986</v>
      </c>
      <c r="J24" s="4">
        <f>INDEX('Draft Engine'!$R$3:$R$225,$O24)</f>
        <v>39.799999999999997</v>
      </c>
      <c r="K24" s="4">
        <f>INDEX('Draft Engine'!$S$3:$S$225,$O24)</f>
        <v>17.799999999999997</v>
      </c>
      <c r="L24" s="4">
        <f>INDEX('Draft Engine'!$U$3:$U$225,$O24)</f>
        <v>79.948599999999999</v>
      </c>
      <c r="M24" s="4">
        <f>INDEX('Draft Engine'!$W$3:$W$225,$O24)</f>
        <v>91.948599999999999</v>
      </c>
      <c r="N24" t="str">
        <f>INDEX('Draft Engine'!$T$3:$T$225,$O24)</f>
        <v>A</v>
      </c>
      <c r="O24" s="6">
        <f>MATCH($A24,'Draft Engine'!$Q$3:$Q$225,0)</f>
        <v>42</v>
      </c>
    </row>
    <row r="25" spans="1:15" x14ac:dyDescent="0.25">
      <c r="A25">
        <f>23</f>
        <v>23</v>
      </c>
      <c r="B25" t="str">
        <f>INDEX('Draft Engine'!$A$3:$A$225,$O25)</f>
        <v>WR</v>
      </c>
      <c r="C25">
        <f>INDEX('Draft Engine'!$F$3:$F$225,$O25)</f>
        <v>10</v>
      </c>
      <c r="D25" t="str">
        <f>INDEX('Draft Engine'!$B$3:$B$225,$O25)</f>
        <v>Garrett Wilson</v>
      </c>
      <c r="E25" s="4">
        <f>INDEX('Draft Engine'!$N$3:$N$225,$O25)</f>
        <v>85.353250000000003</v>
      </c>
      <c r="F25" s="4">
        <f>INDEX('Draft Engine'!$E$3:$E$225,$O25)</f>
        <v>86.155000000000001</v>
      </c>
      <c r="G25" s="4">
        <f>INDEX('Draft Engine'!$G$3:$G$225,$O25)</f>
        <v>291.89999999999998</v>
      </c>
      <c r="H25" s="4">
        <f>INDEX('Draft Engine'!$J$3:$J$225,$O25)</f>
        <v>52.6</v>
      </c>
      <c r="I25" s="4">
        <f>INDEX('Draft Engine'!$L$3:$L$225,$O25)</f>
        <v>90</v>
      </c>
      <c r="J25" s="4">
        <f>INDEX('Draft Engine'!$R$3:$R$225,$O25)</f>
        <v>57.6</v>
      </c>
      <c r="K25" s="4">
        <f>INDEX('Draft Engine'!$S$3:$S$225,$O25)</f>
        <v>34.6</v>
      </c>
      <c r="L25" s="4">
        <f>INDEX('Draft Engine'!$U$3:$U$225,$O25)</f>
        <v>77.155000000000001</v>
      </c>
      <c r="M25" s="4">
        <f>INDEX('Draft Engine'!$W$3:$W$225,$O25)</f>
        <v>95.155000000000001</v>
      </c>
      <c r="N25" t="str">
        <f>INDEX('Draft Engine'!$T$3:$T$225,$O25)</f>
        <v>B</v>
      </c>
      <c r="O25" s="6">
        <f>MATCH($A25,'Draft Engine'!$Q$3:$Q$225,0)</f>
        <v>97</v>
      </c>
    </row>
    <row r="26" spans="1:15" x14ac:dyDescent="0.25">
      <c r="A26">
        <f>24</f>
        <v>24</v>
      </c>
      <c r="B26" t="str">
        <f>INDEX('Draft Engine'!$A$3:$A$225,$O26)</f>
        <v>RB</v>
      </c>
      <c r="C26">
        <f>INDEX('Draft Engine'!$F$3:$F$225,$O26)</f>
        <v>11</v>
      </c>
      <c r="D26" t="str">
        <f>INDEX('Draft Engine'!$B$3:$B$225,$O26)</f>
        <v>Breece Hall</v>
      </c>
      <c r="E26" s="4">
        <f>INDEX('Draft Engine'!$N$3:$N$225,$O26)</f>
        <v>85.222610000000003</v>
      </c>
      <c r="F26" s="4">
        <f>INDEX('Draft Engine'!$E$3:$E$225,$O26)</f>
        <v>85.895200000000003</v>
      </c>
      <c r="G26" s="4">
        <f>INDEX('Draft Engine'!$G$3:$G$225,$O26)</f>
        <v>290.8</v>
      </c>
      <c r="H26" s="4">
        <f>INDEX('Draft Engine'!$J$3:$J$225,$O26)</f>
        <v>51.8</v>
      </c>
      <c r="I26" s="4">
        <f>INDEX('Draft Engine'!$L$3:$L$225,$O26)</f>
        <v>91.041666666666643</v>
      </c>
      <c r="J26" s="4">
        <f>INDEX('Draft Engine'!$R$3:$R$225,$O26)</f>
        <v>44</v>
      </c>
      <c r="K26" s="4">
        <f>INDEX('Draft Engine'!$S$3:$S$225,$O26)</f>
        <v>20</v>
      </c>
      <c r="L26" s="4">
        <f>INDEX('Draft Engine'!$U$3:$U$225,$O26)</f>
        <v>79.895200000000003</v>
      </c>
      <c r="M26" s="4">
        <f>INDEX('Draft Engine'!$W$3:$W$225,$O26)</f>
        <v>91.895200000000003</v>
      </c>
      <c r="N26" t="str">
        <f>INDEX('Draft Engine'!$T$3:$T$225,$O26)</f>
        <v>A</v>
      </c>
      <c r="O26" s="6">
        <f>MATCH($A26,'Draft Engine'!$Q$3:$Q$225,0)</f>
        <v>43</v>
      </c>
    </row>
    <row r="27" spans="1:15" x14ac:dyDescent="0.25">
      <c r="A27">
        <f>25</f>
        <v>25</v>
      </c>
      <c r="B27" t="str">
        <f>INDEX('Draft Engine'!$A$3:$A$225,$O27)</f>
        <v>RB</v>
      </c>
      <c r="C27">
        <f>INDEX('Draft Engine'!$F$3:$F$225,$O27)</f>
        <v>12</v>
      </c>
      <c r="D27" t="str">
        <f>INDEX('Draft Engine'!$B$3:$B$225,$O27)</f>
        <v>Ashton Jeanty</v>
      </c>
      <c r="E27" s="4">
        <f>INDEX('Draft Engine'!$N$3:$N$225,$O27)</f>
        <v>84.780690000000007</v>
      </c>
      <c r="F27" s="4">
        <f>INDEX('Draft Engine'!$E$3:$E$225,$O27)</f>
        <v>85.843299999999999</v>
      </c>
      <c r="G27" s="4">
        <f>INDEX('Draft Engine'!$G$3:$G$225,$O27)</f>
        <v>290.5</v>
      </c>
      <c r="H27" s="4">
        <f>INDEX('Draft Engine'!$J$3:$J$225,$O27)</f>
        <v>51.5</v>
      </c>
      <c r="I27" s="4">
        <f>INDEX('Draft Engine'!$L$3:$L$225,$O27)</f>
        <v>88.645833333333343</v>
      </c>
      <c r="J27" s="4">
        <f>INDEX('Draft Engine'!$R$3:$R$225,$O27)</f>
        <v>13</v>
      </c>
      <c r="K27" s="4">
        <f>INDEX('Draft Engine'!$S$3:$S$225,$O27)</f>
        <v>-12</v>
      </c>
      <c r="L27" s="4">
        <f>INDEX('Draft Engine'!$U$3:$U$225,$O27)</f>
        <v>79.843299999999999</v>
      </c>
      <c r="M27" s="4">
        <f>INDEX('Draft Engine'!$W$3:$W$225,$O27)</f>
        <v>91.843299999999999</v>
      </c>
      <c r="N27" t="str">
        <f>INDEX('Draft Engine'!$T$3:$T$225,$O27)</f>
        <v>A</v>
      </c>
      <c r="O27" s="6">
        <f>MATCH($A27,'Draft Engine'!$Q$3:$Q$225,0)</f>
        <v>44</v>
      </c>
    </row>
    <row r="28" spans="1:15" x14ac:dyDescent="0.25">
      <c r="A28">
        <f>26</f>
        <v>26</v>
      </c>
      <c r="B28" t="str">
        <f>INDEX('Draft Engine'!$A$3:$A$225,$O28)</f>
        <v>WR</v>
      </c>
      <c r="C28">
        <f>INDEX('Draft Engine'!$F$3:$F$225,$O28)</f>
        <v>11</v>
      </c>
      <c r="D28" t="str">
        <f>INDEX('Draft Engine'!$B$3:$B$225,$O28)</f>
        <v>CeeDee Lamb</v>
      </c>
      <c r="E28" s="4">
        <f>INDEX('Draft Engine'!$N$3:$N$225,$O28)</f>
        <v>84.469096666666672</v>
      </c>
      <c r="F28" s="4">
        <f>INDEX('Draft Engine'!$E$3:$E$225,$O28)</f>
        <v>85.742599999999996</v>
      </c>
      <c r="G28" s="4">
        <f>INDEX('Draft Engine'!$G$3:$G$225,$O28)</f>
        <v>290.10000000000002</v>
      </c>
      <c r="H28" s="4">
        <f>INDEX('Draft Engine'!$J$3:$J$225,$O28)</f>
        <v>50.8</v>
      </c>
      <c r="I28" s="4">
        <f>INDEX('Draft Engine'!$L$3:$L$225,$O28)</f>
        <v>87.7777777777778</v>
      </c>
      <c r="J28" s="4">
        <f>INDEX('Draft Engine'!$R$3:$R$225,$O28)</f>
        <v>8</v>
      </c>
      <c r="K28" s="4">
        <f>INDEX('Draft Engine'!$S$3:$S$225,$O28)</f>
        <v>-18</v>
      </c>
      <c r="L28" s="4">
        <f>INDEX('Draft Engine'!$U$3:$U$225,$O28)</f>
        <v>79.742599999999996</v>
      </c>
      <c r="M28" s="4">
        <f>INDEX('Draft Engine'!$W$3:$W$225,$O28)</f>
        <v>91.742599999999996</v>
      </c>
      <c r="N28" t="str">
        <f>INDEX('Draft Engine'!$T$3:$T$225,$O28)</f>
        <v>A</v>
      </c>
      <c r="O28" s="6">
        <f>MATCH($A28,'Draft Engine'!$Q$3:$Q$225,0)</f>
        <v>88</v>
      </c>
    </row>
    <row r="29" spans="1:15" x14ac:dyDescent="0.25">
      <c r="A29">
        <f>27</f>
        <v>27</v>
      </c>
      <c r="B29" t="str">
        <f>INDEX('Draft Engine'!$A$3:$A$225,$O29)</f>
        <v>RB</v>
      </c>
      <c r="C29">
        <f>INDEX('Draft Engine'!$F$3:$F$225,$O29)</f>
        <v>13</v>
      </c>
      <c r="D29" t="str">
        <f>INDEX('Draft Engine'!$B$3:$B$225,$O29)</f>
        <v>Derrick Henry</v>
      </c>
      <c r="E29" s="4">
        <f>INDEX('Draft Engine'!$N$3:$N$225,$O29)</f>
        <v>84.198570000000004</v>
      </c>
      <c r="F29" s="4">
        <f>INDEX('Draft Engine'!$E$3:$E$225,$O29)</f>
        <v>85.667400000000001</v>
      </c>
      <c r="G29" s="4">
        <f>INDEX('Draft Engine'!$G$3:$G$225,$O29)</f>
        <v>289.8</v>
      </c>
      <c r="H29" s="4">
        <f>INDEX('Draft Engine'!$J$3:$J$225,$O29)</f>
        <v>50.8</v>
      </c>
      <c r="I29" s="4">
        <f>INDEX('Draft Engine'!$L$3:$L$225,$O29)</f>
        <v>86.25</v>
      </c>
      <c r="J29" s="4">
        <f>INDEX('Draft Engine'!$R$3:$R$225,$O29)</f>
        <v>52.400000000000013</v>
      </c>
      <c r="K29" s="4">
        <f>INDEX('Draft Engine'!$S$3:$S$225,$O29)</f>
        <v>25.400000000000013</v>
      </c>
      <c r="L29" s="4">
        <f>INDEX('Draft Engine'!$U$3:$U$225,$O29)</f>
        <v>79.667400000000001</v>
      </c>
      <c r="M29" s="4">
        <f>INDEX('Draft Engine'!$W$3:$W$225,$O29)</f>
        <v>91.667400000000001</v>
      </c>
      <c r="N29" t="str">
        <f>INDEX('Draft Engine'!$T$3:$T$225,$O29)</f>
        <v>A</v>
      </c>
      <c r="O29" s="6">
        <f>MATCH($A29,'Draft Engine'!$Q$3:$Q$225,0)</f>
        <v>45</v>
      </c>
    </row>
    <row r="30" spans="1:15" x14ac:dyDescent="0.25">
      <c r="A30">
        <f>28</f>
        <v>28</v>
      </c>
      <c r="B30" t="str">
        <f>INDEX('Draft Engine'!$A$3:$A$225,$O30)</f>
        <v>WR</v>
      </c>
      <c r="C30">
        <f>INDEX('Draft Engine'!$F$3:$F$225,$O30)</f>
        <v>12</v>
      </c>
      <c r="D30" t="str">
        <f>INDEX('Draft Engine'!$B$3:$B$225,$O30)</f>
        <v>Tetairoa McMillan</v>
      </c>
      <c r="E30" s="4">
        <f>INDEX('Draft Engine'!$N$3:$N$225,$O30)</f>
        <v>84.134333333333331</v>
      </c>
      <c r="F30" s="4">
        <f>INDEX('Draft Engine'!$E$3:$E$225,$O30)</f>
        <v>85.74</v>
      </c>
      <c r="G30" s="4">
        <f>INDEX('Draft Engine'!$G$3:$G$225,$O30)</f>
        <v>290.10000000000002</v>
      </c>
      <c r="H30" s="4">
        <f>INDEX('Draft Engine'!$J$3:$J$225,$O30)</f>
        <v>50.8</v>
      </c>
      <c r="I30" s="4">
        <f>INDEX('Draft Engine'!$L$3:$L$225,$O30)</f>
        <v>85.555555555555571</v>
      </c>
      <c r="J30" s="4">
        <f>INDEX('Draft Engine'!$R$3:$R$225,$O30)</f>
        <v>49.8</v>
      </c>
      <c r="K30" s="4">
        <f>INDEX('Draft Engine'!$S$3:$S$225,$O30)</f>
        <v>21.799999999999997</v>
      </c>
      <c r="L30" s="4">
        <f>INDEX('Draft Engine'!$U$3:$U$225,$O30)</f>
        <v>76.739999999999995</v>
      </c>
      <c r="M30" s="4">
        <f>INDEX('Draft Engine'!$W$3:$W$225,$O30)</f>
        <v>94.74</v>
      </c>
      <c r="N30" t="str">
        <f>INDEX('Draft Engine'!$T$3:$T$225,$O30)</f>
        <v>B</v>
      </c>
      <c r="O30" s="6">
        <f>MATCH($A30,'Draft Engine'!$Q$3:$Q$225,0)</f>
        <v>95</v>
      </c>
    </row>
    <row r="31" spans="1:15" x14ac:dyDescent="0.25">
      <c r="A31">
        <f>29</f>
        <v>29</v>
      </c>
      <c r="B31" t="str">
        <f>INDEX('Draft Engine'!$A$3:$A$225,$O31)</f>
        <v>RB</v>
      </c>
      <c r="C31">
        <f>INDEX('Draft Engine'!$F$3:$F$225,$O31)</f>
        <v>14</v>
      </c>
      <c r="D31" t="str">
        <f>INDEX('Draft Engine'!$B$3:$B$225,$O31)</f>
        <v>Chase Brown</v>
      </c>
      <c r="E31" s="4">
        <f>INDEX('Draft Engine'!$N$3:$N$225,$O31)</f>
        <v>83.837545000000006</v>
      </c>
      <c r="F31" s="4">
        <f>INDEX('Draft Engine'!$E$3:$E$225,$O31)</f>
        <v>85.664400000000001</v>
      </c>
      <c r="G31" s="4">
        <f>INDEX('Draft Engine'!$G$3:$G$225,$O31)</f>
        <v>289.8</v>
      </c>
      <c r="H31" s="4">
        <f>INDEX('Draft Engine'!$J$3:$J$225,$O31)</f>
        <v>50.8</v>
      </c>
      <c r="I31" s="4">
        <f>INDEX('Draft Engine'!$L$3:$L$225,$O31)</f>
        <v>83.854166666666671</v>
      </c>
      <c r="J31" s="4">
        <f>INDEX('Draft Engine'!$R$3:$R$225,$O31)</f>
        <v>21</v>
      </c>
      <c r="K31" s="4">
        <f>INDEX('Draft Engine'!$S$3:$S$225,$O31)</f>
        <v>-8</v>
      </c>
      <c r="L31" s="4">
        <f>INDEX('Draft Engine'!$U$3:$U$225,$O31)</f>
        <v>79.664400000000001</v>
      </c>
      <c r="M31" s="4">
        <f>INDEX('Draft Engine'!$W$3:$W$225,$O31)</f>
        <v>91.664400000000001</v>
      </c>
      <c r="N31" t="str">
        <f>INDEX('Draft Engine'!$T$3:$T$225,$O31)</f>
        <v>A</v>
      </c>
      <c r="O31" s="6">
        <f>MATCH($A31,'Draft Engine'!$Q$3:$Q$225,0)</f>
        <v>46</v>
      </c>
    </row>
    <row r="32" spans="1:15" x14ac:dyDescent="0.25">
      <c r="A32">
        <f>30</f>
        <v>30</v>
      </c>
      <c r="B32" t="str">
        <f>INDEX('Draft Engine'!$A$3:$A$225,$O32)</f>
        <v>QB</v>
      </c>
      <c r="C32">
        <f>INDEX('Draft Engine'!$F$3:$F$225,$O32)</f>
        <v>2</v>
      </c>
      <c r="D32" t="str">
        <f>INDEX('Draft Engine'!$B$3:$B$225,$O32)</f>
        <v>Caleb Williams</v>
      </c>
      <c r="E32" s="4">
        <f>INDEX('Draft Engine'!$N$3:$N$225,$O32)</f>
        <v>83.020754230769228</v>
      </c>
      <c r="F32" s="4">
        <f>INDEX('Draft Engine'!$E$3:$E$225,$O32)</f>
        <v>92.192700000000002</v>
      </c>
      <c r="G32" s="4">
        <f>INDEX('Draft Engine'!$G$3:$G$225,$O32)</f>
        <v>384.9</v>
      </c>
      <c r="H32" s="4">
        <f>INDEX('Draft Engine'!$J$3:$J$225,$O32)</f>
        <v>33.799999999999997</v>
      </c>
      <c r="I32" s="4">
        <f>INDEX('Draft Engine'!$L$3:$L$225,$O32)</f>
        <v>94.871794871794862</v>
      </c>
      <c r="J32" s="4">
        <f>INDEX('Draft Engine'!$R$3:$R$225,$O32)</f>
        <v>30</v>
      </c>
      <c r="K32" s="4">
        <f>INDEX('Draft Engine'!$S$3:$S$225,$O32)</f>
        <v>0</v>
      </c>
      <c r="L32" s="4">
        <f>INDEX('Draft Engine'!$U$3:$U$225,$O32)</f>
        <v>86.192700000000002</v>
      </c>
      <c r="M32" s="4">
        <f>INDEX('Draft Engine'!$W$3:$W$225,$O32)</f>
        <v>98.192700000000002</v>
      </c>
      <c r="N32" t="str">
        <f>INDEX('Draft Engine'!$T$3:$T$225,$O32)</f>
        <v>A</v>
      </c>
      <c r="O32" s="6">
        <f>MATCH($A32,'Draft Engine'!$Q$3:$Q$225,0)</f>
        <v>2</v>
      </c>
    </row>
    <row r="33" spans="1:15" x14ac:dyDescent="0.25">
      <c r="A33">
        <f>31</f>
        <v>31</v>
      </c>
      <c r="B33" t="str">
        <f>INDEX('Draft Engine'!$A$3:$A$225,$O33)</f>
        <v>WR</v>
      </c>
      <c r="C33">
        <f>INDEX('Draft Engine'!$F$3:$F$225,$O33)</f>
        <v>13</v>
      </c>
      <c r="D33" t="str">
        <f>INDEX('Draft Engine'!$B$3:$B$225,$O33)</f>
        <v>Tee Higgins</v>
      </c>
      <c r="E33" s="4">
        <f>INDEX('Draft Engine'!$N$3:$N$225,$O33)</f>
        <v>82.612375000000014</v>
      </c>
      <c r="F33" s="4">
        <f>INDEX('Draft Engine'!$E$3:$E$225,$O33)</f>
        <v>84.822500000000005</v>
      </c>
      <c r="G33" s="4">
        <f>INDEX('Draft Engine'!$G$3:$G$225,$O33)</f>
        <v>286.3</v>
      </c>
      <c r="H33" s="4">
        <f>INDEX('Draft Engine'!$J$3:$J$225,$O33)</f>
        <v>47</v>
      </c>
      <c r="I33" s="4">
        <f>INDEX('Draft Engine'!$L$3:$L$225,$O33)</f>
        <v>83.333333333333329</v>
      </c>
      <c r="J33" s="4">
        <f>INDEX('Draft Engine'!$R$3:$R$225,$O33)</f>
        <v>53.7</v>
      </c>
      <c r="K33" s="4">
        <f>INDEX('Draft Engine'!$S$3:$S$225,$O33)</f>
        <v>22.700000000000003</v>
      </c>
      <c r="L33" s="4">
        <f>INDEX('Draft Engine'!$U$3:$U$225,$O33)</f>
        <v>75.822500000000005</v>
      </c>
      <c r="M33" s="4">
        <f>INDEX('Draft Engine'!$W$3:$W$225,$O33)</f>
        <v>93.822500000000005</v>
      </c>
      <c r="N33" t="str">
        <f>INDEX('Draft Engine'!$T$3:$T$225,$O33)</f>
        <v>B</v>
      </c>
      <c r="O33" s="6">
        <f>MATCH($A33,'Draft Engine'!$Q$3:$Q$225,0)</f>
        <v>96</v>
      </c>
    </row>
    <row r="34" spans="1:15" x14ac:dyDescent="0.25">
      <c r="A34">
        <f>32</f>
        <v>32</v>
      </c>
      <c r="B34" t="str">
        <f>INDEX('Draft Engine'!$A$3:$A$225,$O34)</f>
        <v>WR</v>
      </c>
      <c r="C34">
        <f>INDEX('Draft Engine'!$F$3:$F$225,$O34)</f>
        <v>14</v>
      </c>
      <c r="D34" t="str">
        <f>INDEX('Draft Engine'!$B$3:$B$225,$O34)</f>
        <v>Justin Jefferson</v>
      </c>
      <c r="E34" s="4">
        <f>INDEX('Draft Engine'!$N$3:$N$225,$O34)</f>
        <v>82.227146666666684</v>
      </c>
      <c r="F34" s="4">
        <f>INDEX('Draft Engine'!$E$3:$E$225,$O34)</f>
        <v>84.793599999999998</v>
      </c>
      <c r="G34" s="4">
        <f>INDEX('Draft Engine'!$G$3:$G$225,$O34)</f>
        <v>286.10000000000002</v>
      </c>
      <c r="H34" s="4">
        <f>INDEX('Draft Engine'!$J$3:$J$225,$O34)</f>
        <v>46.8</v>
      </c>
      <c r="I34" s="4">
        <f>INDEX('Draft Engine'!$L$3:$L$225,$O34)</f>
        <v>81.111111111111114</v>
      </c>
      <c r="J34" s="4">
        <f>INDEX('Draft Engine'!$R$3:$R$225,$O34)</f>
        <v>9</v>
      </c>
      <c r="K34" s="4">
        <f>INDEX('Draft Engine'!$S$3:$S$225,$O34)</f>
        <v>-23</v>
      </c>
      <c r="L34" s="4">
        <f>INDEX('Draft Engine'!$U$3:$U$225,$O34)</f>
        <v>78.793599999999998</v>
      </c>
      <c r="M34" s="4">
        <f>INDEX('Draft Engine'!$W$3:$W$225,$O34)</f>
        <v>90.793599999999998</v>
      </c>
      <c r="N34" t="str">
        <f>INDEX('Draft Engine'!$T$3:$T$225,$O34)</f>
        <v>A</v>
      </c>
      <c r="O34" s="6">
        <f>MATCH($A34,'Draft Engine'!$Q$3:$Q$225,0)</f>
        <v>89</v>
      </c>
    </row>
    <row r="35" spans="1:15" x14ac:dyDescent="0.25">
      <c r="A35">
        <f>33</f>
        <v>33</v>
      </c>
      <c r="B35" t="str">
        <f>INDEX('Draft Engine'!$A$3:$A$225,$O35)</f>
        <v>RB</v>
      </c>
      <c r="C35">
        <f>INDEX('Draft Engine'!$F$3:$F$225,$O35)</f>
        <v>15</v>
      </c>
      <c r="D35" t="str">
        <f>INDEX('Draft Engine'!$B$3:$B$225,$O35)</f>
        <v>Josh Jacobs</v>
      </c>
      <c r="E35" s="4">
        <f>INDEX('Draft Engine'!$N$3:$N$225,$O35)</f>
        <v>81.861270000000005</v>
      </c>
      <c r="F35" s="4">
        <f>INDEX('Draft Engine'!$E$3:$E$225,$O35)</f>
        <v>84.426400000000001</v>
      </c>
      <c r="G35" s="4">
        <f>INDEX('Draft Engine'!$G$3:$G$225,$O35)</f>
        <v>284.60000000000002</v>
      </c>
      <c r="H35" s="4">
        <f>INDEX('Draft Engine'!$J$3:$J$225,$O35)</f>
        <v>45.6</v>
      </c>
      <c r="I35" s="4">
        <f>INDEX('Draft Engine'!$L$3:$L$225,$O35)</f>
        <v>81.458333333333329</v>
      </c>
      <c r="J35" s="4">
        <f>INDEX('Draft Engine'!$R$3:$R$225,$O35)</f>
        <v>60.8</v>
      </c>
      <c r="K35" s="4">
        <f>INDEX('Draft Engine'!$S$3:$S$225,$O35)</f>
        <v>27.799999999999997</v>
      </c>
      <c r="L35" s="4">
        <f>INDEX('Draft Engine'!$U$3:$U$225,$O35)</f>
        <v>78.426400000000001</v>
      </c>
      <c r="M35" s="4">
        <f>INDEX('Draft Engine'!$W$3:$W$225,$O35)</f>
        <v>90.426400000000001</v>
      </c>
      <c r="N35" t="str">
        <f>INDEX('Draft Engine'!$T$3:$T$225,$O35)</f>
        <v>A</v>
      </c>
      <c r="O35" s="6">
        <f>MATCH($A35,'Draft Engine'!$Q$3:$Q$225,0)</f>
        <v>47</v>
      </c>
    </row>
    <row r="36" spans="1:15" x14ac:dyDescent="0.25">
      <c r="A36">
        <f>34</f>
        <v>34</v>
      </c>
      <c r="B36" t="str">
        <f>INDEX('Draft Engine'!$A$3:$A$225,$O36)</f>
        <v>TE</v>
      </c>
      <c r="C36">
        <f>INDEX('Draft Engine'!$F$3:$F$225,$O36)</f>
        <v>3</v>
      </c>
      <c r="D36" t="str">
        <f>INDEX('Draft Engine'!$B$3:$B$225,$O36)</f>
        <v>Colston Loveland</v>
      </c>
      <c r="E36" s="4">
        <f>INDEX('Draft Engine'!$N$3:$N$225,$O36)</f>
        <v>81.491589615384612</v>
      </c>
      <c r="F36" s="4">
        <f>INDEX('Draft Engine'!$E$3:$E$225,$O36)</f>
        <v>88.753100000000003</v>
      </c>
      <c r="G36" s="4">
        <f>INDEX('Draft Engine'!$G$3:$G$225,$O36)</f>
        <v>210.6</v>
      </c>
      <c r="H36" s="4">
        <f>INDEX('Draft Engine'!$J$3:$J$225,$O36)</f>
        <v>30.9</v>
      </c>
      <c r="I36" s="4">
        <f>INDEX('Draft Engine'!$L$3:$L$225,$O36)</f>
        <v>80.769230769230774</v>
      </c>
      <c r="J36" s="4">
        <f>INDEX('Draft Engine'!$R$3:$R$225,$O36)</f>
        <v>35</v>
      </c>
      <c r="K36" s="4">
        <f>INDEX('Draft Engine'!$S$3:$S$225,$O36)</f>
        <v>1</v>
      </c>
      <c r="L36" s="4">
        <f>INDEX('Draft Engine'!$U$3:$U$225,$O36)</f>
        <v>82.753100000000003</v>
      </c>
      <c r="M36" s="4">
        <f>INDEX('Draft Engine'!$W$3:$W$225,$O36)</f>
        <v>94.753100000000003</v>
      </c>
      <c r="N36" t="str">
        <f>INDEX('Draft Engine'!$T$3:$T$225,$O36)</f>
        <v>A</v>
      </c>
      <c r="O36" s="6">
        <f>MATCH($A36,'Draft Engine'!$Q$3:$Q$225,0)</f>
        <v>155</v>
      </c>
    </row>
    <row r="37" spans="1:15" x14ac:dyDescent="0.25">
      <c r="A37">
        <f>35</f>
        <v>35</v>
      </c>
      <c r="B37" t="str">
        <f>INDEX('Draft Engine'!$A$3:$A$225,$O37)</f>
        <v>WR</v>
      </c>
      <c r="C37">
        <f>INDEX('Draft Engine'!$F$3:$F$225,$O37)</f>
        <v>15</v>
      </c>
      <c r="D37" t="str">
        <f>INDEX('Draft Engine'!$B$3:$B$225,$O37)</f>
        <v>Rashee Rice</v>
      </c>
      <c r="E37" s="4">
        <f>INDEX('Draft Engine'!$N$3:$N$225,$O37)</f>
        <v>80.987418333333338</v>
      </c>
      <c r="F37" s="4">
        <f>INDEX('Draft Engine'!$E$3:$E$225,$O37)</f>
        <v>84.094700000000003</v>
      </c>
      <c r="G37" s="4">
        <f>INDEX('Draft Engine'!$G$3:$G$225,$O37)</f>
        <v>283.2</v>
      </c>
      <c r="H37" s="4">
        <f>INDEX('Draft Engine'!$J$3:$J$225,$O37)</f>
        <v>43.9</v>
      </c>
      <c r="I37" s="4">
        <f>INDEX('Draft Engine'!$L$3:$L$225,$O37)</f>
        <v>78.888888888888886</v>
      </c>
      <c r="J37" s="4">
        <f>INDEX('Draft Engine'!$R$3:$R$225,$O37)</f>
        <v>22</v>
      </c>
      <c r="K37" s="4">
        <f>INDEX('Draft Engine'!$S$3:$S$225,$O37)</f>
        <v>-13</v>
      </c>
      <c r="L37" s="4">
        <f>INDEX('Draft Engine'!$U$3:$U$225,$O37)</f>
        <v>78.094700000000003</v>
      </c>
      <c r="M37" s="4">
        <f>INDEX('Draft Engine'!$W$3:$W$225,$O37)</f>
        <v>90.094700000000003</v>
      </c>
      <c r="N37" t="str">
        <f>INDEX('Draft Engine'!$T$3:$T$225,$O37)</f>
        <v>A</v>
      </c>
      <c r="O37" s="6">
        <f>MATCH($A37,'Draft Engine'!$Q$3:$Q$225,0)</f>
        <v>93</v>
      </c>
    </row>
    <row r="38" spans="1:15" x14ac:dyDescent="0.25">
      <c r="A38">
        <f>36</f>
        <v>36</v>
      </c>
      <c r="B38" t="str">
        <f>INDEX('Draft Engine'!$A$3:$A$225,$O38)</f>
        <v>RB</v>
      </c>
      <c r="C38">
        <f>INDEX('Draft Engine'!$F$3:$F$225,$O38)</f>
        <v>16</v>
      </c>
      <c r="D38" t="str">
        <f>INDEX('Draft Engine'!$B$3:$B$225,$O38)</f>
        <v>Saquon Barkley</v>
      </c>
      <c r="E38" s="4">
        <f>INDEX('Draft Engine'!$N$3:$N$225,$O38)</f>
        <v>80.980074999999999</v>
      </c>
      <c r="F38" s="4">
        <f>INDEX('Draft Engine'!$E$3:$E$225,$O38)</f>
        <v>84.034000000000006</v>
      </c>
      <c r="G38" s="4">
        <f>INDEX('Draft Engine'!$G$3:$G$225,$O38)</f>
        <v>282.89999999999998</v>
      </c>
      <c r="H38" s="4">
        <f>INDEX('Draft Engine'!$J$3:$J$225,$O38)</f>
        <v>43.9</v>
      </c>
      <c r="I38" s="4">
        <f>INDEX('Draft Engine'!$L$3:$L$225,$O38)</f>
        <v>79.0625</v>
      </c>
      <c r="J38" s="4">
        <f>INDEX('Draft Engine'!$R$3:$R$225,$O38)</f>
        <v>65</v>
      </c>
      <c r="K38" s="4">
        <f>INDEX('Draft Engine'!$S$3:$S$225,$O38)</f>
        <v>29</v>
      </c>
      <c r="L38" s="4">
        <f>INDEX('Draft Engine'!$U$3:$U$225,$O38)</f>
        <v>78.034000000000006</v>
      </c>
      <c r="M38" s="4">
        <f>INDEX('Draft Engine'!$W$3:$W$225,$O38)</f>
        <v>90.034000000000006</v>
      </c>
      <c r="N38" t="str">
        <f>INDEX('Draft Engine'!$T$3:$T$225,$O38)</f>
        <v>A</v>
      </c>
      <c r="O38" s="6">
        <f>MATCH($A38,'Draft Engine'!$Q$3:$Q$225,0)</f>
        <v>48</v>
      </c>
    </row>
    <row r="39" spans="1:15" x14ac:dyDescent="0.25">
      <c r="A39">
        <f>37</f>
        <v>37</v>
      </c>
      <c r="B39" t="str">
        <f>INDEX('Draft Engine'!$A$3:$A$225,$O39)</f>
        <v>QB</v>
      </c>
      <c r="C39">
        <f>INDEX('Draft Engine'!$F$3:$F$225,$O39)</f>
        <v>3</v>
      </c>
      <c r="D39" t="str">
        <f>INDEX('Draft Engine'!$B$3:$B$225,$O39)</f>
        <v>Drake Maye</v>
      </c>
      <c r="E39" s="4">
        <f>INDEX('Draft Engine'!$N$3:$N$225,$O39)</f>
        <v>80.683188461538478</v>
      </c>
      <c r="F39" s="4">
        <f>INDEX('Draft Engine'!$E$3:$E$225,$O39)</f>
        <v>91.043000000000006</v>
      </c>
      <c r="G39" s="4">
        <f>INDEX('Draft Engine'!$G$3:$G$225,$O39)</f>
        <v>379.7</v>
      </c>
      <c r="H39" s="4">
        <f>INDEX('Draft Engine'!$J$3:$J$225,$O39)</f>
        <v>28.6</v>
      </c>
      <c r="I39" s="4">
        <f>INDEX('Draft Engine'!$L$3:$L$225,$O39)</f>
        <v>89.743589743589752</v>
      </c>
      <c r="J39" s="4">
        <f>INDEX('Draft Engine'!$R$3:$R$225,$O39)</f>
        <v>38</v>
      </c>
      <c r="K39" s="4">
        <f>INDEX('Draft Engine'!$S$3:$S$225,$O39)</f>
        <v>1</v>
      </c>
      <c r="L39" s="4">
        <f>INDEX('Draft Engine'!$U$3:$U$225,$O39)</f>
        <v>85.043000000000006</v>
      </c>
      <c r="M39" s="4">
        <f>INDEX('Draft Engine'!$W$3:$W$225,$O39)</f>
        <v>97.043000000000006</v>
      </c>
      <c r="N39" t="str">
        <f>INDEX('Draft Engine'!$T$3:$T$225,$O39)</f>
        <v>A</v>
      </c>
      <c r="O39" s="6">
        <f>MATCH($A39,'Draft Engine'!$Q$3:$Q$225,0)</f>
        <v>3</v>
      </c>
    </row>
    <row r="40" spans="1:15" x14ac:dyDescent="0.25">
      <c r="A40">
        <f>38</f>
        <v>38</v>
      </c>
      <c r="B40" t="str">
        <f>INDEX('Draft Engine'!$A$3:$A$225,$O40)</f>
        <v>RB</v>
      </c>
      <c r="C40">
        <f>INDEX('Draft Engine'!$F$3:$F$225,$O40)</f>
        <v>17</v>
      </c>
      <c r="D40" t="str">
        <f>INDEX('Draft Engine'!$B$3:$B$225,$O40)</f>
        <v>Javonte Williams</v>
      </c>
      <c r="E40" s="4">
        <f>INDEX('Draft Engine'!$N$3:$N$225,$O40)</f>
        <v>80.331760000000003</v>
      </c>
      <c r="F40" s="4">
        <f>INDEX('Draft Engine'!$E$3:$E$225,$O40)</f>
        <v>83.803200000000004</v>
      </c>
      <c r="G40" s="4">
        <f>INDEX('Draft Engine'!$G$3:$G$225,$O40)</f>
        <v>282</v>
      </c>
      <c r="H40" s="4">
        <f>INDEX('Draft Engine'!$J$3:$J$225,$O40)</f>
        <v>43</v>
      </c>
      <c r="I40" s="4">
        <f>INDEX('Draft Engine'!$L$3:$L$225,$O40)</f>
        <v>76.666666666666671</v>
      </c>
      <c r="J40" s="4">
        <f>INDEX('Draft Engine'!$R$3:$R$225,$O40)</f>
        <v>69.2</v>
      </c>
      <c r="K40" s="4">
        <f>INDEX('Draft Engine'!$S$3:$S$225,$O40)</f>
        <v>31.200000000000003</v>
      </c>
      <c r="L40" s="4">
        <f>INDEX('Draft Engine'!$U$3:$U$225,$O40)</f>
        <v>77.803200000000004</v>
      </c>
      <c r="M40" s="4">
        <f>INDEX('Draft Engine'!$W$3:$W$225,$O40)</f>
        <v>89.803200000000004</v>
      </c>
      <c r="N40" t="str">
        <f>INDEX('Draft Engine'!$T$3:$T$225,$O40)</f>
        <v>A</v>
      </c>
      <c r="O40" s="6">
        <f>MATCH($A40,'Draft Engine'!$Q$3:$Q$225,0)</f>
        <v>49</v>
      </c>
    </row>
    <row r="41" spans="1:15" x14ac:dyDescent="0.25">
      <c r="A41">
        <f>39</f>
        <v>39</v>
      </c>
      <c r="B41" t="str">
        <f>INDEX('Draft Engine'!$A$3:$A$225,$O41)</f>
        <v>WR</v>
      </c>
      <c r="C41">
        <f>INDEX('Draft Engine'!$F$3:$F$225,$O41)</f>
        <v>16</v>
      </c>
      <c r="D41" t="str">
        <f>INDEX('Draft Engine'!$B$3:$B$225,$O41)</f>
        <v>A.J. Brown</v>
      </c>
      <c r="E41" s="4">
        <f>INDEX('Draft Engine'!$N$3:$N$225,$O41)</f>
        <v>79.533635000000004</v>
      </c>
      <c r="F41" s="4">
        <f>INDEX('Draft Engine'!$E$3:$E$225,$O41)</f>
        <v>83.235699999999994</v>
      </c>
      <c r="G41" s="4">
        <f>INDEX('Draft Engine'!$G$3:$G$225,$O41)</f>
        <v>279.60000000000002</v>
      </c>
      <c r="H41" s="4">
        <f>INDEX('Draft Engine'!$J$3:$J$225,$O41)</f>
        <v>40.299999999999997</v>
      </c>
      <c r="I41" s="4">
        <f>INDEX('Draft Engine'!$L$3:$L$225,$O41)</f>
        <v>76.666666666666686</v>
      </c>
      <c r="J41" s="4">
        <f>INDEX('Draft Engine'!$R$3:$R$225,$O41)</f>
        <v>14</v>
      </c>
      <c r="K41" s="4">
        <f>INDEX('Draft Engine'!$S$3:$S$225,$O41)</f>
        <v>-25</v>
      </c>
      <c r="L41" s="4">
        <f>INDEX('Draft Engine'!$U$3:$U$225,$O41)</f>
        <v>77.235699999999994</v>
      </c>
      <c r="M41" s="4">
        <f>INDEX('Draft Engine'!$W$3:$W$225,$O41)</f>
        <v>89.235699999999994</v>
      </c>
      <c r="N41" t="str">
        <f>INDEX('Draft Engine'!$T$3:$T$225,$O41)</f>
        <v>A</v>
      </c>
      <c r="O41" s="6">
        <f>MATCH($A41,'Draft Engine'!$Q$3:$Q$225,0)</f>
        <v>87</v>
      </c>
    </row>
    <row r="42" spans="1:15" x14ac:dyDescent="0.25">
      <c r="A42">
        <f>40</f>
        <v>40</v>
      </c>
      <c r="B42" t="str">
        <f>INDEX('Draft Engine'!$A$3:$A$225,$O42)</f>
        <v>RB</v>
      </c>
      <c r="C42">
        <f>INDEX('Draft Engine'!$F$3:$F$225,$O42)</f>
        <v>18</v>
      </c>
      <c r="D42" t="str">
        <f>INDEX('Draft Engine'!$B$3:$B$225,$O42)</f>
        <v>Travis Etienne Jr.</v>
      </c>
      <c r="E42" s="4">
        <f>INDEX('Draft Engine'!$N$3:$N$225,$O42)</f>
        <v>78.978605000000002</v>
      </c>
      <c r="F42" s="4">
        <f>INDEX('Draft Engine'!$E$3:$E$225,$O42)</f>
        <v>83.043599999999998</v>
      </c>
      <c r="G42" s="4">
        <f>INDEX('Draft Engine'!$G$3:$G$225,$O42)</f>
        <v>278.8</v>
      </c>
      <c r="H42" s="4">
        <f>INDEX('Draft Engine'!$J$3:$J$225,$O42)</f>
        <v>39.799999999999997</v>
      </c>
      <c r="I42" s="4">
        <f>INDEX('Draft Engine'!$L$3:$L$225,$O42)</f>
        <v>74.270833333333329</v>
      </c>
      <c r="J42" s="4">
        <f>INDEX('Draft Engine'!$R$3:$R$225,$O42)</f>
        <v>73.400000000000006</v>
      </c>
      <c r="K42" s="4">
        <f>INDEX('Draft Engine'!$S$3:$S$225,$O42)</f>
        <v>33.400000000000006</v>
      </c>
      <c r="L42" s="4">
        <f>INDEX('Draft Engine'!$U$3:$U$225,$O42)</f>
        <v>77.043599999999998</v>
      </c>
      <c r="M42" s="4">
        <f>INDEX('Draft Engine'!$W$3:$W$225,$O42)</f>
        <v>89.043599999999998</v>
      </c>
      <c r="N42" t="str">
        <f>INDEX('Draft Engine'!$T$3:$T$225,$O42)</f>
        <v>A</v>
      </c>
      <c r="O42" s="6">
        <f>MATCH($A42,'Draft Engine'!$Q$3:$Q$225,0)</f>
        <v>50</v>
      </c>
    </row>
    <row r="43" spans="1:15" x14ac:dyDescent="0.25">
      <c r="A43">
        <f>41</f>
        <v>41</v>
      </c>
      <c r="B43" t="str">
        <f>INDEX('Draft Engine'!$A$3:$A$225,$O43)</f>
        <v>TE</v>
      </c>
      <c r="C43">
        <f>INDEX('Draft Engine'!$F$3:$F$225,$O43)</f>
        <v>4</v>
      </c>
      <c r="D43" t="str">
        <f>INDEX('Draft Engine'!$B$3:$B$225,$O43)</f>
        <v>Tyler Warren</v>
      </c>
      <c r="E43" s="4">
        <f>INDEX('Draft Engine'!$N$3:$N$225,$O43)</f>
        <v>78.974396923076924</v>
      </c>
      <c r="F43" s="4">
        <f>INDEX('Draft Engine'!$E$3:$E$225,$O43)</f>
        <v>87.202399999999997</v>
      </c>
      <c r="G43" s="4">
        <f>INDEX('Draft Engine'!$G$3:$G$225,$O43)</f>
        <v>205.2</v>
      </c>
      <c r="H43" s="4">
        <f>INDEX('Draft Engine'!$J$3:$J$225,$O43)</f>
        <v>25.5</v>
      </c>
      <c r="I43" s="4">
        <f>INDEX('Draft Engine'!$L$3:$L$225,$O43)</f>
        <v>76.15384615384616</v>
      </c>
      <c r="J43" s="4">
        <f>INDEX('Draft Engine'!$R$3:$R$225,$O43)</f>
        <v>44</v>
      </c>
      <c r="K43" s="4">
        <f>INDEX('Draft Engine'!$S$3:$S$225,$O43)</f>
        <v>3</v>
      </c>
      <c r="L43" s="4">
        <f>INDEX('Draft Engine'!$U$3:$U$225,$O43)</f>
        <v>81.202399999999997</v>
      </c>
      <c r="M43" s="4">
        <f>INDEX('Draft Engine'!$W$3:$W$225,$O43)</f>
        <v>93.202399999999997</v>
      </c>
      <c r="N43" t="str">
        <f>INDEX('Draft Engine'!$T$3:$T$225,$O43)</f>
        <v>A</v>
      </c>
      <c r="O43" s="6">
        <f>MATCH($A43,'Draft Engine'!$Q$3:$Q$225,0)</f>
        <v>156</v>
      </c>
    </row>
    <row r="44" spans="1:15" x14ac:dyDescent="0.25">
      <c r="A44">
        <f>42</f>
        <v>42</v>
      </c>
      <c r="B44" t="str">
        <f>INDEX('Draft Engine'!$A$3:$A$225,$O44)</f>
        <v>QB</v>
      </c>
      <c r="C44">
        <f>INDEX('Draft Engine'!$F$3:$F$225,$O44)</f>
        <v>4</v>
      </c>
      <c r="D44" t="str">
        <f>INDEX('Draft Engine'!$B$3:$B$225,$O44)</f>
        <v>Justin Herbert</v>
      </c>
      <c r="E44" s="4">
        <f>INDEX('Draft Engine'!$N$3:$N$225,$O44)</f>
        <v>78.648602692307691</v>
      </c>
      <c r="F44" s="4">
        <f>INDEX('Draft Engine'!$E$3:$E$225,$O44)</f>
        <v>90.116900000000001</v>
      </c>
      <c r="G44" s="4">
        <f>INDEX('Draft Engine'!$G$3:$G$225,$O44)</f>
        <v>375.5</v>
      </c>
      <c r="H44" s="4">
        <f>INDEX('Draft Engine'!$J$3:$J$225,$O44)</f>
        <v>24.4</v>
      </c>
      <c r="I44" s="4">
        <f>INDEX('Draft Engine'!$L$3:$L$225,$O44)</f>
        <v>84.615384615384613</v>
      </c>
      <c r="J44" s="4">
        <f>INDEX('Draft Engine'!$R$3:$R$225,$O44)</f>
        <v>46</v>
      </c>
      <c r="K44" s="4">
        <f>INDEX('Draft Engine'!$S$3:$S$225,$O44)</f>
        <v>4</v>
      </c>
      <c r="L44" s="4">
        <f>INDEX('Draft Engine'!$U$3:$U$225,$O44)</f>
        <v>84.116900000000001</v>
      </c>
      <c r="M44" s="4">
        <f>INDEX('Draft Engine'!$W$3:$W$225,$O44)</f>
        <v>96.116900000000001</v>
      </c>
      <c r="N44" t="str">
        <f>INDEX('Draft Engine'!$T$3:$T$225,$O44)</f>
        <v>A</v>
      </c>
      <c r="O44" s="6">
        <f>MATCH($A44,'Draft Engine'!$Q$3:$Q$225,0)</f>
        <v>4</v>
      </c>
    </row>
    <row r="45" spans="1:15" x14ac:dyDescent="0.25">
      <c r="A45">
        <f>43</f>
        <v>43</v>
      </c>
      <c r="B45" t="str">
        <f>INDEX('Draft Engine'!$A$3:$A$225,$O45)</f>
        <v>WR</v>
      </c>
      <c r="C45">
        <f>INDEX('Draft Engine'!$F$3:$F$225,$O45)</f>
        <v>17</v>
      </c>
      <c r="D45" t="str">
        <f>INDEX('Draft Engine'!$B$3:$B$225,$O45)</f>
        <v>Ladd McConkey</v>
      </c>
      <c r="E45" s="4">
        <f>INDEX('Draft Engine'!$N$3:$N$225,$O45)</f>
        <v>78.545541666666679</v>
      </c>
      <c r="F45" s="4">
        <f>INDEX('Draft Engine'!$E$3:$E$225,$O45)</f>
        <v>82.732500000000002</v>
      </c>
      <c r="G45" s="4">
        <f>INDEX('Draft Engine'!$G$3:$G$225,$O45)</f>
        <v>277.5</v>
      </c>
      <c r="H45" s="4">
        <f>INDEX('Draft Engine'!$J$3:$J$225,$O45)</f>
        <v>38.200000000000003</v>
      </c>
      <c r="I45" s="4">
        <f>INDEX('Draft Engine'!$L$3:$L$225,$O45)</f>
        <v>74.444444444444443</v>
      </c>
      <c r="J45" s="4">
        <f>INDEX('Draft Engine'!$R$3:$R$225,$O45)</f>
        <v>84.899999999999991</v>
      </c>
      <c r="K45" s="4">
        <f>INDEX('Draft Engine'!$S$3:$S$225,$O45)</f>
        <v>41.899999999999991</v>
      </c>
      <c r="L45" s="4">
        <f>INDEX('Draft Engine'!$U$3:$U$225,$O45)</f>
        <v>73.732500000000002</v>
      </c>
      <c r="M45" s="4">
        <f>INDEX('Draft Engine'!$W$3:$W$225,$O45)</f>
        <v>91.732500000000002</v>
      </c>
      <c r="N45" t="str">
        <f>INDEX('Draft Engine'!$T$3:$T$225,$O45)</f>
        <v>B</v>
      </c>
      <c r="O45" s="6">
        <f>MATCH($A45,'Draft Engine'!$Q$3:$Q$225,0)</f>
        <v>104</v>
      </c>
    </row>
    <row r="46" spans="1:15" x14ac:dyDescent="0.25">
      <c r="A46">
        <f>44</f>
        <v>44</v>
      </c>
      <c r="B46" t="str">
        <f>INDEX('Draft Engine'!$A$3:$A$225,$O46)</f>
        <v>WR</v>
      </c>
      <c r="C46">
        <f>INDEX('Draft Engine'!$F$3:$F$225,$O46)</f>
        <v>18</v>
      </c>
      <c r="D46" t="str">
        <f>INDEX('Draft Engine'!$B$3:$B$225,$O46)</f>
        <v>Jaylen Waddle</v>
      </c>
      <c r="E46" s="4">
        <f>INDEX('Draft Engine'!$N$3:$N$225,$O46)</f>
        <v>77.659958333333336</v>
      </c>
      <c r="F46" s="4">
        <f>INDEX('Draft Engine'!$E$3:$E$225,$O46)</f>
        <v>82.317499999999995</v>
      </c>
      <c r="G46" s="4">
        <f>INDEX('Draft Engine'!$G$3:$G$225,$O46)</f>
        <v>275.7</v>
      </c>
      <c r="H46" s="4">
        <f>INDEX('Draft Engine'!$J$3:$J$225,$O46)</f>
        <v>36.4</v>
      </c>
      <c r="I46" s="4">
        <f>INDEX('Draft Engine'!$L$3:$L$225,$O46)</f>
        <v>72.222222222222229</v>
      </c>
      <c r="J46" s="4">
        <f>INDEX('Draft Engine'!$R$3:$R$225,$O46)</f>
        <v>77.099999999999994</v>
      </c>
      <c r="K46" s="4">
        <f>INDEX('Draft Engine'!$S$3:$S$225,$O46)</f>
        <v>33.099999999999994</v>
      </c>
      <c r="L46" s="4">
        <f>INDEX('Draft Engine'!$U$3:$U$225,$O46)</f>
        <v>70.317499999999995</v>
      </c>
      <c r="M46" s="4">
        <f>INDEX('Draft Engine'!$W$3:$W$225,$O46)</f>
        <v>94.317499999999995</v>
      </c>
      <c r="N46" t="str">
        <f>INDEX('Draft Engine'!$T$3:$T$225,$O46)</f>
        <v>C</v>
      </c>
      <c r="O46" s="6">
        <f>MATCH($A46,'Draft Engine'!$Q$3:$Q$225,0)</f>
        <v>102</v>
      </c>
    </row>
    <row r="47" spans="1:15" x14ac:dyDescent="0.25">
      <c r="A47">
        <f>45</f>
        <v>45</v>
      </c>
      <c r="B47" t="str">
        <f>INDEX('Draft Engine'!$A$3:$A$225,$O47)</f>
        <v>TE</v>
      </c>
      <c r="C47">
        <f>INDEX('Draft Engine'!$F$3:$F$225,$O47)</f>
        <v>5</v>
      </c>
      <c r="D47" t="str">
        <f>INDEX('Draft Engine'!$B$3:$B$225,$O47)</f>
        <v>George Kittle</v>
      </c>
      <c r="E47" s="4">
        <f>INDEX('Draft Engine'!$N$3:$N$225,$O47)</f>
        <v>77.173289230769228</v>
      </c>
      <c r="F47" s="4">
        <f>INDEX('Draft Engine'!$E$3:$E$225,$O47)</f>
        <v>86.266400000000004</v>
      </c>
      <c r="G47" s="4">
        <f>INDEX('Draft Engine'!$G$3:$G$225,$O47)</f>
        <v>201.9</v>
      </c>
      <c r="H47" s="4">
        <f>INDEX('Draft Engine'!$J$3:$J$225,$O47)</f>
        <v>22.2</v>
      </c>
      <c r="I47" s="4">
        <f>INDEX('Draft Engine'!$L$3:$L$225,$O47)</f>
        <v>71.538461538461547</v>
      </c>
      <c r="J47" s="4">
        <f>INDEX('Draft Engine'!$R$3:$R$225,$O47)</f>
        <v>53</v>
      </c>
      <c r="K47" s="4">
        <f>INDEX('Draft Engine'!$S$3:$S$225,$O47)</f>
        <v>8</v>
      </c>
      <c r="L47" s="4">
        <f>INDEX('Draft Engine'!$U$3:$U$225,$O47)</f>
        <v>77.266400000000004</v>
      </c>
      <c r="M47" s="4">
        <f>INDEX('Draft Engine'!$W$3:$W$225,$O47)</f>
        <v>95.266400000000004</v>
      </c>
      <c r="N47" t="str">
        <f>INDEX('Draft Engine'!$T$3:$T$225,$O47)</f>
        <v>B</v>
      </c>
      <c r="O47" s="6">
        <f>MATCH($A47,'Draft Engine'!$Q$3:$Q$225,0)</f>
        <v>157</v>
      </c>
    </row>
    <row r="48" spans="1:15" x14ac:dyDescent="0.25">
      <c r="A48">
        <f>46</f>
        <v>46</v>
      </c>
      <c r="B48" t="str">
        <f>INDEX('Draft Engine'!$A$3:$A$225,$O48)</f>
        <v>RB</v>
      </c>
      <c r="C48">
        <f>INDEX('Draft Engine'!$F$3:$F$225,$O48)</f>
        <v>19</v>
      </c>
      <c r="D48" t="str">
        <f>INDEX('Draft Engine'!$B$3:$B$225,$O48)</f>
        <v>Cam Skattebo</v>
      </c>
      <c r="E48" s="4">
        <f>INDEX('Draft Engine'!$N$3:$N$225,$O48)</f>
        <v>77.101870000000005</v>
      </c>
      <c r="F48" s="4">
        <f>INDEX('Draft Engine'!$E$3:$E$225,$O48)</f>
        <v>81.888400000000004</v>
      </c>
      <c r="G48" s="4">
        <f>INDEX('Draft Engine'!$G$3:$G$225,$O48)</f>
        <v>273.89999999999998</v>
      </c>
      <c r="H48" s="4">
        <f>INDEX('Draft Engine'!$J$3:$J$225,$O48)</f>
        <v>34.9</v>
      </c>
      <c r="I48" s="4">
        <f>INDEX('Draft Engine'!$L$3:$L$225,$O48)</f>
        <v>71.875</v>
      </c>
      <c r="J48" s="4">
        <f>INDEX('Draft Engine'!$R$3:$R$225,$O48)</f>
        <v>77.600000000000009</v>
      </c>
      <c r="K48" s="4">
        <f>INDEX('Draft Engine'!$S$3:$S$225,$O48)</f>
        <v>31.600000000000009</v>
      </c>
      <c r="L48" s="4">
        <f>INDEX('Draft Engine'!$U$3:$U$225,$O48)</f>
        <v>72.888400000000004</v>
      </c>
      <c r="M48" s="4">
        <f>INDEX('Draft Engine'!$W$3:$W$225,$O48)</f>
        <v>90.888400000000004</v>
      </c>
      <c r="N48" t="str">
        <f>INDEX('Draft Engine'!$T$3:$T$225,$O48)</f>
        <v>B</v>
      </c>
      <c r="O48" s="6">
        <f>MATCH($A48,'Draft Engine'!$Q$3:$Q$225,0)</f>
        <v>51</v>
      </c>
    </row>
    <row r="49" spans="1:15" x14ac:dyDescent="0.25">
      <c r="A49">
        <f>47</f>
        <v>47</v>
      </c>
      <c r="B49" t="str">
        <f>INDEX('Draft Engine'!$A$3:$A$225,$O49)</f>
        <v>WR</v>
      </c>
      <c r="C49">
        <f>INDEX('Draft Engine'!$F$3:$F$225,$O49)</f>
        <v>19</v>
      </c>
      <c r="D49" t="str">
        <f>INDEX('Draft Engine'!$B$3:$B$225,$O49)</f>
        <v>George Pickens</v>
      </c>
      <c r="E49" s="4">
        <f>INDEX('Draft Engine'!$N$3:$N$225,$O49)</f>
        <v>76.702130000000011</v>
      </c>
      <c r="F49" s="4">
        <f>INDEX('Draft Engine'!$E$3:$E$225,$O49)</f>
        <v>81.836600000000004</v>
      </c>
      <c r="G49" s="4">
        <f>INDEX('Draft Engine'!$G$3:$G$225,$O49)</f>
        <v>273.7</v>
      </c>
      <c r="H49" s="4">
        <f>INDEX('Draft Engine'!$J$3:$J$225,$O49)</f>
        <v>34.4</v>
      </c>
      <c r="I49" s="4">
        <f>INDEX('Draft Engine'!$L$3:$L$225,$O49)</f>
        <v>70</v>
      </c>
      <c r="J49" s="4">
        <f>INDEX('Draft Engine'!$R$3:$R$225,$O49)</f>
        <v>16</v>
      </c>
      <c r="K49" s="4">
        <f>INDEX('Draft Engine'!$S$3:$S$225,$O49)</f>
        <v>-31</v>
      </c>
      <c r="L49" s="4">
        <f>INDEX('Draft Engine'!$U$3:$U$225,$O49)</f>
        <v>75.836600000000004</v>
      </c>
      <c r="M49" s="4">
        <f>INDEX('Draft Engine'!$W$3:$W$225,$O49)</f>
        <v>87.836600000000004</v>
      </c>
      <c r="N49" t="str">
        <f>INDEX('Draft Engine'!$T$3:$T$225,$O49)</f>
        <v>A</v>
      </c>
      <c r="O49" s="6">
        <f>MATCH($A49,'Draft Engine'!$Q$3:$Q$225,0)</f>
        <v>90</v>
      </c>
    </row>
    <row r="50" spans="1:15" x14ac:dyDescent="0.25">
      <c r="A50">
        <f>48</f>
        <v>48</v>
      </c>
      <c r="B50" t="str">
        <f>INDEX('Draft Engine'!$A$3:$A$225,$O50)</f>
        <v>WR</v>
      </c>
      <c r="C50">
        <f>INDEX('Draft Engine'!$F$3:$F$225,$O50)</f>
        <v>20</v>
      </c>
      <c r="D50" t="str">
        <f>INDEX('Draft Engine'!$B$3:$B$225,$O50)</f>
        <v>Emeka Egbuka</v>
      </c>
      <c r="E50" s="4">
        <f>INDEX('Draft Engine'!$N$3:$N$225,$O50)</f>
        <v>76.240916666666678</v>
      </c>
      <c r="F50" s="4">
        <f>INDEX('Draft Engine'!$E$3:$E$225,$O50)</f>
        <v>81.734999999999999</v>
      </c>
      <c r="G50" s="4">
        <f>INDEX('Draft Engine'!$G$3:$G$225,$O50)</f>
        <v>273.3</v>
      </c>
      <c r="H50" s="4">
        <f>INDEX('Draft Engine'!$J$3:$J$225,$O50)</f>
        <v>34</v>
      </c>
      <c r="I50" s="4">
        <f>INDEX('Draft Engine'!$L$3:$L$225,$O50)</f>
        <v>67.777777777777786</v>
      </c>
      <c r="J50" s="4">
        <f>INDEX('Draft Engine'!$R$3:$R$225,$O50)</f>
        <v>73.2</v>
      </c>
      <c r="K50" s="4">
        <f>INDEX('Draft Engine'!$S$3:$S$225,$O50)</f>
        <v>25.200000000000003</v>
      </c>
      <c r="L50" s="4">
        <f>INDEX('Draft Engine'!$U$3:$U$225,$O50)</f>
        <v>69.734999999999999</v>
      </c>
      <c r="M50" s="4">
        <f>INDEX('Draft Engine'!$W$3:$W$225,$O50)</f>
        <v>93.734999999999999</v>
      </c>
      <c r="N50" t="str">
        <f>INDEX('Draft Engine'!$T$3:$T$225,$O50)</f>
        <v>C</v>
      </c>
      <c r="O50" s="6">
        <f>MATCH($A50,'Draft Engine'!$Q$3:$Q$225,0)</f>
        <v>101</v>
      </c>
    </row>
    <row r="51" spans="1:15" x14ac:dyDescent="0.25">
      <c r="A51">
        <f>49</f>
        <v>49</v>
      </c>
      <c r="B51" t="str">
        <f>INDEX('Draft Engine'!$A$3:$A$225,$O51)</f>
        <v>QB</v>
      </c>
      <c r="C51">
        <f>INDEX('Draft Engine'!$F$3:$F$225,$O51)</f>
        <v>5</v>
      </c>
      <c r="D51" t="str">
        <f>INDEX('Draft Engine'!$B$3:$B$225,$O51)</f>
        <v>Lamar Jackson</v>
      </c>
      <c r="E51" s="4">
        <f>INDEX('Draft Engine'!$N$3:$N$225,$O51)</f>
        <v>75.97223692307692</v>
      </c>
      <c r="F51" s="4">
        <f>INDEX('Draft Engine'!$E$3:$E$225,$O51)</f>
        <v>88.711200000000005</v>
      </c>
      <c r="G51" s="4">
        <f>INDEX('Draft Engine'!$G$3:$G$225,$O51)</f>
        <v>369.2</v>
      </c>
      <c r="H51" s="4">
        <f>INDEX('Draft Engine'!$J$3:$J$225,$O51)</f>
        <v>18.100000000000001</v>
      </c>
      <c r="I51" s="4">
        <f>INDEX('Draft Engine'!$L$3:$L$225,$O51)</f>
        <v>79.487179487179489</v>
      </c>
      <c r="J51" s="4">
        <f>INDEX('Draft Engine'!$R$3:$R$225,$O51)</f>
        <v>54</v>
      </c>
      <c r="K51" s="4">
        <f>INDEX('Draft Engine'!$S$3:$S$225,$O51)</f>
        <v>5</v>
      </c>
      <c r="L51" s="4">
        <f>INDEX('Draft Engine'!$U$3:$U$225,$O51)</f>
        <v>82.711200000000005</v>
      </c>
      <c r="M51" s="4">
        <f>INDEX('Draft Engine'!$W$3:$W$225,$O51)</f>
        <v>94.711200000000005</v>
      </c>
      <c r="N51" t="str">
        <f>INDEX('Draft Engine'!$T$3:$T$225,$O51)</f>
        <v>A</v>
      </c>
      <c r="O51" s="6">
        <f>MATCH($A51,'Draft Engine'!$Q$3:$Q$225,0)</f>
        <v>5</v>
      </c>
    </row>
    <row r="52" spans="1:15" x14ac:dyDescent="0.25">
      <c r="A52">
        <f>50</f>
        <v>50</v>
      </c>
      <c r="B52" t="str">
        <f>INDEX('Draft Engine'!$A$3:$A$225,$O52)</f>
        <v>TE</v>
      </c>
      <c r="C52">
        <f>INDEX('Draft Engine'!$F$3:$F$225,$O52)</f>
        <v>6</v>
      </c>
      <c r="D52" t="str">
        <f>INDEX('Draft Engine'!$B$3:$B$225,$O52)</f>
        <v>Kyle Pitts Sr.</v>
      </c>
      <c r="E52" s="4">
        <f>INDEX('Draft Engine'!$N$3:$N$225,$O52)</f>
        <v>75.35793653846153</v>
      </c>
      <c r="F52" s="4">
        <f>INDEX('Draft Engine'!$E$3:$E$225,$O52)</f>
        <v>85.304500000000004</v>
      </c>
      <c r="G52" s="4">
        <f>INDEX('Draft Engine'!$G$3:$G$225,$O52)</f>
        <v>198.6</v>
      </c>
      <c r="H52" s="4">
        <f>INDEX('Draft Engine'!$J$3:$J$225,$O52)</f>
        <v>18.899999999999999</v>
      </c>
      <c r="I52" s="4">
        <f>INDEX('Draft Engine'!$L$3:$L$225,$O52)</f>
        <v>66.923076923076934</v>
      </c>
      <c r="J52" s="4">
        <f>INDEX('Draft Engine'!$R$3:$R$225,$O52)</f>
        <v>62</v>
      </c>
      <c r="K52" s="4">
        <f>INDEX('Draft Engine'!$S$3:$S$225,$O52)</f>
        <v>12</v>
      </c>
      <c r="L52" s="4">
        <f>INDEX('Draft Engine'!$U$3:$U$225,$O52)</f>
        <v>79.304500000000004</v>
      </c>
      <c r="M52" s="4">
        <f>INDEX('Draft Engine'!$W$3:$W$225,$O52)</f>
        <v>91.304500000000004</v>
      </c>
      <c r="N52" t="str">
        <f>INDEX('Draft Engine'!$T$3:$T$225,$O52)</f>
        <v>A</v>
      </c>
      <c r="O52" s="6">
        <f>MATCH($A52,'Draft Engine'!$Q$3:$Q$225,0)</f>
        <v>158</v>
      </c>
    </row>
    <row r="53" spans="1:15" x14ac:dyDescent="0.25">
      <c r="A53">
        <f>51</f>
        <v>51</v>
      </c>
      <c r="B53" t="str">
        <f>INDEX('Draft Engine'!$A$3:$A$225,$O53)</f>
        <v>WR</v>
      </c>
      <c r="C53">
        <f>INDEX('Draft Engine'!$F$3:$F$225,$O53)</f>
        <v>21</v>
      </c>
      <c r="D53" t="str">
        <f>INDEX('Draft Engine'!$B$3:$B$225,$O53)</f>
        <v>Malik Nabers</v>
      </c>
      <c r="E53" s="4">
        <f>INDEX('Draft Engine'!$N$3:$N$225,$O53)</f>
        <v>75.137208333333334</v>
      </c>
      <c r="F53" s="4">
        <f>INDEX('Draft Engine'!$E$3:$E$225,$O53)</f>
        <v>81.152500000000003</v>
      </c>
      <c r="G53" s="4">
        <f>INDEX('Draft Engine'!$G$3:$G$225,$O53)</f>
        <v>270.8</v>
      </c>
      <c r="H53" s="4">
        <f>INDEX('Draft Engine'!$J$3:$J$225,$O53)</f>
        <v>31.5</v>
      </c>
      <c r="I53" s="4">
        <f>INDEX('Draft Engine'!$L$3:$L$225,$O53)</f>
        <v>65.555555555555557</v>
      </c>
      <c r="J53" s="4">
        <f>INDEX('Draft Engine'!$R$3:$R$225,$O53)</f>
        <v>69.3</v>
      </c>
      <c r="K53" s="4">
        <f>INDEX('Draft Engine'!$S$3:$S$225,$O53)</f>
        <v>18.299999999999997</v>
      </c>
      <c r="L53" s="4">
        <f>INDEX('Draft Engine'!$U$3:$U$225,$O53)</f>
        <v>69.152500000000003</v>
      </c>
      <c r="M53" s="4">
        <f>INDEX('Draft Engine'!$W$3:$W$225,$O53)</f>
        <v>93.152500000000003</v>
      </c>
      <c r="N53" t="str">
        <f>INDEX('Draft Engine'!$T$3:$T$225,$O53)</f>
        <v>C</v>
      </c>
      <c r="O53" s="6">
        <f>MATCH($A53,'Draft Engine'!$Q$3:$Q$225,0)</f>
        <v>100</v>
      </c>
    </row>
    <row r="54" spans="1:15" x14ac:dyDescent="0.25">
      <c r="A54">
        <f>52</f>
        <v>52</v>
      </c>
      <c r="B54" t="str">
        <f>INDEX('Draft Engine'!$A$3:$A$225,$O54)</f>
        <v>QB</v>
      </c>
      <c r="C54">
        <f>INDEX('Draft Engine'!$F$3:$F$225,$O54)</f>
        <v>6</v>
      </c>
      <c r="D54" t="str">
        <f>INDEX('Draft Engine'!$B$3:$B$225,$O54)</f>
        <v>Jalen Hurts</v>
      </c>
      <c r="E54" s="4">
        <f>INDEX('Draft Engine'!$N$3:$N$225,$O54)</f>
        <v>74.843291153846167</v>
      </c>
      <c r="F54" s="4">
        <f>INDEX('Draft Engine'!$E$3:$E$225,$O54)</f>
        <v>88.4499</v>
      </c>
      <c r="G54" s="4">
        <f>INDEX('Draft Engine'!$G$3:$G$225,$O54)</f>
        <v>368</v>
      </c>
      <c r="H54" s="4">
        <f>INDEX('Draft Engine'!$J$3:$J$225,$O54)</f>
        <v>16.899999999999999</v>
      </c>
      <c r="I54" s="4">
        <f>INDEX('Draft Engine'!$L$3:$L$225,$O54)</f>
        <v>74.358974358974365</v>
      </c>
      <c r="J54" s="4">
        <f>INDEX('Draft Engine'!$R$3:$R$225,$O54)</f>
        <v>62</v>
      </c>
      <c r="K54" s="4">
        <f>INDEX('Draft Engine'!$S$3:$S$225,$O54)</f>
        <v>10</v>
      </c>
      <c r="L54" s="4">
        <f>INDEX('Draft Engine'!$U$3:$U$225,$O54)</f>
        <v>82.4499</v>
      </c>
      <c r="M54" s="4">
        <f>INDEX('Draft Engine'!$W$3:$W$225,$O54)</f>
        <v>94.4499</v>
      </c>
      <c r="N54" t="str">
        <f>INDEX('Draft Engine'!$T$3:$T$225,$O54)</f>
        <v>A</v>
      </c>
      <c r="O54" s="6">
        <f>MATCH($A54,'Draft Engine'!$Q$3:$Q$225,0)</f>
        <v>6</v>
      </c>
    </row>
    <row r="55" spans="1:15" x14ac:dyDescent="0.25">
      <c r="A55">
        <f>53</f>
        <v>53</v>
      </c>
      <c r="B55" t="str">
        <f>INDEX('Draft Engine'!$A$3:$A$225,$O55)</f>
        <v>RB</v>
      </c>
      <c r="C55">
        <f>INDEX('Draft Engine'!$F$3:$F$225,$O55)</f>
        <v>20</v>
      </c>
      <c r="D55" t="str">
        <f>INDEX('Draft Engine'!$B$3:$B$225,$O55)</f>
        <v>D'Andre Swift</v>
      </c>
      <c r="E55" s="4">
        <f>INDEX('Draft Engine'!$N$3:$N$225,$O55)</f>
        <v>74.255955</v>
      </c>
      <c r="F55" s="4">
        <f>INDEX('Draft Engine'!$E$3:$E$225,$O55)</f>
        <v>79.985600000000005</v>
      </c>
      <c r="G55" s="4">
        <f>INDEX('Draft Engine'!$G$3:$G$225,$O55)</f>
        <v>265.89999999999998</v>
      </c>
      <c r="H55" s="4">
        <f>INDEX('Draft Engine'!$J$3:$J$225,$O55)</f>
        <v>26.9</v>
      </c>
      <c r="I55" s="4">
        <f>INDEX('Draft Engine'!$L$3:$L$225,$O55)</f>
        <v>69.479166666666671</v>
      </c>
      <c r="J55" s="4">
        <f>INDEX('Draft Engine'!$R$3:$R$225,$O55)</f>
        <v>81.8</v>
      </c>
      <c r="K55" s="4">
        <f>INDEX('Draft Engine'!$S$3:$S$225,$O55)</f>
        <v>28.799999999999997</v>
      </c>
      <c r="L55" s="4">
        <f>INDEX('Draft Engine'!$U$3:$U$225,$O55)</f>
        <v>73.985600000000005</v>
      </c>
      <c r="M55" s="4">
        <f>INDEX('Draft Engine'!$W$3:$W$225,$O55)</f>
        <v>85.985600000000005</v>
      </c>
      <c r="N55" t="str">
        <f>INDEX('Draft Engine'!$T$3:$T$225,$O55)</f>
        <v>A</v>
      </c>
      <c r="O55" s="6">
        <f>MATCH($A55,'Draft Engine'!$Q$3:$Q$225,0)</f>
        <v>52</v>
      </c>
    </row>
    <row r="56" spans="1:15" x14ac:dyDescent="0.25">
      <c r="A56">
        <f>54</f>
        <v>54</v>
      </c>
      <c r="B56" t="str">
        <f>INDEX('Draft Engine'!$A$3:$A$225,$O56)</f>
        <v>RB</v>
      </c>
      <c r="C56">
        <f>INDEX('Draft Engine'!$F$3:$F$225,$O56)</f>
        <v>21</v>
      </c>
      <c r="D56" t="str">
        <f>INDEX('Draft Engine'!$B$3:$B$225,$O56)</f>
        <v>Bucky Irving</v>
      </c>
      <c r="E56" s="4">
        <f>INDEX('Draft Engine'!$N$3:$N$225,$O56)</f>
        <v>73.833025000000006</v>
      </c>
      <c r="F56" s="4">
        <f>INDEX('Draft Engine'!$E$3:$E$225,$O56)</f>
        <v>79.935500000000005</v>
      </c>
      <c r="G56" s="4">
        <f>INDEX('Draft Engine'!$G$3:$G$225,$O56)</f>
        <v>265.7</v>
      </c>
      <c r="H56" s="4">
        <f>INDEX('Draft Engine'!$J$3:$J$225,$O56)</f>
        <v>26.7</v>
      </c>
      <c r="I56" s="4">
        <f>INDEX('Draft Engine'!$L$3:$L$225,$O56)</f>
        <v>67.083333333333329</v>
      </c>
      <c r="J56" s="4">
        <f>INDEX('Draft Engine'!$R$3:$R$225,$O56)</f>
        <v>86</v>
      </c>
      <c r="K56" s="4">
        <f>INDEX('Draft Engine'!$S$3:$S$225,$O56)</f>
        <v>32</v>
      </c>
      <c r="L56" s="4">
        <f>INDEX('Draft Engine'!$U$3:$U$225,$O56)</f>
        <v>70.935500000000005</v>
      </c>
      <c r="M56" s="4">
        <f>INDEX('Draft Engine'!$W$3:$W$225,$O56)</f>
        <v>88.935500000000005</v>
      </c>
      <c r="N56" t="str">
        <f>INDEX('Draft Engine'!$T$3:$T$225,$O56)</f>
        <v>B</v>
      </c>
      <c r="O56" s="6">
        <f>MATCH($A56,'Draft Engine'!$Q$3:$Q$225,0)</f>
        <v>53</v>
      </c>
    </row>
    <row r="57" spans="1:15" x14ac:dyDescent="0.25">
      <c r="A57">
        <f>55</f>
        <v>55</v>
      </c>
      <c r="B57" t="str">
        <f>INDEX('Draft Engine'!$A$3:$A$225,$O57)</f>
        <v>TE</v>
      </c>
      <c r="C57">
        <f>INDEX('Draft Engine'!$F$3:$F$225,$O57)</f>
        <v>7</v>
      </c>
      <c r="D57" t="str">
        <f>INDEX('Draft Engine'!$B$3:$B$225,$O57)</f>
        <v>Harold Fannin Jr.</v>
      </c>
      <c r="E57" s="4">
        <f>INDEX('Draft Engine'!$N$3:$N$225,$O57)</f>
        <v>73.561888846153849</v>
      </c>
      <c r="F57" s="4">
        <f>INDEX('Draft Engine'!$E$3:$E$225,$O57)</f>
        <v>84.377700000000004</v>
      </c>
      <c r="G57" s="4">
        <f>INDEX('Draft Engine'!$G$3:$G$225,$O57)</f>
        <v>195.3</v>
      </c>
      <c r="H57" s="4">
        <f>INDEX('Draft Engine'!$J$3:$J$225,$O57)</f>
        <v>15.6</v>
      </c>
      <c r="I57" s="4">
        <f>INDEX('Draft Engine'!$L$3:$L$225,$O57)</f>
        <v>62.307692307692307</v>
      </c>
      <c r="J57" s="4">
        <f>INDEX('Draft Engine'!$R$3:$R$225,$O57)</f>
        <v>71</v>
      </c>
      <c r="K57" s="4">
        <f>INDEX('Draft Engine'!$S$3:$S$225,$O57)</f>
        <v>16</v>
      </c>
      <c r="L57" s="4">
        <f>INDEX('Draft Engine'!$U$3:$U$225,$O57)</f>
        <v>78.377700000000004</v>
      </c>
      <c r="M57" s="4">
        <f>INDEX('Draft Engine'!$W$3:$W$225,$O57)</f>
        <v>90.377700000000004</v>
      </c>
      <c r="N57" t="str">
        <f>INDEX('Draft Engine'!$T$3:$T$225,$O57)</f>
        <v>A</v>
      </c>
      <c r="O57" s="6">
        <f>MATCH($A57,'Draft Engine'!$Q$3:$Q$225,0)</f>
        <v>159</v>
      </c>
    </row>
    <row r="58" spans="1:15" x14ac:dyDescent="0.25">
      <c r="A58">
        <f>56</f>
        <v>56</v>
      </c>
      <c r="B58" t="str">
        <f>INDEX('Draft Engine'!$A$3:$A$225,$O58)</f>
        <v>RB</v>
      </c>
      <c r="C58">
        <f>INDEX('Draft Engine'!$F$3:$F$225,$O58)</f>
        <v>22</v>
      </c>
      <c r="D58" t="str">
        <f>INDEX('Draft Engine'!$B$3:$B$225,$O58)</f>
        <v>Quinshon Judkins</v>
      </c>
      <c r="E58" s="4">
        <f>INDEX('Draft Engine'!$N$3:$N$225,$O58)</f>
        <v>73.470789999999994</v>
      </c>
      <c r="F58" s="4">
        <f>INDEX('Draft Engine'!$E$3:$E$225,$O58)</f>
        <v>79.930300000000003</v>
      </c>
      <c r="G58" s="4">
        <f>INDEX('Draft Engine'!$G$3:$G$225,$O58)</f>
        <v>265.7</v>
      </c>
      <c r="H58" s="4">
        <f>INDEX('Draft Engine'!$J$3:$J$225,$O58)</f>
        <v>26.7</v>
      </c>
      <c r="I58" s="4">
        <f>INDEX('Draft Engine'!$L$3:$L$225,$O58)</f>
        <v>64.6875</v>
      </c>
      <c r="J58" s="4">
        <f>INDEX('Draft Engine'!$R$3:$R$225,$O58)</f>
        <v>90.2</v>
      </c>
      <c r="K58" s="4">
        <f>INDEX('Draft Engine'!$S$3:$S$225,$O58)</f>
        <v>34.200000000000003</v>
      </c>
      <c r="L58" s="4">
        <f>INDEX('Draft Engine'!$U$3:$U$225,$O58)</f>
        <v>73.930300000000003</v>
      </c>
      <c r="M58" s="4">
        <f>INDEX('Draft Engine'!$W$3:$W$225,$O58)</f>
        <v>85.930300000000003</v>
      </c>
      <c r="N58" t="str">
        <f>INDEX('Draft Engine'!$T$3:$T$225,$O58)</f>
        <v>A</v>
      </c>
      <c r="O58" s="6">
        <f>MATCH($A58,'Draft Engine'!$Q$3:$Q$225,0)</f>
        <v>54</v>
      </c>
    </row>
    <row r="59" spans="1:15" x14ac:dyDescent="0.25">
      <c r="A59">
        <f>57</f>
        <v>57</v>
      </c>
      <c r="B59" t="str">
        <f>INDEX('Draft Engine'!$A$3:$A$225,$O59)</f>
        <v>WR</v>
      </c>
      <c r="C59">
        <f>INDEX('Draft Engine'!$F$3:$F$225,$O59)</f>
        <v>22</v>
      </c>
      <c r="D59" t="str">
        <f>INDEX('Draft Engine'!$B$3:$B$225,$O59)</f>
        <v>Terry McLaurin</v>
      </c>
      <c r="E59" s="4">
        <f>INDEX('Draft Engine'!$N$3:$N$225,$O59)</f>
        <v>73.179000000000002</v>
      </c>
      <c r="F59" s="4">
        <f>INDEX('Draft Engine'!$E$3:$E$225,$O59)</f>
        <v>79.900000000000006</v>
      </c>
      <c r="G59" s="4">
        <f>INDEX('Draft Engine'!$G$3:$G$225,$O59)</f>
        <v>265.60000000000002</v>
      </c>
      <c r="H59" s="4">
        <f>INDEX('Draft Engine'!$J$3:$J$225,$O59)</f>
        <v>26.3</v>
      </c>
      <c r="I59" s="4">
        <f>INDEX('Draft Engine'!$L$3:$L$225,$O59)</f>
        <v>63.333333333333336</v>
      </c>
      <c r="J59" s="4">
        <f>INDEX('Draft Engine'!$R$3:$R$225,$O59)</f>
        <v>81</v>
      </c>
      <c r="K59" s="4">
        <f>INDEX('Draft Engine'!$S$3:$S$225,$O59)</f>
        <v>24</v>
      </c>
      <c r="L59" s="4">
        <f>INDEX('Draft Engine'!$U$3:$U$225,$O59)</f>
        <v>67.900000000000006</v>
      </c>
      <c r="M59" s="4">
        <f>INDEX('Draft Engine'!$W$3:$W$225,$O59)</f>
        <v>91.9</v>
      </c>
      <c r="N59" t="str">
        <f>INDEX('Draft Engine'!$T$3:$T$225,$O59)</f>
        <v>C</v>
      </c>
      <c r="O59" s="6">
        <f>MATCH($A59,'Draft Engine'!$Q$3:$Q$225,0)</f>
        <v>103</v>
      </c>
    </row>
    <row r="60" spans="1:15" x14ac:dyDescent="0.25">
      <c r="A60">
        <f>58</f>
        <v>58</v>
      </c>
      <c r="B60" t="str">
        <f>INDEX('Draft Engine'!$A$3:$A$225,$O60)</f>
        <v>TE</v>
      </c>
      <c r="C60">
        <f>INDEX('Draft Engine'!$F$3:$F$225,$O60)</f>
        <v>8</v>
      </c>
      <c r="D60" t="str">
        <f>INDEX('Draft Engine'!$B$3:$B$225,$O60)</f>
        <v>Jake Ferguson</v>
      </c>
      <c r="E60" s="4">
        <f>INDEX('Draft Engine'!$N$3:$N$225,$O60)</f>
        <v>72.521996153846146</v>
      </c>
      <c r="F60" s="4">
        <f>INDEX('Draft Engine'!$E$3:$E$225,$O60)</f>
        <v>84.072999999999993</v>
      </c>
      <c r="G60" s="4">
        <f>INDEX('Draft Engine'!$G$3:$G$225,$O60)</f>
        <v>194.3</v>
      </c>
      <c r="H60" s="4">
        <f>INDEX('Draft Engine'!$J$3:$J$225,$O60)</f>
        <v>14.6</v>
      </c>
      <c r="I60" s="4">
        <f>INDEX('Draft Engine'!$L$3:$L$225,$O60)</f>
        <v>57.692307692307693</v>
      </c>
      <c r="J60" s="4">
        <f>INDEX('Draft Engine'!$R$3:$R$225,$O60)</f>
        <v>80</v>
      </c>
      <c r="K60" s="4">
        <f>INDEX('Draft Engine'!$S$3:$S$225,$O60)</f>
        <v>22</v>
      </c>
      <c r="L60" s="4">
        <f>INDEX('Draft Engine'!$U$3:$U$225,$O60)</f>
        <v>78.072999999999993</v>
      </c>
      <c r="M60" s="4">
        <f>INDEX('Draft Engine'!$W$3:$W$225,$O60)</f>
        <v>90.072999999999993</v>
      </c>
      <c r="N60" t="str">
        <f>INDEX('Draft Engine'!$T$3:$T$225,$O60)</f>
        <v>A</v>
      </c>
      <c r="O60" s="6">
        <f>MATCH($A60,'Draft Engine'!$Q$3:$Q$225,0)</f>
        <v>160</v>
      </c>
    </row>
    <row r="61" spans="1:15" x14ac:dyDescent="0.25">
      <c r="A61">
        <f>59</f>
        <v>59</v>
      </c>
      <c r="B61" t="str">
        <f>INDEX('Draft Engine'!$A$3:$A$225,$O61)</f>
        <v>QB</v>
      </c>
      <c r="C61">
        <f>INDEX('Draft Engine'!$F$3:$F$225,$O61)</f>
        <v>7</v>
      </c>
      <c r="D61" t="str">
        <f>INDEX('Draft Engine'!$B$3:$B$225,$O61)</f>
        <v>Patrick Mahomes II</v>
      </c>
      <c r="E61" s="4">
        <f>INDEX('Draft Engine'!$N$3:$N$225,$O61)</f>
        <v>72.110080384615387</v>
      </c>
      <c r="F61" s="4">
        <f>INDEX('Draft Engine'!$E$3:$E$225,$O61)</f>
        <v>87.006299999999996</v>
      </c>
      <c r="G61" s="4">
        <f>INDEX('Draft Engine'!$G$3:$G$225,$O61)</f>
        <v>361.5</v>
      </c>
      <c r="H61" s="4">
        <f>INDEX('Draft Engine'!$J$3:$J$225,$O61)</f>
        <v>10.4</v>
      </c>
      <c r="I61" s="4">
        <f>INDEX('Draft Engine'!$L$3:$L$225,$O61)</f>
        <v>69.230769230769226</v>
      </c>
      <c r="J61" s="4">
        <f>INDEX('Draft Engine'!$R$3:$R$225,$O61)</f>
        <v>70</v>
      </c>
      <c r="K61" s="4">
        <f>INDEX('Draft Engine'!$S$3:$S$225,$O61)</f>
        <v>11</v>
      </c>
      <c r="L61" s="4">
        <f>INDEX('Draft Engine'!$U$3:$U$225,$O61)</f>
        <v>81.006299999999996</v>
      </c>
      <c r="M61" s="4">
        <f>INDEX('Draft Engine'!$W$3:$W$225,$O61)</f>
        <v>93.006299999999996</v>
      </c>
      <c r="N61" t="str">
        <f>INDEX('Draft Engine'!$T$3:$T$225,$O61)</f>
        <v>A</v>
      </c>
      <c r="O61" s="6">
        <f>MATCH($A61,'Draft Engine'!$Q$3:$Q$225,0)</f>
        <v>7</v>
      </c>
    </row>
    <row r="62" spans="1:15" x14ac:dyDescent="0.25">
      <c r="A62">
        <f>60</f>
        <v>60</v>
      </c>
      <c r="B62" t="str">
        <f>INDEX('Draft Engine'!$A$3:$A$225,$O62)</f>
        <v>TE</v>
      </c>
      <c r="C62">
        <f>INDEX('Draft Engine'!$F$3:$F$225,$O62)</f>
        <v>9</v>
      </c>
      <c r="D62" t="str">
        <f>INDEX('Draft Engine'!$B$3:$B$225,$O62)</f>
        <v>Tucker Kraft</v>
      </c>
      <c r="E62" s="4">
        <f>INDEX('Draft Engine'!$N$3:$N$225,$O62)</f>
        <v>71.504268461538473</v>
      </c>
      <c r="F62" s="4">
        <f>INDEX('Draft Engine'!$E$3:$E$225,$O62)</f>
        <v>83.808599999999998</v>
      </c>
      <c r="G62" s="4">
        <f>INDEX('Draft Engine'!$G$3:$G$225,$O62)</f>
        <v>193.3</v>
      </c>
      <c r="H62" s="4">
        <f>INDEX('Draft Engine'!$J$3:$J$225,$O62)</f>
        <v>13.6</v>
      </c>
      <c r="I62" s="4">
        <f>INDEX('Draft Engine'!$L$3:$L$225,$O62)</f>
        <v>53.07692307692308</v>
      </c>
      <c r="J62" s="4">
        <f>INDEX('Draft Engine'!$R$3:$R$225,$O62)</f>
        <v>89</v>
      </c>
      <c r="K62" s="4">
        <f>INDEX('Draft Engine'!$S$3:$S$225,$O62)</f>
        <v>29</v>
      </c>
      <c r="L62" s="4">
        <f>INDEX('Draft Engine'!$U$3:$U$225,$O62)</f>
        <v>74.808599999999998</v>
      </c>
      <c r="M62" s="4">
        <f>INDEX('Draft Engine'!$W$3:$W$225,$O62)</f>
        <v>92.808599999999998</v>
      </c>
      <c r="N62" t="str">
        <f>INDEX('Draft Engine'!$T$3:$T$225,$O62)</f>
        <v>B</v>
      </c>
      <c r="O62" s="6">
        <f>MATCH($A62,'Draft Engine'!$Q$3:$Q$225,0)</f>
        <v>161</v>
      </c>
    </row>
    <row r="63" spans="1:15" x14ac:dyDescent="0.25">
      <c r="A63">
        <f>61</f>
        <v>61</v>
      </c>
      <c r="B63" t="str">
        <f>INDEX('Draft Engine'!$A$3:$A$225,$O63)</f>
        <v>WR</v>
      </c>
      <c r="C63">
        <f>INDEX('Draft Engine'!$F$3:$F$225,$O63)</f>
        <v>23</v>
      </c>
      <c r="D63" t="str">
        <f>INDEX('Draft Engine'!$B$3:$B$225,$O63)</f>
        <v>Luther Burden III</v>
      </c>
      <c r="E63" s="4">
        <f>INDEX('Draft Engine'!$N$3:$N$225,$O63)</f>
        <v>71.20279166666667</v>
      </c>
      <c r="F63" s="4">
        <f>INDEX('Draft Engine'!$E$3:$E$225,$O63)</f>
        <v>78.647499999999994</v>
      </c>
      <c r="G63" s="4">
        <f>INDEX('Draft Engine'!$G$3:$G$225,$O63)</f>
        <v>260.3</v>
      </c>
      <c r="H63" s="4">
        <f>INDEX('Draft Engine'!$J$3:$J$225,$O63)</f>
        <v>21</v>
      </c>
      <c r="I63" s="4">
        <f>INDEX('Draft Engine'!$L$3:$L$225,$O63)</f>
        <v>61.111111111111114</v>
      </c>
      <c r="J63" s="4">
        <f>INDEX('Draft Engine'!$R$3:$R$225,$O63)</f>
        <v>92.7</v>
      </c>
      <c r="K63" s="4">
        <f>INDEX('Draft Engine'!$S$3:$S$225,$O63)</f>
        <v>31.700000000000003</v>
      </c>
      <c r="L63" s="4">
        <f>INDEX('Draft Engine'!$U$3:$U$225,$O63)</f>
        <v>66.647499999999994</v>
      </c>
      <c r="M63" s="4">
        <f>INDEX('Draft Engine'!$W$3:$W$225,$O63)</f>
        <v>90.647499999999994</v>
      </c>
      <c r="N63" t="str">
        <f>INDEX('Draft Engine'!$T$3:$T$225,$O63)</f>
        <v>C</v>
      </c>
      <c r="O63" s="6">
        <f>MATCH($A63,'Draft Engine'!$Q$3:$Q$225,0)</f>
        <v>106</v>
      </c>
    </row>
    <row r="64" spans="1:15" x14ac:dyDescent="0.25">
      <c r="A64">
        <f>62</f>
        <v>62</v>
      </c>
      <c r="B64" t="str">
        <f>INDEX('Draft Engine'!$A$3:$A$225,$O64)</f>
        <v>QB</v>
      </c>
      <c r="C64">
        <f>INDEX('Draft Engine'!$F$3:$F$225,$O64)</f>
        <v>8</v>
      </c>
      <c r="D64" t="str">
        <f>INDEX('Draft Engine'!$B$3:$B$225,$O64)</f>
        <v>Jayden Daniels</v>
      </c>
      <c r="E64" s="4">
        <f>INDEX('Draft Engine'!$N$3:$N$225,$O64)</f>
        <v>70.938549615384616</v>
      </c>
      <c r="F64" s="4">
        <f>INDEX('Draft Engine'!$E$3:$E$225,$O64)</f>
        <v>86.700299999999999</v>
      </c>
      <c r="G64" s="4">
        <f>INDEX('Draft Engine'!$G$3:$G$225,$O64)</f>
        <v>360.2</v>
      </c>
      <c r="H64" s="4">
        <f>INDEX('Draft Engine'!$J$3:$J$225,$O64)</f>
        <v>9.1</v>
      </c>
      <c r="I64" s="4">
        <f>INDEX('Draft Engine'!$L$3:$L$225,$O64)</f>
        <v>64.102564102564102</v>
      </c>
      <c r="J64" s="4">
        <f>INDEX('Draft Engine'!$R$3:$R$225,$O64)</f>
        <v>78</v>
      </c>
      <c r="K64" s="4">
        <f>INDEX('Draft Engine'!$S$3:$S$225,$O64)</f>
        <v>16</v>
      </c>
      <c r="L64" s="4">
        <f>INDEX('Draft Engine'!$U$3:$U$225,$O64)</f>
        <v>77.700299999999999</v>
      </c>
      <c r="M64" s="4">
        <f>INDEX('Draft Engine'!$W$3:$W$225,$O64)</f>
        <v>95.700299999999999</v>
      </c>
      <c r="N64" t="str">
        <f>INDEX('Draft Engine'!$T$3:$T$225,$O64)</f>
        <v>B</v>
      </c>
      <c r="O64" s="6">
        <f>MATCH($A64,'Draft Engine'!$Q$3:$Q$225,0)</f>
        <v>8</v>
      </c>
    </row>
    <row r="65" spans="1:15" x14ac:dyDescent="0.25">
      <c r="A65">
        <f>63</f>
        <v>63</v>
      </c>
      <c r="B65" t="str">
        <f>INDEX('Draft Engine'!$A$3:$A$225,$O65)</f>
        <v>RB</v>
      </c>
      <c r="C65">
        <f>INDEX('Draft Engine'!$F$3:$F$225,$O65)</f>
        <v>23</v>
      </c>
      <c r="D65" t="str">
        <f>INDEX('Draft Engine'!$B$3:$B$225,$O65)</f>
        <v>David Montgomery</v>
      </c>
      <c r="E65" s="4">
        <f>INDEX('Draft Engine'!$N$3:$N$225,$O65)</f>
        <v>70.470359999999999</v>
      </c>
      <c r="F65" s="4">
        <f>INDEX('Draft Engine'!$E$3:$E$225,$O65)</f>
        <v>77.910200000000003</v>
      </c>
      <c r="G65" s="4">
        <f>INDEX('Draft Engine'!$G$3:$G$225,$O65)</f>
        <v>257.2</v>
      </c>
      <c r="H65" s="4">
        <f>INDEX('Draft Engine'!$J$3:$J$225,$O65)</f>
        <v>18.2</v>
      </c>
      <c r="I65" s="4">
        <f>INDEX('Draft Engine'!$L$3:$L$225,$O65)</f>
        <v>62.291666666666664</v>
      </c>
      <c r="J65" s="4">
        <f>INDEX('Draft Engine'!$R$3:$R$225,$O65)</f>
        <v>94.4</v>
      </c>
      <c r="K65" s="4">
        <f>INDEX('Draft Engine'!$S$3:$S$225,$O65)</f>
        <v>31.400000000000006</v>
      </c>
      <c r="L65" s="4">
        <f>INDEX('Draft Engine'!$U$3:$U$225,$O65)</f>
        <v>71.910200000000003</v>
      </c>
      <c r="M65" s="4">
        <f>INDEX('Draft Engine'!$W$3:$W$225,$O65)</f>
        <v>83.910200000000003</v>
      </c>
      <c r="N65" t="str">
        <f>INDEX('Draft Engine'!$T$3:$T$225,$O65)</f>
        <v>A</v>
      </c>
      <c r="O65" s="6">
        <f>MATCH($A65,'Draft Engine'!$Q$3:$Q$225,0)</f>
        <v>55</v>
      </c>
    </row>
    <row r="66" spans="1:15" x14ac:dyDescent="0.25">
      <c r="A66">
        <f>64</f>
        <v>64</v>
      </c>
      <c r="B66" t="str">
        <f>INDEX('Draft Engine'!$A$3:$A$225,$O66)</f>
        <v>WR</v>
      </c>
      <c r="C66">
        <f>INDEX('Draft Engine'!$F$3:$F$225,$O66)</f>
        <v>24</v>
      </c>
      <c r="D66" t="str">
        <f>INDEX('Draft Engine'!$B$3:$B$225,$O66)</f>
        <v>Davante Adams</v>
      </c>
      <c r="E66" s="4">
        <f>INDEX('Draft Engine'!$N$3:$N$225,$O66)</f>
        <v>70.117083333333326</v>
      </c>
      <c r="F66" s="4">
        <f>INDEX('Draft Engine'!$E$3:$E$225,$O66)</f>
        <v>78.064999999999998</v>
      </c>
      <c r="G66" s="4">
        <f>INDEX('Draft Engine'!$G$3:$G$225,$O66)</f>
        <v>257.89999999999998</v>
      </c>
      <c r="H66" s="4">
        <f>INDEX('Draft Engine'!$J$3:$J$225,$O66)</f>
        <v>18.600000000000001</v>
      </c>
      <c r="I66" s="4">
        <f>INDEX('Draft Engine'!$L$3:$L$225,$O66)</f>
        <v>58.888888888888893</v>
      </c>
      <c r="J66" s="4">
        <f>INDEX('Draft Engine'!$R$3:$R$225,$O66)</f>
        <v>88.8</v>
      </c>
      <c r="K66" s="4">
        <f>INDEX('Draft Engine'!$S$3:$S$225,$O66)</f>
        <v>24.799999999999997</v>
      </c>
      <c r="L66" s="4">
        <f>INDEX('Draft Engine'!$U$3:$U$225,$O66)</f>
        <v>66.064999999999998</v>
      </c>
      <c r="M66" s="4">
        <f>INDEX('Draft Engine'!$W$3:$W$225,$O66)</f>
        <v>90.064999999999998</v>
      </c>
      <c r="N66" t="str">
        <f>INDEX('Draft Engine'!$T$3:$T$225,$O66)</f>
        <v>C</v>
      </c>
      <c r="O66" s="6">
        <f>MATCH($A66,'Draft Engine'!$Q$3:$Q$225,0)</f>
        <v>105</v>
      </c>
    </row>
    <row r="67" spans="1:15" x14ac:dyDescent="0.25">
      <c r="A67">
        <f>65</f>
        <v>65</v>
      </c>
      <c r="B67" t="str">
        <f>INDEX('Draft Engine'!$A$3:$A$225,$O67)</f>
        <v>RB</v>
      </c>
      <c r="C67">
        <f>INDEX('Draft Engine'!$F$3:$F$225,$O67)</f>
        <v>24</v>
      </c>
      <c r="D67" t="str">
        <f>INDEX('Draft Engine'!$B$3:$B$225,$O67)</f>
        <v>TreVeyon Henderson</v>
      </c>
      <c r="E67" s="4">
        <f>INDEX('Draft Engine'!$N$3:$N$225,$O67)</f>
        <v>70.014250000000004</v>
      </c>
      <c r="F67" s="4">
        <f>INDEX('Draft Engine'!$E$3:$E$225,$O67)</f>
        <v>77.832499999999996</v>
      </c>
      <c r="G67" s="4">
        <f>INDEX('Draft Engine'!$G$3:$G$225,$O67)</f>
        <v>256.89999999999998</v>
      </c>
      <c r="H67" s="4">
        <f>INDEX('Draft Engine'!$J$3:$J$225,$O67)</f>
        <v>17.899999999999999</v>
      </c>
      <c r="I67" s="4">
        <f>INDEX('Draft Engine'!$L$3:$L$225,$O67)</f>
        <v>59.895833333333321</v>
      </c>
      <c r="J67" s="4">
        <f>INDEX('Draft Engine'!$R$3:$R$225,$O67)</f>
        <v>98.600000000000009</v>
      </c>
      <c r="K67" s="4">
        <f>INDEX('Draft Engine'!$S$3:$S$225,$O67)</f>
        <v>33.600000000000009</v>
      </c>
      <c r="L67" s="4">
        <f>INDEX('Draft Engine'!$U$3:$U$225,$O67)</f>
        <v>71.832499999999996</v>
      </c>
      <c r="M67" s="4">
        <f>INDEX('Draft Engine'!$W$3:$W$225,$O67)</f>
        <v>83.832499999999996</v>
      </c>
      <c r="N67" t="str">
        <f>INDEX('Draft Engine'!$T$3:$T$225,$O67)</f>
        <v>A</v>
      </c>
      <c r="O67" s="6">
        <f>MATCH($A67,'Draft Engine'!$Q$3:$Q$225,0)</f>
        <v>56</v>
      </c>
    </row>
    <row r="68" spans="1:15" x14ac:dyDescent="0.25">
      <c r="A68">
        <f>66</f>
        <v>66</v>
      </c>
      <c r="B68" t="str">
        <f>INDEX('Draft Engine'!$A$3:$A$225,$O68)</f>
        <v>TE</v>
      </c>
      <c r="C68">
        <f>INDEX('Draft Engine'!$F$3:$F$225,$O68)</f>
        <v>10</v>
      </c>
      <c r="D68" t="str">
        <f>INDEX('Draft Engine'!$B$3:$B$225,$O68)</f>
        <v>Sam LaPorta</v>
      </c>
      <c r="E68" s="4">
        <f>INDEX('Draft Engine'!$N$3:$N$225,$O68)</f>
        <v>69.699145769230782</v>
      </c>
      <c r="F68" s="4">
        <f>INDEX('Draft Engine'!$E$3:$E$225,$O68)</f>
        <v>82.865300000000005</v>
      </c>
      <c r="G68" s="4">
        <f>INDEX('Draft Engine'!$G$3:$G$225,$O68)</f>
        <v>190</v>
      </c>
      <c r="H68" s="4">
        <f>INDEX('Draft Engine'!$J$3:$J$225,$O68)</f>
        <v>10.3</v>
      </c>
      <c r="I68" s="4">
        <f>INDEX('Draft Engine'!$L$3:$L$225,$O68)</f>
        <v>48.46153846153846</v>
      </c>
      <c r="J68" s="4">
        <f>INDEX('Draft Engine'!$R$3:$R$225,$O68)</f>
        <v>98</v>
      </c>
      <c r="K68" s="4">
        <f>INDEX('Draft Engine'!$S$3:$S$225,$O68)</f>
        <v>32</v>
      </c>
      <c r="L68" s="4">
        <f>INDEX('Draft Engine'!$U$3:$U$225,$O68)</f>
        <v>73.865300000000005</v>
      </c>
      <c r="M68" s="4">
        <f>INDEX('Draft Engine'!$W$3:$W$225,$O68)</f>
        <v>91.865300000000005</v>
      </c>
      <c r="N68" t="str">
        <f>INDEX('Draft Engine'!$T$3:$T$225,$O68)</f>
        <v>B</v>
      </c>
      <c r="O68" s="6">
        <f>MATCH($A68,'Draft Engine'!$Q$3:$Q$225,0)</f>
        <v>162</v>
      </c>
    </row>
    <row r="69" spans="1:15" x14ac:dyDescent="0.25">
      <c r="A69">
        <f>67</f>
        <v>67</v>
      </c>
      <c r="B69" t="str">
        <f>INDEX('Draft Engine'!$A$3:$A$225,$O69)</f>
        <v>QB</v>
      </c>
      <c r="C69">
        <f>INDEX('Draft Engine'!$F$3:$F$225,$O69)</f>
        <v>9</v>
      </c>
      <c r="D69" t="str">
        <f>INDEX('Draft Engine'!$B$3:$B$225,$O69)</f>
        <v>Joe Burrow</v>
      </c>
      <c r="E69" s="4">
        <f>INDEX('Draft Engine'!$N$3:$N$225,$O69)</f>
        <v>68.659368846153853</v>
      </c>
      <c r="F69" s="4">
        <f>INDEX('Draft Engine'!$E$3:$E$225,$O69)</f>
        <v>85.591300000000004</v>
      </c>
      <c r="G69" s="4">
        <f>INDEX('Draft Engine'!$G$3:$G$225,$O69)</f>
        <v>355.2</v>
      </c>
      <c r="H69" s="4">
        <f>INDEX('Draft Engine'!$J$3:$J$225,$O69)</f>
        <v>4.0999999999999996</v>
      </c>
      <c r="I69" s="4">
        <f>INDEX('Draft Engine'!$L$3:$L$225,$O69)</f>
        <v>58.974358974358978</v>
      </c>
      <c r="J69" s="4">
        <f>INDEX('Draft Engine'!$R$3:$R$225,$O69)</f>
        <v>86</v>
      </c>
      <c r="K69" s="4">
        <f>INDEX('Draft Engine'!$S$3:$S$225,$O69)</f>
        <v>19</v>
      </c>
      <c r="L69" s="4">
        <f>INDEX('Draft Engine'!$U$3:$U$225,$O69)</f>
        <v>76.591300000000004</v>
      </c>
      <c r="M69" s="4">
        <f>INDEX('Draft Engine'!$W$3:$W$225,$O69)</f>
        <v>94.591300000000004</v>
      </c>
      <c r="N69" t="str">
        <f>INDEX('Draft Engine'!$T$3:$T$225,$O69)</f>
        <v>B</v>
      </c>
      <c r="O69" s="6">
        <f>MATCH($A69,'Draft Engine'!$Q$3:$Q$225,0)</f>
        <v>9</v>
      </c>
    </row>
    <row r="70" spans="1:15" x14ac:dyDescent="0.25">
      <c r="A70">
        <f>68</f>
        <v>68</v>
      </c>
      <c r="B70" t="str">
        <f>INDEX('Draft Engine'!$A$3:$A$225,$O70)</f>
        <v>RB</v>
      </c>
      <c r="C70">
        <f>INDEX('Draft Engine'!$F$3:$F$225,$O70)</f>
        <v>25</v>
      </c>
      <c r="D70" t="str">
        <f>INDEX('Draft Engine'!$B$3:$B$225,$O70)</f>
        <v>Jadarian Price</v>
      </c>
      <c r="E70" s="4">
        <f>INDEX('Draft Engine'!$N$3:$N$225,$O70)</f>
        <v>68.12921</v>
      </c>
      <c r="F70" s="4">
        <f>INDEX('Draft Engine'!$E$3:$E$225,$O70)</f>
        <v>76.662199999999999</v>
      </c>
      <c r="G70" s="4">
        <f>INDEX('Draft Engine'!$G$3:$G$225,$O70)</f>
        <v>252</v>
      </c>
      <c r="H70" s="4">
        <f>INDEX('Draft Engine'!$J$3:$J$225,$O70)</f>
        <v>13</v>
      </c>
      <c r="I70" s="4">
        <f>INDEX('Draft Engine'!$L$3:$L$225,$O70)</f>
        <v>57.499999999999993</v>
      </c>
      <c r="J70" s="4">
        <f>INDEX('Draft Engine'!$R$3:$R$225,$O70)</f>
        <v>102.8</v>
      </c>
      <c r="K70" s="4">
        <f>INDEX('Draft Engine'!$S$3:$S$225,$O70)</f>
        <v>34.799999999999997</v>
      </c>
      <c r="L70" s="4">
        <f>INDEX('Draft Engine'!$U$3:$U$225,$O70)</f>
        <v>67.662199999999999</v>
      </c>
      <c r="M70" s="4">
        <f>INDEX('Draft Engine'!$W$3:$W$225,$O70)</f>
        <v>85.662199999999999</v>
      </c>
      <c r="N70" t="str">
        <f>INDEX('Draft Engine'!$T$3:$T$225,$O70)</f>
        <v>B</v>
      </c>
      <c r="O70" s="6">
        <f>MATCH($A70,'Draft Engine'!$Q$3:$Q$225,0)</f>
        <v>57</v>
      </c>
    </row>
    <row r="71" spans="1:15" x14ac:dyDescent="0.25">
      <c r="A71">
        <f>69</f>
        <v>69</v>
      </c>
      <c r="B71" t="str">
        <f>INDEX('Draft Engine'!$A$3:$A$225,$O71)</f>
        <v>TE</v>
      </c>
      <c r="C71">
        <f>INDEX('Draft Engine'!$F$3:$F$225,$O71)</f>
        <v>11</v>
      </c>
      <c r="D71" t="str">
        <f>INDEX('Draft Engine'!$B$3:$B$225,$O71)</f>
        <v>Dalton Kincaid</v>
      </c>
      <c r="E71" s="4">
        <f>INDEX('Draft Engine'!$N$3:$N$225,$O71)</f>
        <v>67.88967807692309</v>
      </c>
      <c r="F71" s="4">
        <f>INDEX('Draft Engine'!$E$3:$E$225,$O71)</f>
        <v>81.914100000000005</v>
      </c>
      <c r="G71" s="4">
        <f>INDEX('Draft Engine'!$G$3:$G$225,$O71)</f>
        <v>186.7</v>
      </c>
      <c r="H71" s="4">
        <f>INDEX('Draft Engine'!$J$3:$J$225,$O71)</f>
        <v>7</v>
      </c>
      <c r="I71" s="4">
        <f>INDEX('Draft Engine'!$L$3:$L$225,$O71)</f>
        <v>43.846153846153854</v>
      </c>
      <c r="J71" s="4">
        <f>INDEX('Draft Engine'!$R$3:$R$225,$O71)</f>
        <v>107</v>
      </c>
      <c r="K71" s="4">
        <f>INDEX('Draft Engine'!$S$3:$S$225,$O71)</f>
        <v>38</v>
      </c>
      <c r="L71" s="4">
        <f>INDEX('Draft Engine'!$U$3:$U$225,$O71)</f>
        <v>75.914100000000005</v>
      </c>
      <c r="M71" s="4">
        <f>INDEX('Draft Engine'!$W$3:$W$225,$O71)</f>
        <v>87.914100000000005</v>
      </c>
      <c r="N71" t="str">
        <f>INDEX('Draft Engine'!$T$3:$T$225,$O71)</f>
        <v>A</v>
      </c>
      <c r="O71" s="6">
        <f>MATCH($A71,'Draft Engine'!$Q$3:$Q$225,0)</f>
        <v>163</v>
      </c>
    </row>
    <row r="72" spans="1:15" x14ac:dyDescent="0.25">
      <c r="A72">
        <f>70</f>
        <v>70</v>
      </c>
      <c r="B72" t="str">
        <f>INDEX('Draft Engine'!$A$3:$A$225,$O72)</f>
        <v>WR</v>
      </c>
      <c r="C72">
        <f>INDEX('Draft Engine'!$F$3:$F$225,$O72)</f>
        <v>25</v>
      </c>
      <c r="D72" t="str">
        <f>INDEX('Draft Engine'!$B$3:$B$225,$O72)</f>
        <v>Mike Evans</v>
      </c>
      <c r="E72" s="4">
        <f>INDEX('Draft Engine'!$N$3:$N$225,$O72)</f>
        <v>67.704625000000007</v>
      </c>
      <c r="F72" s="4">
        <f>INDEX('Draft Engine'!$E$3:$E$225,$O72)</f>
        <v>76.477500000000006</v>
      </c>
      <c r="G72" s="4">
        <f>INDEX('Draft Engine'!$G$3:$G$225,$O72)</f>
        <v>251.2</v>
      </c>
      <c r="H72" s="4">
        <f>INDEX('Draft Engine'!$J$3:$J$225,$O72)</f>
        <v>11.9</v>
      </c>
      <c r="I72" s="4">
        <f>INDEX('Draft Engine'!$L$3:$L$225,$O72)</f>
        <v>56.666666666666671</v>
      </c>
      <c r="J72" s="4">
        <f>INDEX('Draft Engine'!$R$3:$R$225,$O72)</f>
        <v>108.3</v>
      </c>
      <c r="K72" s="4">
        <f>INDEX('Draft Engine'!$S$3:$S$225,$O72)</f>
        <v>38.299999999999997</v>
      </c>
      <c r="L72" s="4">
        <f>INDEX('Draft Engine'!$U$3:$U$225,$O72)</f>
        <v>64.477500000000006</v>
      </c>
      <c r="M72" s="4">
        <f>INDEX('Draft Engine'!$W$3:$W$225,$O72)</f>
        <v>88.477500000000006</v>
      </c>
      <c r="N72" t="str">
        <f>INDEX('Draft Engine'!$T$3:$T$225,$O72)</f>
        <v>C</v>
      </c>
      <c r="O72" s="6">
        <f>MATCH($A72,'Draft Engine'!$Q$3:$Q$225,0)</f>
        <v>110</v>
      </c>
    </row>
    <row r="73" spans="1:15" x14ac:dyDescent="0.25">
      <c r="A73">
        <f>71</f>
        <v>71</v>
      </c>
      <c r="B73" t="str">
        <f>INDEX('Draft Engine'!$A$3:$A$225,$O73)</f>
        <v>QB</v>
      </c>
      <c r="C73">
        <f>INDEX('Draft Engine'!$F$3:$F$225,$O73)</f>
        <v>10</v>
      </c>
      <c r="D73" t="str">
        <f>INDEX('Draft Engine'!$B$3:$B$225,$O73)</f>
        <v>Matthew Stafford</v>
      </c>
      <c r="E73" s="4">
        <f>INDEX('Draft Engine'!$N$3:$N$225,$O73)</f>
        <v>67.651758076923088</v>
      </c>
      <c r="F73" s="4">
        <f>INDEX('Draft Engine'!$E$3:$E$225,$O73)</f>
        <v>85.419700000000006</v>
      </c>
      <c r="G73" s="4">
        <f>INDEX('Draft Engine'!$G$3:$G$225,$O73)</f>
        <v>354.4</v>
      </c>
      <c r="H73" s="4">
        <f>INDEX('Draft Engine'!$J$3:$J$225,$O73)</f>
        <v>3.3</v>
      </c>
      <c r="I73" s="4">
        <f>INDEX('Draft Engine'!$L$3:$L$225,$O73)</f>
        <v>53.846153846153847</v>
      </c>
      <c r="J73" s="4">
        <f>INDEX('Draft Engine'!$R$3:$R$225,$O73)</f>
        <v>94</v>
      </c>
      <c r="K73" s="4">
        <f>INDEX('Draft Engine'!$S$3:$S$225,$O73)</f>
        <v>23</v>
      </c>
      <c r="L73" s="4">
        <f>INDEX('Draft Engine'!$U$3:$U$225,$O73)</f>
        <v>79.419700000000006</v>
      </c>
      <c r="M73" s="4">
        <f>INDEX('Draft Engine'!$W$3:$W$225,$O73)</f>
        <v>91.419700000000006</v>
      </c>
      <c r="N73" t="str">
        <f>INDEX('Draft Engine'!$T$3:$T$225,$O73)</f>
        <v>A</v>
      </c>
      <c r="O73" s="6">
        <f>MATCH($A73,'Draft Engine'!$Q$3:$Q$225,0)</f>
        <v>10</v>
      </c>
    </row>
    <row r="74" spans="1:15" x14ac:dyDescent="0.25">
      <c r="A74">
        <f>72</f>
        <v>72</v>
      </c>
      <c r="B74" t="str">
        <f>INDEX('Draft Engine'!$A$3:$A$225,$O74)</f>
        <v>WR</v>
      </c>
      <c r="C74">
        <f>INDEX('Draft Engine'!$F$3:$F$225,$O74)</f>
        <v>26</v>
      </c>
      <c r="D74" t="str">
        <f>INDEX('Draft Engine'!$B$3:$B$225,$O74)</f>
        <v>Jordyn Tyson</v>
      </c>
      <c r="E74" s="4">
        <f>INDEX('Draft Engine'!$N$3:$N$225,$O74)</f>
        <v>67.031666666666666</v>
      </c>
      <c r="F74" s="4">
        <f>INDEX('Draft Engine'!$E$3:$E$225,$O74)</f>
        <v>76.22</v>
      </c>
      <c r="G74" s="4">
        <f>INDEX('Draft Engine'!$G$3:$G$225,$O74)</f>
        <v>250.1</v>
      </c>
      <c r="H74" s="4">
        <f>INDEX('Draft Engine'!$J$3:$J$225,$O74)</f>
        <v>10.8</v>
      </c>
      <c r="I74" s="4">
        <f>INDEX('Draft Engine'!$L$3:$L$225,$O74)</f>
        <v>54.44444444444445</v>
      </c>
      <c r="J74" s="4">
        <f>INDEX('Draft Engine'!$R$3:$R$225,$O74)</f>
        <v>135.6</v>
      </c>
      <c r="K74" s="4">
        <f>INDEX('Draft Engine'!$S$3:$S$225,$O74)</f>
        <v>63.599999999999994</v>
      </c>
      <c r="L74" s="4">
        <f>INDEX('Draft Engine'!$U$3:$U$225,$O74)</f>
        <v>64.22</v>
      </c>
      <c r="M74" s="4">
        <f>INDEX('Draft Engine'!$W$3:$W$225,$O74)</f>
        <v>88.22</v>
      </c>
      <c r="N74" t="str">
        <f>INDEX('Draft Engine'!$T$3:$T$225,$O74)</f>
        <v>C</v>
      </c>
      <c r="O74" s="6">
        <f>MATCH($A74,'Draft Engine'!$Q$3:$Q$225,0)</f>
        <v>117</v>
      </c>
    </row>
    <row r="75" spans="1:15" x14ac:dyDescent="0.25">
      <c r="A75">
        <f>73</f>
        <v>73</v>
      </c>
      <c r="B75" t="str">
        <f>INDEX('Draft Engine'!$A$3:$A$225,$O75)</f>
        <v>RB</v>
      </c>
      <c r="C75">
        <f>INDEX('Draft Engine'!$F$3:$F$225,$O75)</f>
        <v>26</v>
      </c>
      <c r="D75" t="str">
        <f>INDEX('Draft Engine'!$B$3:$B$225,$O75)</f>
        <v>Jaylen Warren</v>
      </c>
      <c r="E75" s="4">
        <f>INDEX('Draft Engine'!$N$3:$N$225,$O75)</f>
        <v>67.024115000000009</v>
      </c>
      <c r="F75" s="4">
        <f>INDEX('Draft Engine'!$E$3:$E$225,$O75)</f>
        <v>76.091800000000006</v>
      </c>
      <c r="G75" s="4">
        <f>INDEX('Draft Engine'!$G$3:$G$225,$O75)</f>
        <v>249.6</v>
      </c>
      <c r="H75" s="4">
        <f>INDEX('Draft Engine'!$J$3:$J$225,$O75)</f>
        <v>10.6</v>
      </c>
      <c r="I75" s="4">
        <f>INDEX('Draft Engine'!$L$3:$L$225,$O75)</f>
        <v>55.104166666666657</v>
      </c>
      <c r="J75" s="4">
        <f>INDEX('Draft Engine'!$R$3:$R$225,$O75)</f>
        <v>107</v>
      </c>
      <c r="K75" s="4">
        <f>INDEX('Draft Engine'!$S$3:$S$225,$O75)</f>
        <v>34</v>
      </c>
      <c r="L75" s="4">
        <f>INDEX('Draft Engine'!$U$3:$U$225,$O75)</f>
        <v>70.091800000000006</v>
      </c>
      <c r="M75" s="4">
        <f>INDEX('Draft Engine'!$W$3:$W$225,$O75)</f>
        <v>82.091800000000006</v>
      </c>
      <c r="N75" t="str">
        <f>INDEX('Draft Engine'!$T$3:$T$225,$O75)</f>
        <v>A</v>
      </c>
      <c r="O75" s="6">
        <f>MATCH($A75,'Draft Engine'!$Q$3:$Q$225,0)</f>
        <v>58</v>
      </c>
    </row>
    <row r="76" spans="1:15" x14ac:dyDescent="0.25">
      <c r="A76">
        <f>74</f>
        <v>74</v>
      </c>
      <c r="B76" t="str">
        <f>INDEX('Draft Engine'!$A$3:$A$225,$O76)</f>
        <v>TE</v>
      </c>
      <c r="C76">
        <f>INDEX('Draft Engine'!$F$3:$F$225,$O76)</f>
        <v>12</v>
      </c>
      <c r="D76" t="str">
        <f>INDEX('Draft Engine'!$B$3:$B$225,$O76)</f>
        <v>Travis Kelce</v>
      </c>
      <c r="E76" s="4">
        <f>INDEX('Draft Engine'!$N$3:$N$225,$O76)</f>
        <v>66.997905384615393</v>
      </c>
      <c r="F76" s="4">
        <f>INDEX('Draft Engine'!$E$3:$E$225,$O76)</f>
        <v>81.747799999999998</v>
      </c>
      <c r="G76" s="4">
        <f>INDEX('Draft Engine'!$G$3:$G$225,$O76)</f>
        <v>186.1</v>
      </c>
      <c r="H76" s="4">
        <f>INDEX('Draft Engine'!$J$3:$J$225,$O76)</f>
        <v>6.4</v>
      </c>
      <c r="I76" s="4">
        <f>INDEX('Draft Engine'!$L$3:$L$225,$O76)</f>
        <v>39.230769230769234</v>
      </c>
      <c r="J76" s="4">
        <f>INDEX('Draft Engine'!$R$3:$R$225,$O76)</f>
        <v>116</v>
      </c>
      <c r="K76" s="4">
        <f>INDEX('Draft Engine'!$S$3:$S$225,$O76)</f>
        <v>42</v>
      </c>
      <c r="L76" s="4">
        <f>INDEX('Draft Engine'!$U$3:$U$225,$O76)</f>
        <v>75.747799999999998</v>
      </c>
      <c r="M76" s="4">
        <f>INDEX('Draft Engine'!$W$3:$W$225,$O76)</f>
        <v>87.747799999999998</v>
      </c>
      <c r="N76" t="str">
        <f>INDEX('Draft Engine'!$T$3:$T$225,$O76)</f>
        <v>A</v>
      </c>
      <c r="O76" s="6">
        <f>MATCH($A76,'Draft Engine'!$Q$3:$Q$225,0)</f>
        <v>164</v>
      </c>
    </row>
    <row r="77" spans="1:15" x14ac:dyDescent="0.25">
      <c r="A77">
        <f>75</f>
        <v>75</v>
      </c>
      <c r="B77" t="str">
        <f>INDEX('Draft Engine'!$A$3:$A$225,$O77)</f>
        <v>QB</v>
      </c>
      <c r="C77">
        <f>INDEX('Draft Engine'!$F$3:$F$225,$O77)</f>
        <v>11</v>
      </c>
      <c r="D77" t="str">
        <f>INDEX('Draft Engine'!$B$3:$B$225,$O77)</f>
        <v>Bo Nix</v>
      </c>
      <c r="E77" s="4">
        <f>INDEX('Draft Engine'!$N$3:$N$225,$O77)</f>
        <v>66.64436730769232</v>
      </c>
      <c r="F77" s="4">
        <f>INDEX('Draft Engine'!$E$3:$E$225,$O77)</f>
        <v>85.248500000000007</v>
      </c>
      <c r="G77" s="4">
        <f>INDEX('Draft Engine'!$G$3:$G$225,$O77)</f>
        <v>353.6</v>
      </c>
      <c r="H77" s="4">
        <f>INDEX('Draft Engine'!$J$3:$J$225,$O77)</f>
        <v>2.5</v>
      </c>
      <c r="I77" s="4">
        <f>INDEX('Draft Engine'!$L$3:$L$225,$O77)</f>
        <v>48.717948717948723</v>
      </c>
      <c r="J77" s="4">
        <f>INDEX('Draft Engine'!$R$3:$R$225,$O77)</f>
        <v>102</v>
      </c>
      <c r="K77" s="4">
        <f>INDEX('Draft Engine'!$S$3:$S$225,$O77)</f>
        <v>27</v>
      </c>
      <c r="L77" s="4">
        <f>INDEX('Draft Engine'!$U$3:$U$225,$O77)</f>
        <v>79.248500000000007</v>
      </c>
      <c r="M77" s="4">
        <f>INDEX('Draft Engine'!$W$3:$W$225,$O77)</f>
        <v>91.248500000000007</v>
      </c>
      <c r="N77" t="str">
        <f>INDEX('Draft Engine'!$T$3:$T$225,$O77)</f>
        <v>A</v>
      </c>
      <c r="O77" s="6">
        <f>MATCH($A77,'Draft Engine'!$Q$3:$Q$225,0)</f>
        <v>11</v>
      </c>
    </row>
    <row r="78" spans="1:15" x14ac:dyDescent="0.25">
      <c r="A78">
        <f>76</f>
        <v>76</v>
      </c>
      <c r="B78" t="str">
        <f>INDEX('Draft Engine'!$A$3:$A$225,$O78)</f>
        <v>WR</v>
      </c>
      <c r="C78">
        <f>INDEX('Draft Engine'!$F$3:$F$225,$O78)</f>
        <v>27</v>
      </c>
      <c r="D78" t="str">
        <f>INDEX('Draft Engine'!$B$3:$B$225,$O78)</f>
        <v>Jameson Williams</v>
      </c>
      <c r="E78" s="4">
        <f>INDEX('Draft Engine'!$N$3:$N$225,$O78)</f>
        <v>66.503708333333336</v>
      </c>
      <c r="F78" s="4">
        <f>INDEX('Draft Engine'!$E$3:$E$225,$O78)</f>
        <v>76.0625</v>
      </c>
      <c r="G78" s="4">
        <f>INDEX('Draft Engine'!$G$3:$G$225,$O78)</f>
        <v>249.5</v>
      </c>
      <c r="H78" s="4">
        <f>INDEX('Draft Engine'!$J$3:$J$225,$O78)</f>
        <v>10.199999999999999</v>
      </c>
      <c r="I78" s="4">
        <f>INDEX('Draft Engine'!$L$3:$L$225,$O78)</f>
        <v>52.222222222222214</v>
      </c>
      <c r="J78" s="4">
        <f>INDEX('Draft Engine'!$R$3:$R$225,$O78)</f>
        <v>100.5</v>
      </c>
      <c r="K78" s="4">
        <f>INDEX('Draft Engine'!$S$3:$S$225,$O78)</f>
        <v>24.5</v>
      </c>
      <c r="L78" s="4">
        <f>INDEX('Draft Engine'!$U$3:$U$225,$O78)</f>
        <v>64.0625</v>
      </c>
      <c r="M78" s="4">
        <f>INDEX('Draft Engine'!$W$3:$W$225,$O78)</f>
        <v>88.0625</v>
      </c>
      <c r="N78" t="str">
        <f>INDEX('Draft Engine'!$T$3:$T$225,$O78)</f>
        <v>C</v>
      </c>
      <c r="O78" s="6">
        <f>MATCH($A78,'Draft Engine'!$Q$3:$Q$225,0)</f>
        <v>108</v>
      </c>
    </row>
    <row r="79" spans="1:15" x14ac:dyDescent="0.25">
      <c r="A79">
        <f>77</f>
        <v>77</v>
      </c>
      <c r="B79" t="str">
        <f>INDEX('Draft Engine'!$A$3:$A$225,$O79)</f>
        <v>RB</v>
      </c>
      <c r="C79">
        <f>INDEX('Draft Engine'!$F$3:$F$225,$O79)</f>
        <v>27</v>
      </c>
      <c r="D79" t="str">
        <f>INDEX('Draft Engine'!$B$3:$B$225,$O79)</f>
        <v>Rico Dowdle</v>
      </c>
      <c r="E79" s="4">
        <f>INDEX('Draft Engine'!$N$3:$N$225,$O79)</f>
        <v>66.262439999999998</v>
      </c>
      <c r="F79" s="4">
        <f>INDEX('Draft Engine'!$E$3:$E$225,$O79)</f>
        <v>75.785799999999995</v>
      </c>
      <c r="G79" s="4">
        <f>INDEX('Draft Engine'!$G$3:$G$225,$O79)</f>
        <v>248.3</v>
      </c>
      <c r="H79" s="4">
        <f>INDEX('Draft Engine'!$J$3:$J$225,$O79)</f>
        <v>9.3000000000000007</v>
      </c>
      <c r="I79" s="4">
        <f>INDEX('Draft Engine'!$L$3:$L$225,$O79)</f>
        <v>52.708333333333329</v>
      </c>
      <c r="J79" s="4">
        <f>INDEX('Draft Engine'!$R$3:$R$225,$O79)</f>
        <v>111.2</v>
      </c>
      <c r="K79" s="4">
        <f>INDEX('Draft Engine'!$S$3:$S$225,$O79)</f>
        <v>34.200000000000003</v>
      </c>
      <c r="L79" s="4">
        <f>INDEX('Draft Engine'!$U$3:$U$225,$O79)</f>
        <v>69.785799999999995</v>
      </c>
      <c r="M79" s="4">
        <f>INDEX('Draft Engine'!$W$3:$W$225,$O79)</f>
        <v>81.785799999999995</v>
      </c>
      <c r="N79" t="str">
        <f>INDEX('Draft Engine'!$T$3:$T$225,$O79)</f>
        <v>A</v>
      </c>
      <c r="O79" s="6">
        <f>MATCH($A79,'Draft Engine'!$Q$3:$Q$225,0)</f>
        <v>59</v>
      </c>
    </row>
    <row r="80" spans="1:15" x14ac:dyDescent="0.25">
      <c r="A80">
        <f>78</f>
        <v>78</v>
      </c>
      <c r="B80" t="str">
        <f>INDEX('Draft Engine'!$A$3:$A$225,$O80)</f>
        <v>QB</v>
      </c>
      <c r="C80">
        <f>INDEX('Draft Engine'!$F$3:$F$225,$O80)</f>
        <v>12</v>
      </c>
      <c r="D80" t="str">
        <f>INDEX('Draft Engine'!$B$3:$B$225,$O80)</f>
        <v>Dak Prescott</v>
      </c>
      <c r="E80" s="4">
        <f>INDEX('Draft Engine'!$N$3:$N$225,$O80)</f>
        <v>65.694041538461533</v>
      </c>
      <c r="F80" s="4">
        <f>INDEX('Draft Engine'!$E$3:$E$225,$O80)</f>
        <v>85.115600000000001</v>
      </c>
      <c r="G80" s="4">
        <f>INDEX('Draft Engine'!$G$3:$G$225,$O80)</f>
        <v>353</v>
      </c>
      <c r="H80" s="4">
        <f>INDEX('Draft Engine'!$J$3:$J$225,$O80)</f>
        <v>1.9</v>
      </c>
      <c r="I80" s="4">
        <f>INDEX('Draft Engine'!$L$3:$L$225,$O80)</f>
        <v>43.589743589743591</v>
      </c>
      <c r="J80" s="4">
        <f>INDEX('Draft Engine'!$R$3:$R$225,$O80)</f>
        <v>110</v>
      </c>
      <c r="K80" s="4">
        <f>INDEX('Draft Engine'!$S$3:$S$225,$O80)</f>
        <v>32</v>
      </c>
      <c r="L80" s="4">
        <f>INDEX('Draft Engine'!$U$3:$U$225,$O80)</f>
        <v>79.115600000000001</v>
      </c>
      <c r="M80" s="4">
        <f>INDEX('Draft Engine'!$W$3:$W$225,$O80)</f>
        <v>91.115600000000001</v>
      </c>
      <c r="N80" t="str">
        <f>INDEX('Draft Engine'!$T$3:$T$225,$O80)</f>
        <v>A</v>
      </c>
      <c r="O80" s="6">
        <f>MATCH($A80,'Draft Engine'!$Q$3:$Q$225,0)</f>
        <v>12</v>
      </c>
    </row>
    <row r="81" spans="1:15" x14ac:dyDescent="0.25">
      <c r="A81">
        <f>79</f>
        <v>79</v>
      </c>
      <c r="B81" t="str">
        <f>INDEX('Draft Engine'!$A$3:$A$225,$O81)</f>
        <v>WR</v>
      </c>
      <c r="C81">
        <f>INDEX('Draft Engine'!$F$3:$F$225,$O81)</f>
        <v>28</v>
      </c>
      <c r="D81" t="str">
        <f>INDEX('Draft Engine'!$B$3:$B$225,$O81)</f>
        <v>Michael Pittman Jr.</v>
      </c>
      <c r="E81" s="4">
        <f>INDEX('Draft Engine'!$N$3:$N$225,$O81)</f>
        <v>65.492500000000007</v>
      </c>
      <c r="F81" s="4">
        <f>INDEX('Draft Engine'!$E$3:$E$225,$O81)</f>
        <v>75.55</v>
      </c>
      <c r="G81" s="4">
        <f>INDEX('Draft Engine'!$G$3:$G$225,$O81)</f>
        <v>247.3</v>
      </c>
      <c r="H81" s="4">
        <f>INDEX('Draft Engine'!$J$3:$J$225,$O81)</f>
        <v>8</v>
      </c>
      <c r="I81" s="4">
        <f>INDEX('Draft Engine'!$L$3:$L$225,$O81)</f>
        <v>50.000000000000007</v>
      </c>
      <c r="J81" s="4">
        <f>INDEX('Draft Engine'!$R$3:$R$225,$O81)</f>
        <v>139.5</v>
      </c>
      <c r="K81" s="4">
        <f>INDEX('Draft Engine'!$S$3:$S$225,$O81)</f>
        <v>60.5</v>
      </c>
      <c r="L81" s="4">
        <f>INDEX('Draft Engine'!$U$3:$U$225,$O81)</f>
        <v>63.55</v>
      </c>
      <c r="M81" s="4">
        <f>INDEX('Draft Engine'!$W$3:$W$225,$O81)</f>
        <v>87.55</v>
      </c>
      <c r="N81" t="str">
        <f>INDEX('Draft Engine'!$T$3:$T$225,$O81)</f>
        <v>C</v>
      </c>
      <c r="O81" s="6">
        <f>MATCH($A81,'Draft Engine'!$Q$3:$Q$225,0)</f>
        <v>118</v>
      </c>
    </row>
    <row r="82" spans="1:15" x14ac:dyDescent="0.25">
      <c r="A82">
        <f>80</f>
        <v>80</v>
      </c>
      <c r="B82" t="str">
        <f>INDEX('Draft Engine'!$A$3:$A$225,$O82)</f>
        <v>WR</v>
      </c>
      <c r="C82">
        <f>INDEX('Draft Engine'!$F$3:$F$225,$O82)</f>
        <v>29</v>
      </c>
      <c r="D82" t="str">
        <f>INDEX('Draft Engine'!$B$3:$B$225,$O82)</f>
        <v>DJ Moore</v>
      </c>
      <c r="E82" s="4">
        <f>INDEX('Draft Engine'!$N$3:$N$225,$O82)</f>
        <v>65.066666666666677</v>
      </c>
      <c r="F82" s="4">
        <f>INDEX('Draft Engine'!$E$3:$E$225,$O82)</f>
        <v>75.48</v>
      </c>
      <c r="G82" s="4">
        <f>INDEX('Draft Engine'!$G$3:$G$225,$O82)</f>
        <v>247</v>
      </c>
      <c r="H82" s="4">
        <f>INDEX('Draft Engine'!$J$3:$J$225,$O82)</f>
        <v>7.7</v>
      </c>
      <c r="I82" s="4">
        <f>INDEX('Draft Engine'!$L$3:$L$225,$O82)</f>
        <v>47.777777777777786</v>
      </c>
      <c r="J82" s="4">
        <f>INDEX('Draft Engine'!$R$3:$R$225,$O82)</f>
        <v>96.6</v>
      </c>
      <c r="K82" s="4">
        <f>INDEX('Draft Engine'!$S$3:$S$225,$O82)</f>
        <v>16.599999999999994</v>
      </c>
      <c r="L82" s="4">
        <f>INDEX('Draft Engine'!$U$3:$U$225,$O82)</f>
        <v>63.480000000000004</v>
      </c>
      <c r="M82" s="4">
        <f>INDEX('Draft Engine'!$W$3:$W$225,$O82)</f>
        <v>87.48</v>
      </c>
      <c r="N82" t="str">
        <f>INDEX('Draft Engine'!$T$3:$T$225,$O82)</f>
        <v>C</v>
      </c>
      <c r="O82" s="6">
        <f>MATCH($A82,'Draft Engine'!$Q$3:$Q$225,0)</f>
        <v>107</v>
      </c>
    </row>
    <row r="83" spans="1:15" x14ac:dyDescent="0.25">
      <c r="A83">
        <f>81</f>
        <v>81</v>
      </c>
      <c r="B83" t="str">
        <f>INDEX('Draft Engine'!$A$3:$A$225,$O83)</f>
        <v>RB</v>
      </c>
      <c r="C83">
        <f>INDEX('Draft Engine'!$F$3:$F$225,$O83)</f>
        <v>28</v>
      </c>
      <c r="D83" t="str">
        <f>INDEX('Draft Engine'!$B$3:$B$225,$O83)</f>
        <v>Tony Pollard</v>
      </c>
      <c r="E83" s="4">
        <f>INDEX('Draft Engine'!$N$3:$N$225,$O83)</f>
        <v>65.003105000000005</v>
      </c>
      <c r="F83" s="4">
        <f>INDEX('Draft Engine'!$E$3:$E$225,$O83)</f>
        <v>75.098600000000005</v>
      </c>
      <c r="G83" s="4">
        <f>INDEX('Draft Engine'!$G$3:$G$225,$O83)</f>
        <v>245.4</v>
      </c>
      <c r="H83" s="4">
        <f>INDEX('Draft Engine'!$J$3:$J$225,$O83)</f>
        <v>6.4</v>
      </c>
      <c r="I83" s="4">
        <f>INDEX('Draft Engine'!$L$3:$L$225,$O83)</f>
        <v>50.312499999999993</v>
      </c>
      <c r="J83" s="4">
        <f>INDEX('Draft Engine'!$R$3:$R$225,$O83)</f>
        <v>115.4</v>
      </c>
      <c r="K83" s="4">
        <f>INDEX('Draft Engine'!$S$3:$S$225,$O83)</f>
        <v>34.400000000000006</v>
      </c>
      <c r="L83" s="4">
        <f>INDEX('Draft Engine'!$U$3:$U$225,$O83)</f>
        <v>69.098600000000005</v>
      </c>
      <c r="M83" s="4">
        <f>INDEX('Draft Engine'!$W$3:$W$225,$O83)</f>
        <v>81.098600000000005</v>
      </c>
      <c r="N83" t="str">
        <f>INDEX('Draft Engine'!$T$3:$T$225,$O83)</f>
        <v>A</v>
      </c>
      <c r="O83" s="6">
        <f>MATCH($A83,'Draft Engine'!$Q$3:$Q$225,0)</f>
        <v>60</v>
      </c>
    </row>
    <row r="84" spans="1:15" x14ac:dyDescent="0.25">
      <c r="A84">
        <f>82</f>
        <v>82</v>
      </c>
      <c r="B84" t="str">
        <f>INDEX('Draft Engine'!$A$3:$A$225,$O84)</f>
        <v>QB</v>
      </c>
      <c r="C84">
        <f>INDEX('Draft Engine'!$F$3:$F$225,$O84)</f>
        <v>13</v>
      </c>
      <c r="D84" t="str">
        <f>INDEX('Draft Engine'!$B$3:$B$225,$O84)</f>
        <v>Trevor Lawrence</v>
      </c>
      <c r="E84" s="4">
        <f>INDEX('Draft Engine'!$N$3:$N$225,$O84)</f>
        <v>64.349885769230767</v>
      </c>
      <c r="F84" s="4">
        <f>INDEX('Draft Engine'!$E$3:$E$225,$O84)</f>
        <v>84.692099999999996</v>
      </c>
      <c r="G84" s="4">
        <f>INDEX('Draft Engine'!$G$3:$G$225,$O84)</f>
        <v>351.1</v>
      </c>
      <c r="H84" s="4">
        <f>INDEX('Draft Engine'!$J$3:$J$225,$O84)</f>
        <v>0</v>
      </c>
      <c r="I84" s="4">
        <f>INDEX('Draft Engine'!$L$3:$L$225,$O84)</f>
        <v>38.46153846153846</v>
      </c>
      <c r="J84" s="4">
        <f>INDEX('Draft Engine'!$R$3:$R$225,$O84)</f>
        <v>118</v>
      </c>
      <c r="K84" s="4">
        <f>INDEX('Draft Engine'!$S$3:$S$225,$O84)</f>
        <v>36</v>
      </c>
      <c r="L84" s="4">
        <f>INDEX('Draft Engine'!$U$3:$U$225,$O84)</f>
        <v>78.692099999999996</v>
      </c>
      <c r="M84" s="4">
        <f>INDEX('Draft Engine'!$W$3:$W$225,$O84)</f>
        <v>90.692099999999996</v>
      </c>
      <c r="N84" t="str">
        <f>INDEX('Draft Engine'!$T$3:$T$225,$O84)</f>
        <v>A</v>
      </c>
      <c r="O84" s="6">
        <f>MATCH($A84,'Draft Engine'!$Q$3:$Q$225,0)</f>
        <v>13</v>
      </c>
    </row>
    <row r="85" spans="1:15" x14ac:dyDescent="0.25">
      <c r="A85">
        <f>83</f>
        <v>83</v>
      </c>
      <c r="B85" t="str">
        <f>INDEX('Draft Engine'!$A$3:$A$225,$O85)</f>
        <v>TE</v>
      </c>
      <c r="C85">
        <f>INDEX('Draft Engine'!$F$3:$F$225,$O85)</f>
        <v>13</v>
      </c>
      <c r="D85" t="str">
        <f>INDEX('Draft Engine'!$B$3:$B$225,$O85)</f>
        <v>Dallas Goedert</v>
      </c>
      <c r="E85" s="4">
        <f>INDEX('Draft Engine'!$N$3:$N$225,$O85)</f>
        <v>64.147262692307692</v>
      </c>
      <c r="F85" s="4">
        <f>INDEX('Draft Engine'!$E$3:$E$225,$O85)</f>
        <v>79.918099999999995</v>
      </c>
      <c r="G85" s="4">
        <f>INDEX('Draft Engine'!$G$3:$G$225,$O85)</f>
        <v>179.7</v>
      </c>
      <c r="H85" s="4">
        <f>INDEX('Draft Engine'!$J$3:$J$225,$O85)</f>
        <v>0</v>
      </c>
      <c r="I85" s="4">
        <f>INDEX('Draft Engine'!$L$3:$L$225,$O85)</f>
        <v>34.615384615384613</v>
      </c>
      <c r="J85" s="4">
        <f>INDEX('Draft Engine'!$R$3:$R$225,$O85)</f>
        <v>125</v>
      </c>
      <c r="K85" s="4">
        <f>INDEX('Draft Engine'!$S$3:$S$225,$O85)</f>
        <v>42</v>
      </c>
      <c r="L85" s="4">
        <f>INDEX('Draft Engine'!$U$3:$U$225,$O85)</f>
        <v>73.918099999999995</v>
      </c>
      <c r="M85" s="4">
        <f>INDEX('Draft Engine'!$W$3:$W$225,$O85)</f>
        <v>85.918099999999995</v>
      </c>
      <c r="N85" t="str">
        <f>INDEX('Draft Engine'!$T$3:$T$225,$O85)</f>
        <v>A</v>
      </c>
      <c r="O85" s="6">
        <f>MATCH($A85,'Draft Engine'!$Q$3:$Q$225,0)</f>
        <v>165</v>
      </c>
    </row>
    <row r="86" spans="1:15" x14ac:dyDescent="0.25">
      <c r="A86">
        <f>84</f>
        <v>84</v>
      </c>
      <c r="B86" t="str">
        <f>INDEX('Draft Engine'!$A$3:$A$225,$O86)</f>
        <v>RB</v>
      </c>
      <c r="C86">
        <f>INDEX('Draft Engine'!$F$3:$F$225,$O86)</f>
        <v>29</v>
      </c>
      <c r="D86" t="str">
        <f>INDEX('Draft Engine'!$B$3:$B$225,$O86)</f>
        <v>Rhamondre Stevenson</v>
      </c>
      <c r="E86" s="4">
        <f>INDEX('Draft Engine'!$N$3:$N$225,$O86)</f>
        <v>63.984954999999999</v>
      </c>
      <c r="F86" s="4">
        <f>INDEX('Draft Engine'!$E$3:$E$225,$O86)</f>
        <v>74.588099999999997</v>
      </c>
      <c r="G86" s="4">
        <f>INDEX('Draft Engine'!$G$3:$G$225,$O86)</f>
        <v>243.3</v>
      </c>
      <c r="H86" s="4">
        <f>INDEX('Draft Engine'!$J$3:$J$225,$O86)</f>
        <v>4.3</v>
      </c>
      <c r="I86" s="4">
        <f>INDEX('Draft Engine'!$L$3:$L$225,$O86)</f>
        <v>47.916666666666657</v>
      </c>
      <c r="J86" s="4">
        <f>INDEX('Draft Engine'!$R$3:$R$225,$O86)</f>
        <v>119.6</v>
      </c>
      <c r="K86" s="4">
        <f>INDEX('Draft Engine'!$S$3:$S$225,$O86)</f>
        <v>35.599999999999994</v>
      </c>
      <c r="L86" s="4">
        <f>INDEX('Draft Engine'!$U$3:$U$225,$O86)</f>
        <v>68.588099999999997</v>
      </c>
      <c r="M86" s="4">
        <f>INDEX('Draft Engine'!$W$3:$W$225,$O86)</f>
        <v>80.588099999999997</v>
      </c>
      <c r="N86" t="str">
        <f>INDEX('Draft Engine'!$T$3:$T$225,$O86)</f>
        <v>A</v>
      </c>
      <c r="O86" s="6">
        <f>MATCH($A86,'Draft Engine'!$Q$3:$Q$225,0)</f>
        <v>61</v>
      </c>
    </row>
    <row r="87" spans="1:15" x14ac:dyDescent="0.25">
      <c r="A87">
        <f>85</f>
        <v>85</v>
      </c>
      <c r="B87" t="str">
        <f>INDEX('Draft Engine'!$A$3:$A$225,$O87)</f>
        <v>WR</v>
      </c>
      <c r="C87">
        <f>INDEX('Draft Engine'!$F$3:$F$225,$O87)</f>
        <v>30</v>
      </c>
      <c r="D87" t="str">
        <f>INDEX('Draft Engine'!$B$3:$B$225,$O87)</f>
        <v>Jakobi Meyers</v>
      </c>
      <c r="E87" s="4">
        <f>INDEX('Draft Engine'!$N$3:$N$225,$O87)</f>
        <v>63.953333333333333</v>
      </c>
      <c r="F87" s="4">
        <f>INDEX('Draft Engine'!$E$3:$E$225,$O87)</f>
        <v>74.88</v>
      </c>
      <c r="G87" s="4">
        <f>INDEX('Draft Engine'!$G$3:$G$225,$O87)</f>
        <v>244.5</v>
      </c>
      <c r="H87" s="4">
        <f>INDEX('Draft Engine'!$J$3:$J$225,$O87)</f>
        <v>5.2</v>
      </c>
      <c r="I87" s="4">
        <f>INDEX('Draft Engine'!$L$3:$L$225,$O87)</f>
        <v>45.555555555555557</v>
      </c>
      <c r="J87" s="4">
        <f>INDEX('Draft Engine'!$R$3:$R$225,$O87)</f>
        <v>143.4</v>
      </c>
      <c r="K87" s="4">
        <f>INDEX('Draft Engine'!$S$3:$S$225,$O87)</f>
        <v>58.400000000000006</v>
      </c>
      <c r="L87" s="4">
        <f>INDEX('Draft Engine'!$U$3:$U$225,$O87)</f>
        <v>62.879999999999995</v>
      </c>
      <c r="M87" s="4">
        <f>INDEX('Draft Engine'!$W$3:$W$225,$O87)</f>
        <v>86.88</v>
      </c>
      <c r="N87" t="str">
        <f>INDEX('Draft Engine'!$T$3:$T$225,$O87)</f>
        <v>C</v>
      </c>
      <c r="O87" s="6">
        <f>MATCH($A87,'Draft Engine'!$Q$3:$Q$225,0)</f>
        <v>119</v>
      </c>
    </row>
    <row r="88" spans="1:15" x14ac:dyDescent="0.25">
      <c r="A88">
        <f>86</f>
        <v>86</v>
      </c>
      <c r="B88" t="str">
        <f>INDEX('Draft Engine'!$A$3:$A$225,$O88)</f>
        <v>RB</v>
      </c>
      <c r="C88">
        <f>INDEX('Draft Engine'!$F$3:$F$225,$O88)</f>
        <v>30</v>
      </c>
      <c r="D88" t="str">
        <f>INDEX('Draft Engine'!$B$3:$B$225,$O88)</f>
        <v>Kenneth Gainwell</v>
      </c>
      <c r="E88" s="4">
        <f>INDEX('Draft Engine'!$N$3:$N$225,$O88)</f>
        <v>63.507820000000002</v>
      </c>
      <c r="F88" s="4">
        <f>INDEX('Draft Engine'!$E$3:$E$225,$O88)</f>
        <v>74.504900000000006</v>
      </c>
      <c r="G88" s="4">
        <f>INDEX('Draft Engine'!$G$3:$G$225,$O88)</f>
        <v>242.9</v>
      </c>
      <c r="H88" s="4">
        <f>INDEX('Draft Engine'!$J$3:$J$225,$O88)</f>
        <v>3.9</v>
      </c>
      <c r="I88" s="4">
        <f>INDEX('Draft Engine'!$L$3:$L$225,$O88)</f>
        <v>45.520833333333336</v>
      </c>
      <c r="J88" s="4">
        <f>INDEX('Draft Engine'!$R$3:$R$225,$O88)</f>
        <v>123.8</v>
      </c>
      <c r="K88" s="4">
        <f>INDEX('Draft Engine'!$S$3:$S$225,$O88)</f>
        <v>37.799999999999997</v>
      </c>
      <c r="L88" s="4">
        <f>INDEX('Draft Engine'!$U$3:$U$225,$O88)</f>
        <v>68.504900000000006</v>
      </c>
      <c r="M88" s="4">
        <f>INDEX('Draft Engine'!$W$3:$W$225,$O88)</f>
        <v>80.504900000000006</v>
      </c>
      <c r="N88" t="str">
        <f>INDEX('Draft Engine'!$T$3:$T$225,$O88)</f>
        <v>A</v>
      </c>
      <c r="O88" s="6">
        <f>MATCH($A88,'Draft Engine'!$Q$3:$Q$225,0)</f>
        <v>62</v>
      </c>
    </row>
    <row r="89" spans="1:15" x14ac:dyDescent="0.25">
      <c r="A89">
        <f>87</f>
        <v>87</v>
      </c>
      <c r="B89" t="str">
        <f>INDEX('Draft Engine'!$A$3:$A$225,$O89)</f>
        <v>RB</v>
      </c>
      <c r="C89">
        <f>INDEX('Draft Engine'!$F$3:$F$225,$O89)</f>
        <v>31</v>
      </c>
      <c r="D89" t="str">
        <f>INDEX('Draft Engine'!$B$3:$B$225,$O89)</f>
        <v>Bhayshul Tuten</v>
      </c>
      <c r="E89" s="4">
        <f>INDEX('Draft Engine'!$N$3:$N$225,$O89)</f>
        <v>63.109984999999995</v>
      </c>
      <c r="F89" s="4">
        <f>INDEX('Draft Engine'!$E$3:$E$225,$O89)</f>
        <v>74.467699999999994</v>
      </c>
      <c r="G89" s="4">
        <f>INDEX('Draft Engine'!$G$3:$G$225,$O89)</f>
        <v>242.8</v>
      </c>
      <c r="H89" s="4">
        <f>INDEX('Draft Engine'!$J$3:$J$225,$O89)</f>
        <v>3.8</v>
      </c>
      <c r="I89" s="4">
        <f>INDEX('Draft Engine'!$L$3:$L$225,$O89)</f>
        <v>43.125</v>
      </c>
      <c r="J89" s="4">
        <f>INDEX('Draft Engine'!$R$3:$R$225,$O89)</f>
        <v>128</v>
      </c>
      <c r="K89" s="4">
        <f>INDEX('Draft Engine'!$S$3:$S$225,$O89)</f>
        <v>41</v>
      </c>
      <c r="L89" s="4">
        <f>INDEX('Draft Engine'!$U$3:$U$225,$O89)</f>
        <v>68.467699999999994</v>
      </c>
      <c r="M89" s="4">
        <f>INDEX('Draft Engine'!$W$3:$W$225,$O89)</f>
        <v>80.467699999999994</v>
      </c>
      <c r="N89" t="str">
        <f>INDEX('Draft Engine'!$T$3:$T$225,$O89)</f>
        <v>A</v>
      </c>
      <c r="O89" s="6">
        <f>MATCH($A89,'Draft Engine'!$Q$3:$Q$225,0)</f>
        <v>63</v>
      </c>
    </row>
    <row r="90" spans="1:15" x14ac:dyDescent="0.25">
      <c r="A90">
        <f>88</f>
        <v>88</v>
      </c>
      <c r="B90" t="str">
        <f>INDEX('Draft Engine'!$A$3:$A$225,$O90)</f>
        <v>WR</v>
      </c>
      <c r="C90">
        <f>INDEX('Draft Engine'!$F$3:$F$225,$O90)</f>
        <v>31</v>
      </c>
      <c r="D90" t="str">
        <f>INDEX('Draft Engine'!$B$3:$B$225,$O90)</f>
        <v>Jordan Addison</v>
      </c>
      <c r="E90" s="4">
        <f>INDEX('Draft Engine'!$N$3:$N$225,$O90)</f>
        <v>62.747500000000002</v>
      </c>
      <c r="F90" s="4">
        <f>INDEX('Draft Engine'!$E$3:$E$225,$O90)</f>
        <v>74.209999999999994</v>
      </c>
      <c r="G90" s="4">
        <f>INDEX('Draft Engine'!$G$3:$G$225,$O90)</f>
        <v>241.7</v>
      </c>
      <c r="H90" s="4">
        <f>INDEX('Draft Engine'!$J$3:$J$225,$O90)</f>
        <v>2.4</v>
      </c>
      <c r="I90" s="4">
        <f>INDEX('Draft Engine'!$L$3:$L$225,$O90)</f>
        <v>43.333333333333336</v>
      </c>
      <c r="J90" s="4">
        <f>INDEX('Draft Engine'!$R$3:$R$225,$O90)</f>
        <v>147.30000000000001</v>
      </c>
      <c r="K90" s="4">
        <f>INDEX('Draft Engine'!$S$3:$S$225,$O90)</f>
        <v>59.300000000000011</v>
      </c>
      <c r="L90" s="4">
        <f>INDEX('Draft Engine'!$U$3:$U$225,$O90)</f>
        <v>62.209999999999994</v>
      </c>
      <c r="M90" s="4">
        <f>INDEX('Draft Engine'!$W$3:$W$225,$O90)</f>
        <v>86.21</v>
      </c>
      <c r="N90" t="str">
        <f>INDEX('Draft Engine'!$T$3:$T$225,$O90)</f>
        <v>C</v>
      </c>
      <c r="O90" s="6">
        <f>MATCH($A90,'Draft Engine'!$Q$3:$Q$225,0)</f>
        <v>120</v>
      </c>
    </row>
    <row r="91" spans="1:15" x14ac:dyDescent="0.25">
      <c r="A91">
        <f>89</f>
        <v>89</v>
      </c>
      <c r="B91" t="str">
        <f>INDEX('Draft Engine'!$A$3:$A$225,$O91)</f>
        <v>TE</v>
      </c>
      <c r="C91">
        <f>INDEX('Draft Engine'!$F$3:$F$225,$O91)</f>
        <v>14</v>
      </c>
      <c r="D91" t="str">
        <f>INDEX('Draft Engine'!$B$3:$B$225,$O91)</f>
        <v>Mark Andrews</v>
      </c>
      <c r="E91" s="4">
        <f>INDEX('Draft Engine'!$N$3:$N$225,$O91)</f>
        <v>62.445970000000003</v>
      </c>
      <c r="F91" s="4">
        <f>INDEX('Draft Engine'!$E$3:$E$225,$O91)</f>
        <v>79.065399999999997</v>
      </c>
      <c r="G91" s="4">
        <f>INDEX('Draft Engine'!$G$3:$G$225,$O91)</f>
        <v>176.7</v>
      </c>
      <c r="H91" s="4">
        <f>INDEX('Draft Engine'!$J$3:$J$225,$O91)</f>
        <v>-3</v>
      </c>
      <c r="I91" s="4">
        <f>INDEX('Draft Engine'!$L$3:$L$225,$O91)</f>
        <v>30.000000000000004</v>
      </c>
      <c r="J91" s="4">
        <f>INDEX('Draft Engine'!$R$3:$R$225,$O91)</f>
        <v>134</v>
      </c>
      <c r="K91" s="4">
        <f>INDEX('Draft Engine'!$S$3:$S$225,$O91)</f>
        <v>45</v>
      </c>
      <c r="L91" s="4">
        <f>INDEX('Draft Engine'!$U$3:$U$225,$O91)</f>
        <v>73.065399999999997</v>
      </c>
      <c r="M91" s="4">
        <f>INDEX('Draft Engine'!$W$3:$W$225,$O91)</f>
        <v>85.065399999999997</v>
      </c>
      <c r="N91" t="str">
        <f>INDEX('Draft Engine'!$T$3:$T$225,$O91)</f>
        <v>A</v>
      </c>
      <c r="O91" s="6">
        <f>MATCH($A91,'Draft Engine'!$Q$3:$Q$225,0)</f>
        <v>166</v>
      </c>
    </row>
    <row r="92" spans="1:15" x14ac:dyDescent="0.25">
      <c r="A92">
        <f>90</f>
        <v>90</v>
      </c>
      <c r="B92" t="str">
        <f>INDEX('Draft Engine'!$A$3:$A$225,$O92)</f>
        <v>QB</v>
      </c>
      <c r="C92">
        <f>INDEX('Draft Engine'!$F$3:$F$225,$O92)</f>
        <v>14</v>
      </c>
      <c r="D92" t="str">
        <f>INDEX('Draft Engine'!$B$3:$B$225,$O92)</f>
        <v>Brock Purdy</v>
      </c>
      <c r="E92" s="4">
        <f>INDEX('Draft Engine'!$N$3:$N$225,$O92)</f>
        <v>62.427230000000009</v>
      </c>
      <c r="F92" s="4">
        <f>INDEX('Draft Engine'!$E$3:$E$225,$O92)</f>
        <v>83.8386</v>
      </c>
      <c r="G92" s="4">
        <f>INDEX('Draft Engine'!$G$3:$G$225,$O92)</f>
        <v>347.3</v>
      </c>
      <c r="H92" s="4">
        <f>INDEX('Draft Engine'!$J$3:$J$225,$O92)</f>
        <v>-3.8</v>
      </c>
      <c r="I92" s="4">
        <f>INDEX('Draft Engine'!$L$3:$L$225,$O92)</f>
        <v>33.333333333333336</v>
      </c>
      <c r="J92" s="4">
        <f>INDEX('Draft Engine'!$R$3:$R$225,$O92)</f>
        <v>126</v>
      </c>
      <c r="K92" s="4">
        <f>INDEX('Draft Engine'!$S$3:$S$225,$O92)</f>
        <v>36</v>
      </c>
      <c r="L92" s="4">
        <f>INDEX('Draft Engine'!$U$3:$U$225,$O92)</f>
        <v>74.8386</v>
      </c>
      <c r="M92" s="4">
        <f>INDEX('Draft Engine'!$W$3:$W$225,$O92)</f>
        <v>92.8386</v>
      </c>
      <c r="N92" t="str">
        <f>INDEX('Draft Engine'!$T$3:$T$225,$O92)</f>
        <v>B</v>
      </c>
      <c r="O92" s="6">
        <f>MATCH($A92,'Draft Engine'!$Q$3:$Q$225,0)</f>
        <v>14</v>
      </c>
    </row>
    <row r="93" spans="1:15" x14ac:dyDescent="0.25">
      <c r="A93">
        <f>91</f>
        <v>91</v>
      </c>
      <c r="B93" t="str">
        <f>INDEX('Draft Engine'!$A$3:$A$225,$O93)</f>
        <v>WR</v>
      </c>
      <c r="C93">
        <f>INDEX('Draft Engine'!$F$3:$F$225,$O93)</f>
        <v>32</v>
      </c>
      <c r="D93" t="str">
        <f>INDEX('Draft Engine'!$B$3:$B$225,$O93)</f>
        <v>Christian Watson</v>
      </c>
      <c r="E93" s="4">
        <f>INDEX('Draft Engine'!$N$3:$N$225,$O93)</f>
        <v>61.987541666666665</v>
      </c>
      <c r="F93" s="4">
        <f>INDEX('Draft Engine'!$E$3:$E$225,$O93)</f>
        <v>73.892499999999998</v>
      </c>
      <c r="G93" s="4">
        <f>INDEX('Draft Engine'!$G$3:$G$225,$O93)</f>
        <v>240.3</v>
      </c>
      <c r="H93" s="4">
        <f>INDEX('Draft Engine'!$J$3:$J$225,$O93)</f>
        <v>1</v>
      </c>
      <c r="I93" s="4">
        <f>INDEX('Draft Engine'!$L$3:$L$225,$O93)</f>
        <v>41.111111111111107</v>
      </c>
      <c r="J93" s="4">
        <f>INDEX('Draft Engine'!$R$3:$R$225,$O93)</f>
        <v>116.1</v>
      </c>
      <c r="K93" s="4">
        <f>INDEX('Draft Engine'!$S$3:$S$225,$O93)</f>
        <v>25.099999999999994</v>
      </c>
      <c r="L93" s="4">
        <f>INDEX('Draft Engine'!$U$3:$U$225,$O93)</f>
        <v>61.892499999999998</v>
      </c>
      <c r="M93" s="4">
        <f>INDEX('Draft Engine'!$W$3:$W$225,$O93)</f>
        <v>85.892499999999998</v>
      </c>
      <c r="N93" t="str">
        <f>INDEX('Draft Engine'!$T$3:$T$225,$O93)</f>
        <v>C</v>
      </c>
      <c r="O93" s="6">
        <f>MATCH($A93,'Draft Engine'!$Q$3:$Q$225,0)</f>
        <v>112</v>
      </c>
    </row>
    <row r="94" spans="1:15" x14ac:dyDescent="0.25">
      <c r="A94">
        <f>92</f>
        <v>92</v>
      </c>
      <c r="B94" t="str">
        <f>INDEX('Draft Engine'!$A$3:$A$225,$O94)</f>
        <v>RB</v>
      </c>
      <c r="C94">
        <f>INDEX('Draft Engine'!$F$3:$F$225,$O94)</f>
        <v>32</v>
      </c>
      <c r="D94" t="str">
        <f>INDEX('Draft Engine'!$B$3:$B$225,$O94)</f>
        <v>RJ Harvey</v>
      </c>
      <c r="E94" s="4">
        <f>INDEX('Draft Engine'!$N$3:$N$225,$O94)</f>
        <v>61.571665000000003</v>
      </c>
      <c r="F94" s="4">
        <f>INDEX('Draft Engine'!$E$3:$E$225,$O94)</f>
        <v>73.567800000000005</v>
      </c>
      <c r="G94" s="4">
        <f>INDEX('Draft Engine'!$G$3:$G$225,$O94)</f>
        <v>239</v>
      </c>
      <c r="H94" s="4">
        <f>INDEX('Draft Engine'!$J$3:$J$225,$O94)</f>
        <v>0</v>
      </c>
      <c r="I94" s="4">
        <f>INDEX('Draft Engine'!$L$3:$L$225,$O94)</f>
        <v>40.729166666666664</v>
      </c>
      <c r="J94" s="4">
        <f>INDEX('Draft Engine'!$R$3:$R$225,$O94)</f>
        <v>132.19999999999999</v>
      </c>
      <c r="K94" s="4">
        <f>INDEX('Draft Engine'!$S$3:$S$225,$O94)</f>
        <v>40.199999999999989</v>
      </c>
      <c r="L94" s="4">
        <f>INDEX('Draft Engine'!$U$3:$U$225,$O94)</f>
        <v>67.567800000000005</v>
      </c>
      <c r="M94" s="4">
        <f>INDEX('Draft Engine'!$W$3:$W$225,$O94)</f>
        <v>79.567800000000005</v>
      </c>
      <c r="N94" t="str">
        <f>INDEX('Draft Engine'!$T$3:$T$225,$O94)</f>
        <v>A</v>
      </c>
      <c r="O94" s="6">
        <f>MATCH($A94,'Draft Engine'!$Q$3:$Q$225,0)</f>
        <v>64</v>
      </c>
    </row>
    <row r="95" spans="1:15" x14ac:dyDescent="0.25">
      <c r="A95">
        <f>93</f>
        <v>93</v>
      </c>
      <c r="B95" t="str">
        <f>INDEX('Draft Engine'!$A$3:$A$225,$O95)</f>
        <v>WR</v>
      </c>
      <c r="C95">
        <f>INDEX('Draft Engine'!$F$3:$F$225,$O95)</f>
        <v>33</v>
      </c>
      <c r="D95" t="str">
        <f>INDEX('Draft Engine'!$B$3:$B$225,$O95)</f>
        <v>Rome Odunze</v>
      </c>
      <c r="E95" s="4">
        <f>INDEX('Draft Engine'!$N$3:$N$225,$O95)</f>
        <v>61.338083333333337</v>
      </c>
      <c r="F95" s="4">
        <f>INDEX('Draft Engine'!$E$3:$E$225,$O95)</f>
        <v>73.644999999999996</v>
      </c>
      <c r="G95" s="4">
        <f>INDEX('Draft Engine'!$G$3:$G$225,$O95)</f>
        <v>239.3</v>
      </c>
      <c r="H95" s="4">
        <f>INDEX('Draft Engine'!$J$3:$J$225,$O95)</f>
        <v>0</v>
      </c>
      <c r="I95" s="4">
        <f>INDEX('Draft Engine'!$L$3:$L$225,$O95)</f>
        <v>38.888888888888886</v>
      </c>
      <c r="J95" s="4">
        <f>INDEX('Draft Engine'!$R$3:$R$225,$O95)</f>
        <v>104.4</v>
      </c>
      <c r="K95" s="4">
        <f>INDEX('Draft Engine'!$S$3:$S$225,$O95)</f>
        <v>11.400000000000006</v>
      </c>
      <c r="L95" s="4">
        <f>INDEX('Draft Engine'!$U$3:$U$225,$O95)</f>
        <v>61.644999999999996</v>
      </c>
      <c r="M95" s="4">
        <f>INDEX('Draft Engine'!$W$3:$W$225,$O95)</f>
        <v>85.644999999999996</v>
      </c>
      <c r="N95" t="str">
        <f>INDEX('Draft Engine'!$T$3:$T$225,$O95)</f>
        <v>C</v>
      </c>
      <c r="O95" s="6">
        <f>MATCH($A95,'Draft Engine'!$Q$3:$Q$225,0)</f>
        <v>109</v>
      </c>
    </row>
    <row r="96" spans="1:15" x14ac:dyDescent="0.25">
      <c r="A96">
        <f>94</f>
        <v>94</v>
      </c>
      <c r="B96" t="str">
        <f>INDEX('Draft Engine'!$A$3:$A$225,$O96)</f>
        <v>TE</v>
      </c>
      <c r="C96">
        <f>INDEX('Draft Engine'!$F$3:$F$225,$O96)</f>
        <v>15</v>
      </c>
      <c r="D96" t="str">
        <f>INDEX('Draft Engine'!$B$3:$B$225,$O96)</f>
        <v>Isaiah Likely</v>
      </c>
      <c r="E96" s="4">
        <f>INDEX('Draft Engine'!$N$3:$N$225,$O96)</f>
        <v>61.180417307692309</v>
      </c>
      <c r="F96" s="4">
        <f>INDEX('Draft Engine'!$E$3:$E$225,$O96)</f>
        <v>78.579499999999996</v>
      </c>
      <c r="G96" s="4">
        <f>INDEX('Draft Engine'!$G$3:$G$225,$O96)</f>
        <v>175</v>
      </c>
      <c r="H96" s="4">
        <f>INDEX('Draft Engine'!$J$3:$J$225,$O96)</f>
        <v>-4.7</v>
      </c>
      <c r="I96" s="4">
        <f>INDEX('Draft Engine'!$L$3:$L$225,$O96)</f>
        <v>25.384615384615383</v>
      </c>
      <c r="J96" s="4">
        <f>INDEX('Draft Engine'!$R$3:$R$225,$O96)</f>
        <v>143</v>
      </c>
      <c r="K96" s="4">
        <f>INDEX('Draft Engine'!$S$3:$S$225,$O96)</f>
        <v>49</v>
      </c>
      <c r="L96" s="4">
        <f>INDEX('Draft Engine'!$U$3:$U$225,$O96)</f>
        <v>72.579499999999996</v>
      </c>
      <c r="M96" s="4">
        <f>INDEX('Draft Engine'!$W$3:$W$225,$O96)</f>
        <v>84.579499999999996</v>
      </c>
      <c r="N96" t="str">
        <f>INDEX('Draft Engine'!$T$3:$T$225,$O96)</f>
        <v>A</v>
      </c>
      <c r="O96" s="6">
        <f>MATCH($A96,'Draft Engine'!$Q$3:$Q$225,0)</f>
        <v>167</v>
      </c>
    </row>
    <row r="97" spans="1:15" x14ac:dyDescent="0.25">
      <c r="A97">
        <f>95</f>
        <v>95</v>
      </c>
      <c r="B97" t="str">
        <f>INDEX('Draft Engine'!$A$3:$A$225,$O97)</f>
        <v>WR</v>
      </c>
      <c r="C97">
        <f>INDEX('Draft Engine'!$F$3:$F$225,$O97)</f>
        <v>34</v>
      </c>
      <c r="D97" t="str">
        <f>INDEX('Draft Engine'!$B$3:$B$225,$O97)</f>
        <v>Wan'Dale Robinson</v>
      </c>
      <c r="E97" s="4">
        <f>INDEX('Draft Engine'!$N$3:$N$225,$O97)</f>
        <v>60.875000000000007</v>
      </c>
      <c r="F97" s="4">
        <f>INDEX('Draft Engine'!$E$3:$E$225,$O97)</f>
        <v>73.540000000000006</v>
      </c>
      <c r="G97" s="4">
        <f>INDEX('Draft Engine'!$G$3:$G$225,$O97)</f>
        <v>238.9</v>
      </c>
      <c r="H97" s="4">
        <f>INDEX('Draft Engine'!$J$3:$J$225,$O97)</f>
        <v>-0.4</v>
      </c>
      <c r="I97" s="4">
        <f>INDEX('Draft Engine'!$L$3:$L$225,$O97)</f>
        <v>36.666666666666671</v>
      </c>
      <c r="J97" s="4">
        <f>INDEX('Draft Engine'!$R$3:$R$225,$O97)</f>
        <v>151.19999999999999</v>
      </c>
      <c r="K97" s="4">
        <f>INDEX('Draft Engine'!$S$3:$S$225,$O97)</f>
        <v>56.199999999999989</v>
      </c>
      <c r="L97" s="4">
        <f>INDEX('Draft Engine'!$U$3:$U$225,$O97)</f>
        <v>61.540000000000006</v>
      </c>
      <c r="M97" s="4">
        <f>INDEX('Draft Engine'!$W$3:$W$225,$O97)</f>
        <v>85.54</v>
      </c>
      <c r="N97" t="str">
        <f>INDEX('Draft Engine'!$T$3:$T$225,$O97)</f>
        <v>C</v>
      </c>
      <c r="O97" s="6">
        <f>MATCH($A97,'Draft Engine'!$Q$3:$Q$225,0)</f>
        <v>121</v>
      </c>
    </row>
    <row r="98" spans="1:15" x14ac:dyDescent="0.25">
      <c r="A98">
        <f>96</f>
        <v>96</v>
      </c>
      <c r="B98" t="str">
        <f>INDEX('Draft Engine'!$A$3:$A$225,$O98)</f>
        <v>QB</v>
      </c>
      <c r="C98">
        <f>INDEX('Draft Engine'!$F$3:$F$225,$O98)</f>
        <v>15</v>
      </c>
      <c r="D98" t="str">
        <f>INDEX('Draft Engine'!$B$3:$B$225,$O98)</f>
        <v>Jaxson Dart</v>
      </c>
      <c r="E98" s="4">
        <f>INDEX('Draft Engine'!$N$3:$N$225,$O98)</f>
        <v>60.600154230769235</v>
      </c>
      <c r="F98" s="4">
        <f>INDEX('Draft Engine'!$E$3:$E$225,$O98)</f>
        <v>83.060699999999997</v>
      </c>
      <c r="G98" s="4">
        <f>INDEX('Draft Engine'!$G$3:$G$225,$O98)</f>
        <v>343.8</v>
      </c>
      <c r="H98" s="4">
        <f>INDEX('Draft Engine'!$J$3:$J$225,$O98)</f>
        <v>-7.3</v>
      </c>
      <c r="I98" s="4">
        <f>INDEX('Draft Engine'!$L$3:$L$225,$O98)</f>
        <v>28.205128205128204</v>
      </c>
      <c r="J98" s="4">
        <f>INDEX('Draft Engine'!$R$3:$R$225,$O98)</f>
        <v>134</v>
      </c>
      <c r="K98" s="4">
        <f>INDEX('Draft Engine'!$S$3:$S$225,$O98)</f>
        <v>38</v>
      </c>
      <c r="L98" s="4">
        <f>INDEX('Draft Engine'!$U$3:$U$225,$O98)</f>
        <v>77.060699999999997</v>
      </c>
      <c r="M98" s="4">
        <f>INDEX('Draft Engine'!$W$3:$W$225,$O98)</f>
        <v>89.060699999999997</v>
      </c>
      <c r="N98" t="str">
        <f>INDEX('Draft Engine'!$T$3:$T$225,$O98)</f>
        <v>A</v>
      </c>
      <c r="O98" s="6">
        <f>MATCH($A98,'Draft Engine'!$Q$3:$Q$225,0)</f>
        <v>15</v>
      </c>
    </row>
    <row r="99" spans="1:15" x14ac:dyDescent="0.25">
      <c r="A99">
        <f>97</f>
        <v>97</v>
      </c>
      <c r="B99" t="str">
        <f>INDEX('Draft Engine'!$A$3:$A$225,$O99)</f>
        <v>TE</v>
      </c>
      <c r="C99">
        <f>INDEX('Draft Engine'!$F$3:$F$225,$O99)</f>
        <v>16</v>
      </c>
      <c r="D99" t="str">
        <f>INDEX('Draft Engine'!$B$3:$B$225,$O99)</f>
        <v>Juwan Johnson</v>
      </c>
      <c r="E99" s="4">
        <f>INDEX('Draft Engine'!$N$3:$N$225,$O99)</f>
        <v>60.183549615384614</v>
      </c>
      <c r="F99" s="4">
        <f>INDEX('Draft Engine'!$E$3:$E$225,$O99)</f>
        <v>78.320300000000003</v>
      </c>
      <c r="G99" s="4">
        <f>INDEX('Draft Engine'!$G$3:$G$225,$O99)</f>
        <v>174.1</v>
      </c>
      <c r="H99" s="4">
        <f>INDEX('Draft Engine'!$J$3:$J$225,$O99)</f>
        <v>-5.6</v>
      </c>
      <c r="I99" s="4">
        <f>INDEX('Draft Engine'!$L$3:$L$225,$O99)</f>
        <v>20.769230769230766</v>
      </c>
      <c r="J99" s="4">
        <f>INDEX('Draft Engine'!$R$3:$R$225,$O99)</f>
        <v>152</v>
      </c>
      <c r="K99" s="4">
        <f>INDEX('Draft Engine'!$S$3:$S$225,$O99)</f>
        <v>55</v>
      </c>
      <c r="L99" s="4">
        <f>INDEX('Draft Engine'!$U$3:$U$225,$O99)</f>
        <v>72.320300000000003</v>
      </c>
      <c r="M99" s="4">
        <f>INDEX('Draft Engine'!$W$3:$W$225,$O99)</f>
        <v>84.320300000000003</v>
      </c>
      <c r="N99" t="str">
        <f>INDEX('Draft Engine'!$T$3:$T$225,$O99)</f>
        <v>A</v>
      </c>
      <c r="O99" s="6">
        <f>MATCH($A99,'Draft Engine'!$Q$3:$Q$225,0)</f>
        <v>168</v>
      </c>
    </row>
    <row r="100" spans="1:15" x14ac:dyDescent="0.25">
      <c r="A100">
        <f>98</f>
        <v>98</v>
      </c>
      <c r="B100" t="str">
        <f>INDEX('Draft Engine'!$A$3:$A$225,$O100)</f>
        <v>RB</v>
      </c>
      <c r="C100">
        <f>INDEX('Draft Engine'!$F$3:$F$225,$O100)</f>
        <v>33</v>
      </c>
      <c r="D100" t="str">
        <f>INDEX('Draft Engine'!$B$3:$B$225,$O100)</f>
        <v>Kyle Monangai</v>
      </c>
      <c r="E100" s="4">
        <f>INDEX('Draft Engine'!$N$3:$N$225,$O100)</f>
        <v>59.965610000000005</v>
      </c>
      <c r="F100" s="4">
        <f>INDEX('Draft Engine'!$E$3:$E$225,$O100)</f>
        <v>72.610200000000006</v>
      </c>
      <c r="G100" s="4">
        <f>INDEX('Draft Engine'!$G$3:$G$225,$O100)</f>
        <v>235</v>
      </c>
      <c r="H100" s="4">
        <f>INDEX('Draft Engine'!$J$3:$J$225,$O100)</f>
        <v>-4</v>
      </c>
      <c r="I100" s="4">
        <f>INDEX('Draft Engine'!$L$3:$L$225,$O100)</f>
        <v>38.333333333333336</v>
      </c>
      <c r="J100" s="4">
        <f>INDEX('Draft Engine'!$R$3:$R$225,$O100)</f>
        <v>136.4</v>
      </c>
      <c r="K100" s="4">
        <f>INDEX('Draft Engine'!$S$3:$S$225,$O100)</f>
        <v>38.400000000000006</v>
      </c>
      <c r="L100" s="4">
        <f>INDEX('Draft Engine'!$U$3:$U$225,$O100)</f>
        <v>66.610200000000006</v>
      </c>
      <c r="M100" s="4">
        <f>INDEX('Draft Engine'!$W$3:$W$225,$O100)</f>
        <v>78.610200000000006</v>
      </c>
      <c r="N100" t="str">
        <f>INDEX('Draft Engine'!$T$3:$T$225,$O100)</f>
        <v>A</v>
      </c>
      <c r="O100" s="6">
        <f>MATCH($A100,'Draft Engine'!$Q$3:$Q$225,0)</f>
        <v>65</v>
      </c>
    </row>
    <row r="101" spans="1:15" x14ac:dyDescent="0.25">
      <c r="A101">
        <f>99</f>
        <v>99</v>
      </c>
      <c r="B101" t="str">
        <f>INDEX('Draft Engine'!$A$3:$A$225,$O101)</f>
        <v>QB</v>
      </c>
      <c r="C101">
        <f>INDEX('Draft Engine'!$F$3:$F$225,$O101)</f>
        <v>16</v>
      </c>
      <c r="D101" t="str">
        <f>INDEX('Draft Engine'!$B$3:$B$225,$O101)</f>
        <v>Jared Goff</v>
      </c>
      <c r="E101" s="4">
        <f>INDEX('Draft Engine'!$N$3:$N$225,$O101)</f>
        <v>59.258913461538462</v>
      </c>
      <c r="F101" s="4">
        <f>INDEX('Draft Engine'!$E$3:$E$225,$O101)</f>
        <v>82.642499999999998</v>
      </c>
      <c r="G101" s="4">
        <f>INDEX('Draft Engine'!$G$3:$G$225,$O101)</f>
        <v>341.9</v>
      </c>
      <c r="H101" s="4">
        <f>INDEX('Draft Engine'!$J$3:$J$225,$O101)</f>
        <v>-9.1999999999999993</v>
      </c>
      <c r="I101" s="4">
        <f>INDEX('Draft Engine'!$L$3:$L$225,$O101)</f>
        <v>23.076923076923073</v>
      </c>
      <c r="J101" s="4">
        <f>INDEX('Draft Engine'!$R$3:$R$225,$O101)</f>
        <v>142</v>
      </c>
      <c r="K101" s="4">
        <f>INDEX('Draft Engine'!$S$3:$S$225,$O101)</f>
        <v>43</v>
      </c>
      <c r="L101" s="4">
        <f>INDEX('Draft Engine'!$U$3:$U$225,$O101)</f>
        <v>76.642499999999998</v>
      </c>
      <c r="M101" s="4">
        <f>INDEX('Draft Engine'!$W$3:$W$225,$O101)</f>
        <v>88.642499999999998</v>
      </c>
      <c r="N101" t="str">
        <f>INDEX('Draft Engine'!$T$3:$T$225,$O101)</f>
        <v>A</v>
      </c>
      <c r="O101" s="6">
        <f>MATCH($A101,'Draft Engine'!$Q$3:$Q$225,0)</f>
        <v>16</v>
      </c>
    </row>
    <row r="102" spans="1:15" x14ac:dyDescent="0.25">
      <c r="A102">
        <f>100</f>
        <v>100</v>
      </c>
      <c r="B102" t="str">
        <f>INDEX('Draft Engine'!$A$3:$A$225,$O102)</f>
        <v>RB</v>
      </c>
      <c r="C102">
        <f>INDEX('Draft Engine'!$F$3:$F$225,$O102)</f>
        <v>34</v>
      </c>
      <c r="D102" t="str">
        <f>INDEX('Draft Engine'!$B$3:$B$225,$O102)</f>
        <v>Chuba Hubbard</v>
      </c>
      <c r="E102" s="4">
        <f>INDEX('Draft Engine'!$N$3:$N$225,$O102)</f>
        <v>58.621310000000001</v>
      </c>
      <c r="F102" s="4">
        <f>INDEX('Draft Engine'!$E$3:$E$225,$O102)</f>
        <v>71.866699999999994</v>
      </c>
      <c r="G102" s="4">
        <f>INDEX('Draft Engine'!$G$3:$G$225,$O102)</f>
        <v>231.8</v>
      </c>
      <c r="H102" s="4">
        <f>INDEX('Draft Engine'!$J$3:$J$225,$O102)</f>
        <v>-7.2</v>
      </c>
      <c r="I102" s="4">
        <f>INDEX('Draft Engine'!$L$3:$L$225,$O102)</f>
        <v>35.9375</v>
      </c>
      <c r="J102" s="4">
        <f>INDEX('Draft Engine'!$R$3:$R$225,$O102)</f>
        <v>140.6</v>
      </c>
      <c r="K102" s="4">
        <f>INDEX('Draft Engine'!$S$3:$S$225,$O102)</f>
        <v>40.599999999999994</v>
      </c>
      <c r="L102" s="4">
        <f>INDEX('Draft Engine'!$U$3:$U$225,$O102)</f>
        <v>65.866699999999994</v>
      </c>
      <c r="M102" s="4">
        <f>INDEX('Draft Engine'!$W$3:$W$225,$O102)</f>
        <v>77.866699999999994</v>
      </c>
      <c r="N102" t="str">
        <f>INDEX('Draft Engine'!$T$3:$T$225,$O102)</f>
        <v>A</v>
      </c>
      <c r="O102" s="6">
        <f>MATCH($A102,'Draft Engine'!$Q$3:$Q$225,0)</f>
        <v>66</v>
      </c>
    </row>
    <row r="103" spans="1:15" x14ac:dyDescent="0.25">
      <c r="A103">
        <f>101</f>
        <v>101</v>
      </c>
      <c r="B103" t="str">
        <f>INDEX('Draft Engine'!$A$3:$A$225,$O103)</f>
        <v>WR</v>
      </c>
      <c r="C103">
        <f>INDEX('Draft Engine'!$F$3:$F$225,$O103)</f>
        <v>35</v>
      </c>
      <c r="D103" t="str">
        <f>INDEX('Draft Engine'!$B$3:$B$225,$O103)</f>
        <v>Carnell Tate</v>
      </c>
      <c r="E103" s="4">
        <f>INDEX('Draft Engine'!$N$3:$N$225,$O103)</f>
        <v>58.374166666666667</v>
      </c>
      <c r="F103" s="4">
        <f>INDEX('Draft Engine'!$E$3:$E$225,$O103)</f>
        <v>71.89</v>
      </c>
      <c r="G103" s="4">
        <f>INDEX('Draft Engine'!$G$3:$G$225,$O103)</f>
        <v>231.9</v>
      </c>
      <c r="H103" s="4">
        <f>INDEX('Draft Engine'!$J$3:$J$225,$O103)</f>
        <v>-7.4</v>
      </c>
      <c r="I103" s="4">
        <f>INDEX('Draft Engine'!$L$3:$L$225,$O103)</f>
        <v>34.44444444444445</v>
      </c>
      <c r="J103" s="4">
        <f>INDEX('Draft Engine'!$R$3:$R$225,$O103)</f>
        <v>127.8</v>
      </c>
      <c r="K103" s="4">
        <f>INDEX('Draft Engine'!$S$3:$S$225,$O103)</f>
        <v>26.799999999999997</v>
      </c>
      <c r="L103" s="4">
        <f>INDEX('Draft Engine'!$U$3:$U$225,$O103)</f>
        <v>59.89</v>
      </c>
      <c r="M103" s="4">
        <f>INDEX('Draft Engine'!$W$3:$W$225,$O103)</f>
        <v>83.89</v>
      </c>
      <c r="N103" t="str">
        <f>INDEX('Draft Engine'!$T$3:$T$225,$O103)</f>
        <v>C</v>
      </c>
      <c r="O103" s="6">
        <f>MATCH($A103,'Draft Engine'!$Q$3:$Q$225,0)</f>
        <v>115</v>
      </c>
    </row>
    <row r="104" spans="1:15" x14ac:dyDescent="0.25">
      <c r="A104">
        <f>102</f>
        <v>102</v>
      </c>
      <c r="B104" t="str">
        <f>INDEX('Draft Engine'!$A$3:$A$225,$O104)</f>
        <v>RB</v>
      </c>
      <c r="C104">
        <f>INDEX('Draft Engine'!$F$3:$F$225,$O104)</f>
        <v>35</v>
      </c>
      <c r="D104" t="str">
        <f>INDEX('Draft Engine'!$B$3:$B$225,$O104)</f>
        <v>Aaron Jones Sr.</v>
      </c>
      <c r="E104" s="4">
        <f>INDEX('Draft Engine'!$N$3:$N$225,$O104)</f>
        <v>58.042985000000002</v>
      </c>
      <c r="F104" s="4">
        <f>INDEX('Draft Engine'!$E$3:$E$225,$O104)</f>
        <v>71.697699999999998</v>
      </c>
      <c r="G104" s="4">
        <f>INDEX('Draft Engine'!$G$3:$G$225,$O104)</f>
        <v>231.1</v>
      </c>
      <c r="H104" s="4">
        <f>INDEX('Draft Engine'!$J$3:$J$225,$O104)</f>
        <v>-7.9</v>
      </c>
      <c r="I104" s="4">
        <f>INDEX('Draft Engine'!$L$3:$L$225,$O104)</f>
        <v>33.541666666666664</v>
      </c>
      <c r="J104" s="4">
        <f>INDEX('Draft Engine'!$R$3:$R$225,$O104)</f>
        <v>144.80000000000001</v>
      </c>
      <c r="K104" s="4">
        <f>INDEX('Draft Engine'!$S$3:$S$225,$O104)</f>
        <v>42.800000000000011</v>
      </c>
      <c r="L104" s="4">
        <f>INDEX('Draft Engine'!$U$3:$U$225,$O104)</f>
        <v>65.697699999999998</v>
      </c>
      <c r="M104" s="4">
        <f>INDEX('Draft Engine'!$W$3:$W$225,$O104)</f>
        <v>77.697699999999998</v>
      </c>
      <c r="N104" t="str">
        <f>INDEX('Draft Engine'!$T$3:$T$225,$O104)</f>
        <v>A</v>
      </c>
      <c r="O104" s="6">
        <f>MATCH($A104,'Draft Engine'!$Q$3:$Q$225,0)</f>
        <v>67</v>
      </c>
    </row>
    <row r="105" spans="1:15" x14ac:dyDescent="0.25">
      <c r="A105">
        <f>103</f>
        <v>103</v>
      </c>
      <c r="B105" t="str">
        <f>INDEX('Draft Engine'!$A$3:$A$225,$O105)</f>
        <v>WR</v>
      </c>
      <c r="C105">
        <f>INDEX('Draft Engine'!$F$3:$F$225,$O105)</f>
        <v>36</v>
      </c>
      <c r="D105" t="str">
        <f>INDEX('Draft Engine'!$B$3:$B$225,$O105)</f>
        <v>Marvin Harrison Jr.</v>
      </c>
      <c r="E105" s="4">
        <f>INDEX('Draft Engine'!$N$3:$N$225,$O105)</f>
        <v>57.942833333333347</v>
      </c>
      <c r="F105" s="4">
        <f>INDEX('Draft Engine'!$E$3:$E$225,$O105)</f>
        <v>71.81</v>
      </c>
      <c r="G105" s="4">
        <f>INDEX('Draft Engine'!$G$3:$G$225,$O105)</f>
        <v>231.6</v>
      </c>
      <c r="H105" s="4">
        <f>INDEX('Draft Engine'!$J$3:$J$225,$O105)</f>
        <v>-7.7</v>
      </c>
      <c r="I105" s="4">
        <f>INDEX('Draft Engine'!$L$3:$L$225,$O105)</f>
        <v>32.222222222222229</v>
      </c>
      <c r="J105" s="4">
        <f>INDEX('Draft Engine'!$R$3:$R$225,$O105)</f>
        <v>112.2</v>
      </c>
      <c r="K105" s="4">
        <f>INDEX('Draft Engine'!$S$3:$S$225,$O105)</f>
        <v>9.2000000000000028</v>
      </c>
      <c r="L105" s="4">
        <f>INDEX('Draft Engine'!$U$3:$U$225,$O105)</f>
        <v>59.81</v>
      </c>
      <c r="M105" s="4">
        <f>INDEX('Draft Engine'!$W$3:$W$225,$O105)</f>
        <v>83.81</v>
      </c>
      <c r="N105" t="str">
        <f>INDEX('Draft Engine'!$T$3:$T$225,$O105)</f>
        <v>C</v>
      </c>
      <c r="O105" s="6">
        <f>MATCH($A105,'Draft Engine'!$Q$3:$Q$225,0)</f>
        <v>111</v>
      </c>
    </row>
    <row r="106" spans="1:15" x14ac:dyDescent="0.25">
      <c r="A106">
        <f>104</f>
        <v>104</v>
      </c>
      <c r="B106" t="str">
        <f>INDEX('Draft Engine'!$A$3:$A$225,$O106)</f>
        <v>WR</v>
      </c>
      <c r="C106">
        <f>INDEX('Draft Engine'!$F$3:$F$225,$O106)</f>
        <v>37</v>
      </c>
      <c r="D106" t="str">
        <f>INDEX('Draft Engine'!$B$3:$B$225,$O106)</f>
        <v>Parker Washington</v>
      </c>
      <c r="E106" s="4">
        <f>INDEX('Draft Engine'!$N$3:$N$225,$O106)</f>
        <v>57.2395</v>
      </c>
      <c r="F106" s="4">
        <f>INDEX('Draft Engine'!$E$3:$E$225,$O106)</f>
        <v>71.53</v>
      </c>
      <c r="G106" s="4">
        <f>INDEX('Draft Engine'!$G$3:$G$225,$O106)</f>
        <v>230.4</v>
      </c>
      <c r="H106" s="4">
        <f>INDEX('Draft Engine'!$J$3:$J$225,$O106)</f>
        <v>-8.9</v>
      </c>
      <c r="I106" s="4">
        <f>INDEX('Draft Engine'!$L$3:$L$225,$O106)</f>
        <v>30</v>
      </c>
      <c r="J106" s="4">
        <f>INDEX('Draft Engine'!$R$3:$R$225,$O106)</f>
        <v>162.9</v>
      </c>
      <c r="K106" s="4">
        <f>INDEX('Draft Engine'!$S$3:$S$225,$O106)</f>
        <v>58.900000000000006</v>
      </c>
      <c r="L106" s="4">
        <f>INDEX('Draft Engine'!$U$3:$U$225,$O106)</f>
        <v>59.53</v>
      </c>
      <c r="M106" s="4">
        <f>INDEX('Draft Engine'!$W$3:$W$225,$O106)</f>
        <v>83.53</v>
      </c>
      <c r="N106" t="str">
        <f>INDEX('Draft Engine'!$T$3:$T$225,$O106)</f>
        <v>C</v>
      </c>
      <c r="O106" s="6">
        <f>MATCH($A106,'Draft Engine'!$Q$3:$Q$225,0)</f>
        <v>124</v>
      </c>
    </row>
    <row r="107" spans="1:15" x14ac:dyDescent="0.25">
      <c r="A107">
        <f>105</f>
        <v>105</v>
      </c>
      <c r="B107" t="str">
        <f>INDEX('Draft Engine'!$A$3:$A$225,$O107)</f>
        <v>TE</v>
      </c>
      <c r="C107">
        <f>INDEX('Draft Engine'!$F$3:$F$225,$O107)</f>
        <v>17</v>
      </c>
      <c r="D107" t="str">
        <f>INDEX('Draft Engine'!$B$3:$B$225,$O107)</f>
        <v>Hunter Henry</v>
      </c>
      <c r="E107" s="4">
        <f>INDEX('Draft Engine'!$N$3:$N$225,$O107)</f>
        <v>57.058006923076931</v>
      </c>
      <c r="F107" s="4">
        <f>INDEX('Draft Engine'!$E$3:$E$225,$O107)</f>
        <v>76.252600000000001</v>
      </c>
      <c r="G107" s="4">
        <f>INDEX('Draft Engine'!$G$3:$G$225,$O107)</f>
        <v>166.9</v>
      </c>
      <c r="H107" s="4">
        <f>INDEX('Draft Engine'!$J$3:$J$225,$O107)</f>
        <v>-12.8</v>
      </c>
      <c r="I107" s="4">
        <f>INDEX('Draft Engine'!$L$3:$L$225,$O107)</f>
        <v>16.153846153846157</v>
      </c>
      <c r="J107" s="4">
        <f>INDEX('Draft Engine'!$R$3:$R$225,$O107)</f>
        <v>161</v>
      </c>
      <c r="K107" s="4">
        <f>INDEX('Draft Engine'!$S$3:$S$225,$O107)</f>
        <v>56</v>
      </c>
      <c r="L107" s="4">
        <f>INDEX('Draft Engine'!$U$3:$U$225,$O107)</f>
        <v>70.252600000000001</v>
      </c>
      <c r="M107" s="4">
        <f>INDEX('Draft Engine'!$W$3:$W$225,$O107)</f>
        <v>82.252600000000001</v>
      </c>
      <c r="N107" t="str">
        <f>INDEX('Draft Engine'!$T$3:$T$225,$O107)</f>
        <v>A</v>
      </c>
      <c r="O107" s="6">
        <f>MATCH($A107,'Draft Engine'!$Q$3:$Q$225,0)</f>
        <v>169</v>
      </c>
    </row>
    <row r="108" spans="1:15" x14ac:dyDescent="0.25">
      <c r="A108">
        <f>106</f>
        <v>106</v>
      </c>
      <c r="B108" t="str">
        <f>INDEX('Draft Engine'!$A$3:$A$225,$O108)</f>
        <v>RB</v>
      </c>
      <c r="C108">
        <f>INDEX('Draft Engine'!$F$3:$F$225,$O108)</f>
        <v>36</v>
      </c>
      <c r="D108" t="str">
        <f>INDEX('Draft Engine'!$B$3:$B$225,$O108)</f>
        <v>J.K. Dobbins</v>
      </c>
      <c r="E108" s="4">
        <f>INDEX('Draft Engine'!$N$3:$N$225,$O108)</f>
        <v>56.995505000000009</v>
      </c>
      <c r="F108" s="4">
        <f>INDEX('Draft Engine'!$E$3:$E$225,$O108)</f>
        <v>71.166600000000003</v>
      </c>
      <c r="G108" s="4">
        <f>INDEX('Draft Engine'!$G$3:$G$225,$O108)</f>
        <v>228.9</v>
      </c>
      <c r="H108" s="4">
        <f>INDEX('Draft Engine'!$J$3:$J$225,$O108)</f>
        <v>-10.1</v>
      </c>
      <c r="I108" s="4">
        <f>INDEX('Draft Engine'!$L$3:$L$225,$O108)</f>
        <v>31.145833333333332</v>
      </c>
      <c r="J108" s="4">
        <f>INDEX('Draft Engine'!$R$3:$R$225,$O108)</f>
        <v>149</v>
      </c>
      <c r="K108" s="4">
        <f>INDEX('Draft Engine'!$S$3:$S$225,$O108)</f>
        <v>43</v>
      </c>
      <c r="L108" s="4">
        <f>INDEX('Draft Engine'!$U$3:$U$225,$O108)</f>
        <v>62.166600000000003</v>
      </c>
      <c r="M108" s="4">
        <f>INDEX('Draft Engine'!$W$3:$W$225,$O108)</f>
        <v>80.166600000000003</v>
      </c>
      <c r="N108" t="str">
        <f>INDEX('Draft Engine'!$T$3:$T$225,$O108)</f>
        <v>B</v>
      </c>
      <c r="O108" s="6">
        <f>MATCH($A108,'Draft Engine'!$Q$3:$Q$225,0)</f>
        <v>68</v>
      </c>
    </row>
    <row r="109" spans="1:15" x14ac:dyDescent="0.25">
      <c r="A109">
        <f>107</f>
        <v>107</v>
      </c>
      <c r="B109" t="str">
        <f>INDEX('Draft Engine'!$A$3:$A$225,$O109)</f>
        <v>TE</v>
      </c>
      <c r="C109">
        <f>INDEX('Draft Engine'!$F$3:$F$225,$O109)</f>
        <v>18</v>
      </c>
      <c r="D109" t="str">
        <f>INDEX('Draft Engine'!$B$3:$B$225,$O109)</f>
        <v>Brenton Strange</v>
      </c>
      <c r="E109" s="4">
        <f>INDEX('Draft Engine'!$N$3:$N$225,$O109)</f>
        <v>56.100424230769235</v>
      </c>
      <c r="F109" s="4">
        <f>INDEX('Draft Engine'!$E$3:$E$225,$O109)</f>
        <v>76.0321</v>
      </c>
      <c r="G109" s="4">
        <f>INDEX('Draft Engine'!$G$3:$G$225,$O109)</f>
        <v>166.1</v>
      </c>
      <c r="H109" s="4">
        <f>INDEX('Draft Engine'!$J$3:$J$225,$O109)</f>
        <v>-13.6</v>
      </c>
      <c r="I109" s="4">
        <f>INDEX('Draft Engine'!$L$3:$L$225,$O109)</f>
        <v>11.538461538461538</v>
      </c>
      <c r="J109" s="4">
        <f>INDEX('Draft Engine'!$R$3:$R$225,$O109)</f>
        <v>170</v>
      </c>
      <c r="K109" s="4">
        <f>INDEX('Draft Engine'!$S$3:$S$225,$O109)</f>
        <v>63</v>
      </c>
      <c r="L109" s="4">
        <f>INDEX('Draft Engine'!$U$3:$U$225,$O109)</f>
        <v>70.0321</v>
      </c>
      <c r="M109" s="4">
        <f>INDEX('Draft Engine'!$W$3:$W$225,$O109)</f>
        <v>82.0321</v>
      </c>
      <c r="N109" t="str">
        <f>INDEX('Draft Engine'!$T$3:$T$225,$O109)</f>
        <v>A</v>
      </c>
      <c r="O109" s="6">
        <f>MATCH($A109,'Draft Engine'!$Q$3:$Q$225,0)</f>
        <v>170</v>
      </c>
    </row>
    <row r="110" spans="1:15" x14ac:dyDescent="0.25">
      <c r="A110">
        <f>108</f>
        <v>108</v>
      </c>
      <c r="B110" t="str">
        <f>INDEX('Draft Engine'!$A$3:$A$225,$O110)</f>
        <v>WR</v>
      </c>
      <c r="C110">
        <f>INDEX('Draft Engine'!$F$3:$F$225,$O110)</f>
        <v>38</v>
      </c>
      <c r="D110" t="str">
        <f>INDEX('Draft Engine'!$B$3:$B$225,$O110)</f>
        <v>Chris Godwin Jr.</v>
      </c>
      <c r="E110" s="4">
        <f>INDEX('Draft Engine'!$N$3:$N$225,$O110)</f>
        <v>56.033666666666669</v>
      </c>
      <c r="F110" s="4">
        <f>INDEX('Draft Engine'!$E$3:$E$225,$O110)</f>
        <v>70.86</v>
      </c>
      <c r="G110" s="4">
        <f>INDEX('Draft Engine'!$G$3:$G$225,$O110)</f>
        <v>227.6</v>
      </c>
      <c r="H110" s="4">
        <f>INDEX('Draft Engine'!$J$3:$J$225,$O110)</f>
        <v>-11.7</v>
      </c>
      <c r="I110" s="4">
        <f>INDEX('Draft Engine'!$L$3:$L$225,$O110)</f>
        <v>27.777777777777775</v>
      </c>
      <c r="J110" s="4">
        <f>INDEX('Draft Engine'!$R$3:$R$225,$O110)</f>
        <v>166.8</v>
      </c>
      <c r="K110" s="4">
        <f>INDEX('Draft Engine'!$S$3:$S$225,$O110)</f>
        <v>58.800000000000011</v>
      </c>
      <c r="L110" s="4">
        <f>INDEX('Draft Engine'!$U$3:$U$225,$O110)</f>
        <v>58.86</v>
      </c>
      <c r="M110" s="4">
        <f>INDEX('Draft Engine'!$W$3:$W$225,$O110)</f>
        <v>82.86</v>
      </c>
      <c r="N110" t="str">
        <f>INDEX('Draft Engine'!$T$3:$T$225,$O110)</f>
        <v>C</v>
      </c>
      <c r="O110" s="6">
        <f>MATCH($A110,'Draft Engine'!$Q$3:$Q$225,0)</f>
        <v>125</v>
      </c>
    </row>
    <row r="111" spans="1:15" x14ac:dyDescent="0.25">
      <c r="A111">
        <f>109</f>
        <v>109</v>
      </c>
      <c r="B111" t="str">
        <f>INDEX('Draft Engine'!$A$3:$A$225,$O111)</f>
        <v>QB</v>
      </c>
      <c r="C111">
        <f>INDEX('Draft Engine'!$F$3:$F$225,$O111)</f>
        <v>17</v>
      </c>
      <c r="D111" t="str">
        <f>INDEX('Draft Engine'!$B$3:$B$225,$O111)</f>
        <v>Kyler Murray</v>
      </c>
      <c r="E111" s="4">
        <f>INDEX('Draft Engine'!$N$3:$N$225,$O111)</f>
        <v>55.860862692307691</v>
      </c>
      <c r="F111" s="4">
        <f>INDEX('Draft Engine'!$E$3:$E$225,$O111)</f>
        <v>80.710099999999997</v>
      </c>
      <c r="G111" s="4">
        <f>INDEX('Draft Engine'!$G$3:$G$225,$O111)</f>
        <v>333.2</v>
      </c>
      <c r="H111" s="4">
        <f>INDEX('Draft Engine'!$J$3:$J$225,$O111)</f>
        <v>-17.899999999999999</v>
      </c>
      <c r="I111" s="4">
        <f>INDEX('Draft Engine'!$L$3:$L$225,$O111)</f>
        <v>17.948717948717952</v>
      </c>
      <c r="J111" s="4">
        <f>INDEX('Draft Engine'!$R$3:$R$225,$O111)</f>
        <v>150</v>
      </c>
      <c r="K111" s="4">
        <f>INDEX('Draft Engine'!$S$3:$S$225,$O111)</f>
        <v>41</v>
      </c>
      <c r="L111" s="4">
        <f>INDEX('Draft Engine'!$U$3:$U$225,$O111)</f>
        <v>71.710099999999997</v>
      </c>
      <c r="M111" s="4">
        <f>INDEX('Draft Engine'!$W$3:$W$225,$O111)</f>
        <v>89.710099999999997</v>
      </c>
      <c r="N111" t="str">
        <f>INDEX('Draft Engine'!$T$3:$T$225,$O111)</f>
        <v>B</v>
      </c>
      <c r="O111" s="6">
        <f>MATCH($A111,'Draft Engine'!$Q$3:$Q$225,0)</f>
        <v>17</v>
      </c>
    </row>
    <row r="112" spans="1:15" x14ac:dyDescent="0.25">
      <c r="A112">
        <f>110</f>
        <v>110</v>
      </c>
      <c r="B112" t="str">
        <f>INDEX('Draft Engine'!$A$3:$A$225,$O112)</f>
        <v>WR</v>
      </c>
      <c r="C112">
        <f>INDEX('Draft Engine'!$F$3:$F$225,$O112)</f>
        <v>39</v>
      </c>
      <c r="D112" t="str">
        <f>INDEX('Draft Engine'!$B$3:$B$225,$O112)</f>
        <v>Alec Pierce</v>
      </c>
      <c r="E112" s="4">
        <f>INDEX('Draft Engine'!$N$3:$N$225,$O112)</f>
        <v>55.518083333333337</v>
      </c>
      <c r="F112" s="4">
        <f>INDEX('Draft Engine'!$E$3:$E$225,$O112)</f>
        <v>70.724999999999994</v>
      </c>
      <c r="G112" s="4">
        <f>INDEX('Draft Engine'!$G$3:$G$225,$O112)</f>
        <v>227</v>
      </c>
      <c r="H112" s="4">
        <f>INDEX('Draft Engine'!$J$3:$J$225,$O112)</f>
        <v>-12.3</v>
      </c>
      <c r="I112" s="4">
        <f>INDEX('Draft Engine'!$L$3:$L$225,$O112)</f>
        <v>25.555555555555564</v>
      </c>
      <c r="J112" s="4">
        <f>INDEX('Draft Engine'!$R$3:$R$225,$O112)</f>
        <v>120</v>
      </c>
      <c r="K112" s="4">
        <f>INDEX('Draft Engine'!$S$3:$S$225,$O112)</f>
        <v>10</v>
      </c>
      <c r="L112" s="4">
        <f>INDEX('Draft Engine'!$U$3:$U$225,$O112)</f>
        <v>58.724999999999994</v>
      </c>
      <c r="M112" s="4">
        <f>INDEX('Draft Engine'!$W$3:$W$225,$O112)</f>
        <v>82.724999999999994</v>
      </c>
      <c r="N112" t="str">
        <f>INDEX('Draft Engine'!$T$3:$T$225,$O112)</f>
        <v>C</v>
      </c>
      <c r="O112" s="6">
        <f>MATCH($A112,'Draft Engine'!$Q$3:$Q$225,0)</f>
        <v>113</v>
      </c>
    </row>
    <row r="113" spans="1:15" x14ac:dyDescent="0.25">
      <c r="A113">
        <f>111</f>
        <v>111</v>
      </c>
      <c r="B113" t="str">
        <f>INDEX('Draft Engine'!$A$3:$A$225,$O113)</f>
        <v>TE</v>
      </c>
      <c r="C113">
        <f>INDEX('Draft Engine'!$F$3:$F$225,$O113)</f>
        <v>19</v>
      </c>
      <c r="D113" t="str">
        <f>INDEX('Draft Engine'!$B$3:$B$225,$O113)</f>
        <v>Chig Okonkwo</v>
      </c>
      <c r="E113" s="4">
        <f>INDEX('Draft Engine'!$N$3:$N$225,$O113)</f>
        <v>54.798721538461542</v>
      </c>
      <c r="F113" s="4">
        <f>INDEX('Draft Engine'!$E$3:$E$225,$O113)</f>
        <v>75.513199999999998</v>
      </c>
      <c r="G113" s="4">
        <f>INDEX('Draft Engine'!$G$3:$G$225,$O113)</f>
        <v>164.3</v>
      </c>
      <c r="H113" s="4">
        <f>INDEX('Draft Engine'!$J$3:$J$225,$O113)</f>
        <v>-15.4</v>
      </c>
      <c r="I113" s="4">
        <f>INDEX('Draft Engine'!$L$3:$L$225,$O113)</f>
        <v>6.9230769230769189</v>
      </c>
      <c r="J113" s="4">
        <f>INDEX('Draft Engine'!$R$3:$R$225,$O113)</f>
        <v>179</v>
      </c>
      <c r="K113" s="4">
        <f>INDEX('Draft Engine'!$S$3:$S$225,$O113)</f>
        <v>68</v>
      </c>
      <c r="L113" s="4">
        <f>INDEX('Draft Engine'!$U$3:$U$225,$O113)</f>
        <v>69.513199999999998</v>
      </c>
      <c r="M113" s="4">
        <f>INDEX('Draft Engine'!$W$3:$W$225,$O113)</f>
        <v>81.513199999999998</v>
      </c>
      <c r="N113" t="str">
        <f>INDEX('Draft Engine'!$T$3:$T$225,$O113)</f>
        <v>A</v>
      </c>
      <c r="O113" s="6">
        <f>MATCH($A113,'Draft Engine'!$Q$3:$Q$225,0)</f>
        <v>171</v>
      </c>
    </row>
    <row r="114" spans="1:15" x14ac:dyDescent="0.25">
      <c r="A114">
        <f>112</f>
        <v>112</v>
      </c>
      <c r="B114" t="str">
        <f>INDEX('Draft Engine'!$A$3:$A$225,$O114)</f>
        <v>WR</v>
      </c>
      <c r="C114">
        <f>INDEX('Draft Engine'!$F$3:$F$225,$O114)</f>
        <v>40</v>
      </c>
      <c r="D114" t="str">
        <f>INDEX('Draft Engine'!$B$3:$B$225,$O114)</f>
        <v>Quentin Johnston</v>
      </c>
      <c r="E114" s="4">
        <f>INDEX('Draft Engine'!$N$3:$N$225,$O114)</f>
        <v>54.494500000000002</v>
      </c>
      <c r="F114" s="4">
        <f>INDEX('Draft Engine'!$E$3:$E$225,$O114)</f>
        <v>70.19</v>
      </c>
      <c r="G114" s="4">
        <f>INDEX('Draft Engine'!$G$3:$G$225,$O114)</f>
        <v>224.8</v>
      </c>
      <c r="H114" s="4">
        <f>INDEX('Draft Engine'!$J$3:$J$225,$O114)</f>
        <v>-14.5</v>
      </c>
      <c r="I114" s="4">
        <f>INDEX('Draft Engine'!$L$3:$L$225,$O114)</f>
        <v>23.333333333333339</v>
      </c>
      <c r="J114" s="4">
        <f>INDEX('Draft Engine'!$R$3:$R$225,$O114)</f>
        <v>170.7</v>
      </c>
      <c r="K114" s="4">
        <f>INDEX('Draft Engine'!$S$3:$S$225,$O114)</f>
        <v>58.699999999999989</v>
      </c>
      <c r="L114" s="4">
        <f>INDEX('Draft Engine'!$U$3:$U$225,$O114)</f>
        <v>58.19</v>
      </c>
      <c r="M114" s="4">
        <f>INDEX('Draft Engine'!$W$3:$W$225,$O114)</f>
        <v>82.19</v>
      </c>
      <c r="N114" t="str">
        <f>INDEX('Draft Engine'!$T$3:$T$225,$O114)</f>
        <v>C</v>
      </c>
      <c r="O114" s="6">
        <f>MATCH($A114,'Draft Engine'!$Q$3:$Q$225,0)</f>
        <v>126</v>
      </c>
    </row>
    <row r="115" spans="1:15" x14ac:dyDescent="0.25">
      <c r="A115">
        <f>113</f>
        <v>113</v>
      </c>
      <c r="B115" t="str">
        <f>INDEX('Draft Engine'!$A$3:$A$225,$O115)</f>
        <v>RB</v>
      </c>
      <c r="C115">
        <f>INDEX('Draft Engine'!$F$3:$F$225,$O115)</f>
        <v>37</v>
      </c>
      <c r="D115" t="str">
        <f>INDEX('Draft Engine'!$B$3:$B$225,$O115)</f>
        <v>Blake Corum</v>
      </c>
      <c r="E115" s="4">
        <f>INDEX('Draft Engine'!$N$3:$N$225,$O115)</f>
        <v>54.488279999999996</v>
      </c>
      <c r="F115" s="4">
        <f>INDEX('Draft Engine'!$E$3:$E$225,$O115)</f>
        <v>69.519599999999997</v>
      </c>
      <c r="G115" s="4">
        <f>INDEX('Draft Engine'!$G$3:$G$225,$O115)</f>
        <v>222</v>
      </c>
      <c r="H115" s="4">
        <f>INDEX('Draft Engine'!$J$3:$J$225,$O115)</f>
        <v>-17</v>
      </c>
      <c r="I115" s="4">
        <f>INDEX('Draft Engine'!$L$3:$L$225,$O115)</f>
        <v>28.749999999999996</v>
      </c>
      <c r="J115" s="4">
        <f>INDEX('Draft Engine'!$R$3:$R$225,$O115)</f>
        <v>153.19999999999999</v>
      </c>
      <c r="K115" s="4">
        <f>INDEX('Draft Engine'!$S$3:$S$225,$O115)</f>
        <v>40.199999999999989</v>
      </c>
      <c r="L115" s="4">
        <f>INDEX('Draft Engine'!$U$3:$U$225,$O115)</f>
        <v>63.519599999999997</v>
      </c>
      <c r="M115" s="4">
        <f>INDEX('Draft Engine'!$W$3:$W$225,$O115)</f>
        <v>75.519599999999997</v>
      </c>
      <c r="N115" t="str">
        <f>INDEX('Draft Engine'!$T$3:$T$225,$O115)</f>
        <v>A</v>
      </c>
      <c r="O115" s="6">
        <f>MATCH($A115,'Draft Engine'!$Q$3:$Q$225,0)</f>
        <v>69</v>
      </c>
    </row>
    <row r="116" spans="1:15" x14ac:dyDescent="0.25">
      <c r="A116">
        <f>114</f>
        <v>114</v>
      </c>
      <c r="B116" t="str">
        <f>INDEX('Draft Engine'!$A$3:$A$225,$O116)</f>
        <v>QB</v>
      </c>
      <c r="C116">
        <f>INDEX('Draft Engine'!$F$3:$F$225,$O116)</f>
        <v>18</v>
      </c>
      <c r="D116" t="str">
        <f>INDEX('Draft Engine'!$B$3:$B$225,$O116)</f>
        <v>Jordan Love</v>
      </c>
      <c r="E116" s="4">
        <f>INDEX('Draft Engine'!$N$3:$N$225,$O116)</f>
        <v>54.183516923076922</v>
      </c>
      <c r="F116" s="4">
        <f>INDEX('Draft Engine'!$E$3:$E$225,$O116)</f>
        <v>80.040800000000004</v>
      </c>
      <c r="G116" s="4">
        <f>INDEX('Draft Engine'!$G$3:$G$225,$O116)</f>
        <v>330.2</v>
      </c>
      <c r="H116" s="4">
        <f>INDEX('Draft Engine'!$J$3:$J$225,$O116)</f>
        <v>-20.9</v>
      </c>
      <c r="I116" s="4">
        <f>INDEX('Draft Engine'!$L$3:$L$225,$O116)</f>
        <v>12.820512820512819</v>
      </c>
      <c r="J116" s="4">
        <f>INDEX('Draft Engine'!$R$3:$R$225,$O116)</f>
        <v>158</v>
      </c>
      <c r="K116" s="4">
        <f>INDEX('Draft Engine'!$S$3:$S$225,$O116)</f>
        <v>44</v>
      </c>
      <c r="L116" s="4">
        <f>INDEX('Draft Engine'!$U$3:$U$225,$O116)</f>
        <v>74.040800000000004</v>
      </c>
      <c r="M116" s="4">
        <f>INDEX('Draft Engine'!$W$3:$W$225,$O116)</f>
        <v>86.040800000000004</v>
      </c>
      <c r="N116" t="str">
        <f>INDEX('Draft Engine'!$T$3:$T$225,$O116)</f>
        <v>A</v>
      </c>
      <c r="O116" s="6">
        <f>MATCH($A116,'Draft Engine'!$Q$3:$Q$225,0)</f>
        <v>18</v>
      </c>
    </row>
    <row r="117" spans="1:15" x14ac:dyDescent="0.25">
      <c r="A117">
        <f>115</f>
        <v>115</v>
      </c>
      <c r="B117" t="str">
        <f>INDEX('Draft Engine'!$A$3:$A$225,$O117)</f>
        <v>RB</v>
      </c>
      <c r="C117">
        <f>INDEX('Draft Engine'!$F$3:$F$225,$O117)</f>
        <v>38</v>
      </c>
      <c r="D117" t="str">
        <f>INDEX('Draft Engine'!$B$3:$B$225,$O117)</f>
        <v>Rachaad White</v>
      </c>
      <c r="E117" s="4">
        <f>INDEX('Draft Engine'!$N$3:$N$225,$O117)</f>
        <v>53.721159999999998</v>
      </c>
      <c r="F117" s="4">
        <f>INDEX('Draft Engine'!$E$3:$E$225,$O117)</f>
        <v>69.203699999999998</v>
      </c>
      <c r="G117" s="4">
        <f>INDEX('Draft Engine'!$G$3:$G$225,$O117)</f>
        <v>220.7</v>
      </c>
      <c r="H117" s="4">
        <f>INDEX('Draft Engine'!$J$3:$J$225,$O117)</f>
        <v>-18.3</v>
      </c>
      <c r="I117" s="4">
        <f>INDEX('Draft Engine'!$L$3:$L$225,$O117)</f>
        <v>26.354166666666661</v>
      </c>
      <c r="J117" s="4">
        <f>INDEX('Draft Engine'!$R$3:$R$225,$O117)</f>
        <v>157.4</v>
      </c>
      <c r="K117" s="4">
        <f>INDEX('Draft Engine'!$S$3:$S$225,$O117)</f>
        <v>42.400000000000006</v>
      </c>
      <c r="L117" s="4">
        <f>INDEX('Draft Engine'!$U$3:$U$225,$O117)</f>
        <v>63.203699999999998</v>
      </c>
      <c r="M117" s="4">
        <f>INDEX('Draft Engine'!$W$3:$W$225,$O117)</f>
        <v>75.203699999999998</v>
      </c>
      <c r="N117" t="str">
        <f>INDEX('Draft Engine'!$T$3:$T$225,$O117)</f>
        <v>A</v>
      </c>
      <c r="O117" s="6">
        <f>MATCH($A117,'Draft Engine'!$Q$3:$Q$225,0)</f>
        <v>70</v>
      </c>
    </row>
    <row r="118" spans="1:15" x14ac:dyDescent="0.25">
      <c r="A118">
        <f>116</f>
        <v>116</v>
      </c>
      <c r="B118" t="str">
        <f>INDEX('Draft Engine'!$A$3:$A$225,$O118)</f>
        <v>WR</v>
      </c>
      <c r="C118">
        <f>INDEX('Draft Engine'!$F$3:$F$225,$O118)</f>
        <v>41</v>
      </c>
      <c r="D118" t="str">
        <f>INDEX('Draft Engine'!$B$3:$B$225,$O118)</f>
        <v>DK Metcalf</v>
      </c>
      <c r="E118" s="4">
        <f>INDEX('Draft Engine'!$N$3:$N$225,$O118)</f>
        <v>53.662791666666671</v>
      </c>
      <c r="F118" s="4">
        <f>INDEX('Draft Engine'!$E$3:$E$225,$O118)</f>
        <v>69.807500000000005</v>
      </c>
      <c r="G118" s="4">
        <f>INDEX('Draft Engine'!$G$3:$G$225,$O118)</f>
        <v>223.2</v>
      </c>
      <c r="H118" s="4">
        <f>INDEX('Draft Engine'!$J$3:$J$225,$O118)</f>
        <v>-16.100000000000001</v>
      </c>
      <c r="I118" s="4">
        <f>INDEX('Draft Engine'!$L$3:$L$225,$O118)</f>
        <v>21.111111111111114</v>
      </c>
      <c r="J118" s="4">
        <f>INDEX('Draft Engine'!$R$3:$R$225,$O118)</f>
        <v>123.9</v>
      </c>
      <c r="K118" s="4">
        <f>INDEX('Draft Engine'!$S$3:$S$225,$O118)</f>
        <v>7.9000000000000057</v>
      </c>
      <c r="L118" s="4">
        <f>INDEX('Draft Engine'!$U$3:$U$225,$O118)</f>
        <v>57.807500000000005</v>
      </c>
      <c r="M118" s="4">
        <f>INDEX('Draft Engine'!$W$3:$W$225,$O118)</f>
        <v>81.807500000000005</v>
      </c>
      <c r="N118" t="str">
        <f>INDEX('Draft Engine'!$T$3:$T$225,$O118)</f>
        <v>C</v>
      </c>
      <c r="O118" s="6">
        <f>MATCH($A118,'Draft Engine'!$Q$3:$Q$225,0)</f>
        <v>114</v>
      </c>
    </row>
    <row r="119" spans="1:15" x14ac:dyDescent="0.25">
      <c r="A119">
        <f>117</f>
        <v>117</v>
      </c>
      <c r="B119" t="str">
        <f>INDEX('Draft Engine'!$A$3:$A$225,$O119)</f>
        <v>QB</v>
      </c>
      <c r="C119">
        <f>INDEX('Draft Engine'!$F$3:$F$225,$O119)</f>
        <v>19</v>
      </c>
      <c r="D119" t="str">
        <f>INDEX('Draft Engine'!$B$3:$B$225,$O119)</f>
        <v>Baker Mayfield</v>
      </c>
      <c r="E119" s="4">
        <f>INDEX('Draft Engine'!$N$3:$N$225,$O119)</f>
        <v>53.116146153846152</v>
      </c>
      <c r="F119" s="4">
        <f>INDEX('Draft Engine'!$E$3:$E$225,$O119)</f>
        <v>79.825999999999993</v>
      </c>
      <c r="G119" s="4">
        <f>INDEX('Draft Engine'!$G$3:$G$225,$O119)</f>
        <v>329.2</v>
      </c>
      <c r="H119" s="4">
        <f>INDEX('Draft Engine'!$J$3:$J$225,$O119)</f>
        <v>-21.9</v>
      </c>
      <c r="I119" s="4">
        <f>INDEX('Draft Engine'!$L$3:$L$225,$O119)</f>
        <v>7.6923076923076872</v>
      </c>
      <c r="J119" s="4">
        <f>INDEX('Draft Engine'!$R$3:$R$225,$O119)</f>
        <v>166</v>
      </c>
      <c r="K119" s="4">
        <f>INDEX('Draft Engine'!$S$3:$S$225,$O119)</f>
        <v>49</v>
      </c>
      <c r="L119" s="4">
        <f>INDEX('Draft Engine'!$U$3:$U$225,$O119)</f>
        <v>73.825999999999993</v>
      </c>
      <c r="M119" s="4">
        <f>INDEX('Draft Engine'!$W$3:$W$225,$O119)</f>
        <v>85.825999999999993</v>
      </c>
      <c r="N119" t="str">
        <f>INDEX('Draft Engine'!$T$3:$T$225,$O119)</f>
        <v>A</v>
      </c>
      <c r="O119" s="6">
        <f>MATCH($A119,'Draft Engine'!$Q$3:$Q$225,0)</f>
        <v>19</v>
      </c>
    </row>
    <row r="120" spans="1:15" x14ac:dyDescent="0.25">
      <c r="A120">
        <f>118</f>
        <v>118</v>
      </c>
      <c r="B120" t="str">
        <f>INDEX('Draft Engine'!$A$3:$A$225,$O120)</f>
        <v>RB</v>
      </c>
      <c r="C120">
        <f>INDEX('Draft Engine'!$F$3:$F$225,$O120)</f>
        <v>39</v>
      </c>
      <c r="D120" t="str">
        <f>INDEX('Draft Engine'!$B$3:$B$225,$O120)</f>
        <v>Jacory Croskey-Merritt</v>
      </c>
      <c r="E120" s="4">
        <f>INDEX('Draft Engine'!$N$3:$N$225,$O120)</f>
        <v>53.083460000000002</v>
      </c>
      <c r="F120" s="4">
        <f>INDEX('Draft Engine'!$E$3:$E$225,$O120)</f>
        <v>68.992199999999997</v>
      </c>
      <c r="G120" s="4">
        <f>INDEX('Draft Engine'!$G$3:$G$225,$O120)</f>
        <v>219.8</v>
      </c>
      <c r="H120" s="4">
        <f>INDEX('Draft Engine'!$J$3:$J$225,$O120)</f>
        <v>-19.2</v>
      </c>
      <c r="I120" s="4">
        <f>INDEX('Draft Engine'!$L$3:$L$225,$O120)</f>
        <v>23.958333333333336</v>
      </c>
      <c r="J120" s="4">
        <f>INDEX('Draft Engine'!$R$3:$R$225,$O120)</f>
        <v>161.6</v>
      </c>
      <c r="K120" s="4">
        <f>INDEX('Draft Engine'!$S$3:$S$225,$O120)</f>
        <v>43.599999999999994</v>
      </c>
      <c r="L120" s="4">
        <f>INDEX('Draft Engine'!$U$3:$U$225,$O120)</f>
        <v>62.992199999999997</v>
      </c>
      <c r="M120" s="4">
        <f>INDEX('Draft Engine'!$W$3:$W$225,$O120)</f>
        <v>74.992199999999997</v>
      </c>
      <c r="N120" t="str">
        <f>INDEX('Draft Engine'!$T$3:$T$225,$O120)</f>
        <v>A</v>
      </c>
      <c r="O120" s="6">
        <f>MATCH($A120,'Draft Engine'!$Q$3:$Q$225,0)</f>
        <v>71</v>
      </c>
    </row>
    <row r="121" spans="1:15" x14ac:dyDescent="0.25">
      <c r="A121">
        <f>119</f>
        <v>119</v>
      </c>
      <c r="B121" t="str">
        <f>INDEX('Draft Engine'!$A$3:$A$225,$O121)</f>
        <v>WR</v>
      </c>
      <c r="C121">
        <f>INDEX('Draft Engine'!$F$3:$F$225,$O121)</f>
        <v>42</v>
      </c>
      <c r="D121" t="str">
        <f>INDEX('Draft Engine'!$B$3:$B$225,$O121)</f>
        <v>Makai Lemon</v>
      </c>
      <c r="E121" s="4">
        <f>INDEX('Draft Engine'!$N$3:$N$225,$O121)</f>
        <v>52.527333333333338</v>
      </c>
      <c r="F121" s="4">
        <f>INDEX('Draft Engine'!$E$3:$E$225,$O121)</f>
        <v>69.2</v>
      </c>
      <c r="G121" s="4">
        <f>INDEX('Draft Engine'!$G$3:$G$225,$O121)</f>
        <v>220.6</v>
      </c>
      <c r="H121" s="4">
        <f>INDEX('Draft Engine'!$J$3:$J$225,$O121)</f>
        <v>-18.7</v>
      </c>
      <c r="I121" s="4">
        <f>INDEX('Draft Engine'!$L$3:$L$225,$O121)</f>
        <v>18.888888888888889</v>
      </c>
      <c r="J121" s="4">
        <f>INDEX('Draft Engine'!$R$3:$R$225,$O121)</f>
        <v>159</v>
      </c>
      <c r="K121" s="4">
        <f>INDEX('Draft Engine'!$S$3:$S$225,$O121)</f>
        <v>40</v>
      </c>
      <c r="L121" s="4">
        <f>INDEX('Draft Engine'!$U$3:$U$225,$O121)</f>
        <v>57.2</v>
      </c>
      <c r="M121" s="4">
        <f>INDEX('Draft Engine'!$W$3:$W$225,$O121)</f>
        <v>81.2</v>
      </c>
      <c r="N121" t="str">
        <f>INDEX('Draft Engine'!$T$3:$T$225,$O121)</f>
        <v>C</v>
      </c>
      <c r="O121" s="6">
        <f>MATCH($A121,'Draft Engine'!$Q$3:$Q$225,0)</f>
        <v>123</v>
      </c>
    </row>
    <row r="122" spans="1:15" x14ac:dyDescent="0.25">
      <c r="A122">
        <f>120</f>
        <v>120</v>
      </c>
      <c r="B122" t="str">
        <f>INDEX('Draft Engine'!$A$3:$A$225,$O122)</f>
        <v>TE</v>
      </c>
      <c r="C122">
        <f>INDEX('Draft Engine'!$F$3:$F$225,$O122)</f>
        <v>20</v>
      </c>
      <c r="D122" t="str">
        <f>INDEX('Draft Engine'!$B$3:$B$225,$O122)</f>
        <v>Kenyon Sadiq</v>
      </c>
      <c r="E122" s="4">
        <f>INDEX('Draft Engine'!$N$3:$N$225,$O122)</f>
        <v>52.425743846153857</v>
      </c>
      <c r="F122" s="4">
        <f>INDEX('Draft Engine'!$E$3:$E$225,$O122)</f>
        <v>74.093800000000002</v>
      </c>
      <c r="G122" s="4">
        <f>INDEX('Draft Engine'!$G$3:$G$225,$O122)</f>
        <v>159.30000000000001</v>
      </c>
      <c r="H122" s="4">
        <f>INDEX('Draft Engine'!$J$3:$J$225,$O122)</f>
        <v>-20.399999999999999</v>
      </c>
      <c r="I122" s="4">
        <f>INDEX('Draft Engine'!$L$3:$L$225,$O122)</f>
        <v>2.3076923076923097</v>
      </c>
      <c r="J122" s="4">
        <f>INDEX('Draft Engine'!$R$3:$R$225,$O122)</f>
        <v>188</v>
      </c>
      <c r="K122" s="4">
        <f>INDEX('Draft Engine'!$S$3:$S$225,$O122)</f>
        <v>68</v>
      </c>
      <c r="L122" s="4">
        <f>INDEX('Draft Engine'!$U$3:$U$225,$O122)</f>
        <v>65.093800000000002</v>
      </c>
      <c r="M122" s="4">
        <f>INDEX('Draft Engine'!$W$3:$W$225,$O122)</f>
        <v>83.093800000000002</v>
      </c>
      <c r="N122" t="str">
        <f>INDEX('Draft Engine'!$T$3:$T$225,$O122)</f>
        <v>B</v>
      </c>
      <c r="O122" s="6">
        <f>MATCH($A122,'Draft Engine'!$Q$3:$Q$225,0)</f>
        <v>172</v>
      </c>
    </row>
    <row r="123" spans="1:15" x14ac:dyDescent="0.25">
      <c r="A123">
        <f>121</f>
        <v>121</v>
      </c>
      <c r="B123" t="str">
        <f>INDEX('Draft Engine'!$A$3:$A$225,$O123)</f>
        <v>TE</v>
      </c>
      <c r="C123">
        <f>INDEX('Draft Engine'!$F$3:$F$225,$O123)</f>
        <v>21</v>
      </c>
      <c r="D123" t="str">
        <f>INDEX('Draft Engine'!$B$3:$B$225,$O123)</f>
        <v>T.J. Hockenson</v>
      </c>
      <c r="E123" s="4">
        <f>INDEX('Draft Engine'!$N$3:$N$225,$O123)</f>
        <v>51.802985</v>
      </c>
      <c r="F123" s="4">
        <f>INDEX('Draft Engine'!$E$3:$E$225,$O123)</f>
        <v>73.852699999999999</v>
      </c>
      <c r="G123" s="4">
        <f>INDEX('Draft Engine'!$G$3:$G$225,$O123)</f>
        <v>158.5</v>
      </c>
      <c r="H123" s="4">
        <f>INDEX('Draft Engine'!$J$3:$J$225,$O123)</f>
        <v>-21.2</v>
      </c>
      <c r="I123" s="4">
        <f>INDEX('Draft Engine'!$L$3:$L$225,$O123)</f>
        <v>0</v>
      </c>
      <c r="J123" s="4">
        <f>INDEX('Draft Engine'!$R$3:$R$225,$O123)</f>
        <v>197</v>
      </c>
      <c r="K123" s="4">
        <f>INDEX('Draft Engine'!$S$3:$S$225,$O123)</f>
        <v>76</v>
      </c>
      <c r="L123" s="4">
        <f>INDEX('Draft Engine'!$U$3:$U$225,$O123)</f>
        <v>67.852699999999999</v>
      </c>
      <c r="M123" s="4">
        <f>INDEX('Draft Engine'!$W$3:$W$225,$O123)</f>
        <v>79.852699999999999</v>
      </c>
      <c r="N123" t="str">
        <f>INDEX('Draft Engine'!$T$3:$T$225,$O123)</f>
        <v>A</v>
      </c>
      <c r="O123" s="6">
        <f>MATCH($A123,'Draft Engine'!$Q$3:$Q$225,0)</f>
        <v>173</v>
      </c>
    </row>
    <row r="124" spans="1:15" x14ac:dyDescent="0.25">
      <c r="A124">
        <f>122</f>
        <v>122</v>
      </c>
      <c r="B124" t="str">
        <f>INDEX('Draft Engine'!$A$3:$A$225,$O124)</f>
        <v>WR</v>
      </c>
      <c r="C124">
        <f>INDEX('Draft Engine'!$F$3:$F$225,$O124)</f>
        <v>43</v>
      </c>
      <c r="D124" t="str">
        <f>INDEX('Draft Engine'!$B$3:$B$225,$O124)</f>
        <v>Michael Wilson</v>
      </c>
      <c r="E124" s="4">
        <f>INDEX('Draft Engine'!$N$3:$N$225,$O124)</f>
        <v>51.749499999999998</v>
      </c>
      <c r="F124" s="4">
        <f>INDEX('Draft Engine'!$E$3:$E$225,$O124)</f>
        <v>68.849999999999994</v>
      </c>
      <c r="G124" s="4">
        <f>INDEX('Draft Engine'!$G$3:$G$225,$O124)</f>
        <v>219.2</v>
      </c>
      <c r="H124" s="4">
        <f>INDEX('Draft Engine'!$J$3:$J$225,$O124)</f>
        <v>-20.100000000000001</v>
      </c>
      <c r="I124" s="4">
        <f>INDEX('Draft Engine'!$L$3:$L$225,$O124)</f>
        <v>16.666666666666664</v>
      </c>
      <c r="J124" s="4">
        <f>INDEX('Draft Engine'!$R$3:$R$225,$O124)</f>
        <v>178.5</v>
      </c>
      <c r="K124" s="4">
        <f>INDEX('Draft Engine'!$S$3:$S$225,$O124)</f>
        <v>56.5</v>
      </c>
      <c r="L124" s="4">
        <f>INDEX('Draft Engine'!$U$3:$U$225,$O124)</f>
        <v>56.849999999999994</v>
      </c>
      <c r="M124" s="4">
        <f>INDEX('Draft Engine'!$W$3:$W$225,$O124)</f>
        <v>80.849999999999994</v>
      </c>
      <c r="N124" t="str">
        <f>INDEX('Draft Engine'!$T$3:$T$225,$O124)</f>
        <v>C</v>
      </c>
      <c r="O124" s="6">
        <f>MATCH($A124,'Draft Engine'!$Q$3:$Q$225,0)</f>
        <v>128</v>
      </c>
    </row>
    <row r="125" spans="1:15" x14ac:dyDescent="0.25">
      <c r="A125">
        <f>123</f>
        <v>123</v>
      </c>
      <c r="B125" t="str">
        <f>INDEX('Draft Engine'!$A$3:$A$225,$O125)</f>
        <v>WR</v>
      </c>
      <c r="C125">
        <f>INDEX('Draft Engine'!$F$3:$F$225,$O125)</f>
        <v>44</v>
      </c>
      <c r="D125" t="str">
        <f>INDEX('Draft Engine'!$B$3:$B$225,$O125)</f>
        <v>Courtland Sutton</v>
      </c>
      <c r="E125" s="4">
        <f>INDEX('Draft Engine'!$N$3:$N$225,$O125)</f>
        <v>51.238041666666668</v>
      </c>
      <c r="F125" s="4">
        <f>INDEX('Draft Engine'!$E$3:$E$225,$O125)</f>
        <v>68.722499999999997</v>
      </c>
      <c r="G125" s="4">
        <f>INDEX('Draft Engine'!$G$3:$G$225,$O125)</f>
        <v>218.6</v>
      </c>
      <c r="H125" s="4">
        <f>INDEX('Draft Engine'!$J$3:$J$225,$O125)</f>
        <v>-20.7</v>
      </c>
      <c r="I125" s="4">
        <f>INDEX('Draft Engine'!$L$3:$L$225,$O125)</f>
        <v>14.444444444444441</v>
      </c>
      <c r="J125" s="4">
        <f>INDEX('Draft Engine'!$R$3:$R$225,$O125)</f>
        <v>131.69999999999999</v>
      </c>
      <c r="K125" s="4">
        <f>INDEX('Draft Engine'!$S$3:$S$225,$O125)</f>
        <v>8.6999999999999886</v>
      </c>
      <c r="L125" s="4">
        <f>INDEX('Draft Engine'!$U$3:$U$225,$O125)</f>
        <v>56.722499999999997</v>
      </c>
      <c r="M125" s="4">
        <f>INDEX('Draft Engine'!$W$3:$W$225,$O125)</f>
        <v>80.722499999999997</v>
      </c>
      <c r="N125" t="str">
        <f>INDEX('Draft Engine'!$T$3:$T$225,$O125)</f>
        <v>C</v>
      </c>
      <c r="O125" s="6">
        <f>MATCH($A125,'Draft Engine'!$Q$3:$Q$225,0)</f>
        <v>116</v>
      </c>
    </row>
    <row r="126" spans="1:15" x14ac:dyDescent="0.25">
      <c r="A126">
        <f>124</f>
        <v>124</v>
      </c>
      <c r="B126" t="str">
        <f>INDEX('Draft Engine'!$A$3:$A$225,$O126)</f>
        <v>TE</v>
      </c>
      <c r="C126">
        <f>INDEX('Draft Engine'!$F$3:$F$225,$O126)</f>
        <v>22</v>
      </c>
      <c r="D126" t="str">
        <f>INDEX('Draft Engine'!$B$3:$B$225,$O126)</f>
        <v>Dalton Schultz</v>
      </c>
      <c r="E126" s="4">
        <f>INDEX('Draft Engine'!$N$3:$N$225,$O126)</f>
        <v>51.127724999999998</v>
      </c>
      <c r="F126" s="4">
        <f>INDEX('Draft Engine'!$E$3:$E$225,$O126)</f>
        <v>73.279499999999999</v>
      </c>
      <c r="G126" s="4">
        <f>INDEX('Draft Engine'!$G$3:$G$225,$O126)</f>
        <v>156.5</v>
      </c>
      <c r="H126" s="4">
        <f>INDEX('Draft Engine'!$J$3:$J$225,$O126)</f>
        <v>-23.2</v>
      </c>
      <c r="I126" s="4">
        <f>INDEX('Draft Engine'!$L$3:$L$225,$O126)</f>
        <v>0</v>
      </c>
      <c r="J126" s="4">
        <f>INDEX('Draft Engine'!$R$3:$R$225,$O126)</f>
        <v>206</v>
      </c>
      <c r="K126" s="4">
        <f>INDEX('Draft Engine'!$S$3:$S$225,$O126)</f>
        <v>82</v>
      </c>
      <c r="L126" s="4">
        <f>INDEX('Draft Engine'!$U$3:$U$225,$O126)</f>
        <v>67.279499999999999</v>
      </c>
      <c r="M126" s="4">
        <f>INDEX('Draft Engine'!$W$3:$W$225,$O126)</f>
        <v>79.279499999999999</v>
      </c>
      <c r="N126" t="str">
        <f>INDEX('Draft Engine'!$T$3:$T$225,$O126)</f>
        <v>A</v>
      </c>
      <c r="O126" s="6">
        <f>MATCH($A126,'Draft Engine'!$Q$3:$Q$225,0)</f>
        <v>174</v>
      </c>
    </row>
    <row r="127" spans="1:15" x14ac:dyDescent="0.25">
      <c r="A127">
        <f>125</f>
        <v>125</v>
      </c>
      <c r="B127" t="str">
        <f>INDEX('Draft Engine'!$A$3:$A$225,$O127)</f>
        <v>RB</v>
      </c>
      <c r="C127">
        <f>INDEX('Draft Engine'!$F$3:$F$225,$O127)</f>
        <v>40</v>
      </c>
      <c r="D127" t="str">
        <f>INDEX('Draft Engine'!$B$3:$B$225,$O127)</f>
        <v>Jordan Mason</v>
      </c>
      <c r="E127" s="4">
        <f>INDEX('Draft Engine'!$N$3:$N$225,$O127)</f>
        <v>50.981945000000003</v>
      </c>
      <c r="F127" s="4">
        <f>INDEX('Draft Engine'!$E$3:$E$225,$O127)</f>
        <v>67.657399999999996</v>
      </c>
      <c r="G127" s="4">
        <f>INDEX('Draft Engine'!$G$3:$G$225,$O127)</f>
        <v>214.2</v>
      </c>
      <c r="H127" s="4">
        <f>INDEX('Draft Engine'!$J$3:$J$225,$O127)</f>
        <v>-24.8</v>
      </c>
      <c r="I127" s="4">
        <f>INDEX('Draft Engine'!$L$3:$L$225,$O127)</f>
        <v>21.5625</v>
      </c>
      <c r="J127" s="4">
        <f>INDEX('Draft Engine'!$R$3:$R$225,$O127)</f>
        <v>165.8</v>
      </c>
      <c r="K127" s="4">
        <f>INDEX('Draft Engine'!$S$3:$S$225,$O127)</f>
        <v>40.800000000000011</v>
      </c>
      <c r="L127" s="4">
        <f>INDEX('Draft Engine'!$U$3:$U$225,$O127)</f>
        <v>61.657399999999996</v>
      </c>
      <c r="M127" s="4">
        <f>INDEX('Draft Engine'!$W$3:$W$225,$O127)</f>
        <v>73.657399999999996</v>
      </c>
      <c r="N127" t="str">
        <f>INDEX('Draft Engine'!$T$3:$T$225,$O127)</f>
        <v>A</v>
      </c>
      <c r="O127" s="6">
        <f>MATCH($A127,'Draft Engine'!$Q$3:$Q$225,0)</f>
        <v>72</v>
      </c>
    </row>
    <row r="128" spans="1:15" x14ac:dyDescent="0.25">
      <c r="A128">
        <f>126</f>
        <v>126</v>
      </c>
      <c r="B128" t="str">
        <f>INDEX('Draft Engine'!$A$3:$A$225,$O128)</f>
        <v>TE</v>
      </c>
      <c r="C128">
        <f>INDEX('Draft Engine'!$F$3:$F$225,$O128)</f>
        <v>23</v>
      </c>
      <c r="D128" t="str">
        <f>INDEX('Draft Engine'!$B$3:$B$225,$O128)</f>
        <v>Oronde Gadsden II</v>
      </c>
      <c r="E128" s="4">
        <f>INDEX('Draft Engine'!$N$3:$N$225,$O128)</f>
        <v>50.220590000000009</v>
      </c>
      <c r="F128" s="4">
        <f>INDEX('Draft Engine'!$E$3:$E$225,$O128)</f>
        <v>72.513800000000003</v>
      </c>
      <c r="G128" s="4">
        <f>INDEX('Draft Engine'!$G$3:$G$225,$O128)</f>
        <v>153.80000000000001</v>
      </c>
      <c r="H128" s="4">
        <f>INDEX('Draft Engine'!$J$3:$J$225,$O128)</f>
        <v>-25.9</v>
      </c>
      <c r="I128" s="4">
        <f>INDEX('Draft Engine'!$L$3:$L$225,$O128)</f>
        <v>0</v>
      </c>
      <c r="J128" s="4">
        <f>INDEX('Draft Engine'!$R$3:$R$225,$O128)</f>
        <v>215</v>
      </c>
      <c r="K128" s="4">
        <f>INDEX('Draft Engine'!$S$3:$S$225,$O128)</f>
        <v>89</v>
      </c>
      <c r="L128" s="4">
        <f>INDEX('Draft Engine'!$U$3:$U$225,$O128)</f>
        <v>66.513800000000003</v>
      </c>
      <c r="M128" s="4">
        <f>INDEX('Draft Engine'!$W$3:$W$225,$O128)</f>
        <v>78.513800000000003</v>
      </c>
      <c r="N128" t="str">
        <f>INDEX('Draft Engine'!$T$3:$T$225,$O128)</f>
        <v>A</v>
      </c>
      <c r="O128" s="6">
        <f>MATCH($A128,'Draft Engine'!$Q$3:$Q$225,0)</f>
        <v>175</v>
      </c>
    </row>
    <row r="129" spans="1:15" x14ac:dyDescent="0.25">
      <c r="A129">
        <f>127</f>
        <v>127</v>
      </c>
      <c r="B129" t="str">
        <f>INDEX('Draft Engine'!$A$3:$A$225,$O129)</f>
        <v>WR</v>
      </c>
      <c r="C129">
        <f>INDEX('Draft Engine'!$F$3:$F$225,$O129)</f>
        <v>45</v>
      </c>
      <c r="D129" t="str">
        <f>INDEX('Draft Engine'!$B$3:$B$225,$O129)</f>
        <v>Xavier Worthy</v>
      </c>
      <c r="E129" s="4">
        <f>INDEX('Draft Engine'!$N$3:$N$225,$O129)</f>
        <v>50.210333333333345</v>
      </c>
      <c r="F129" s="4">
        <f>INDEX('Draft Engine'!$E$3:$E$225,$O129)</f>
        <v>68.180000000000007</v>
      </c>
      <c r="G129" s="4">
        <f>INDEX('Draft Engine'!$G$3:$G$225,$O129)</f>
        <v>216.4</v>
      </c>
      <c r="H129" s="4">
        <f>INDEX('Draft Engine'!$J$3:$J$225,$O129)</f>
        <v>-22.9</v>
      </c>
      <c r="I129" s="4">
        <f>INDEX('Draft Engine'!$L$3:$L$225,$O129)</f>
        <v>12.222222222222229</v>
      </c>
      <c r="J129" s="4">
        <f>INDEX('Draft Engine'!$R$3:$R$225,$O129)</f>
        <v>182.4</v>
      </c>
      <c r="K129" s="4">
        <f>INDEX('Draft Engine'!$S$3:$S$225,$O129)</f>
        <v>55.400000000000006</v>
      </c>
      <c r="L129" s="4">
        <f>INDEX('Draft Engine'!$U$3:$U$225,$O129)</f>
        <v>56.180000000000007</v>
      </c>
      <c r="M129" s="4">
        <f>INDEX('Draft Engine'!$W$3:$W$225,$O129)</f>
        <v>80.180000000000007</v>
      </c>
      <c r="N129" t="str">
        <f>INDEX('Draft Engine'!$T$3:$T$225,$O129)</f>
        <v>C</v>
      </c>
      <c r="O129" s="6">
        <f>MATCH($A129,'Draft Engine'!$Q$3:$Q$225,0)</f>
        <v>129</v>
      </c>
    </row>
    <row r="130" spans="1:15" x14ac:dyDescent="0.25">
      <c r="A130">
        <f>128</f>
        <v>128</v>
      </c>
      <c r="B130" t="str">
        <f>INDEX('Draft Engine'!$A$3:$A$225,$O130)</f>
        <v>RB</v>
      </c>
      <c r="C130">
        <f>INDEX('Draft Engine'!$F$3:$F$225,$O130)</f>
        <v>41</v>
      </c>
      <c r="D130" t="str">
        <f>INDEX('Draft Engine'!$B$3:$B$225,$O130)</f>
        <v>Woody Marks</v>
      </c>
      <c r="E130" s="4">
        <f>INDEX('Draft Engine'!$N$3:$N$225,$O130)</f>
        <v>49.575410000000005</v>
      </c>
      <c r="F130" s="4">
        <f>INDEX('Draft Engine'!$E$3:$E$225,$O130)</f>
        <v>66.866200000000006</v>
      </c>
      <c r="G130" s="4">
        <f>INDEX('Draft Engine'!$G$3:$G$225,$O130)</f>
        <v>210.8</v>
      </c>
      <c r="H130" s="4">
        <f>INDEX('Draft Engine'!$J$3:$J$225,$O130)</f>
        <v>-28.2</v>
      </c>
      <c r="I130" s="4">
        <f>INDEX('Draft Engine'!$L$3:$L$225,$O130)</f>
        <v>19.166666666666661</v>
      </c>
      <c r="J130" s="4">
        <f>INDEX('Draft Engine'!$R$3:$R$225,$O130)</f>
        <v>170</v>
      </c>
      <c r="K130" s="4">
        <f>INDEX('Draft Engine'!$S$3:$S$225,$O130)</f>
        <v>42</v>
      </c>
      <c r="L130" s="4">
        <f>INDEX('Draft Engine'!$U$3:$U$225,$O130)</f>
        <v>60.866200000000006</v>
      </c>
      <c r="M130" s="4">
        <f>INDEX('Draft Engine'!$W$3:$W$225,$O130)</f>
        <v>72.866200000000006</v>
      </c>
      <c r="N130" t="str">
        <f>INDEX('Draft Engine'!$T$3:$T$225,$O130)</f>
        <v>A</v>
      </c>
      <c r="O130" s="6">
        <f>MATCH($A130,'Draft Engine'!$Q$3:$Q$225,0)</f>
        <v>73</v>
      </c>
    </row>
    <row r="131" spans="1:15" x14ac:dyDescent="0.25">
      <c r="A131">
        <f>129</f>
        <v>129</v>
      </c>
      <c r="B131" t="str">
        <f>INDEX('Draft Engine'!$A$3:$A$225,$O131)</f>
        <v>QB</v>
      </c>
      <c r="C131">
        <f>INDEX('Draft Engine'!$F$3:$F$225,$O131)</f>
        <v>20</v>
      </c>
      <c r="D131" t="str">
        <f>INDEX('Draft Engine'!$B$3:$B$225,$O131)</f>
        <v>Tyler Shough</v>
      </c>
      <c r="E131" s="4">
        <f>INDEX('Draft Engine'!$N$3:$N$225,$O131)</f>
        <v>48.995695384615388</v>
      </c>
      <c r="F131" s="4">
        <f>INDEX('Draft Engine'!$E$3:$E$225,$O131)</f>
        <v>77.365600000000001</v>
      </c>
      <c r="G131" s="4">
        <f>INDEX('Draft Engine'!$G$3:$G$225,$O131)</f>
        <v>318.10000000000002</v>
      </c>
      <c r="H131" s="4">
        <f>INDEX('Draft Engine'!$J$3:$J$225,$O131)</f>
        <v>-33</v>
      </c>
      <c r="I131" s="4">
        <f>INDEX('Draft Engine'!$L$3:$L$225,$O131)</f>
        <v>2.5641025641025661</v>
      </c>
      <c r="J131" s="4">
        <f>INDEX('Draft Engine'!$R$3:$R$225,$O131)</f>
        <v>174</v>
      </c>
      <c r="K131" s="4">
        <f>INDEX('Draft Engine'!$S$3:$S$225,$O131)</f>
        <v>45</v>
      </c>
      <c r="L131" s="4">
        <f>INDEX('Draft Engine'!$U$3:$U$225,$O131)</f>
        <v>68.365600000000001</v>
      </c>
      <c r="M131" s="4">
        <f>INDEX('Draft Engine'!$W$3:$W$225,$O131)</f>
        <v>86.365600000000001</v>
      </c>
      <c r="N131" t="str">
        <f>INDEX('Draft Engine'!$T$3:$T$225,$O131)</f>
        <v>B</v>
      </c>
      <c r="O131" s="6">
        <f>MATCH($A131,'Draft Engine'!$Q$3:$Q$225,0)</f>
        <v>20</v>
      </c>
    </row>
    <row r="132" spans="1:15" x14ac:dyDescent="0.25">
      <c r="A132">
        <f>130</f>
        <v>130</v>
      </c>
      <c r="B132" t="str">
        <f>INDEX('Draft Engine'!$A$3:$A$225,$O132)</f>
        <v>WR</v>
      </c>
      <c r="C132">
        <f>INDEX('Draft Engine'!$F$3:$F$225,$O132)</f>
        <v>46</v>
      </c>
      <c r="D132" t="str">
        <f>INDEX('Draft Engine'!$B$3:$B$225,$O132)</f>
        <v>Matthew Golden</v>
      </c>
      <c r="E132" s="4">
        <f>INDEX('Draft Engine'!$N$3:$N$225,$O132)</f>
        <v>48.986500000000007</v>
      </c>
      <c r="F132" s="4">
        <f>INDEX('Draft Engine'!$E$3:$E$225,$O132)</f>
        <v>67.510000000000005</v>
      </c>
      <c r="G132" s="4">
        <f>INDEX('Draft Engine'!$G$3:$G$225,$O132)</f>
        <v>213.5</v>
      </c>
      <c r="H132" s="4">
        <f>INDEX('Draft Engine'!$J$3:$J$225,$O132)</f>
        <v>-25.8</v>
      </c>
      <c r="I132" s="4">
        <f>INDEX('Draft Engine'!$L$3:$L$225,$O132)</f>
        <v>10.000000000000004</v>
      </c>
      <c r="J132" s="4">
        <f>INDEX('Draft Engine'!$R$3:$R$225,$O132)</f>
        <v>186.3</v>
      </c>
      <c r="K132" s="4">
        <f>INDEX('Draft Engine'!$S$3:$S$225,$O132)</f>
        <v>56.300000000000011</v>
      </c>
      <c r="L132" s="4">
        <f>INDEX('Draft Engine'!$U$3:$U$225,$O132)</f>
        <v>55.510000000000005</v>
      </c>
      <c r="M132" s="4">
        <f>INDEX('Draft Engine'!$W$3:$W$225,$O132)</f>
        <v>79.510000000000005</v>
      </c>
      <c r="N132" t="str">
        <f>INDEX('Draft Engine'!$T$3:$T$225,$O132)</f>
        <v>C</v>
      </c>
      <c r="O132" s="6">
        <f>MATCH($A132,'Draft Engine'!$Q$3:$Q$225,0)</f>
        <v>130</v>
      </c>
    </row>
    <row r="133" spans="1:15" x14ac:dyDescent="0.25">
      <c r="A133">
        <f>131</f>
        <v>131</v>
      </c>
      <c r="B133" t="str">
        <f>INDEX('Draft Engine'!$A$3:$A$225,$O133)</f>
        <v>DST</v>
      </c>
      <c r="C133">
        <f>INDEX('Draft Engine'!$F$3:$F$225,$O133)</f>
        <v>1</v>
      </c>
      <c r="D133" t="str">
        <f>INDEX('Draft Engine'!$B$3:$B$225,$O133)</f>
        <v>Houston Texans</v>
      </c>
      <c r="E133" s="4">
        <f>INDEX('Draft Engine'!$N$3:$N$225,$O133)</f>
        <v>56.854000000000013</v>
      </c>
      <c r="F133" s="4">
        <f>INDEX('Draft Engine'!$E$3:$E$225,$O133)</f>
        <v>93</v>
      </c>
      <c r="G133" s="4">
        <f>INDEX('Draft Engine'!$G$3:$G$225,$O133)</f>
        <v>117.4</v>
      </c>
      <c r="H133" s="4">
        <f>INDEX('Draft Engine'!$J$3:$J$225,$O133)</f>
        <v>17.8</v>
      </c>
      <c r="I133" s="4">
        <f>INDEX('Draft Engine'!$L$3:$L$225,$O133)</f>
        <v>50</v>
      </c>
      <c r="J133" s="4">
        <f>INDEX('Draft Engine'!$R$3:$R$225,$O133)</f>
        <v>160</v>
      </c>
      <c r="K133" s="4">
        <f>INDEX('Draft Engine'!$S$3:$S$225,$O133)</f>
        <v>29</v>
      </c>
      <c r="L133" s="4">
        <f>INDEX('Draft Engine'!$U$3:$U$225,$O133)</f>
        <v>84</v>
      </c>
      <c r="M133" s="4">
        <f>INDEX('Draft Engine'!$W$3:$W$225,$O133)</f>
        <v>100</v>
      </c>
      <c r="N133" t="str">
        <f>INDEX('Draft Engine'!$T$3:$T$225,$O133)</f>
        <v>B</v>
      </c>
      <c r="O133" s="6">
        <f>MATCH($A133,'Draft Engine'!$Q$3:$Q$225,0)</f>
        <v>192</v>
      </c>
    </row>
    <row r="134" spans="1:15" x14ac:dyDescent="0.25">
      <c r="A134">
        <f>132</f>
        <v>132</v>
      </c>
      <c r="B134" t="str">
        <f>INDEX('Draft Engine'!$A$3:$A$225,$O134)</f>
        <v>DST</v>
      </c>
      <c r="C134">
        <f>INDEX('Draft Engine'!$F$3:$F$225,$O134)</f>
        <v>2</v>
      </c>
      <c r="D134" t="str">
        <f>INDEX('Draft Engine'!$B$3:$B$225,$O134)</f>
        <v>Denver Broncos</v>
      </c>
      <c r="E134" s="4">
        <f>INDEX('Draft Engine'!$N$3:$N$225,$O134)</f>
        <v>55.38900000000001</v>
      </c>
      <c r="F134" s="4">
        <f>INDEX('Draft Engine'!$E$3:$E$225,$O134)</f>
        <v>91.9</v>
      </c>
      <c r="G134" s="4">
        <f>INDEX('Draft Engine'!$G$3:$G$225,$O134)</f>
        <v>115.4</v>
      </c>
      <c r="H134" s="4">
        <f>INDEX('Draft Engine'!$J$3:$J$225,$O134)</f>
        <v>15.8</v>
      </c>
      <c r="I134" s="4">
        <f>INDEX('Draft Engine'!$L$3:$L$225,$O134)</f>
        <v>46.666666666666664</v>
      </c>
      <c r="J134" s="4">
        <f>INDEX('Draft Engine'!$R$3:$R$225,$O134)</f>
        <v>164</v>
      </c>
      <c r="K134" s="4">
        <f>INDEX('Draft Engine'!$S$3:$S$225,$O134)</f>
        <v>32</v>
      </c>
      <c r="L134" s="4">
        <f>INDEX('Draft Engine'!$U$3:$U$225,$O134)</f>
        <v>82.9</v>
      </c>
      <c r="M134" s="4">
        <f>INDEX('Draft Engine'!$W$3:$W$225,$O134)</f>
        <v>100</v>
      </c>
      <c r="N134" t="str">
        <f>INDEX('Draft Engine'!$T$3:$T$225,$O134)</f>
        <v>B</v>
      </c>
      <c r="O134" s="6">
        <f>MATCH($A134,'Draft Engine'!$Q$3:$Q$225,0)</f>
        <v>193</v>
      </c>
    </row>
    <row r="135" spans="1:15" x14ac:dyDescent="0.25">
      <c r="A135">
        <f>133</f>
        <v>133</v>
      </c>
      <c r="B135" t="str">
        <f>INDEX('Draft Engine'!$A$3:$A$225,$O135)</f>
        <v>DST</v>
      </c>
      <c r="C135">
        <f>INDEX('Draft Engine'!$F$3:$F$225,$O135)</f>
        <v>3</v>
      </c>
      <c r="D135" t="str">
        <f>INDEX('Draft Engine'!$B$3:$B$225,$O135)</f>
        <v>Seattle Seahawks</v>
      </c>
      <c r="E135" s="4">
        <f>INDEX('Draft Engine'!$N$3:$N$225,$O135)</f>
        <v>53.924000000000007</v>
      </c>
      <c r="F135" s="4">
        <f>INDEX('Draft Engine'!$E$3:$E$225,$O135)</f>
        <v>90.8</v>
      </c>
      <c r="G135" s="4">
        <f>INDEX('Draft Engine'!$G$3:$G$225,$O135)</f>
        <v>113.4</v>
      </c>
      <c r="H135" s="4">
        <f>INDEX('Draft Engine'!$J$3:$J$225,$O135)</f>
        <v>13.8</v>
      </c>
      <c r="I135" s="4">
        <f>INDEX('Draft Engine'!$L$3:$L$225,$O135)</f>
        <v>43.333333333333336</v>
      </c>
      <c r="J135" s="4">
        <f>INDEX('Draft Engine'!$R$3:$R$225,$O135)</f>
        <v>168</v>
      </c>
      <c r="K135" s="4">
        <f>INDEX('Draft Engine'!$S$3:$S$225,$O135)</f>
        <v>35</v>
      </c>
      <c r="L135" s="4">
        <f>INDEX('Draft Engine'!$U$3:$U$225,$O135)</f>
        <v>81.8</v>
      </c>
      <c r="M135" s="4">
        <f>INDEX('Draft Engine'!$W$3:$W$225,$O135)</f>
        <v>99.8</v>
      </c>
      <c r="N135" t="str">
        <f>INDEX('Draft Engine'!$T$3:$T$225,$O135)</f>
        <v>B</v>
      </c>
      <c r="O135" s="6">
        <f>MATCH($A135,'Draft Engine'!$Q$3:$Q$225,0)</f>
        <v>194</v>
      </c>
    </row>
    <row r="136" spans="1:15" x14ac:dyDescent="0.25">
      <c r="A136">
        <f>134</f>
        <v>134</v>
      </c>
      <c r="B136" t="str">
        <f>INDEX('Draft Engine'!$A$3:$A$225,$O136)</f>
        <v>DST</v>
      </c>
      <c r="C136">
        <f>INDEX('Draft Engine'!$F$3:$F$225,$O136)</f>
        <v>4</v>
      </c>
      <c r="D136" t="str">
        <f>INDEX('Draft Engine'!$B$3:$B$225,$O136)</f>
        <v>Los Angeles Rams</v>
      </c>
      <c r="E136" s="4">
        <f>INDEX('Draft Engine'!$N$3:$N$225,$O136)</f>
        <v>52.477000000000004</v>
      </c>
      <c r="F136" s="4">
        <f>INDEX('Draft Engine'!$E$3:$E$225,$O136)</f>
        <v>89.7</v>
      </c>
      <c r="G136" s="4">
        <f>INDEX('Draft Engine'!$G$3:$G$225,$O136)</f>
        <v>111.5</v>
      </c>
      <c r="H136" s="4">
        <f>INDEX('Draft Engine'!$J$3:$J$225,$O136)</f>
        <v>11.9</v>
      </c>
      <c r="I136" s="4">
        <f>INDEX('Draft Engine'!$L$3:$L$225,$O136)</f>
        <v>40</v>
      </c>
      <c r="J136" s="4">
        <f>INDEX('Draft Engine'!$R$3:$R$225,$O136)</f>
        <v>172</v>
      </c>
      <c r="K136" s="4">
        <f>INDEX('Draft Engine'!$S$3:$S$225,$O136)</f>
        <v>38</v>
      </c>
      <c r="L136" s="4">
        <f>INDEX('Draft Engine'!$U$3:$U$225,$O136)</f>
        <v>80.7</v>
      </c>
      <c r="M136" s="4">
        <f>INDEX('Draft Engine'!$W$3:$W$225,$O136)</f>
        <v>98.7</v>
      </c>
      <c r="N136" t="str">
        <f>INDEX('Draft Engine'!$T$3:$T$225,$O136)</f>
        <v>B</v>
      </c>
      <c r="O136" s="6">
        <f>MATCH($A136,'Draft Engine'!$Q$3:$Q$225,0)</f>
        <v>195</v>
      </c>
    </row>
    <row r="137" spans="1:15" x14ac:dyDescent="0.25">
      <c r="A137">
        <f>135</f>
        <v>135</v>
      </c>
      <c r="B137" t="str">
        <f>INDEX('Draft Engine'!$A$3:$A$225,$O137)</f>
        <v>DST</v>
      </c>
      <c r="C137">
        <f>INDEX('Draft Engine'!$F$3:$F$225,$O137)</f>
        <v>5</v>
      </c>
      <c r="D137" t="str">
        <f>INDEX('Draft Engine'!$B$3:$B$225,$O137)</f>
        <v>Philadelphia Eagles</v>
      </c>
      <c r="E137" s="4">
        <f>INDEX('Draft Engine'!$N$3:$N$225,$O137)</f>
        <v>51.012</v>
      </c>
      <c r="F137" s="4">
        <f>INDEX('Draft Engine'!$E$3:$E$225,$O137)</f>
        <v>88.6</v>
      </c>
      <c r="G137" s="4">
        <f>INDEX('Draft Engine'!$G$3:$G$225,$O137)</f>
        <v>109.5</v>
      </c>
      <c r="H137" s="4">
        <f>INDEX('Draft Engine'!$J$3:$J$225,$O137)</f>
        <v>9.9</v>
      </c>
      <c r="I137" s="4">
        <f>INDEX('Draft Engine'!$L$3:$L$225,$O137)</f>
        <v>36.666666666666671</v>
      </c>
      <c r="J137" s="4">
        <f>INDEX('Draft Engine'!$R$3:$R$225,$O137)</f>
        <v>176</v>
      </c>
      <c r="K137" s="4">
        <f>INDEX('Draft Engine'!$S$3:$S$225,$O137)</f>
        <v>41</v>
      </c>
      <c r="L137" s="4">
        <f>INDEX('Draft Engine'!$U$3:$U$225,$O137)</f>
        <v>79.599999999999994</v>
      </c>
      <c r="M137" s="4">
        <f>INDEX('Draft Engine'!$W$3:$W$225,$O137)</f>
        <v>97.6</v>
      </c>
      <c r="N137" t="str">
        <f>INDEX('Draft Engine'!$T$3:$T$225,$O137)</f>
        <v>B</v>
      </c>
      <c r="O137" s="6">
        <f>MATCH($A137,'Draft Engine'!$Q$3:$Q$225,0)</f>
        <v>196</v>
      </c>
    </row>
    <row r="138" spans="1:15" x14ac:dyDescent="0.25">
      <c r="A138">
        <f>136</f>
        <v>136</v>
      </c>
      <c r="B138" t="str">
        <f>INDEX('Draft Engine'!$A$3:$A$225,$O138)</f>
        <v>DST</v>
      </c>
      <c r="C138">
        <f>INDEX('Draft Engine'!$F$3:$F$225,$O138)</f>
        <v>6</v>
      </c>
      <c r="D138" t="str">
        <f>INDEX('Draft Engine'!$B$3:$B$225,$O138)</f>
        <v>Minnesota Vikings</v>
      </c>
      <c r="E138" s="4">
        <f>INDEX('Draft Engine'!$N$3:$N$225,$O138)</f>
        <v>49.547000000000011</v>
      </c>
      <c r="F138" s="4">
        <f>INDEX('Draft Engine'!$E$3:$E$225,$O138)</f>
        <v>87.5</v>
      </c>
      <c r="G138" s="4">
        <f>INDEX('Draft Engine'!$G$3:$G$225,$O138)</f>
        <v>107.5</v>
      </c>
      <c r="H138" s="4">
        <f>INDEX('Draft Engine'!$J$3:$J$225,$O138)</f>
        <v>7.9</v>
      </c>
      <c r="I138" s="4">
        <f>INDEX('Draft Engine'!$L$3:$L$225,$O138)</f>
        <v>33.333333333333336</v>
      </c>
      <c r="J138" s="4">
        <f>INDEX('Draft Engine'!$R$3:$R$225,$O138)</f>
        <v>180</v>
      </c>
      <c r="K138" s="4">
        <f>INDEX('Draft Engine'!$S$3:$S$225,$O138)</f>
        <v>44</v>
      </c>
      <c r="L138" s="4">
        <f>INDEX('Draft Engine'!$U$3:$U$225,$O138)</f>
        <v>78.5</v>
      </c>
      <c r="M138" s="4">
        <f>INDEX('Draft Engine'!$W$3:$W$225,$O138)</f>
        <v>96.5</v>
      </c>
      <c r="N138" t="str">
        <f>INDEX('Draft Engine'!$T$3:$T$225,$O138)</f>
        <v>B</v>
      </c>
      <c r="O138" s="6">
        <f>MATCH($A138,'Draft Engine'!$Q$3:$Q$225,0)</f>
        <v>197</v>
      </c>
    </row>
    <row r="139" spans="1:15" x14ac:dyDescent="0.25">
      <c r="A139">
        <f>137</f>
        <v>137</v>
      </c>
      <c r="B139" t="str">
        <f>INDEX('Draft Engine'!$A$3:$A$225,$O139)</f>
        <v>DST</v>
      </c>
      <c r="C139">
        <f>INDEX('Draft Engine'!$F$3:$F$225,$O139)</f>
        <v>7</v>
      </c>
      <c r="D139" t="str">
        <f>INDEX('Draft Engine'!$B$3:$B$225,$O139)</f>
        <v>New England Patriots</v>
      </c>
      <c r="E139" s="4">
        <f>INDEX('Draft Engine'!$N$3:$N$225,$O139)</f>
        <v>48.082000000000008</v>
      </c>
      <c r="F139" s="4">
        <f>INDEX('Draft Engine'!$E$3:$E$225,$O139)</f>
        <v>86.4</v>
      </c>
      <c r="G139" s="4">
        <f>INDEX('Draft Engine'!$G$3:$G$225,$O139)</f>
        <v>105.5</v>
      </c>
      <c r="H139" s="4">
        <f>INDEX('Draft Engine'!$J$3:$J$225,$O139)</f>
        <v>5.9</v>
      </c>
      <c r="I139" s="4">
        <f>INDEX('Draft Engine'!$L$3:$L$225,$O139)</f>
        <v>30</v>
      </c>
      <c r="J139" s="4">
        <f>INDEX('Draft Engine'!$R$3:$R$225,$O139)</f>
        <v>184</v>
      </c>
      <c r="K139" s="4">
        <f>INDEX('Draft Engine'!$S$3:$S$225,$O139)</f>
        <v>47</v>
      </c>
      <c r="L139" s="4">
        <f>INDEX('Draft Engine'!$U$3:$U$225,$O139)</f>
        <v>77.400000000000006</v>
      </c>
      <c r="M139" s="4">
        <f>INDEX('Draft Engine'!$W$3:$W$225,$O139)</f>
        <v>95.4</v>
      </c>
      <c r="N139" t="str">
        <f>INDEX('Draft Engine'!$T$3:$T$225,$O139)</f>
        <v>B</v>
      </c>
      <c r="O139" s="6">
        <f>MATCH($A139,'Draft Engine'!$Q$3:$Q$225,0)</f>
        <v>198</v>
      </c>
    </row>
    <row r="140" spans="1:15" x14ac:dyDescent="0.25">
      <c r="A140">
        <f>138</f>
        <v>138</v>
      </c>
      <c r="B140" t="str">
        <f>INDEX('Draft Engine'!$A$3:$A$225,$O140)</f>
        <v>DST</v>
      </c>
      <c r="C140">
        <f>INDEX('Draft Engine'!$F$3:$F$225,$O140)</f>
        <v>8</v>
      </c>
      <c r="D140" t="str">
        <f>INDEX('Draft Engine'!$B$3:$B$225,$O140)</f>
        <v>Jacksonville Jaguars</v>
      </c>
      <c r="E140" s="4">
        <f>INDEX('Draft Engine'!$N$3:$N$225,$O140)</f>
        <v>46.61699999999999</v>
      </c>
      <c r="F140" s="4">
        <f>INDEX('Draft Engine'!$E$3:$E$225,$O140)</f>
        <v>85.3</v>
      </c>
      <c r="G140" s="4">
        <f>INDEX('Draft Engine'!$G$3:$G$225,$O140)</f>
        <v>103.5</v>
      </c>
      <c r="H140" s="4">
        <f>INDEX('Draft Engine'!$J$3:$J$225,$O140)</f>
        <v>3.9</v>
      </c>
      <c r="I140" s="4">
        <f>INDEX('Draft Engine'!$L$3:$L$225,$O140)</f>
        <v>26.666666666666668</v>
      </c>
      <c r="J140" s="4">
        <f>INDEX('Draft Engine'!$R$3:$R$225,$O140)</f>
        <v>188</v>
      </c>
      <c r="K140" s="4">
        <f>INDEX('Draft Engine'!$S$3:$S$225,$O140)</f>
        <v>50</v>
      </c>
      <c r="L140" s="4">
        <f>INDEX('Draft Engine'!$U$3:$U$225,$O140)</f>
        <v>76.3</v>
      </c>
      <c r="M140" s="4">
        <f>INDEX('Draft Engine'!$W$3:$W$225,$O140)</f>
        <v>94.3</v>
      </c>
      <c r="N140" t="str">
        <f>INDEX('Draft Engine'!$T$3:$T$225,$O140)</f>
        <v>B</v>
      </c>
      <c r="O140" s="6">
        <f>MATCH($A140,'Draft Engine'!$Q$3:$Q$225,0)</f>
        <v>199</v>
      </c>
    </row>
    <row r="141" spans="1:15" x14ac:dyDescent="0.25">
      <c r="A141">
        <f>139</f>
        <v>139</v>
      </c>
      <c r="B141" t="str">
        <f>INDEX('Draft Engine'!$A$3:$A$225,$O141)</f>
        <v>DST</v>
      </c>
      <c r="C141">
        <f>INDEX('Draft Engine'!$F$3:$F$225,$O141)</f>
        <v>9</v>
      </c>
      <c r="D141" t="str">
        <f>INDEX('Draft Engine'!$B$3:$B$225,$O141)</f>
        <v>Pittsburgh Steelers</v>
      </c>
      <c r="E141" s="4">
        <f>INDEX('Draft Engine'!$N$3:$N$225,$O141)</f>
        <v>45.17</v>
      </c>
      <c r="F141" s="4">
        <f>INDEX('Draft Engine'!$E$3:$E$225,$O141)</f>
        <v>84.2</v>
      </c>
      <c r="G141" s="4">
        <f>INDEX('Draft Engine'!$G$3:$G$225,$O141)</f>
        <v>101.6</v>
      </c>
      <c r="H141" s="4">
        <f>INDEX('Draft Engine'!$J$3:$J$225,$O141)</f>
        <v>2</v>
      </c>
      <c r="I141" s="4">
        <f>INDEX('Draft Engine'!$L$3:$L$225,$O141)</f>
        <v>23.333333333333332</v>
      </c>
      <c r="J141" s="4">
        <f>INDEX('Draft Engine'!$R$3:$R$225,$O141)</f>
        <v>192</v>
      </c>
      <c r="K141" s="4">
        <f>INDEX('Draft Engine'!$S$3:$S$225,$O141)</f>
        <v>53</v>
      </c>
      <c r="L141" s="4">
        <f>INDEX('Draft Engine'!$U$3:$U$225,$O141)</f>
        <v>75.2</v>
      </c>
      <c r="M141" s="4">
        <f>INDEX('Draft Engine'!$W$3:$W$225,$O141)</f>
        <v>93.2</v>
      </c>
      <c r="N141" t="str">
        <f>INDEX('Draft Engine'!$T$3:$T$225,$O141)</f>
        <v>B</v>
      </c>
      <c r="O141" s="6">
        <f>MATCH($A141,'Draft Engine'!$Q$3:$Q$225,0)</f>
        <v>200</v>
      </c>
    </row>
    <row r="142" spans="1:15" x14ac:dyDescent="0.25">
      <c r="A142">
        <f>140</f>
        <v>140</v>
      </c>
      <c r="B142" t="str">
        <f>INDEX('Draft Engine'!$A$3:$A$225,$O142)</f>
        <v>DST</v>
      </c>
      <c r="C142">
        <f>INDEX('Draft Engine'!$F$3:$F$225,$O142)</f>
        <v>10</v>
      </c>
      <c r="D142" t="str">
        <f>INDEX('Draft Engine'!$B$3:$B$225,$O142)</f>
        <v>Los Angeles Chargers</v>
      </c>
      <c r="E142" s="4">
        <f>INDEX('Draft Engine'!$N$3:$N$225,$O142)</f>
        <v>43.704999999999998</v>
      </c>
      <c r="F142" s="4">
        <f>INDEX('Draft Engine'!$E$3:$E$225,$O142)</f>
        <v>83.1</v>
      </c>
      <c r="G142" s="4">
        <f>INDEX('Draft Engine'!$G$3:$G$225,$O142)</f>
        <v>99.6</v>
      </c>
      <c r="H142" s="4">
        <f>INDEX('Draft Engine'!$J$3:$J$225,$O142)</f>
        <v>0</v>
      </c>
      <c r="I142" s="4">
        <f>INDEX('Draft Engine'!$L$3:$L$225,$O142)</f>
        <v>20</v>
      </c>
      <c r="J142" s="4">
        <f>INDEX('Draft Engine'!$R$3:$R$225,$O142)</f>
        <v>196</v>
      </c>
      <c r="K142" s="4">
        <f>INDEX('Draft Engine'!$S$3:$S$225,$O142)</f>
        <v>56</v>
      </c>
      <c r="L142" s="4">
        <f>INDEX('Draft Engine'!$U$3:$U$225,$O142)</f>
        <v>74.099999999999994</v>
      </c>
      <c r="M142" s="4">
        <f>INDEX('Draft Engine'!$W$3:$W$225,$O142)</f>
        <v>92.1</v>
      </c>
      <c r="N142" t="str">
        <f>INDEX('Draft Engine'!$T$3:$T$225,$O142)</f>
        <v>B</v>
      </c>
      <c r="O142" s="6">
        <f>MATCH($A142,'Draft Engine'!$Q$3:$Q$225,0)</f>
        <v>201</v>
      </c>
    </row>
    <row r="143" spans="1:15" x14ac:dyDescent="0.25">
      <c r="A143">
        <f>141</f>
        <v>141</v>
      </c>
      <c r="B143" t="str">
        <f>INDEX('Draft Engine'!$A$3:$A$225,$O143)</f>
        <v>K</v>
      </c>
      <c r="C143">
        <f>INDEX('Draft Engine'!$F$3:$F$225,$O143)</f>
        <v>1</v>
      </c>
      <c r="D143" t="str">
        <f>INDEX('Draft Engine'!$B$3:$B$225,$O143)</f>
        <v>Brandon Aubrey</v>
      </c>
      <c r="E143" s="4">
        <f>INDEX('Draft Engine'!$N$3:$N$225,$O143)</f>
        <v>64.078000000000003</v>
      </c>
      <c r="F143" s="4">
        <f>INDEX('Draft Engine'!$E$3:$E$225,$O143)</f>
        <v>94</v>
      </c>
      <c r="G143" s="4">
        <f>INDEX('Draft Engine'!$G$3:$G$225,$O143)</f>
        <v>148</v>
      </c>
      <c r="H143" s="4">
        <f>INDEX('Draft Engine'!$J$3:$J$225,$O143)</f>
        <v>39.6</v>
      </c>
      <c r="I143" s="4">
        <f>INDEX('Draft Engine'!$L$3:$L$225,$O143)</f>
        <v>55.000000000000007</v>
      </c>
      <c r="J143" s="4">
        <f>INDEX('Draft Engine'!$R$3:$R$225,$O143)</f>
        <v>155</v>
      </c>
      <c r="K143" s="4">
        <f>INDEX('Draft Engine'!$S$3:$S$225,$O143)</f>
        <v>14</v>
      </c>
      <c r="L143" s="4">
        <f>INDEX('Draft Engine'!$U$3:$U$225,$O143)</f>
        <v>85</v>
      </c>
      <c r="M143" s="4">
        <f>INDEX('Draft Engine'!$W$3:$W$225,$O143)</f>
        <v>100</v>
      </c>
      <c r="N143" t="str">
        <f>INDEX('Draft Engine'!$T$3:$T$225,$O143)</f>
        <v>B</v>
      </c>
      <c r="O143" s="6">
        <f>MATCH($A143,'Draft Engine'!$Q$3:$Q$225,0)</f>
        <v>180</v>
      </c>
    </row>
    <row r="144" spans="1:15" x14ac:dyDescent="0.25">
      <c r="A144">
        <f>142</f>
        <v>142</v>
      </c>
      <c r="B144" t="str">
        <f>INDEX('Draft Engine'!$A$3:$A$225,$O144)</f>
        <v>K</v>
      </c>
      <c r="C144">
        <f>INDEX('Draft Engine'!$F$3:$F$225,$O144)</f>
        <v>2</v>
      </c>
      <c r="D144" t="str">
        <f>INDEX('Draft Engine'!$B$3:$B$225,$O144)</f>
        <v>Ka'imi Fairbairn</v>
      </c>
      <c r="E144" s="4">
        <f>INDEX('Draft Engine'!$N$3:$N$225,$O144)</f>
        <v>61.52600000000001</v>
      </c>
      <c r="F144" s="4">
        <f>INDEX('Draft Engine'!$E$3:$E$225,$O144)</f>
        <v>91.8</v>
      </c>
      <c r="G144" s="4">
        <f>INDEX('Draft Engine'!$G$3:$G$225,$O144)</f>
        <v>143.6</v>
      </c>
      <c r="H144" s="4">
        <f>INDEX('Draft Engine'!$J$3:$J$225,$O144)</f>
        <v>35.200000000000003</v>
      </c>
      <c r="I144" s="4">
        <f>INDEX('Draft Engine'!$L$3:$L$225,$O144)</f>
        <v>51.333333333333336</v>
      </c>
      <c r="J144" s="4">
        <f>INDEX('Draft Engine'!$R$3:$R$225,$O144)</f>
        <v>160</v>
      </c>
      <c r="K144" s="4">
        <f>INDEX('Draft Engine'!$S$3:$S$225,$O144)</f>
        <v>18</v>
      </c>
      <c r="L144" s="4">
        <f>INDEX('Draft Engine'!$U$3:$U$225,$O144)</f>
        <v>82.8</v>
      </c>
      <c r="M144" s="4">
        <f>INDEX('Draft Engine'!$W$3:$W$225,$O144)</f>
        <v>100</v>
      </c>
      <c r="N144" t="str">
        <f>INDEX('Draft Engine'!$T$3:$T$225,$O144)</f>
        <v>B</v>
      </c>
      <c r="O144" s="6">
        <f>MATCH($A144,'Draft Engine'!$Q$3:$Q$225,0)</f>
        <v>181</v>
      </c>
    </row>
    <row r="145" spans="1:15" x14ac:dyDescent="0.25">
      <c r="A145">
        <f>143</f>
        <v>143</v>
      </c>
      <c r="B145" t="str">
        <f>INDEX('Draft Engine'!$A$3:$A$225,$O145)</f>
        <v>K</v>
      </c>
      <c r="C145">
        <f>INDEX('Draft Engine'!$F$3:$F$225,$O145)</f>
        <v>3</v>
      </c>
      <c r="D145" t="str">
        <f>INDEX('Draft Engine'!$B$3:$B$225,$O145)</f>
        <v>Cameron Dicker</v>
      </c>
      <c r="E145" s="4">
        <f>INDEX('Draft Engine'!$N$3:$N$225,$O145)</f>
        <v>58.974000000000004</v>
      </c>
      <c r="F145" s="4">
        <f>INDEX('Draft Engine'!$E$3:$E$225,$O145)</f>
        <v>89.6</v>
      </c>
      <c r="G145" s="4">
        <f>INDEX('Draft Engine'!$G$3:$G$225,$O145)</f>
        <v>139.19999999999999</v>
      </c>
      <c r="H145" s="4">
        <f>INDEX('Draft Engine'!$J$3:$J$225,$O145)</f>
        <v>30.8</v>
      </c>
      <c r="I145" s="4">
        <f>INDEX('Draft Engine'!$L$3:$L$225,$O145)</f>
        <v>47.666666666666671</v>
      </c>
      <c r="J145" s="4">
        <f>INDEX('Draft Engine'!$R$3:$R$225,$O145)</f>
        <v>165</v>
      </c>
      <c r="K145" s="4">
        <f>INDEX('Draft Engine'!$S$3:$S$225,$O145)</f>
        <v>22</v>
      </c>
      <c r="L145" s="4">
        <f>INDEX('Draft Engine'!$U$3:$U$225,$O145)</f>
        <v>80.599999999999994</v>
      </c>
      <c r="M145" s="4">
        <f>INDEX('Draft Engine'!$W$3:$W$225,$O145)</f>
        <v>98.6</v>
      </c>
      <c r="N145" t="str">
        <f>INDEX('Draft Engine'!$T$3:$T$225,$O145)</f>
        <v>B</v>
      </c>
      <c r="O145" s="6">
        <f>MATCH($A145,'Draft Engine'!$Q$3:$Q$225,0)</f>
        <v>182</v>
      </c>
    </row>
    <row r="146" spans="1:15" x14ac:dyDescent="0.25">
      <c r="A146">
        <f>144</f>
        <v>144</v>
      </c>
      <c r="B146" t="str">
        <f>INDEX('Draft Engine'!$A$3:$A$225,$O146)</f>
        <v>K</v>
      </c>
      <c r="C146">
        <f>INDEX('Draft Engine'!$F$3:$F$225,$O146)</f>
        <v>4</v>
      </c>
      <c r="D146" t="str">
        <f>INDEX('Draft Engine'!$B$3:$B$225,$O146)</f>
        <v>Jason Myers</v>
      </c>
      <c r="E146" s="4">
        <f>INDEX('Draft Engine'!$N$3:$N$225,$O146)</f>
        <v>56.421999999999997</v>
      </c>
      <c r="F146" s="4">
        <f>INDEX('Draft Engine'!$E$3:$E$225,$O146)</f>
        <v>87.4</v>
      </c>
      <c r="G146" s="4">
        <f>INDEX('Draft Engine'!$G$3:$G$225,$O146)</f>
        <v>134.80000000000001</v>
      </c>
      <c r="H146" s="4">
        <f>INDEX('Draft Engine'!$J$3:$J$225,$O146)</f>
        <v>26.4</v>
      </c>
      <c r="I146" s="4">
        <f>INDEX('Draft Engine'!$L$3:$L$225,$O146)</f>
        <v>44</v>
      </c>
      <c r="J146" s="4">
        <f>INDEX('Draft Engine'!$R$3:$R$225,$O146)</f>
        <v>170</v>
      </c>
      <c r="K146" s="4">
        <f>INDEX('Draft Engine'!$S$3:$S$225,$O146)</f>
        <v>26</v>
      </c>
      <c r="L146" s="4">
        <f>INDEX('Draft Engine'!$U$3:$U$225,$O146)</f>
        <v>78.400000000000006</v>
      </c>
      <c r="M146" s="4">
        <f>INDEX('Draft Engine'!$W$3:$W$225,$O146)</f>
        <v>96.4</v>
      </c>
      <c r="N146" t="str">
        <f>INDEX('Draft Engine'!$T$3:$T$225,$O146)</f>
        <v>B</v>
      </c>
      <c r="O146" s="6">
        <f>MATCH($A146,'Draft Engine'!$Q$3:$Q$225,0)</f>
        <v>183</v>
      </c>
    </row>
    <row r="147" spans="1:15" x14ac:dyDescent="0.25">
      <c r="A147">
        <f>145</f>
        <v>145</v>
      </c>
      <c r="B147" t="str">
        <f>INDEX('Draft Engine'!$A$3:$A$225,$O147)</f>
        <v>K</v>
      </c>
      <c r="C147">
        <f>INDEX('Draft Engine'!$F$3:$F$225,$O147)</f>
        <v>5</v>
      </c>
      <c r="D147" t="str">
        <f>INDEX('Draft Engine'!$B$3:$B$225,$O147)</f>
        <v>Cam Little</v>
      </c>
      <c r="E147" s="4">
        <f>INDEX('Draft Engine'!$N$3:$N$225,$O147)</f>
        <v>53.870000000000005</v>
      </c>
      <c r="F147" s="4">
        <f>INDEX('Draft Engine'!$E$3:$E$225,$O147)</f>
        <v>85.2</v>
      </c>
      <c r="G147" s="4">
        <f>INDEX('Draft Engine'!$G$3:$G$225,$O147)</f>
        <v>130.4</v>
      </c>
      <c r="H147" s="4">
        <f>INDEX('Draft Engine'!$J$3:$J$225,$O147)</f>
        <v>22</v>
      </c>
      <c r="I147" s="4">
        <f>INDEX('Draft Engine'!$L$3:$L$225,$O147)</f>
        <v>40.333333333333343</v>
      </c>
      <c r="J147" s="4">
        <f>INDEX('Draft Engine'!$R$3:$R$225,$O147)</f>
        <v>175</v>
      </c>
      <c r="K147" s="4">
        <f>INDEX('Draft Engine'!$S$3:$S$225,$O147)</f>
        <v>30</v>
      </c>
      <c r="L147" s="4">
        <f>INDEX('Draft Engine'!$U$3:$U$225,$O147)</f>
        <v>76.2</v>
      </c>
      <c r="M147" s="4">
        <f>INDEX('Draft Engine'!$W$3:$W$225,$O147)</f>
        <v>94.2</v>
      </c>
      <c r="N147" t="str">
        <f>INDEX('Draft Engine'!$T$3:$T$225,$O147)</f>
        <v>B</v>
      </c>
      <c r="O147" s="6">
        <f>MATCH($A147,'Draft Engine'!$Q$3:$Q$225,0)</f>
        <v>184</v>
      </c>
    </row>
    <row r="148" spans="1:15" x14ac:dyDescent="0.25">
      <c r="A148">
        <f>146</f>
        <v>146</v>
      </c>
      <c r="B148" t="str">
        <f>INDEX('Draft Engine'!$A$3:$A$225,$O148)</f>
        <v>K</v>
      </c>
      <c r="C148">
        <f>INDEX('Draft Engine'!$F$3:$F$225,$O148)</f>
        <v>6</v>
      </c>
      <c r="D148" t="str">
        <f>INDEX('Draft Engine'!$B$3:$B$225,$O148)</f>
        <v>Eddy Pineiro</v>
      </c>
      <c r="E148" s="4">
        <f>INDEX('Draft Engine'!$N$3:$N$225,$O148)</f>
        <v>51.318000000000012</v>
      </c>
      <c r="F148" s="4">
        <f>INDEX('Draft Engine'!$E$3:$E$225,$O148)</f>
        <v>83</v>
      </c>
      <c r="G148" s="4">
        <f>INDEX('Draft Engine'!$G$3:$G$225,$O148)</f>
        <v>126</v>
      </c>
      <c r="H148" s="4">
        <f>INDEX('Draft Engine'!$J$3:$J$225,$O148)</f>
        <v>17.600000000000001</v>
      </c>
      <c r="I148" s="4">
        <f>INDEX('Draft Engine'!$L$3:$L$225,$O148)</f>
        <v>36.666666666666671</v>
      </c>
      <c r="J148" s="4">
        <f>INDEX('Draft Engine'!$R$3:$R$225,$O148)</f>
        <v>180</v>
      </c>
      <c r="K148" s="4">
        <f>INDEX('Draft Engine'!$S$3:$S$225,$O148)</f>
        <v>34</v>
      </c>
      <c r="L148" s="4">
        <f>INDEX('Draft Engine'!$U$3:$U$225,$O148)</f>
        <v>74</v>
      </c>
      <c r="M148" s="4">
        <f>INDEX('Draft Engine'!$W$3:$W$225,$O148)</f>
        <v>92</v>
      </c>
      <c r="N148" t="str">
        <f>INDEX('Draft Engine'!$T$3:$T$225,$O148)</f>
        <v>B</v>
      </c>
      <c r="O148" s="6">
        <f>MATCH($A148,'Draft Engine'!$Q$3:$Q$225,0)</f>
        <v>185</v>
      </c>
    </row>
    <row r="149" spans="1:15" x14ac:dyDescent="0.25">
      <c r="A149">
        <f>147</f>
        <v>147</v>
      </c>
      <c r="B149" t="str">
        <f>INDEX('Draft Engine'!$A$3:$A$225,$O149)</f>
        <v>K</v>
      </c>
      <c r="C149">
        <f>INDEX('Draft Engine'!$F$3:$F$225,$O149)</f>
        <v>7</v>
      </c>
      <c r="D149" t="str">
        <f>INDEX('Draft Engine'!$B$3:$B$225,$O149)</f>
        <v>Tyler Loop</v>
      </c>
      <c r="E149" s="4">
        <f>INDEX('Draft Engine'!$N$3:$N$225,$O149)</f>
        <v>48.766000000000005</v>
      </c>
      <c r="F149" s="4">
        <f>INDEX('Draft Engine'!$E$3:$E$225,$O149)</f>
        <v>80.8</v>
      </c>
      <c r="G149" s="4">
        <f>INDEX('Draft Engine'!$G$3:$G$225,$O149)</f>
        <v>121.6</v>
      </c>
      <c r="H149" s="4">
        <f>INDEX('Draft Engine'!$J$3:$J$225,$O149)</f>
        <v>13.2</v>
      </c>
      <c r="I149" s="4">
        <f>INDEX('Draft Engine'!$L$3:$L$225,$O149)</f>
        <v>33</v>
      </c>
      <c r="J149" s="4">
        <f>INDEX('Draft Engine'!$R$3:$R$225,$O149)</f>
        <v>185</v>
      </c>
      <c r="K149" s="4">
        <f>INDEX('Draft Engine'!$S$3:$S$225,$O149)</f>
        <v>38</v>
      </c>
      <c r="L149" s="4">
        <f>INDEX('Draft Engine'!$U$3:$U$225,$O149)</f>
        <v>71.8</v>
      </c>
      <c r="M149" s="4">
        <f>INDEX('Draft Engine'!$W$3:$W$225,$O149)</f>
        <v>89.8</v>
      </c>
      <c r="N149" t="str">
        <f>INDEX('Draft Engine'!$T$3:$T$225,$O149)</f>
        <v>B</v>
      </c>
      <c r="O149" s="6">
        <f>MATCH($A149,'Draft Engine'!$Q$3:$Q$225,0)</f>
        <v>186</v>
      </c>
    </row>
    <row r="150" spans="1:15" x14ac:dyDescent="0.25">
      <c r="A150">
        <f>148</f>
        <v>148</v>
      </c>
      <c r="B150" t="str">
        <f>INDEX('Draft Engine'!$A$3:$A$225,$O150)</f>
        <v>K</v>
      </c>
      <c r="C150">
        <f>INDEX('Draft Engine'!$F$3:$F$225,$O150)</f>
        <v>8</v>
      </c>
      <c r="D150" t="str">
        <f>INDEX('Draft Engine'!$B$3:$B$225,$O150)</f>
        <v>Harrison Mevis</v>
      </c>
      <c r="E150" s="4">
        <f>INDEX('Draft Engine'!$N$3:$N$225,$O150)</f>
        <v>46.213999999999999</v>
      </c>
      <c r="F150" s="4">
        <f>INDEX('Draft Engine'!$E$3:$E$225,$O150)</f>
        <v>78.599999999999994</v>
      </c>
      <c r="G150" s="4">
        <f>INDEX('Draft Engine'!$G$3:$G$225,$O150)</f>
        <v>117.2</v>
      </c>
      <c r="H150" s="4">
        <f>INDEX('Draft Engine'!$J$3:$J$225,$O150)</f>
        <v>8.8000000000000007</v>
      </c>
      <c r="I150" s="4">
        <f>INDEX('Draft Engine'!$L$3:$L$225,$O150)</f>
        <v>29.333333333333336</v>
      </c>
      <c r="J150" s="4">
        <f>INDEX('Draft Engine'!$R$3:$R$225,$O150)</f>
        <v>190</v>
      </c>
      <c r="K150" s="4">
        <f>INDEX('Draft Engine'!$S$3:$S$225,$O150)</f>
        <v>42</v>
      </c>
      <c r="L150" s="4">
        <f>INDEX('Draft Engine'!$U$3:$U$225,$O150)</f>
        <v>69.599999999999994</v>
      </c>
      <c r="M150" s="4">
        <f>INDEX('Draft Engine'!$W$3:$W$225,$O150)</f>
        <v>87.6</v>
      </c>
      <c r="N150" t="str">
        <f>INDEX('Draft Engine'!$T$3:$T$225,$O150)</f>
        <v>B</v>
      </c>
      <c r="O150" s="6">
        <f>MATCH($A150,'Draft Engine'!$Q$3:$Q$225,0)</f>
        <v>187</v>
      </c>
    </row>
    <row r="151" spans="1:15" x14ac:dyDescent="0.25">
      <c r="A151">
        <f>149</f>
        <v>149</v>
      </c>
      <c r="B151" t="str">
        <f>INDEX('Draft Engine'!$A$3:$A$225,$O151)</f>
        <v>K</v>
      </c>
      <c r="C151">
        <f>INDEX('Draft Engine'!$F$3:$F$225,$O151)</f>
        <v>9</v>
      </c>
      <c r="D151" t="str">
        <f>INDEX('Draft Engine'!$B$3:$B$225,$O151)</f>
        <v>Chase McLaughlin</v>
      </c>
      <c r="E151" s="4">
        <f>INDEX('Draft Engine'!$N$3:$N$225,$O151)</f>
        <v>43.662000000000006</v>
      </c>
      <c r="F151" s="4">
        <f>INDEX('Draft Engine'!$E$3:$E$225,$O151)</f>
        <v>76.400000000000006</v>
      </c>
      <c r="G151" s="4">
        <f>INDEX('Draft Engine'!$G$3:$G$225,$O151)</f>
        <v>112.8</v>
      </c>
      <c r="H151" s="4">
        <f>INDEX('Draft Engine'!$J$3:$J$225,$O151)</f>
        <v>4.4000000000000004</v>
      </c>
      <c r="I151" s="4">
        <f>INDEX('Draft Engine'!$L$3:$L$225,$O151)</f>
        <v>25.666666666666668</v>
      </c>
      <c r="J151" s="4">
        <f>INDEX('Draft Engine'!$R$3:$R$225,$O151)</f>
        <v>195</v>
      </c>
      <c r="K151" s="4">
        <f>INDEX('Draft Engine'!$S$3:$S$225,$O151)</f>
        <v>46</v>
      </c>
      <c r="L151" s="4">
        <f>INDEX('Draft Engine'!$U$3:$U$225,$O151)</f>
        <v>67.400000000000006</v>
      </c>
      <c r="M151" s="4">
        <f>INDEX('Draft Engine'!$W$3:$W$225,$O151)</f>
        <v>85.4</v>
      </c>
      <c r="N151" t="str">
        <f>INDEX('Draft Engine'!$T$3:$T$225,$O151)</f>
        <v>B</v>
      </c>
      <c r="O151" s="6">
        <f>MATCH($A151,'Draft Engine'!$Q$3:$Q$225,0)</f>
        <v>188</v>
      </c>
    </row>
    <row r="152" spans="1:15" x14ac:dyDescent="0.25">
      <c r="A152">
        <f>150</f>
        <v>150</v>
      </c>
      <c r="B152" t="str">
        <f>INDEX('Draft Engine'!$A$3:$A$225,$O152)</f>
        <v>K</v>
      </c>
      <c r="C152">
        <f>INDEX('Draft Engine'!$F$3:$F$225,$O152)</f>
        <v>10</v>
      </c>
      <c r="D152" t="str">
        <f>INDEX('Draft Engine'!$B$3:$B$225,$O152)</f>
        <v>Cairo Santos</v>
      </c>
      <c r="E152" s="4">
        <f>INDEX('Draft Engine'!$N$3:$N$225,$O152)</f>
        <v>41.11</v>
      </c>
      <c r="F152" s="4">
        <f>INDEX('Draft Engine'!$E$3:$E$225,$O152)</f>
        <v>74.2</v>
      </c>
      <c r="G152" s="4">
        <f>INDEX('Draft Engine'!$G$3:$G$225,$O152)</f>
        <v>108.4</v>
      </c>
      <c r="H152" s="4">
        <f>INDEX('Draft Engine'!$J$3:$J$225,$O152)</f>
        <v>0</v>
      </c>
      <c r="I152" s="4">
        <f>INDEX('Draft Engine'!$L$3:$L$225,$O152)</f>
        <v>22</v>
      </c>
      <c r="J152" s="4">
        <f>INDEX('Draft Engine'!$R$3:$R$225,$O152)</f>
        <v>200</v>
      </c>
      <c r="K152" s="4">
        <f>INDEX('Draft Engine'!$S$3:$S$225,$O152)</f>
        <v>50</v>
      </c>
      <c r="L152" s="4">
        <f>INDEX('Draft Engine'!$U$3:$U$225,$O152)</f>
        <v>65.2</v>
      </c>
      <c r="M152" s="4">
        <f>INDEX('Draft Engine'!$W$3:$W$225,$O152)</f>
        <v>83.2</v>
      </c>
      <c r="N152" t="str">
        <f>INDEX('Draft Engine'!$T$3:$T$225,$O152)</f>
        <v>B</v>
      </c>
      <c r="O152" s="6">
        <f>MATCH($A152,'Draft Engine'!$Q$3:$Q$225,0)</f>
        <v>189</v>
      </c>
    </row>
    <row r="153" spans="1:15" x14ac:dyDescent="0.25">
      <c r="A153">
        <f>151</f>
        <v>151</v>
      </c>
      <c r="B153" t="str">
        <f>INDEX('Draft Engine'!$A$3:$A$225,$O153)</f>
        <v>RB</v>
      </c>
      <c r="C153">
        <f>INDEX('Draft Engine'!$F$3:$F$225,$O153)</f>
        <v>42</v>
      </c>
      <c r="D153" t="str">
        <f>INDEX('Draft Engine'!$B$3:$B$225,$O153)</f>
        <v>Chris Rodriguez Jr.</v>
      </c>
      <c r="E153" s="4">
        <f>INDEX('Draft Engine'!$N$3:$N$225,$O153)</f>
        <v>48.800975000000001</v>
      </c>
      <c r="F153" s="4">
        <f>INDEX('Draft Engine'!$E$3:$E$225,$O153)</f>
        <v>66.537000000000006</v>
      </c>
      <c r="G153" s="4">
        <f>INDEX('Draft Engine'!$G$3:$G$225,$O153)</f>
        <v>209.5</v>
      </c>
      <c r="H153" s="4">
        <f>INDEX('Draft Engine'!$J$3:$J$225,$O153)</f>
        <v>-29.5</v>
      </c>
      <c r="I153" s="4">
        <f>INDEX('Draft Engine'!$L$3:$L$225,$O153)</f>
        <v>16.770833333333336</v>
      </c>
      <c r="J153" s="4">
        <f>INDEX('Draft Engine'!$R$3:$R$225,$O153)</f>
        <v>174.2</v>
      </c>
      <c r="K153" s="4">
        <f>INDEX('Draft Engine'!$S$3:$S$225,$O153)</f>
        <v>23.199999999999989</v>
      </c>
      <c r="L153" s="4">
        <f>INDEX('Draft Engine'!$U$3:$U$225,$O153)</f>
        <v>60.537000000000006</v>
      </c>
      <c r="M153" s="4">
        <f>INDEX('Draft Engine'!$W$3:$W$225,$O153)</f>
        <v>72.537000000000006</v>
      </c>
      <c r="N153" t="str">
        <f>INDEX('Draft Engine'!$T$3:$T$225,$O153)</f>
        <v>A</v>
      </c>
      <c r="O153" s="6">
        <f>MATCH($A153,'Draft Engine'!$Q$3:$Q$225,0)</f>
        <v>74</v>
      </c>
    </row>
    <row r="154" spans="1:15" x14ac:dyDescent="0.25">
      <c r="A154">
        <f>152</f>
        <v>152</v>
      </c>
      <c r="B154" t="str">
        <f>INDEX('Draft Engine'!$A$3:$A$225,$O154)</f>
        <v>RB</v>
      </c>
      <c r="C154">
        <f>INDEX('Draft Engine'!$F$3:$F$225,$O154)</f>
        <v>43</v>
      </c>
      <c r="D154" t="str">
        <f>INDEX('Draft Engine'!$B$3:$B$225,$O154)</f>
        <v>Tyrone Tracy Jr.</v>
      </c>
      <c r="E154" s="4">
        <f>INDEX('Draft Engine'!$N$3:$N$225,$O154)</f>
        <v>48.420300000000005</v>
      </c>
      <c r="F154" s="4">
        <f>INDEX('Draft Engine'!$E$3:$E$225,$O154)</f>
        <v>66.531000000000006</v>
      </c>
      <c r="G154" s="4">
        <f>INDEX('Draft Engine'!$G$3:$G$225,$O154)</f>
        <v>209.4</v>
      </c>
      <c r="H154" s="4">
        <f>INDEX('Draft Engine'!$J$3:$J$225,$O154)</f>
        <v>-29.6</v>
      </c>
      <c r="I154" s="4">
        <f>INDEX('Draft Engine'!$L$3:$L$225,$O154)</f>
        <v>14.374999999999998</v>
      </c>
      <c r="J154" s="4">
        <f>INDEX('Draft Engine'!$R$3:$R$225,$O154)</f>
        <v>178.4</v>
      </c>
      <c r="K154" s="4">
        <f>INDEX('Draft Engine'!$S$3:$S$225,$O154)</f>
        <v>26.400000000000006</v>
      </c>
      <c r="L154" s="4">
        <f>INDEX('Draft Engine'!$U$3:$U$225,$O154)</f>
        <v>60.531000000000006</v>
      </c>
      <c r="M154" s="4">
        <f>INDEX('Draft Engine'!$W$3:$W$225,$O154)</f>
        <v>72.531000000000006</v>
      </c>
      <c r="N154" t="str">
        <f>INDEX('Draft Engine'!$T$3:$T$225,$O154)</f>
        <v>A</v>
      </c>
      <c r="O154" s="6">
        <f>MATCH($A154,'Draft Engine'!$Q$3:$Q$225,0)</f>
        <v>75</v>
      </c>
    </row>
    <row r="155" spans="1:15" x14ac:dyDescent="0.25">
      <c r="A155">
        <f>153</f>
        <v>153</v>
      </c>
      <c r="B155" t="str">
        <f>INDEX('Draft Engine'!$A$3:$A$225,$O155)</f>
        <v>WR</v>
      </c>
      <c r="C155">
        <f>INDEX('Draft Engine'!$F$3:$F$225,$O155)</f>
        <v>47</v>
      </c>
      <c r="D155" t="str">
        <f>INDEX('Draft Engine'!$B$3:$B$225,$O155)</f>
        <v>Brian Thomas Jr.</v>
      </c>
      <c r="E155" s="4">
        <f>INDEX('Draft Engine'!$N$3:$N$225,$O155)</f>
        <v>47.95879166666667</v>
      </c>
      <c r="F155" s="4">
        <f>INDEX('Draft Engine'!$E$3:$E$225,$O155)</f>
        <v>66.967500000000001</v>
      </c>
      <c r="G155" s="4">
        <f>INDEX('Draft Engine'!$G$3:$G$225,$O155)</f>
        <v>211.3</v>
      </c>
      <c r="H155" s="4">
        <f>INDEX('Draft Engine'!$J$3:$J$225,$O155)</f>
        <v>-28</v>
      </c>
      <c r="I155" s="4">
        <f>INDEX('Draft Engine'!$L$3:$L$225,$O155)</f>
        <v>7.7777777777777795</v>
      </c>
      <c r="J155" s="4">
        <f>INDEX('Draft Engine'!$R$3:$R$225,$O155)</f>
        <v>155.1</v>
      </c>
      <c r="K155" s="4">
        <f>INDEX('Draft Engine'!$S$3:$S$225,$O155)</f>
        <v>2.0999999999999943</v>
      </c>
      <c r="L155" s="4">
        <f>INDEX('Draft Engine'!$U$3:$U$225,$O155)</f>
        <v>54.967500000000001</v>
      </c>
      <c r="M155" s="4">
        <f>INDEX('Draft Engine'!$W$3:$W$225,$O155)</f>
        <v>78.967500000000001</v>
      </c>
      <c r="N155" t="str">
        <f>INDEX('Draft Engine'!$T$3:$T$225,$O155)</f>
        <v>C</v>
      </c>
      <c r="O155" s="6">
        <f>MATCH($A155,'Draft Engine'!$Q$3:$Q$225,0)</f>
        <v>122</v>
      </c>
    </row>
    <row r="156" spans="1:15" x14ac:dyDescent="0.25">
      <c r="A156">
        <f>154</f>
        <v>154</v>
      </c>
      <c r="B156" t="str">
        <f>INDEX('Draft Engine'!$A$3:$A$225,$O156)</f>
        <v>WR</v>
      </c>
      <c r="C156">
        <f>INDEX('Draft Engine'!$F$3:$F$225,$O156)</f>
        <v>48</v>
      </c>
      <c r="D156" t="str">
        <f>INDEX('Draft Engine'!$B$3:$B$225,$O156)</f>
        <v>Josh Downs</v>
      </c>
      <c r="E156" s="4">
        <f>INDEX('Draft Engine'!$N$3:$N$225,$O156)</f>
        <v>47.44733333333334</v>
      </c>
      <c r="F156" s="4">
        <f>INDEX('Draft Engine'!$E$3:$E$225,$O156)</f>
        <v>66.84</v>
      </c>
      <c r="G156" s="4">
        <f>INDEX('Draft Engine'!$G$3:$G$225,$O156)</f>
        <v>210.7</v>
      </c>
      <c r="H156" s="4">
        <f>INDEX('Draft Engine'!$J$3:$J$225,$O156)</f>
        <v>-28.6</v>
      </c>
      <c r="I156" s="4">
        <f>INDEX('Draft Engine'!$L$3:$L$225,$O156)</f>
        <v>5.5555555555555554</v>
      </c>
      <c r="J156" s="4">
        <f>INDEX('Draft Engine'!$R$3:$R$225,$O156)</f>
        <v>190.2</v>
      </c>
      <c r="K156" s="4">
        <f>INDEX('Draft Engine'!$S$3:$S$225,$O156)</f>
        <v>36.199999999999989</v>
      </c>
      <c r="L156" s="4">
        <f>INDEX('Draft Engine'!$U$3:$U$225,$O156)</f>
        <v>54.84</v>
      </c>
      <c r="M156" s="4">
        <f>INDEX('Draft Engine'!$W$3:$W$225,$O156)</f>
        <v>78.84</v>
      </c>
      <c r="N156" t="str">
        <f>INDEX('Draft Engine'!$T$3:$T$225,$O156)</f>
        <v>C</v>
      </c>
      <c r="O156" s="6">
        <f>MATCH($A156,'Draft Engine'!$Q$3:$Q$225,0)</f>
        <v>131</v>
      </c>
    </row>
    <row r="157" spans="1:15" x14ac:dyDescent="0.25">
      <c r="A157">
        <f>155</f>
        <v>155</v>
      </c>
      <c r="B157" t="str">
        <f>INDEX('Draft Engine'!$A$3:$A$225,$O157)</f>
        <v>TE</v>
      </c>
      <c r="C157">
        <f>INDEX('Draft Engine'!$F$3:$F$225,$O157)</f>
        <v>24</v>
      </c>
      <c r="D157" t="str">
        <f>INDEX('Draft Engine'!$B$3:$B$225,$O157)</f>
        <v>AJ Barner</v>
      </c>
      <c r="E157" s="4">
        <f>INDEX('Draft Engine'!$N$3:$N$225,$O157)</f>
        <v>47.394475</v>
      </c>
      <c r="F157" s="4">
        <f>INDEX('Draft Engine'!$E$3:$E$225,$O157)</f>
        <v>70.124499999999998</v>
      </c>
      <c r="G157" s="4">
        <f>INDEX('Draft Engine'!$G$3:$G$225,$O157)</f>
        <v>145.4</v>
      </c>
      <c r="H157" s="4">
        <f>INDEX('Draft Engine'!$J$3:$J$225,$O157)</f>
        <v>-34.299999999999997</v>
      </c>
      <c r="I157" s="4">
        <f>INDEX('Draft Engine'!$L$3:$L$225,$O157)</f>
        <v>0</v>
      </c>
      <c r="J157" s="4">
        <f>INDEX('Draft Engine'!$R$3:$R$225,$O157)</f>
        <v>224</v>
      </c>
      <c r="K157" s="4">
        <f>INDEX('Draft Engine'!$S$3:$S$225,$O157)</f>
        <v>69</v>
      </c>
      <c r="L157" s="4">
        <f>INDEX('Draft Engine'!$U$3:$U$225,$O157)</f>
        <v>64.124499999999998</v>
      </c>
      <c r="M157" s="4">
        <f>INDEX('Draft Engine'!$W$3:$W$225,$O157)</f>
        <v>76.124499999999998</v>
      </c>
      <c r="N157" t="str">
        <f>INDEX('Draft Engine'!$T$3:$T$225,$O157)</f>
        <v>A</v>
      </c>
      <c r="O157" s="6">
        <f>MATCH($A157,'Draft Engine'!$Q$3:$Q$225,0)</f>
        <v>176</v>
      </c>
    </row>
    <row r="158" spans="1:15" x14ac:dyDescent="0.25">
      <c r="A158">
        <f>156</f>
        <v>156</v>
      </c>
      <c r="B158" t="str">
        <f>INDEX('Draft Engine'!$A$3:$A$225,$O158)</f>
        <v>QB</v>
      </c>
      <c r="C158">
        <f>INDEX('Draft Engine'!$F$3:$F$225,$O158)</f>
        <v>21</v>
      </c>
      <c r="D158" t="str">
        <f>INDEX('Draft Engine'!$B$3:$B$225,$O158)</f>
        <v>C.J. Stroud</v>
      </c>
      <c r="E158" s="4">
        <f>INDEX('Draft Engine'!$N$3:$N$225,$O158)</f>
        <v>46.433154999999999</v>
      </c>
      <c r="F158" s="4">
        <f>INDEX('Draft Engine'!$E$3:$E$225,$O158)</f>
        <v>75.762100000000004</v>
      </c>
      <c r="G158" s="4">
        <f>INDEX('Draft Engine'!$G$3:$G$225,$O158)</f>
        <v>310.89999999999998</v>
      </c>
      <c r="H158" s="4">
        <f>INDEX('Draft Engine'!$J$3:$J$225,$O158)</f>
        <v>-40.200000000000003</v>
      </c>
      <c r="I158" s="4">
        <f>INDEX('Draft Engine'!$L$3:$L$225,$O158)</f>
        <v>0</v>
      </c>
      <c r="J158" s="4">
        <f>INDEX('Draft Engine'!$R$3:$R$225,$O158)</f>
        <v>182</v>
      </c>
      <c r="K158" s="4">
        <f>INDEX('Draft Engine'!$S$3:$S$225,$O158)</f>
        <v>26</v>
      </c>
      <c r="L158" s="4">
        <f>INDEX('Draft Engine'!$U$3:$U$225,$O158)</f>
        <v>69.762100000000004</v>
      </c>
      <c r="M158" s="4">
        <f>INDEX('Draft Engine'!$W$3:$W$225,$O158)</f>
        <v>81.762100000000004</v>
      </c>
      <c r="N158" t="str">
        <f>INDEX('Draft Engine'!$T$3:$T$225,$O158)</f>
        <v>A</v>
      </c>
      <c r="O158" s="6">
        <f>MATCH($A158,'Draft Engine'!$Q$3:$Q$225,0)</f>
        <v>21</v>
      </c>
    </row>
    <row r="159" spans="1:15" x14ac:dyDescent="0.25">
      <c r="A159">
        <f>157</f>
        <v>157</v>
      </c>
      <c r="B159" t="str">
        <f>INDEX('Draft Engine'!$A$3:$A$225,$O159)</f>
        <v>WR</v>
      </c>
      <c r="C159">
        <f>INDEX('Draft Engine'!$F$3:$F$225,$O159)</f>
        <v>49</v>
      </c>
      <c r="D159" t="str">
        <f>INDEX('Draft Engine'!$B$3:$B$225,$O159)</f>
        <v>Jayden Reed</v>
      </c>
      <c r="E159" s="4">
        <f>INDEX('Draft Engine'!$N$3:$N$225,$O159)</f>
        <v>46.241500000000002</v>
      </c>
      <c r="F159" s="4">
        <f>INDEX('Draft Engine'!$E$3:$E$225,$O159)</f>
        <v>66.17</v>
      </c>
      <c r="G159" s="4">
        <f>INDEX('Draft Engine'!$G$3:$G$225,$O159)</f>
        <v>207.9</v>
      </c>
      <c r="H159" s="4">
        <f>INDEX('Draft Engine'!$J$3:$J$225,$O159)</f>
        <v>-31.4</v>
      </c>
      <c r="I159" s="4">
        <f>INDEX('Draft Engine'!$L$3:$L$225,$O159)</f>
        <v>3.3333333333333308</v>
      </c>
      <c r="J159" s="4">
        <f>INDEX('Draft Engine'!$R$3:$R$225,$O159)</f>
        <v>194.1</v>
      </c>
      <c r="K159" s="4">
        <f>INDEX('Draft Engine'!$S$3:$S$225,$O159)</f>
        <v>37.099999999999994</v>
      </c>
      <c r="L159" s="4">
        <f>INDEX('Draft Engine'!$U$3:$U$225,$O159)</f>
        <v>54.17</v>
      </c>
      <c r="M159" s="4">
        <f>INDEX('Draft Engine'!$W$3:$W$225,$O159)</f>
        <v>78.17</v>
      </c>
      <c r="N159" t="str">
        <f>INDEX('Draft Engine'!$T$3:$T$225,$O159)</f>
        <v>C</v>
      </c>
      <c r="O159" s="6">
        <f>MATCH($A159,'Draft Engine'!$Q$3:$Q$225,0)</f>
        <v>132</v>
      </c>
    </row>
    <row r="160" spans="1:15" x14ac:dyDescent="0.25">
      <c r="A160">
        <f>158</f>
        <v>158</v>
      </c>
      <c r="B160" t="str">
        <f>INDEX('Draft Engine'!$A$3:$A$225,$O160)</f>
        <v>QB</v>
      </c>
      <c r="C160">
        <f>INDEX('Draft Engine'!$F$3:$F$225,$O160)</f>
        <v>22</v>
      </c>
      <c r="D160" t="str">
        <f>INDEX('Draft Engine'!$B$3:$B$225,$O160)</f>
        <v>Sam Darnold</v>
      </c>
      <c r="E160" s="4">
        <f>INDEX('Draft Engine'!$N$3:$N$225,$O160)</f>
        <v>46.15681</v>
      </c>
      <c r="F160" s="4">
        <f>INDEX('Draft Engine'!$E$3:$E$225,$O160)</f>
        <v>75.554199999999994</v>
      </c>
      <c r="G160" s="4">
        <f>INDEX('Draft Engine'!$G$3:$G$225,$O160)</f>
        <v>310</v>
      </c>
      <c r="H160" s="4">
        <f>INDEX('Draft Engine'!$J$3:$J$225,$O160)</f>
        <v>-41.1</v>
      </c>
      <c r="I160" s="4">
        <f>INDEX('Draft Engine'!$L$3:$L$225,$O160)</f>
        <v>0</v>
      </c>
      <c r="J160" s="4">
        <f>INDEX('Draft Engine'!$R$3:$R$225,$O160)</f>
        <v>190</v>
      </c>
      <c r="K160" s="4">
        <f>INDEX('Draft Engine'!$S$3:$S$225,$O160)</f>
        <v>32</v>
      </c>
      <c r="L160" s="4">
        <f>INDEX('Draft Engine'!$U$3:$U$225,$O160)</f>
        <v>69.554199999999994</v>
      </c>
      <c r="M160" s="4">
        <f>INDEX('Draft Engine'!$W$3:$W$225,$O160)</f>
        <v>81.554199999999994</v>
      </c>
      <c r="N160" t="str">
        <f>INDEX('Draft Engine'!$T$3:$T$225,$O160)</f>
        <v>A</v>
      </c>
      <c r="O160" s="6">
        <f>MATCH($A160,'Draft Engine'!$Q$3:$Q$225,0)</f>
        <v>22</v>
      </c>
    </row>
    <row r="161" spans="1:15" x14ac:dyDescent="0.25">
      <c r="A161">
        <f>159</f>
        <v>159</v>
      </c>
      <c r="B161" t="str">
        <f>INDEX('Draft Engine'!$A$3:$A$225,$O161)</f>
        <v>QB</v>
      </c>
      <c r="C161">
        <f>INDEX('Draft Engine'!$F$3:$F$225,$O161)</f>
        <v>23</v>
      </c>
      <c r="D161" t="str">
        <f>INDEX('Draft Engine'!$B$3:$B$225,$O161)</f>
        <v>Daniel Jones</v>
      </c>
      <c r="E161" s="4">
        <f>INDEX('Draft Engine'!$N$3:$N$225,$O161)</f>
        <v>45.124720000000011</v>
      </c>
      <c r="F161" s="4">
        <f>INDEX('Draft Engine'!$E$3:$E$225,$O161)</f>
        <v>74.790400000000005</v>
      </c>
      <c r="G161" s="4">
        <f>INDEX('Draft Engine'!$G$3:$G$225,$O161)</f>
        <v>306.60000000000002</v>
      </c>
      <c r="H161" s="4">
        <f>INDEX('Draft Engine'!$J$3:$J$225,$O161)</f>
        <v>-44.5</v>
      </c>
      <c r="I161" s="4">
        <f>INDEX('Draft Engine'!$L$3:$L$225,$O161)</f>
        <v>0</v>
      </c>
      <c r="J161" s="4">
        <f>INDEX('Draft Engine'!$R$3:$R$225,$O161)</f>
        <v>198</v>
      </c>
      <c r="K161" s="4">
        <f>INDEX('Draft Engine'!$S$3:$S$225,$O161)</f>
        <v>39</v>
      </c>
      <c r="L161" s="4">
        <f>INDEX('Draft Engine'!$U$3:$U$225,$O161)</f>
        <v>68.790400000000005</v>
      </c>
      <c r="M161" s="4">
        <f>INDEX('Draft Engine'!$W$3:$W$225,$O161)</f>
        <v>80.790400000000005</v>
      </c>
      <c r="N161" t="str">
        <f>INDEX('Draft Engine'!$T$3:$T$225,$O161)</f>
        <v>A</v>
      </c>
      <c r="O161" s="6">
        <f>MATCH($A161,'Draft Engine'!$Q$3:$Q$225,0)</f>
        <v>23</v>
      </c>
    </row>
    <row r="162" spans="1:15" x14ac:dyDescent="0.25">
      <c r="A162">
        <f>160</f>
        <v>160</v>
      </c>
      <c r="B162" t="str">
        <f>INDEX('Draft Engine'!$A$3:$A$225,$O162)</f>
        <v>WR</v>
      </c>
      <c r="C162">
        <f>INDEX('Draft Engine'!$F$3:$F$225,$O162)</f>
        <v>50</v>
      </c>
      <c r="D162" t="str">
        <f>INDEX('Draft Engine'!$B$3:$B$225,$O162)</f>
        <v>Khalil Shakir</v>
      </c>
      <c r="E162" s="4">
        <f>INDEX('Draft Engine'!$N$3:$N$225,$O162)</f>
        <v>45.035666666666671</v>
      </c>
      <c r="F162" s="4">
        <f>INDEX('Draft Engine'!$E$3:$E$225,$O162)</f>
        <v>65.5</v>
      </c>
      <c r="G162" s="4">
        <f>INDEX('Draft Engine'!$G$3:$G$225,$O162)</f>
        <v>205.1</v>
      </c>
      <c r="H162" s="4">
        <f>INDEX('Draft Engine'!$J$3:$J$225,$O162)</f>
        <v>-34.200000000000003</v>
      </c>
      <c r="I162" s="4">
        <f>INDEX('Draft Engine'!$L$3:$L$225,$O162)</f>
        <v>1.1111111111111061</v>
      </c>
      <c r="J162" s="4">
        <f>INDEX('Draft Engine'!$R$3:$R$225,$O162)</f>
        <v>198</v>
      </c>
      <c r="K162" s="4">
        <f>INDEX('Draft Engine'!$S$3:$S$225,$O162)</f>
        <v>38</v>
      </c>
      <c r="L162" s="4">
        <f>INDEX('Draft Engine'!$U$3:$U$225,$O162)</f>
        <v>53.5</v>
      </c>
      <c r="M162" s="4">
        <f>INDEX('Draft Engine'!$W$3:$W$225,$O162)</f>
        <v>77.5</v>
      </c>
      <c r="N162" t="str">
        <f>INDEX('Draft Engine'!$T$3:$T$225,$O162)</f>
        <v>C</v>
      </c>
      <c r="O162" s="6">
        <f>MATCH($A162,'Draft Engine'!$Q$3:$Q$225,0)</f>
        <v>133</v>
      </c>
    </row>
    <row r="163" spans="1:15" x14ac:dyDescent="0.25">
      <c r="A163">
        <f>161</f>
        <v>161</v>
      </c>
      <c r="B163" t="str">
        <f>INDEX('Draft Engine'!$A$3:$A$225,$O163)</f>
        <v>QB</v>
      </c>
      <c r="C163">
        <f>INDEX('Draft Engine'!$F$3:$F$225,$O163)</f>
        <v>24</v>
      </c>
      <c r="D163" t="str">
        <f>INDEX('Draft Engine'!$B$3:$B$225,$O163)</f>
        <v>Malik Willis</v>
      </c>
      <c r="E163" s="4">
        <f>INDEX('Draft Engine'!$N$3:$N$225,$O163)</f>
        <v>44.372165000000003</v>
      </c>
      <c r="F163" s="4">
        <f>INDEX('Draft Engine'!$E$3:$E$225,$O163)</f>
        <v>74.240300000000005</v>
      </c>
      <c r="G163" s="4">
        <f>INDEX('Draft Engine'!$G$3:$G$225,$O163)</f>
        <v>304.10000000000002</v>
      </c>
      <c r="H163" s="4">
        <f>INDEX('Draft Engine'!$J$3:$J$225,$O163)</f>
        <v>-47</v>
      </c>
      <c r="I163" s="4">
        <f>INDEX('Draft Engine'!$L$3:$L$225,$O163)</f>
        <v>0</v>
      </c>
      <c r="J163" s="4">
        <f>INDEX('Draft Engine'!$R$3:$R$225,$O163)</f>
        <v>206</v>
      </c>
      <c r="K163" s="4">
        <f>INDEX('Draft Engine'!$S$3:$S$225,$O163)</f>
        <v>45</v>
      </c>
      <c r="L163" s="4">
        <f>INDEX('Draft Engine'!$U$3:$U$225,$O163)</f>
        <v>65.240300000000005</v>
      </c>
      <c r="M163" s="4">
        <f>INDEX('Draft Engine'!$W$3:$W$225,$O163)</f>
        <v>83.240300000000005</v>
      </c>
      <c r="N163" t="str">
        <f>INDEX('Draft Engine'!$T$3:$T$225,$O163)</f>
        <v>B</v>
      </c>
      <c r="O163" s="6">
        <f>MATCH($A163,'Draft Engine'!$Q$3:$Q$225,0)</f>
        <v>24</v>
      </c>
    </row>
    <row r="164" spans="1:15" x14ac:dyDescent="0.25">
      <c r="A164">
        <f>162</f>
        <v>162</v>
      </c>
      <c r="B164" t="str">
        <f>INDEX('Draft Engine'!$A$3:$A$225,$O164)</f>
        <v>WR</v>
      </c>
      <c r="C164">
        <f>INDEX('Draft Engine'!$F$3:$F$225,$O164)</f>
        <v>51</v>
      </c>
      <c r="D164" t="str">
        <f>INDEX('Draft Engine'!$B$3:$B$225,$O164)</f>
        <v>Jalin Hyatt</v>
      </c>
      <c r="E164" s="4">
        <f>INDEX('Draft Engine'!$N$3:$N$225,$O164)</f>
        <v>43.996499999999997</v>
      </c>
      <c r="F164" s="4">
        <f>INDEX('Draft Engine'!$E$3:$E$225,$O164)</f>
        <v>64.83</v>
      </c>
      <c r="G164" s="4">
        <f>INDEX('Draft Engine'!$G$3:$G$225,$O164)</f>
        <v>202.3</v>
      </c>
      <c r="H164" s="4">
        <f>INDEX('Draft Engine'!$J$3:$J$225,$O164)</f>
        <v>-37</v>
      </c>
      <c r="I164" s="4">
        <f>INDEX('Draft Engine'!$L$3:$L$225,$O164)</f>
        <v>0</v>
      </c>
      <c r="J164" s="4">
        <f>INDEX('Draft Engine'!$R$3:$R$225,$O164)</f>
        <v>201.9</v>
      </c>
      <c r="K164" s="4">
        <f>INDEX('Draft Engine'!$S$3:$S$225,$O164)</f>
        <v>39.900000000000006</v>
      </c>
      <c r="L164" s="4">
        <f>INDEX('Draft Engine'!$U$3:$U$225,$O164)</f>
        <v>52.83</v>
      </c>
      <c r="M164" s="4">
        <f>INDEX('Draft Engine'!$W$3:$W$225,$O164)</f>
        <v>76.83</v>
      </c>
      <c r="N164" t="str">
        <f>INDEX('Draft Engine'!$T$3:$T$225,$O164)</f>
        <v>C</v>
      </c>
      <c r="O164" s="6">
        <f>MATCH($A164,'Draft Engine'!$Q$3:$Q$225,0)</f>
        <v>134</v>
      </c>
    </row>
    <row r="165" spans="1:15" x14ac:dyDescent="0.25">
      <c r="A165">
        <f>163</f>
        <v>163</v>
      </c>
      <c r="B165" t="str">
        <f>INDEX('Draft Engine'!$A$3:$A$225,$O165)</f>
        <v>RB</v>
      </c>
      <c r="C165">
        <f>INDEX('Draft Engine'!$F$3:$F$225,$O165)</f>
        <v>44</v>
      </c>
      <c r="D165" t="str">
        <f>INDEX('Draft Engine'!$B$3:$B$225,$O165)</f>
        <v>Tyler Allgeier</v>
      </c>
      <c r="E165" s="4">
        <f>INDEX('Draft Engine'!$N$3:$N$225,$O165)</f>
        <v>43.49058500000001</v>
      </c>
      <c r="F165" s="4">
        <f>INDEX('Draft Engine'!$E$3:$E$225,$O165)</f>
        <v>63.032200000000003</v>
      </c>
      <c r="G165" s="4">
        <f>INDEX('Draft Engine'!$G$3:$G$225,$O165)</f>
        <v>194.7</v>
      </c>
      <c r="H165" s="4">
        <f>INDEX('Draft Engine'!$J$3:$J$225,$O165)</f>
        <v>-44.3</v>
      </c>
      <c r="I165" s="4">
        <f>INDEX('Draft Engine'!$L$3:$L$225,$O165)</f>
        <v>11.979166666666661</v>
      </c>
      <c r="J165" s="4">
        <f>INDEX('Draft Engine'!$R$3:$R$225,$O165)</f>
        <v>182.6</v>
      </c>
      <c r="K165" s="4">
        <f>INDEX('Draft Engine'!$S$3:$S$225,$O165)</f>
        <v>19.599999999999994</v>
      </c>
      <c r="L165" s="4">
        <f>INDEX('Draft Engine'!$U$3:$U$225,$O165)</f>
        <v>57.032200000000003</v>
      </c>
      <c r="M165" s="4">
        <f>INDEX('Draft Engine'!$W$3:$W$225,$O165)</f>
        <v>69.032200000000003</v>
      </c>
      <c r="N165" t="str">
        <f>INDEX('Draft Engine'!$T$3:$T$225,$O165)</f>
        <v>A</v>
      </c>
      <c r="O165" s="6">
        <f>MATCH($A165,'Draft Engine'!$Q$3:$Q$225,0)</f>
        <v>76</v>
      </c>
    </row>
    <row r="166" spans="1:15" x14ac:dyDescent="0.25">
      <c r="A166">
        <f>164</f>
        <v>164</v>
      </c>
      <c r="B166" t="str">
        <f>INDEX('Draft Engine'!$A$3:$A$225,$O166)</f>
        <v>TE</v>
      </c>
      <c r="C166">
        <f>INDEX('Draft Engine'!$F$3:$F$225,$O166)</f>
        <v>25</v>
      </c>
      <c r="D166" t="str">
        <f>INDEX('Draft Engine'!$B$3:$B$225,$O166)</f>
        <v>Cade Otton</v>
      </c>
      <c r="E166" s="4">
        <f>INDEX('Draft Engine'!$N$3:$N$225,$O166)</f>
        <v>43.304950000000005</v>
      </c>
      <c r="F166" s="4">
        <f>INDEX('Draft Engine'!$E$3:$E$225,$O166)</f>
        <v>66.649000000000001</v>
      </c>
      <c r="G166" s="4">
        <f>INDEX('Draft Engine'!$G$3:$G$225,$O166)</f>
        <v>133.30000000000001</v>
      </c>
      <c r="H166" s="4">
        <f>INDEX('Draft Engine'!$J$3:$J$225,$O166)</f>
        <v>-46.4</v>
      </c>
      <c r="I166" s="4">
        <f>INDEX('Draft Engine'!$L$3:$L$225,$O166)</f>
        <v>0</v>
      </c>
      <c r="J166" s="4">
        <f>INDEX('Draft Engine'!$R$3:$R$225,$O166)</f>
        <v>233</v>
      </c>
      <c r="K166" s="4">
        <f>INDEX('Draft Engine'!$S$3:$S$225,$O166)</f>
        <v>69</v>
      </c>
      <c r="L166" s="4">
        <f>INDEX('Draft Engine'!$U$3:$U$225,$O166)</f>
        <v>60.649000000000001</v>
      </c>
      <c r="M166" s="4">
        <f>INDEX('Draft Engine'!$W$3:$W$225,$O166)</f>
        <v>72.649000000000001</v>
      </c>
      <c r="N166" t="str">
        <f>INDEX('Draft Engine'!$T$3:$T$225,$O166)</f>
        <v>A</v>
      </c>
      <c r="O166" s="6">
        <f>MATCH($A166,'Draft Engine'!$Q$3:$Q$225,0)</f>
        <v>177</v>
      </c>
    </row>
    <row r="167" spans="1:15" x14ac:dyDescent="0.25">
      <c r="A167">
        <f>165</f>
        <v>165</v>
      </c>
      <c r="B167" t="str">
        <f>INDEX('Draft Engine'!$A$3:$A$225,$O167)</f>
        <v>TE</v>
      </c>
      <c r="C167">
        <f>INDEX('Draft Engine'!$F$3:$F$225,$O167)</f>
        <v>26</v>
      </c>
      <c r="D167" t="str">
        <f>INDEX('Draft Engine'!$B$3:$B$225,$O167)</f>
        <v>Gunnar Helm</v>
      </c>
      <c r="E167" s="4">
        <f>INDEX('Draft Engine'!$N$3:$N$225,$O167)</f>
        <v>43.272265000000004</v>
      </c>
      <c r="F167" s="4">
        <f>INDEX('Draft Engine'!$E$3:$E$225,$O167)</f>
        <v>66.622299999999996</v>
      </c>
      <c r="G167" s="4">
        <f>INDEX('Draft Engine'!$G$3:$G$225,$O167)</f>
        <v>133.19999999999999</v>
      </c>
      <c r="H167" s="4">
        <f>INDEX('Draft Engine'!$J$3:$J$225,$O167)</f>
        <v>-46.5</v>
      </c>
      <c r="I167" s="4">
        <f>INDEX('Draft Engine'!$L$3:$L$225,$O167)</f>
        <v>0</v>
      </c>
      <c r="J167" s="4">
        <f>INDEX('Draft Engine'!$R$3:$R$225,$O167)</f>
        <v>242</v>
      </c>
      <c r="K167" s="4">
        <f>INDEX('Draft Engine'!$S$3:$S$225,$O167)</f>
        <v>77</v>
      </c>
      <c r="L167" s="4">
        <f>INDEX('Draft Engine'!$U$3:$U$225,$O167)</f>
        <v>60.622299999999996</v>
      </c>
      <c r="M167" s="4">
        <f>INDEX('Draft Engine'!$W$3:$W$225,$O167)</f>
        <v>72.622299999999996</v>
      </c>
      <c r="N167" t="str">
        <f>INDEX('Draft Engine'!$T$3:$T$225,$O167)</f>
        <v>A</v>
      </c>
      <c r="O167" s="6">
        <f>MATCH($A167,'Draft Engine'!$Q$3:$Q$225,0)</f>
        <v>178</v>
      </c>
    </row>
    <row r="168" spans="1:15" x14ac:dyDescent="0.25">
      <c r="A168">
        <f>166</f>
        <v>166</v>
      </c>
      <c r="B168" t="str">
        <f>INDEX('Draft Engine'!$A$3:$A$225,$O168)</f>
        <v>WR</v>
      </c>
      <c r="C168">
        <f>INDEX('Draft Engine'!$F$3:$F$225,$O168)</f>
        <v>52</v>
      </c>
      <c r="D168" t="str">
        <f>INDEX('Draft Engine'!$B$3:$B$225,$O168)</f>
        <v>Romeo Doubs</v>
      </c>
      <c r="E168" s="4">
        <f>INDEX('Draft Engine'!$N$3:$N$225,$O168)</f>
        <v>43.124000000000002</v>
      </c>
      <c r="F168" s="4">
        <f>INDEX('Draft Engine'!$E$3:$E$225,$O168)</f>
        <v>64.16</v>
      </c>
      <c r="G168" s="4">
        <f>INDEX('Draft Engine'!$G$3:$G$225,$O168)</f>
        <v>199.5</v>
      </c>
      <c r="H168" s="4">
        <f>INDEX('Draft Engine'!$J$3:$J$225,$O168)</f>
        <v>-39.799999999999997</v>
      </c>
      <c r="I168" s="4">
        <f>INDEX('Draft Engine'!$L$3:$L$225,$O168)</f>
        <v>0</v>
      </c>
      <c r="J168" s="4">
        <f>INDEX('Draft Engine'!$R$3:$R$225,$O168)</f>
        <v>205.8</v>
      </c>
      <c r="K168" s="4">
        <f>INDEX('Draft Engine'!$S$3:$S$225,$O168)</f>
        <v>39.800000000000011</v>
      </c>
      <c r="L168" s="4">
        <f>INDEX('Draft Engine'!$U$3:$U$225,$O168)</f>
        <v>52.16</v>
      </c>
      <c r="M168" s="4">
        <f>INDEX('Draft Engine'!$W$3:$W$225,$O168)</f>
        <v>76.16</v>
      </c>
      <c r="N168" t="str">
        <f>INDEX('Draft Engine'!$T$3:$T$225,$O168)</f>
        <v>C</v>
      </c>
      <c r="O168" s="6">
        <f>MATCH($A168,'Draft Engine'!$Q$3:$Q$225,0)</f>
        <v>135</v>
      </c>
    </row>
    <row r="169" spans="1:15" x14ac:dyDescent="0.25">
      <c r="A169">
        <f>167</f>
        <v>167</v>
      </c>
      <c r="B169" t="str">
        <f>INDEX('Draft Engine'!$A$3:$A$225,$O169)</f>
        <v>RB</v>
      </c>
      <c r="C169">
        <f>INDEX('Draft Engine'!$F$3:$F$225,$O169)</f>
        <v>45</v>
      </c>
      <c r="D169" t="str">
        <f>INDEX('Draft Engine'!$B$3:$B$225,$O169)</f>
        <v>Zach Charbonnet</v>
      </c>
      <c r="E169" s="4">
        <f>INDEX('Draft Engine'!$N$3:$N$225,$O169)</f>
        <v>42.505890000000008</v>
      </c>
      <c r="F169" s="4">
        <f>INDEX('Draft Engine'!$E$3:$E$225,$O169)</f>
        <v>62.549799999999998</v>
      </c>
      <c r="G169" s="4">
        <f>INDEX('Draft Engine'!$G$3:$G$225,$O169)</f>
        <v>192.7</v>
      </c>
      <c r="H169" s="4">
        <f>INDEX('Draft Engine'!$J$3:$J$225,$O169)</f>
        <v>-46.3</v>
      </c>
      <c r="I169" s="4">
        <f>INDEX('Draft Engine'!$L$3:$L$225,$O169)</f>
        <v>9.5833333333333375</v>
      </c>
      <c r="J169" s="4">
        <f>INDEX('Draft Engine'!$R$3:$R$225,$O169)</f>
        <v>186.8</v>
      </c>
      <c r="K169" s="4">
        <f>INDEX('Draft Engine'!$S$3:$S$225,$O169)</f>
        <v>19.800000000000011</v>
      </c>
      <c r="L169" s="4">
        <f>INDEX('Draft Engine'!$U$3:$U$225,$O169)</f>
        <v>56.549799999999998</v>
      </c>
      <c r="M169" s="4">
        <f>INDEX('Draft Engine'!$W$3:$W$225,$O169)</f>
        <v>68.549800000000005</v>
      </c>
      <c r="N169" t="str">
        <f>INDEX('Draft Engine'!$T$3:$T$225,$O169)</f>
        <v>A</v>
      </c>
      <c r="O169" s="6">
        <f>MATCH($A169,'Draft Engine'!$Q$3:$Q$225,0)</f>
        <v>77</v>
      </c>
    </row>
    <row r="170" spans="1:15" x14ac:dyDescent="0.25">
      <c r="A170">
        <f>168</f>
        <v>168</v>
      </c>
      <c r="B170" t="str">
        <f>INDEX('Draft Engine'!$A$3:$A$225,$O170)</f>
        <v>QB</v>
      </c>
      <c r="C170">
        <f>INDEX('Draft Engine'!$F$3:$F$225,$O170)</f>
        <v>25</v>
      </c>
      <c r="D170" t="str">
        <f>INDEX('Draft Engine'!$B$3:$B$225,$O170)</f>
        <v>Bryce Young</v>
      </c>
      <c r="E170" s="4">
        <f>INDEX('Draft Engine'!$N$3:$N$225,$O170)</f>
        <v>42.408680000000004</v>
      </c>
      <c r="F170" s="4">
        <f>INDEX('Draft Engine'!$E$3:$E$225,$O170)</f>
        <v>72.797600000000003</v>
      </c>
      <c r="G170" s="4">
        <f>INDEX('Draft Engine'!$G$3:$G$225,$O170)</f>
        <v>297.60000000000002</v>
      </c>
      <c r="H170" s="4">
        <f>INDEX('Draft Engine'!$J$3:$J$225,$O170)</f>
        <v>-53.5</v>
      </c>
      <c r="I170" s="4">
        <f>INDEX('Draft Engine'!$L$3:$L$225,$O170)</f>
        <v>0</v>
      </c>
      <c r="J170" s="4">
        <f>INDEX('Draft Engine'!$R$3:$R$225,$O170)</f>
        <v>214</v>
      </c>
      <c r="K170" s="4">
        <f>INDEX('Draft Engine'!$S$3:$S$225,$O170)</f>
        <v>46</v>
      </c>
      <c r="L170" s="4">
        <f>INDEX('Draft Engine'!$U$3:$U$225,$O170)</f>
        <v>66.797600000000003</v>
      </c>
      <c r="M170" s="4">
        <f>INDEX('Draft Engine'!$W$3:$W$225,$O170)</f>
        <v>78.797600000000003</v>
      </c>
      <c r="N170" t="str">
        <f>INDEX('Draft Engine'!$T$3:$T$225,$O170)</f>
        <v>A</v>
      </c>
      <c r="O170" s="6">
        <f>MATCH($A170,'Draft Engine'!$Q$3:$Q$225,0)</f>
        <v>25</v>
      </c>
    </row>
    <row r="171" spans="1:15" x14ac:dyDescent="0.25">
      <c r="A171">
        <f>169</f>
        <v>169</v>
      </c>
      <c r="B171" t="str">
        <f>INDEX('Draft Engine'!$A$3:$A$225,$O171)</f>
        <v>WR</v>
      </c>
      <c r="C171">
        <f>INDEX('Draft Engine'!$F$3:$F$225,$O171)</f>
        <v>53</v>
      </c>
      <c r="D171" t="str">
        <f>INDEX('Draft Engine'!$B$3:$B$225,$O171)</f>
        <v>Jalen Coker</v>
      </c>
      <c r="E171" s="4">
        <f>INDEX('Draft Engine'!$N$3:$N$225,$O171)</f>
        <v>42.251500000000007</v>
      </c>
      <c r="F171" s="4">
        <f>INDEX('Draft Engine'!$E$3:$E$225,$O171)</f>
        <v>63.49</v>
      </c>
      <c r="G171" s="4">
        <f>INDEX('Draft Engine'!$G$3:$G$225,$O171)</f>
        <v>196.7</v>
      </c>
      <c r="H171" s="4">
        <f>INDEX('Draft Engine'!$J$3:$J$225,$O171)</f>
        <v>-42.6</v>
      </c>
      <c r="I171" s="4">
        <f>INDEX('Draft Engine'!$L$3:$L$225,$O171)</f>
        <v>0</v>
      </c>
      <c r="J171" s="4">
        <f>INDEX('Draft Engine'!$R$3:$R$225,$O171)</f>
        <v>209.7</v>
      </c>
      <c r="K171" s="4">
        <f>INDEX('Draft Engine'!$S$3:$S$225,$O171)</f>
        <v>40.699999999999989</v>
      </c>
      <c r="L171" s="4">
        <f>INDEX('Draft Engine'!$U$3:$U$225,$O171)</f>
        <v>51.49</v>
      </c>
      <c r="M171" s="4">
        <f>INDEX('Draft Engine'!$W$3:$W$225,$O171)</f>
        <v>75.490000000000009</v>
      </c>
      <c r="N171" t="str">
        <f>INDEX('Draft Engine'!$T$3:$T$225,$O171)</f>
        <v>C</v>
      </c>
      <c r="O171" s="6">
        <f>MATCH($A171,'Draft Engine'!$Q$3:$Q$225,0)</f>
        <v>136</v>
      </c>
    </row>
    <row r="172" spans="1:15" x14ac:dyDescent="0.25">
      <c r="A172">
        <f>170</f>
        <v>170</v>
      </c>
      <c r="B172" t="str">
        <f>INDEX('Draft Engine'!$A$3:$A$225,$O172)</f>
        <v>QB</v>
      </c>
      <c r="C172">
        <f>INDEX('Draft Engine'!$F$3:$F$225,$O172)</f>
        <v>26</v>
      </c>
      <c r="D172" t="str">
        <f>INDEX('Draft Engine'!$B$3:$B$225,$O172)</f>
        <v>Cam Ward</v>
      </c>
      <c r="E172" s="4">
        <f>INDEX('Draft Engine'!$N$3:$N$225,$O172)</f>
        <v>42.227530000000002</v>
      </c>
      <c r="F172" s="4">
        <f>INDEX('Draft Engine'!$E$3:$E$225,$O172)</f>
        <v>72.664599999999993</v>
      </c>
      <c r="G172" s="4">
        <f>INDEX('Draft Engine'!$G$3:$G$225,$O172)</f>
        <v>297</v>
      </c>
      <c r="H172" s="4">
        <f>INDEX('Draft Engine'!$J$3:$J$225,$O172)</f>
        <v>-54.1</v>
      </c>
      <c r="I172" s="4">
        <f>INDEX('Draft Engine'!$L$3:$L$225,$O172)</f>
        <v>0</v>
      </c>
      <c r="J172" s="4">
        <f>INDEX('Draft Engine'!$R$3:$R$225,$O172)</f>
        <v>222</v>
      </c>
      <c r="K172" s="4">
        <f>INDEX('Draft Engine'!$S$3:$S$225,$O172)</f>
        <v>52</v>
      </c>
      <c r="L172" s="4">
        <f>INDEX('Draft Engine'!$U$3:$U$225,$O172)</f>
        <v>66.664599999999993</v>
      </c>
      <c r="M172" s="4">
        <f>INDEX('Draft Engine'!$W$3:$W$225,$O172)</f>
        <v>78.664599999999993</v>
      </c>
      <c r="N172" t="str">
        <f>INDEX('Draft Engine'!$T$3:$T$225,$O172)</f>
        <v>A</v>
      </c>
      <c r="O172" s="6">
        <f>MATCH($A172,'Draft Engine'!$Q$3:$Q$225,0)</f>
        <v>26</v>
      </c>
    </row>
    <row r="173" spans="1:15" x14ac:dyDescent="0.25">
      <c r="A173">
        <f>171</f>
        <v>171</v>
      </c>
      <c r="B173" t="str">
        <f>INDEX('Draft Engine'!$A$3:$A$225,$O173)</f>
        <v>RB</v>
      </c>
      <c r="C173">
        <f>INDEX('Draft Engine'!$F$3:$F$225,$O173)</f>
        <v>46</v>
      </c>
      <c r="D173" t="str">
        <f>INDEX('Draft Engine'!$B$3:$B$225,$O173)</f>
        <v>Jonathon Brooks</v>
      </c>
      <c r="E173" s="4">
        <f>INDEX('Draft Engine'!$N$3:$N$225,$O173)</f>
        <v>41.684125000000002</v>
      </c>
      <c r="F173" s="4">
        <f>INDEX('Draft Engine'!$E$3:$E$225,$O173)</f>
        <v>62.2</v>
      </c>
      <c r="G173" s="4">
        <f>INDEX('Draft Engine'!$G$3:$G$225,$O173)</f>
        <v>191.2</v>
      </c>
      <c r="H173" s="4">
        <f>INDEX('Draft Engine'!$J$3:$J$225,$O173)</f>
        <v>-47.8</v>
      </c>
      <c r="I173" s="4">
        <f>INDEX('Draft Engine'!$L$3:$L$225,$O173)</f>
        <v>7.1874999999999991</v>
      </c>
      <c r="J173" s="4">
        <f>INDEX('Draft Engine'!$R$3:$R$225,$O173)</f>
        <v>191</v>
      </c>
      <c r="K173" s="4">
        <f>INDEX('Draft Engine'!$S$3:$S$225,$O173)</f>
        <v>20</v>
      </c>
      <c r="L173" s="4">
        <f>INDEX('Draft Engine'!$U$3:$U$225,$O173)</f>
        <v>50.2</v>
      </c>
      <c r="M173" s="4">
        <f>INDEX('Draft Engine'!$W$3:$W$225,$O173)</f>
        <v>74.2</v>
      </c>
      <c r="N173" t="str">
        <f>INDEX('Draft Engine'!$T$3:$T$225,$O173)</f>
        <v>C</v>
      </c>
      <c r="O173" s="6">
        <f>MATCH($A173,'Draft Engine'!$Q$3:$Q$225,0)</f>
        <v>78</v>
      </c>
    </row>
    <row r="174" spans="1:15" x14ac:dyDescent="0.25">
      <c r="A174">
        <f>172</f>
        <v>172</v>
      </c>
      <c r="B174" t="str">
        <f>INDEX('Draft Engine'!$A$3:$A$225,$O174)</f>
        <v>WR</v>
      </c>
      <c r="C174">
        <f>INDEX('Draft Engine'!$F$3:$F$225,$O174)</f>
        <v>54</v>
      </c>
      <c r="D174" t="str">
        <f>INDEX('Draft Engine'!$B$3:$B$225,$O174)</f>
        <v>KC Concepcion</v>
      </c>
      <c r="E174" s="4">
        <f>INDEX('Draft Engine'!$N$3:$N$225,$O174)</f>
        <v>41.361000000000004</v>
      </c>
      <c r="F174" s="4">
        <f>INDEX('Draft Engine'!$E$3:$E$225,$O174)</f>
        <v>62.82</v>
      </c>
      <c r="G174" s="4">
        <f>INDEX('Draft Engine'!$G$3:$G$225,$O174)</f>
        <v>193.8</v>
      </c>
      <c r="H174" s="4">
        <f>INDEX('Draft Engine'!$J$3:$J$225,$O174)</f>
        <v>-45.5</v>
      </c>
      <c r="I174" s="4">
        <f>INDEX('Draft Engine'!$L$3:$L$225,$O174)</f>
        <v>0</v>
      </c>
      <c r="J174" s="4">
        <f>INDEX('Draft Engine'!$R$3:$R$225,$O174)</f>
        <v>213.6</v>
      </c>
      <c r="K174" s="4">
        <f>INDEX('Draft Engine'!$S$3:$S$225,$O174)</f>
        <v>41.599999999999994</v>
      </c>
      <c r="L174" s="4">
        <f>INDEX('Draft Engine'!$U$3:$U$225,$O174)</f>
        <v>50.82</v>
      </c>
      <c r="M174" s="4">
        <f>INDEX('Draft Engine'!$W$3:$W$225,$O174)</f>
        <v>74.819999999999993</v>
      </c>
      <c r="N174" t="str">
        <f>INDEX('Draft Engine'!$T$3:$T$225,$O174)</f>
        <v>C</v>
      </c>
      <c r="O174" s="6">
        <f>MATCH($A174,'Draft Engine'!$Q$3:$Q$225,0)</f>
        <v>137</v>
      </c>
    </row>
    <row r="175" spans="1:15" x14ac:dyDescent="0.25">
      <c r="A175">
        <f>173</f>
        <v>173</v>
      </c>
      <c r="B175" t="str">
        <f>INDEX('Draft Engine'!$A$3:$A$225,$O175)</f>
        <v>RB</v>
      </c>
      <c r="C175">
        <f>INDEX('Draft Engine'!$F$3:$F$225,$O175)</f>
        <v>47</v>
      </c>
      <c r="D175" t="str">
        <f>INDEX('Draft Engine'!$B$3:$B$225,$O175)</f>
        <v>Emanuel Wilson</v>
      </c>
      <c r="E175" s="4">
        <f>INDEX('Draft Engine'!$N$3:$N$225,$O175)</f>
        <v>41.042905000000005</v>
      </c>
      <c r="F175" s="4">
        <f>INDEX('Draft Engine'!$E$3:$E$225,$O175)</f>
        <v>61.982100000000003</v>
      </c>
      <c r="G175" s="4">
        <f>INDEX('Draft Engine'!$G$3:$G$225,$O175)</f>
        <v>190.3</v>
      </c>
      <c r="H175" s="4">
        <f>INDEX('Draft Engine'!$J$3:$J$225,$O175)</f>
        <v>-48.7</v>
      </c>
      <c r="I175" s="4">
        <f>INDEX('Draft Engine'!$L$3:$L$225,$O175)</f>
        <v>4.7916666666666616</v>
      </c>
      <c r="J175" s="4">
        <f>INDEX('Draft Engine'!$R$3:$R$225,$O175)</f>
        <v>195.2</v>
      </c>
      <c r="K175" s="4">
        <f>INDEX('Draft Engine'!$S$3:$S$225,$O175)</f>
        <v>22.199999999999989</v>
      </c>
      <c r="L175" s="4">
        <f>INDEX('Draft Engine'!$U$3:$U$225,$O175)</f>
        <v>55.982100000000003</v>
      </c>
      <c r="M175" s="4">
        <f>INDEX('Draft Engine'!$W$3:$W$225,$O175)</f>
        <v>67.982100000000003</v>
      </c>
      <c r="N175" t="str">
        <f>INDEX('Draft Engine'!$T$3:$T$225,$O175)</f>
        <v>A</v>
      </c>
      <c r="O175" s="6">
        <f>MATCH($A175,'Draft Engine'!$Q$3:$Q$225,0)</f>
        <v>79</v>
      </c>
    </row>
    <row r="176" spans="1:15" x14ac:dyDescent="0.25">
      <c r="A176">
        <f>174</f>
        <v>174</v>
      </c>
      <c r="B176" t="str">
        <f>INDEX('Draft Engine'!$A$3:$A$225,$O176)</f>
        <v>TE</v>
      </c>
      <c r="C176">
        <f>INDEX('Draft Engine'!$F$3:$F$225,$O176)</f>
        <v>27</v>
      </c>
      <c r="D176" t="str">
        <f>INDEX('Draft Engine'!$B$3:$B$225,$O176)</f>
        <v>Terrance Ferguson</v>
      </c>
      <c r="E176" s="4">
        <f>INDEX('Draft Engine'!$N$3:$N$225,$O176)</f>
        <v>40.607154999999999</v>
      </c>
      <c r="F176" s="4">
        <f>INDEX('Draft Engine'!$E$3:$E$225,$O176)</f>
        <v>64.362099999999998</v>
      </c>
      <c r="G176" s="4">
        <f>INDEX('Draft Engine'!$G$3:$G$225,$O176)</f>
        <v>125.3</v>
      </c>
      <c r="H176" s="4">
        <f>INDEX('Draft Engine'!$J$3:$J$225,$O176)</f>
        <v>-54.4</v>
      </c>
      <c r="I176" s="4">
        <f>INDEX('Draft Engine'!$L$3:$L$225,$O176)</f>
        <v>0</v>
      </c>
      <c r="J176" s="4">
        <f>INDEX('Draft Engine'!$R$3:$R$225,$O176)</f>
        <v>251</v>
      </c>
      <c r="K176" s="4">
        <f>INDEX('Draft Engine'!$S$3:$S$225,$O176)</f>
        <v>77</v>
      </c>
      <c r="L176" s="4">
        <f>INDEX('Draft Engine'!$U$3:$U$225,$O176)</f>
        <v>58.362099999999998</v>
      </c>
      <c r="M176" s="4">
        <f>INDEX('Draft Engine'!$W$3:$W$225,$O176)</f>
        <v>70.362099999999998</v>
      </c>
      <c r="N176" t="str">
        <f>INDEX('Draft Engine'!$T$3:$T$225,$O176)</f>
        <v>A</v>
      </c>
      <c r="O176" s="6">
        <f>MATCH($A176,'Draft Engine'!$Q$3:$Q$225,0)</f>
        <v>179</v>
      </c>
    </row>
    <row r="177" spans="1:15" x14ac:dyDescent="0.25">
      <c r="A177">
        <f>175</f>
        <v>175</v>
      </c>
      <c r="B177" t="str">
        <f>INDEX('Draft Engine'!$A$3:$A$225,$O177)</f>
        <v>WR</v>
      </c>
      <c r="C177">
        <f>INDEX('Draft Engine'!$F$3:$F$225,$O177)</f>
        <v>55</v>
      </c>
      <c r="D177" t="str">
        <f>INDEX('Draft Engine'!$B$3:$B$225,$O177)</f>
        <v>Rashid Shaheed</v>
      </c>
      <c r="E177" s="4">
        <f>INDEX('Draft Engine'!$N$3:$N$225,$O177)</f>
        <v>40.488500000000002</v>
      </c>
      <c r="F177" s="4">
        <f>INDEX('Draft Engine'!$E$3:$E$225,$O177)</f>
        <v>62.15</v>
      </c>
      <c r="G177" s="4">
        <f>INDEX('Draft Engine'!$G$3:$G$225,$O177)</f>
        <v>191</v>
      </c>
      <c r="H177" s="4">
        <f>INDEX('Draft Engine'!$J$3:$J$225,$O177)</f>
        <v>-48.3</v>
      </c>
      <c r="I177" s="4">
        <f>INDEX('Draft Engine'!$L$3:$L$225,$O177)</f>
        <v>0</v>
      </c>
      <c r="J177" s="4">
        <f>INDEX('Draft Engine'!$R$3:$R$225,$O177)</f>
        <v>217.5</v>
      </c>
      <c r="K177" s="4">
        <f>INDEX('Draft Engine'!$S$3:$S$225,$O177)</f>
        <v>42.5</v>
      </c>
      <c r="L177" s="4">
        <f>INDEX('Draft Engine'!$U$3:$U$225,$O177)</f>
        <v>50.15</v>
      </c>
      <c r="M177" s="4">
        <f>INDEX('Draft Engine'!$W$3:$W$225,$O177)</f>
        <v>74.150000000000006</v>
      </c>
      <c r="N177" t="str">
        <f>INDEX('Draft Engine'!$T$3:$T$225,$O177)</f>
        <v>C</v>
      </c>
      <c r="O177" s="6">
        <f>MATCH($A177,'Draft Engine'!$Q$3:$Q$225,0)</f>
        <v>138</v>
      </c>
    </row>
    <row r="178" spans="1:15" x14ac:dyDescent="0.25">
      <c r="A178">
        <f>176</f>
        <v>176</v>
      </c>
      <c r="B178" t="str">
        <f>INDEX('Draft Engine'!$A$3:$A$225,$O178)</f>
        <v>QB</v>
      </c>
      <c r="C178">
        <f>INDEX('Draft Engine'!$F$3:$F$225,$O178)</f>
        <v>27</v>
      </c>
      <c r="D178" t="str">
        <f>INDEX('Draft Engine'!$B$3:$B$225,$O178)</f>
        <v>Jacoby Brissett</v>
      </c>
      <c r="E178" s="4">
        <f>INDEX('Draft Engine'!$N$3:$N$225,$O178)</f>
        <v>40.415370000000003</v>
      </c>
      <c r="F178" s="4">
        <f>INDEX('Draft Engine'!$E$3:$E$225,$O178)</f>
        <v>71.333399999999997</v>
      </c>
      <c r="G178" s="4">
        <f>INDEX('Draft Engine'!$G$3:$G$225,$O178)</f>
        <v>291</v>
      </c>
      <c r="H178" s="4">
        <f>INDEX('Draft Engine'!$J$3:$J$225,$O178)</f>
        <v>-60.1</v>
      </c>
      <c r="I178" s="4">
        <f>INDEX('Draft Engine'!$L$3:$L$225,$O178)</f>
        <v>0</v>
      </c>
      <c r="J178" s="4">
        <f>INDEX('Draft Engine'!$R$3:$R$225,$O178)</f>
        <v>230</v>
      </c>
      <c r="K178" s="4">
        <f>INDEX('Draft Engine'!$S$3:$S$225,$O178)</f>
        <v>54</v>
      </c>
      <c r="L178" s="4">
        <f>INDEX('Draft Engine'!$U$3:$U$225,$O178)</f>
        <v>65.333399999999997</v>
      </c>
      <c r="M178" s="4">
        <f>INDEX('Draft Engine'!$W$3:$W$225,$O178)</f>
        <v>77.333399999999997</v>
      </c>
      <c r="N178" t="str">
        <f>INDEX('Draft Engine'!$T$3:$T$225,$O178)</f>
        <v>A</v>
      </c>
      <c r="O178" s="6">
        <f>MATCH($A178,'Draft Engine'!$Q$3:$Q$225,0)</f>
        <v>27</v>
      </c>
    </row>
    <row r="179" spans="1:15" x14ac:dyDescent="0.25">
      <c r="A179">
        <f>177</f>
        <v>177</v>
      </c>
      <c r="B179" t="str">
        <f>INDEX('Draft Engine'!$A$3:$A$225,$O179)</f>
        <v>QB</v>
      </c>
      <c r="C179">
        <f>INDEX('Draft Engine'!$F$3:$F$225,$O179)</f>
        <v>28</v>
      </c>
      <c r="D179" t="str">
        <f>INDEX('Draft Engine'!$B$3:$B$225,$O179)</f>
        <v>Geno Smith</v>
      </c>
      <c r="E179" s="4">
        <f>INDEX('Draft Engine'!$N$3:$N$225,$O179)</f>
        <v>40.08823000000001</v>
      </c>
      <c r="F179" s="4">
        <f>INDEX('Draft Engine'!$E$3:$E$225,$O179)</f>
        <v>71.098600000000005</v>
      </c>
      <c r="G179" s="4">
        <f>INDEX('Draft Engine'!$G$3:$G$225,$O179)</f>
        <v>289.89999999999998</v>
      </c>
      <c r="H179" s="4">
        <f>INDEX('Draft Engine'!$J$3:$J$225,$O179)</f>
        <v>-61.2</v>
      </c>
      <c r="I179" s="4">
        <f>INDEX('Draft Engine'!$L$3:$L$225,$O179)</f>
        <v>0</v>
      </c>
      <c r="J179" s="4">
        <f>INDEX('Draft Engine'!$R$3:$R$225,$O179)</f>
        <v>238</v>
      </c>
      <c r="K179" s="4">
        <f>INDEX('Draft Engine'!$S$3:$S$225,$O179)</f>
        <v>61</v>
      </c>
      <c r="L179" s="4">
        <f>INDEX('Draft Engine'!$U$3:$U$225,$O179)</f>
        <v>65.098600000000005</v>
      </c>
      <c r="M179" s="4">
        <f>INDEX('Draft Engine'!$W$3:$W$225,$O179)</f>
        <v>77.098600000000005</v>
      </c>
      <c r="N179" t="str">
        <f>INDEX('Draft Engine'!$T$3:$T$225,$O179)</f>
        <v>A</v>
      </c>
      <c r="O179" s="6">
        <f>MATCH($A179,'Draft Engine'!$Q$3:$Q$225,0)</f>
        <v>28</v>
      </c>
    </row>
    <row r="180" spans="1:15" x14ac:dyDescent="0.25">
      <c r="A180">
        <f>178</f>
        <v>178</v>
      </c>
      <c r="B180" t="str">
        <f>INDEX('Draft Engine'!$A$3:$A$225,$O180)</f>
        <v>QB</v>
      </c>
      <c r="C180">
        <f>INDEX('Draft Engine'!$F$3:$F$225,$O180)</f>
        <v>29</v>
      </c>
      <c r="D180" t="str">
        <f>INDEX('Draft Engine'!$B$3:$B$225,$O180)</f>
        <v>Aaron Rodgers</v>
      </c>
      <c r="E180" s="4">
        <f>INDEX('Draft Engine'!$N$3:$N$225,$O180)</f>
        <v>39.808640000000004</v>
      </c>
      <c r="F180" s="4">
        <f>INDEX('Draft Engine'!$E$3:$E$225,$O180)</f>
        <v>70.884799999999998</v>
      </c>
      <c r="G180" s="4">
        <f>INDEX('Draft Engine'!$G$3:$G$225,$O180)</f>
        <v>289</v>
      </c>
      <c r="H180" s="4">
        <f>INDEX('Draft Engine'!$J$3:$J$225,$O180)</f>
        <v>-62.1</v>
      </c>
      <c r="I180" s="4">
        <f>INDEX('Draft Engine'!$L$3:$L$225,$O180)</f>
        <v>0</v>
      </c>
      <c r="J180" s="4">
        <f>INDEX('Draft Engine'!$R$3:$R$225,$O180)</f>
        <v>246</v>
      </c>
      <c r="K180" s="4">
        <f>INDEX('Draft Engine'!$S$3:$S$225,$O180)</f>
        <v>68</v>
      </c>
      <c r="L180" s="4">
        <f>INDEX('Draft Engine'!$U$3:$U$225,$O180)</f>
        <v>64.884799999999998</v>
      </c>
      <c r="M180" s="4">
        <f>INDEX('Draft Engine'!$W$3:$W$225,$O180)</f>
        <v>76.884799999999998</v>
      </c>
      <c r="N180" t="str">
        <f>INDEX('Draft Engine'!$T$3:$T$225,$O180)</f>
        <v>A</v>
      </c>
      <c r="O180" s="6">
        <f>MATCH($A180,'Draft Engine'!$Q$3:$Q$225,0)</f>
        <v>29</v>
      </c>
    </row>
    <row r="181" spans="1:15" x14ac:dyDescent="0.25">
      <c r="A181">
        <f>179</f>
        <v>179</v>
      </c>
      <c r="B181" t="str">
        <f>INDEX('Draft Engine'!$A$3:$A$225,$O181)</f>
        <v>WR</v>
      </c>
      <c r="C181">
        <f>INDEX('Draft Engine'!$F$3:$F$225,$O181)</f>
        <v>56</v>
      </c>
      <c r="D181" t="str">
        <f>INDEX('Draft Engine'!$B$3:$B$225,$O181)</f>
        <v>Calvin Ridley</v>
      </c>
      <c r="E181" s="4">
        <f>INDEX('Draft Engine'!$N$3:$N$225,$O181)</f>
        <v>39.616</v>
      </c>
      <c r="F181" s="4">
        <f>INDEX('Draft Engine'!$E$3:$E$225,$O181)</f>
        <v>61.48</v>
      </c>
      <c r="G181" s="4">
        <f>INDEX('Draft Engine'!$G$3:$G$225,$O181)</f>
        <v>188.2</v>
      </c>
      <c r="H181" s="4">
        <f>INDEX('Draft Engine'!$J$3:$J$225,$O181)</f>
        <v>-51.1</v>
      </c>
      <c r="I181" s="4">
        <f>INDEX('Draft Engine'!$L$3:$L$225,$O181)</f>
        <v>0</v>
      </c>
      <c r="J181" s="4">
        <f>INDEX('Draft Engine'!$R$3:$R$225,$O181)</f>
        <v>221.4</v>
      </c>
      <c r="K181" s="4">
        <f>INDEX('Draft Engine'!$S$3:$S$225,$O181)</f>
        <v>42.400000000000006</v>
      </c>
      <c r="L181" s="4">
        <f>INDEX('Draft Engine'!$U$3:$U$225,$O181)</f>
        <v>49.48</v>
      </c>
      <c r="M181" s="4">
        <f>INDEX('Draft Engine'!$W$3:$W$225,$O181)</f>
        <v>73.47999999999999</v>
      </c>
      <c r="N181" t="str">
        <f>INDEX('Draft Engine'!$T$3:$T$225,$O181)</f>
        <v>C</v>
      </c>
      <c r="O181" s="6">
        <f>MATCH($A181,'Draft Engine'!$Q$3:$Q$225,0)</f>
        <v>139</v>
      </c>
    </row>
    <row r="182" spans="1:15" x14ac:dyDescent="0.25">
      <c r="A182">
        <f>180</f>
        <v>180</v>
      </c>
      <c r="B182" t="str">
        <f>INDEX('Draft Engine'!$A$3:$A$225,$O182)</f>
        <v>WR</v>
      </c>
      <c r="C182">
        <f>INDEX('Draft Engine'!$F$3:$F$225,$O182)</f>
        <v>57</v>
      </c>
      <c r="D182" t="str">
        <f>INDEX('Draft Engine'!$B$3:$B$225,$O182)</f>
        <v>Omar Cooper Jr.</v>
      </c>
      <c r="E182" s="4">
        <f>INDEX('Draft Engine'!$N$3:$N$225,$O182)</f>
        <v>38.743500000000004</v>
      </c>
      <c r="F182" s="4">
        <f>INDEX('Draft Engine'!$E$3:$E$225,$O182)</f>
        <v>60.81</v>
      </c>
      <c r="G182" s="4">
        <f>INDEX('Draft Engine'!$G$3:$G$225,$O182)</f>
        <v>185.4</v>
      </c>
      <c r="H182" s="4">
        <f>INDEX('Draft Engine'!$J$3:$J$225,$O182)</f>
        <v>-53.9</v>
      </c>
      <c r="I182" s="4">
        <f>INDEX('Draft Engine'!$L$3:$L$225,$O182)</f>
        <v>0</v>
      </c>
      <c r="J182" s="4">
        <f>INDEX('Draft Engine'!$R$3:$R$225,$O182)</f>
        <v>225.3</v>
      </c>
      <c r="K182" s="4">
        <f>INDEX('Draft Engine'!$S$3:$S$225,$O182)</f>
        <v>45.300000000000011</v>
      </c>
      <c r="L182" s="4">
        <f>INDEX('Draft Engine'!$U$3:$U$225,$O182)</f>
        <v>48.81</v>
      </c>
      <c r="M182" s="4">
        <f>INDEX('Draft Engine'!$W$3:$W$225,$O182)</f>
        <v>72.81</v>
      </c>
      <c r="N182" t="str">
        <f>INDEX('Draft Engine'!$T$3:$T$225,$O182)</f>
        <v>C</v>
      </c>
      <c r="O182" s="6">
        <f>MATCH($A182,'Draft Engine'!$Q$3:$Q$225,0)</f>
        <v>140</v>
      </c>
    </row>
    <row r="183" spans="1:15" x14ac:dyDescent="0.25">
      <c r="A183">
        <f>181</f>
        <v>181</v>
      </c>
      <c r="B183" t="str">
        <f>INDEX('Draft Engine'!$A$3:$A$225,$O183)</f>
        <v>RB</v>
      </c>
      <c r="C183">
        <f>INDEX('Draft Engine'!$F$3:$F$225,$O183)</f>
        <v>48</v>
      </c>
      <c r="D183" t="str">
        <f>INDEX('Draft Engine'!$B$3:$B$225,$O183)</f>
        <v>Isiah Pacheco</v>
      </c>
      <c r="E183" s="4">
        <f>INDEX('Draft Engine'!$N$3:$N$225,$O183)</f>
        <v>38.104435000000002</v>
      </c>
      <c r="F183" s="4">
        <f>INDEX('Draft Engine'!$E$3:$E$225,$O183)</f>
        <v>60.0092</v>
      </c>
      <c r="G183" s="4">
        <f>INDEX('Draft Engine'!$G$3:$G$225,$O183)</f>
        <v>182</v>
      </c>
      <c r="H183" s="4">
        <f>INDEX('Draft Engine'!$J$3:$J$225,$O183)</f>
        <v>-57</v>
      </c>
      <c r="I183" s="4">
        <f>INDEX('Draft Engine'!$L$3:$L$225,$O183)</f>
        <v>2.3958333333333375</v>
      </c>
      <c r="J183" s="4">
        <f>INDEX('Draft Engine'!$R$3:$R$225,$O183)</f>
        <v>199.4</v>
      </c>
      <c r="K183" s="4">
        <f>INDEX('Draft Engine'!$S$3:$S$225,$O183)</f>
        <v>18.400000000000006</v>
      </c>
      <c r="L183" s="4">
        <f>INDEX('Draft Engine'!$U$3:$U$225,$O183)</f>
        <v>51.0092</v>
      </c>
      <c r="M183" s="4">
        <f>INDEX('Draft Engine'!$W$3:$W$225,$O183)</f>
        <v>69.009199999999993</v>
      </c>
      <c r="N183" t="str">
        <f>INDEX('Draft Engine'!$T$3:$T$225,$O183)</f>
        <v>B</v>
      </c>
      <c r="O183" s="6">
        <f>MATCH($A183,'Draft Engine'!$Q$3:$Q$225,0)</f>
        <v>80</v>
      </c>
    </row>
    <row r="184" spans="1:15" x14ac:dyDescent="0.25">
      <c r="A184">
        <f>182</f>
        <v>182</v>
      </c>
      <c r="B184" t="str">
        <f>INDEX('Draft Engine'!$A$3:$A$225,$O184)</f>
        <v>WR</v>
      </c>
      <c r="C184">
        <f>INDEX('Draft Engine'!$F$3:$F$225,$O184)</f>
        <v>58</v>
      </c>
      <c r="D184" t="str">
        <f>INDEX('Draft Engine'!$B$3:$B$225,$O184)</f>
        <v>Jerry Jeudy</v>
      </c>
      <c r="E184" s="4">
        <f>INDEX('Draft Engine'!$N$3:$N$225,$O184)</f>
        <v>37.871000000000002</v>
      </c>
      <c r="F184" s="4">
        <f>INDEX('Draft Engine'!$E$3:$E$225,$O184)</f>
        <v>60.14</v>
      </c>
      <c r="G184" s="4">
        <f>INDEX('Draft Engine'!$G$3:$G$225,$O184)</f>
        <v>182.6</v>
      </c>
      <c r="H184" s="4">
        <f>INDEX('Draft Engine'!$J$3:$J$225,$O184)</f>
        <v>-56.7</v>
      </c>
      <c r="I184" s="4">
        <f>INDEX('Draft Engine'!$L$3:$L$225,$O184)</f>
        <v>0</v>
      </c>
      <c r="J184" s="4">
        <f>INDEX('Draft Engine'!$R$3:$R$225,$O184)</f>
        <v>229.2</v>
      </c>
      <c r="K184" s="4">
        <f>INDEX('Draft Engine'!$S$3:$S$225,$O184)</f>
        <v>47.199999999999989</v>
      </c>
      <c r="L184" s="4">
        <f>INDEX('Draft Engine'!$U$3:$U$225,$O184)</f>
        <v>48.14</v>
      </c>
      <c r="M184" s="4">
        <f>INDEX('Draft Engine'!$W$3:$W$225,$O184)</f>
        <v>72.14</v>
      </c>
      <c r="N184" t="str">
        <f>INDEX('Draft Engine'!$T$3:$T$225,$O184)</f>
        <v>C</v>
      </c>
      <c r="O184" s="6">
        <f>MATCH($A184,'Draft Engine'!$Q$3:$Q$225,0)</f>
        <v>141</v>
      </c>
    </row>
    <row r="185" spans="1:15" x14ac:dyDescent="0.25">
      <c r="A185">
        <f>183</f>
        <v>183</v>
      </c>
      <c r="B185" t="str">
        <f>INDEX('Draft Engine'!$A$3:$A$225,$O185)</f>
        <v>WR</v>
      </c>
      <c r="C185">
        <f>INDEX('Draft Engine'!$F$3:$F$225,$O185)</f>
        <v>59</v>
      </c>
      <c r="D185" t="str">
        <f>INDEX('Draft Engine'!$B$3:$B$225,$O185)</f>
        <v>Jalen Nailor</v>
      </c>
      <c r="E185" s="4">
        <f>INDEX('Draft Engine'!$N$3:$N$225,$O185)</f>
        <v>36.9985</v>
      </c>
      <c r="F185" s="4">
        <f>INDEX('Draft Engine'!$E$3:$E$225,$O185)</f>
        <v>59.47</v>
      </c>
      <c r="G185" s="4">
        <f>INDEX('Draft Engine'!$G$3:$G$225,$O185)</f>
        <v>179.8</v>
      </c>
      <c r="H185" s="4">
        <f>INDEX('Draft Engine'!$J$3:$J$225,$O185)</f>
        <v>-59.5</v>
      </c>
      <c r="I185" s="4">
        <f>INDEX('Draft Engine'!$L$3:$L$225,$O185)</f>
        <v>0</v>
      </c>
      <c r="J185" s="4">
        <f>INDEX('Draft Engine'!$R$3:$R$225,$O185)</f>
        <v>233.1</v>
      </c>
      <c r="K185" s="4">
        <f>INDEX('Draft Engine'!$S$3:$S$225,$O185)</f>
        <v>50.099999999999994</v>
      </c>
      <c r="L185" s="4">
        <f>INDEX('Draft Engine'!$U$3:$U$225,$O185)</f>
        <v>47.47</v>
      </c>
      <c r="M185" s="4">
        <f>INDEX('Draft Engine'!$W$3:$W$225,$O185)</f>
        <v>71.47</v>
      </c>
      <c r="N185" t="str">
        <f>INDEX('Draft Engine'!$T$3:$T$225,$O185)</f>
        <v>C</v>
      </c>
      <c r="O185" s="6">
        <f>MATCH($A185,'Draft Engine'!$Q$3:$Q$225,0)</f>
        <v>142</v>
      </c>
    </row>
    <row r="186" spans="1:15" x14ac:dyDescent="0.25">
      <c r="A186">
        <f>184</f>
        <v>184</v>
      </c>
      <c r="B186" t="str">
        <f>INDEX('Draft Engine'!$A$3:$A$225,$O186)</f>
        <v>RB</v>
      </c>
      <c r="C186">
        <f>INDEX('Draft Engine'!$F$3:$F$225,$O186)</f>
        <v>49</v>
      </c>
      <c r="D186" t="str">
        <f>INDEX('Draft Engine'!$B$3:$B$225,$O186)</f>
        <v>Alvin Kamara</v>
      </c>
      <c r="E186" s="4">
        <f>INDEX('Draft Engine'!$N$3:$N$225,$O186)</f>
        <v>36.624499999999998</v>
      </c>
      <c r="F186" s="4">
        <f>INDEX('Draft Engine'!$E$3:$E$225,$O186)</f>
        <v>59.15</v>
      </c>
      <c r="G186" s="4">
        <f>INDEX('Draft Engine'!$G$3:$G$225,$O186)</f>
        <v>178.4</v>
      </c>
      <c r="H186" s="4">
        <f>INDEX('Draft Engine'!$J$3:$J$225,$O186)</f>
        <v>-60.6</v>
      </c>
      <c r="I186" s="4">
        <f>INDEX('Draft Engine'!$L$3:$L$225,$O186)</f>
        <v>0</v>
      </c>
      <c r="J186" s="4">
        <f>INDEX('Draft Engine'!$R$3:$R$225,$O186)</f>
        <v>203.6</v>
      </c>
      <c r="K186" s="4">
        <f>INDEX('Draft Engine'!$S$3:$S$225,$O186)</f>
        <v>19.599999999999994</v>
      </c>
      <c r="L186" s="4">
        <f>INDEX('Draft Engine'!$U$3:$U$225,$O186)</f>
        <v>50.15</v>
      </c>
      <c r="M186" s="4">
        <f>INDEX('Draft Engine'!$W$3:$W$225,$O186)</f>
        <v>68.150000000000006</v>
      </c>
      <c r="N186" t="str">
        <f>INDEX('Draft Engine'!$T$3:$T$225,$O186)</f>
        <v>B</v>
      </c>
      <c r="O186" s="6">
        <f>MATCH($A186,'Draft Engine'!$Q$3:$Q$225,0)</f>
        <v>81</v>
      </c>
    </row>
    <row r="187" spans="1:15" x14ac:dyDescent="0.25">
      <c r="A187">
        <f>185</f>
        <v>185</v>
      </c>
      <c r="B187" t="str">
        <f>INDEX('Draft Engine'!$A$3:$A$225,$O187)</f>
        <v>WR</v>
      </c>
      <c r="C187">
        <f>INDEX('Draft Engine'!$F$3:$F$225,$O187)</f>
        <v>60</v>
      </c>
      <c r="D187" t="str">
        <f>INDEX('Draft Engine'!$B$3:$B$225,$O187)</f>
        <v>Jalen McMillan</v>
      </c>
      <c r="E187" s="4">
        <f>INDEX('Draft Engine'!$N$3:$N$225,$O187)</f>
        <v>36.126000000000005</v>
      </c>
      <c r="F187" s="4">
        <f>INDEX('Draft Engine'!$E$3:$E$225,$O187)</f>
        <v>58.8</v>
      </c>
      <c r="G187" s="4">
        <f>INDEX('Draft Engine'!$G$3:$G$225,$O187)</f>
        <v>177</v>
      </c>
      <c r="H187" s="4">
        <f>INDEX('Draft Engine'!$J$3:$J$225,$O187)</f>
        <v>-62.3</v>
      </c>
      <c r="I187" s="4">
        <f>INDEX('Draft Engine'!$L$3:$L$225,$O187)</f>
        <v>0</v>
      </c>
      <c r="J187" s="4">
        <f>INDEX('Draft Engine'!$R$3:$R$225,$O187)</f>
        <v>237</v>
      </c>
      <c r="K187" s="4">
        <f>INDEX('Draft Engine'!$S$3:$S$225,$O187)</f>
        <v>52</v>
      </c>
      <c r="L187" s="4">
        <f>INDEX('Draft Engine'!$U$3:$U$225,$O187)</f>
        <v>46.8</v>
      </c>
      <c r="M187" s="4">
        <f>INDEX('Draft Engine'!$W$3:$W$225,$O187)</f>
        <v>70.8</v>
      </c>
      <c r="N187" t="str">
        <f>INDEX('Draft Engine'!$T$3:$T$225,$O187)</f>
        <v>C</v>
      </c>
      <c r="O187" s="6">
        <f>MATCH($A187,'Draft Engine'!$Q$3:$Q$225,0)</f>
        <v>143</v>
      </c>
    </row>
    <row r="188" spans="1:15" x14ac:dyDescent="0.25">
      <c r="A188">
        <f>186</f>
        <v>186</v>
      </c>
      <c r="B188" t="str">
        <f>INDEX('Draft Engine'!$A$3:$A$225,$O188)</f>
        <v>QB</v>
      </c>
      <c r="C188">
        <f>INDEX('Draft Engine'!$F$3:$F$225,$O188)</f>
        <v>30</v>
      </c>
      <c r="D188" t="str">
        <f>INDEX('Draft Engine'!$B$3:$B$225,$O188)</f>
        <v>Tua Tagovailoa</v>
      </c>
      <c r="E188" s="4">
        <f>INDEX('Draft Engine'!$N$3:$N$225,$O188)</f>
        <v>35.674160000000008</v>
      </c>
      <c r="F188" s="4">
        <f>INDEX('Draft Engine'!$E$3:$E$225,$O188)</f>
        <v>67.851200000000006</v>
      </c>
      <c r="G188" s="4">
        <f>INDEX('Draft Engine'!$G$3:$G$225,$O188)</f>
        <v>275.3</v>
      </c>
      <c r="H188" s="4">
        <f>INDEX('Draft Engine'!$J$3:$J$225,$O188)</f>
        <v>-75.8</v>
      </c>
      <c r="I188" s="4">
        <f>INDEX('Draft Engine'!$L$3:$L$225,$O188)</f>
        <v>0</v>
      </c>
      <c r="J188" s="4">
        <f>INDEX('Draft Engine'!$R$3:$R$225,$O188)</f>
        <v>254</v>
      </c>
      <c r="K188" s="4">
        <f>INDEX('Draft Engine'!$S$3:$S$225,$O188)</f>
        <v>68</v>
      </c>
      <c r="L188" s="4">
        <f>INDEX('Draft Engine'!$U$3:$U$225,$O188)</f>
        <v>61.851200000000006</v>
      </c>
      <c r="M188" s="4">
        <f>INDEX('Draft Engine'!$W$3:$W$225,$O188)</f>
        <v>73.851200000000006</v>
      </c>
      <c r="N188" t="str">
        <f>INDEX('Draft Engine'!$T$3:$T$225,$O188)</f>
        <v>A</v>
      </c>
      <c r="O188" s="6">
        <f>MATCH($A188,'Draft Engine'!$Q$3:$Q$225,0)</f>
        <v>30</v>
      </c>
    </row>
    <row r="189" spans="1:15" x14ac:dyDescent="0.25">
      <c r="A189">
        <f>187</f>
        <v>187</v>
      </c>
      <c r="B189" t="str">
        <f>INDEX('Draft Engine'!$A$3:$A$225,$O189)</f>
        <v>WR</v>
      </c>
      <c r="C189">
        <f>INDEX('Draft Engine'!$F$3:$F$225,$O189)</f>
        <v>61</v>
      </c>
      <c r="D189" t="str">
        <f>INDEX('Draft Engine'!$B$3:$B$225,$O189)</f>
        <v>Adonai Mitchell</v>
      </c>
      <c r="E189" s="4">
        <f>INDEX('Draft Engine'!$N$3:$N$225,$O189)</f>
        <v>35.235500000000002</v>
      </c>
      <c r="F189" s="4">
        <f>INDEX('Draft Engine'!$E$3:$E$225,$O189)</f>
        <v>58.13</v>
      </c>
      <c r="G189" s="4">
        <f>INDEX('Draft Engine'!$G$3:$G$225,$O189)</f>
        <v>174.1</v>
      </c>
      <c r="H189" s="4">
        <f>INDEX('Draft Engine'!$J$3:$J$225,$O189)</f>
        <v>-65.2</v>
      </c>
      <c r="I189" s="4">
        <f>INDEX('Draft Engine'!$L$3:$L$225,$O189)</f>
        <v>0</v>
      </c>
      <c r="J189" s="4">
        <f>INDEX('Draft Engine'!$R$3:$R$225,$O189)</f>
        <v>240.9</v>
      </c>
      <c r="K189" s="4">
        <f>INDEX('Draft Engine'!$S$3:$S$225,$O189)</f>
        <v>53.900000000000006</v>
      </c>
      <c r="L189" s="4">
        <f>INDEX('Draft Engine'!$U$3:$U$225,$O189)</f>
        <v>46.13</v>
      </c>
      <c r="M189" s="4">
        <f>INDEX('Draft Engine'!$W$3:$W$225,$O189)</f>
        <v>70.13</v>
      </c>
      <c r="N189" t="str">
        <f>INDEX('Draft Engine'!$T$3:$T$225,$O189)</f>
        <v>C</v>
      </c>
      <c r="O189" s="6">
        <f>MATCH($A189,'Draft Engine'!$Q$3:$Q$225,0)</f>
        <v>144</v>
      </c>
    </row>
    <row r="190" spans="1:15" x14ac:dyDescent="0.25">
      <c r="A190">
        <f>188</f>
        <v>188</v>
      </c>
      <c r="B190" t="str">
        <f>INDEX('Draft Engine'!$A$3:$A$225,$O190)</f>
        <v>WR</v>
      </c>
      <c r="C190">
        <f>INDEX('Draft Engine'!$F$3:$F$225,$O190)</f>
        <v>62</v>
      </c>
      <c r="D190" t="str">
        <f>INDEX('Draft Engine'!$B$3:$B$225,$O190)</f>
        <v>Isaac TeSlaa</v>
      </c>
      <c r="E190" s="4">
        <f>INDEX('Draft Engine'!$N$3:$N$225,$O190)</f>
        <v>34.363</v>
      </c>
      <c r="F190" s="4">
        <f>INDEX('Draft Engine'!$E$3:$E$225,$O190)</f>
        <v>57.46</v>
      </c>
      <c r="G190" s="4">
        <f>INDEX('Draft Engine'!$G$3:$G$225,$O190)</f>
        <v>171.3</v>
      </c>
      <c r="H190" s="4">
        <f>INDEX('Draft Engine'!$J$3:$J$225,$O190)</f>
        <v>-68</v>
      </c>
      <c r="I190" s="4">
        <f>INDEX('Draft Engine'!$L$3:$L$225,$O190)</f>
        <v>0</v>
      </c>
      <c r="J190" s="4">
        <f>INDEX('Draft Engine'!$R$3:$R$225,$O190)</f>
        <v>244.8</v>
      </c>
      <c r="K190" s="4">
        <f>INDEX('Draft Engine'!$S$3:$S$225,$O190)</f>
        <v>56.800000000000011</v>
      </c>
      <c r="L190" s="4">
        <f>INDEX('Draft Engine'!$U$3:$U$225,$O190)</f>
        <v>45.46</v>
      </c>
      <c r="M190" s="4">
        <f>INDEX('Draft Engine'!$W$3:$W$225,$O190)</f>
        <v>69.460000000000008</v>
      </c>
      <c r="N190" t="str">
        <f>INDEX('Draft Engine'!$T$3:$T$225,$O190)</f>
        <v>C</v>
      </c>
      <c r="O190" s="6">
        <f>MATCH($A190,'Draft Engine'!$Q$3:$Q$225,0)</f>
        <v>145</v>
      </c>
    </row>
    <row r="191" spans="1:15" x14ac:dyDescent="0.25">
      <c r="A191">
        <f>189</f>
        <v>189</v>
      </c>
      <c r="B191" t="str">
        <f>INDEX('Draft Engine'!$A$3:$A$225,$O191)</f>
        <v>WR</v>
      </c>
      <c r="C191">
        <f>INDEX('Draft Engine'!$F$3:$F$225,$O191)</f>
        <v>63</v>
      </c>
      <c r="D191" t="str">
        <f>INDEX('Draft Engine'!$B$3:$B$225,$O191)</f>
        <v>Denzel Boston</v>
      </c>
      <c r="E191" s="4">
        <f>INDEX('Draft Engine'!$N$3:$N$225,$O191)</f>
        <v>33.490500000000004</v>
      </c>
      <c r="F191" s="4">
        <f>INDEX('Draft Engine'!$E$3:$E$225,$O191)</f>
        <v>56.79</v>
      </c>
      <c r="G191" s="4">
        <f>INDEX('Draft Engine'!$G$3:$G$225,$O191)</f>
        <v>168.5</v>
      </c>
      <c r="H191" s="4">
        <f>INDEX('Draft Engine'!$J$3:$J$225,$O191)</f>
        <v>-70.8</v>
      </c>
      <c r="I191" s="4">
        <f>INDEX('Draft Engine'!$L$3:$L$225,$O191)</f>
        <v>0</v>
      </c>
      <c r="J191" s="4">
        <f>INDEX('Draft Engine'!$R$3:$R$225,$O191)</f>
        <v>248.7</v>
      </c>
      <c r="K191" s="4">
        <f>INDEX('Draft Engine'!$S$3:$S$225,$O191)</f>
        <v>59.699999999999989</v>
      </c>
      <c r="L191" s="4">
        <f>INDEX('Draft Engine'!$U$3:$U$225,$O191)</f>
        <v>44.79</v>
      </c>
      <c r="M191" s="4">
        <f>INDEX('Draft Engine'!$W$3:$W$225,$O191)</f>
        <v>68.789999999999992</v>
      </c>
      <c r="N191" t="str">
        <f>INDEX('Draft Engine'!$T$3:$T$225,$O191)</f>
        <v>C</v>
      </c>
      <c r="O191" s="6">
        <f>MATCH($A191,'Draft Engine'!$Q$3:$Q$225,0)</f>
        <v>146</v>
      </c>
    </row>
    <row r="192" spans="1:15" x14ac:dyDescent="0.25">
      <c r="A192">
        <f>190</f>
        <v>190</v>
      </c>
      <c r="B192" t="str">
        <f>INDEX('Draft Engine'!$A$3:$A$225,$O192)</f>
        <v>QB</v>
      </c>
      <c r="C192">
        <f>INDEX('Draft Engine'!$F$3:$F$225,$O192)</f>
        <v>31</v>
      </c>
      <c r="D192" t="str">
        <f>INDEX('Draft Engine'!$B$3:$B$225,$O192)</f>
        <v>Kirk Cousins</v>
      </c>
      <c r="E192" s="4">
        <f>INDEX('Draft Engine'!$N$3:$N$225,$O192)</f>
        <v>33.186095000000002</v>
      </c>
      <c r="F192" s="4">
        <f>INDEX('Draft Engine'!$E$3:$E$225,$O192)</f>
        <v>65.792900000000003</v>
      </c>
      <c r="G192" s="4">
        <f>INDEX('Draft Engine'!$G$3:$G$225,$O192)</f>
        <v>266.10000000000002</v>
      </c>
      <c r="H192" s="4">
        <f>INDEX('Draft Engine'!$J$3:$J$225,$O192)</f>
        <v>-85</v>
      </c>
      <c r="I192" s="4">
        <f>INDEX('Draft Engine'!$L$3:$L$225,$O192)</f>
        <v>0</v>
      </c>
      <c r="J192" s="4">
        <f>INDEX('Draft Engine'!$R$3:$R$225,$O192)</f>
        <v>262</v>
      </c>
      <c r="K192" s="4">
        <f>INDEX('Draft Engine'!$S$3:$S$225,$O192)</f>
        <v>72</v>
      </c>
      <c r="L192" s="4">
        <f>INDEX('Draft Engine'!$U$3:$U$225,$O192)</f>
        <v>56.792900000000003</v>
      </c>
      <c r="M192" s="4">
        <f>INDEX('Draft Engine'!$W$3:$W$225,$O192)</f>
        <v>74.792900000000003</v>
      </c>
      <c r="N192" t="str">
        <f>INDEX('Draft Engine'!$T$3:$T$225,$O192)</f>
        <v>B</v>
      </c>
      <c r="O192" s="6">
        <f>MATCH($A192,'Draft Engine'!$Q$3:$Q$225,0)</f>
        <v>31</v>
      </c>
    </row>
    <row r="193" spans="1:15" x14ac:dyDescent="0.25">
      <c r="A193">
        <f>191</f>
        <v>191</v>
      </c>
      <c r="B193" t="str">
        <f>INDEX('Draft Engine'!$A$3:$A$225,$O193)</f>
        <v>WR</v>
      </c>
      <c r="C193">
        <f>INDEX('Draft Engine'!$F$3:$F$225,$O193)</f>
        <v>64</v>
      </c>
      <c r="D193" t="str">
        <f>INDEX('Draft Engine'!$B$3:$B$225,$O193)</f>
        <v>Tre Tucker</v>
      </c>
      <c r="E193" s="4">
        <f>INDEX('Draft Engine'!$N$3:$N$225,$O193)</f>
        <v>32.618000000000002</v>
      </c>
      <c r="F193" s="4">
        <f>INDEX('Draft Engine'!$E$3:$E$225,$O193)</f>
        <v>56.12</v>
      </c>
      <c r="G193" s="4">
        <f>INDEX('Draft Engine'!$G$3:$G$225,$O193)</f>
        <v>165.7</v>
      </c>
      <c r="H193" s="4">
        <f>INDEX('Draft Engine'!$J$3:$J$225,$O193)</f>
        <v>-73.599999999999994</v>
      </c>
      <c r="I193" s="4">
        <f>INDEX('Draft Engine'!$L$3:$L$225,$O193)</f>
        <v>0</v>
      </c>
      <c r="J193" s="4">
        <f>INDEX('Draft Engine'!$R$3:$R$225,$O193)</f>
        <v>252.6</v>
      </c>
      <c r="K193" s="4">
        <f>INDEX('Draft Engine'!$S$3:$S$225,$O193)</f>
        <v>61.599999999999994</v>
      </c>
      <c r="L193" s="4">
        <f>INDEX('Draft Engine'!$U$3:$U$225,$O193)</f>
        <v>44.12</v>
      </c>
      <c r="M193" s="4">
        <f>INDEX('Draft Engine'!$W$3:$W$225,$O193)</f>
        <v>68.12</v>
      </c>
      <c r="N193" t="str">
        <f>INDEX('Draft Engine'!$T$3:$T$225,$O193)</f>
        <v>C</v>
      </c>
      <c r="O193" s="6">
        <f>MATCH($A193,'Draft Engine'!$Q$3:$Q$225,0)</f>
        <v>147</v>
      </c>
    </row>
    <row r="194" spans="1:15" x14ac:dyDescent="0.25">
      <c r="A194">
        <f>192</f>
        <v>192</v>
      </c>
      <c r="B194" t="str">
        <f>INDEX('Draft Engine'!$A$3:$A$225,$O194)</f>
        <v>WR</v>
      </c>
      <c r="C194">
        <f>INDEX('Draft Engine'!$F$3:$F$225,$O194)</f>
        <v>65</v>
      </c>
      <c r="D194" t="str">
        <f>INDEX('Draft Engine'!$B$3:$B$225,$O194)</f>
        <v>Antonio Williams</v>
      </c>
      <c r="E194" s="4">
        <f>INDEX('Draft Engine'!$N$3:$N$225,$O194)</f>
        <v>31.7455</v>
      </c>
      <c r="F194" s="4">
        <f>INDEX('Draft Engine'!$E$3:$E$225,$O194)</f>
        <v>55.45</v>
      </c>
      <c r="G194" s="4">
        <f>INDEX('Draft Engine'!$G$3:$G$225,$O194)</f>
        <v>162.9</v>
      </c>
      <c r="H194" s="4">
        <f>INDEX('Draft Engine'!$J$3:$J$225,$O194)</f>
        <v>-76.400000000000006</v>
      </c>
      <c r="I194" s="4">
        <f>INDEX('Draft Engine'!$L$3:$L$225,$O194)</f>
        <v>0</v>
      </c>
      <c r="J194" s="4">
        <f>INDEX('Draft Engine'!$R$3:$R$225,$O194)</f>
        <v>256.5</v>
      </c>
      <c r="K194" s="4">
        <f>INDEX('Draft Engine'!$S$3:$S$225,$O194)</f>
        <v>64.5</v>
      </c>
      <c r="L194" s="4">
        <f>INDEX('Draft Engine'!$U$3:$U$225,$O194)</f>
        <v>43.45</v>
      </c>
      <c r="M194" s="4">
        <f>INDEX('Draft Engine'!$W$3:$W$225,$O194)</f>
        <v>67.45</v>
      </c>
      <c r="N194" t="str">
        <f>INDEX('Draft Engine'!$T$3:$T$225,$O194)</f>
        <v>C</v>
      </c>
      <c r="O194" s="6">
        <f>MATCH($A194,'Draft Engine'!$Q$3:$Q$225,0)</f>
        <v>148</v>
      </c>
    </row>
    <row r="195" spans="1:15" x14ac:dyDescent="0.25">
      <c r="A195">
        <f>193</f>
        <v>193</v>
      </c>
      <c r="B195" t="str">
        <f>INDEX('Draft Engine'!$A$3:$A$225,$O195)</f>
        <v>RB</v>
      </c>
      <c r="C195">
        <f>INDEX('Draft Engine'!$F$3:$F$225,$O195)</f>
        <v>50</v>
      </c>
      <c r="D195" t="str">
        <f>INDEX('Draft Engine'!$B$3:$B$225,$O195)</f>
        <v>Justice Hill</v>
      </c>
      <c r="E195" s="4">
        <f>INDEX('Draft Engine'!$N$3:$N$225,$O195)</f>
        <v>31.054000000000006</v>
      </c>
      <c r="F195" s="4">
        <f>INDEX('Draft Engine'!$E$3:$E$225,$O195)</f>
        <v>54.88</v>
      </c>
      <c r="G195" s="4">
        <f>INDEX('Draft Engine'!$G$3:$G$225,$O195)</f>
        <v>160.5</v>
      </c>
      <c r="H195" s="4">
        <f>INDEX('Draft Engine'!$J$3:$J$225,$O195)</f>
        <v>-78.5</v>
      </c>
      <c r="I195" s="4">
        <f>INDEX('Draft Engine'!$L$3:$L$225,$O195)</f>
        <v>0</v>
      </c>
      <c r="J195" s="4">
        <f>INDEX('Draft Engine'!$R$3:$R$225,$O195)</f>
        <v>207.8</v>
      </c>
      <c r="K195" s="4">
        <f>INDEX('Draft Engine'!$S$3:$S$225,$O195)</f>
        <v>14.800000000000011</v>
      </c>
      <c r="L195" s="4">
        <f>INDEX('Draft Engine'!$U$3:$U$225,$O195)</f>
        <v>45.88</v>
      </c>
      <c r="M195" s="4">
        <f>INDEX('Draft Engine'!$W$3:$W$225,$O195)</f>
        <v>63.88</v>
      </c>
      <c r="N195" t="str">
        <f>INDEX('Draft Engine'!$T$3:$T$225,$O195)</f>
        <v>B</v>
      </c>
      <c r="O195" s="6">
        <f>MATCH($A195,'Draft Engine'!$Q$3:$Q$225,0)</f>
        <v>82</v>
      </c>
    </row>
    <row r="196" spans="1:15" x14ac:dyDescent="0.25">
      <c r="A196">
        <f>194</f>
        <v>194</v>
      </c>
      <c r="B196" t="str">
        <f>INDEX('Draft Engine'!$A$3:$A$225,$O196)</f>
        <v>WR</v>
      </c>
      <c r="C196">
        <f>INDEX('Draft Engine'!$F$3:$F$225,$O196)</f>
        <v>66</v>
      </c>
      <c r="D196" t="str">
        <f>INDEX('Draft Engine'!$B$3:$B$225,$O196)</f>
        <v>Travis Hunter</v>
      </c>
      <c r="E196" s="4">
        <f>INDEX('Draft Engine'!$N$3:$N$225,$O196)</f>
        <v>30.873000000000001</v>
      </c>
      <c r="F196" s="4">
        <f>INDEX('Draft Engine'!$E$3:$E$225,$O196)</f>
        <v>54.78</v>
      </c>
      <c r="G196" s="4">
        <f>INDEX('Draft Engine'!$G$3:$G$225,$O196)</f>
        <v>160.1</v>
      </c>
      <c r="H196" s="4">
        <f>INDEX('Draft Engine'!$J$3:$J$225,$O196)</f>
        <v>-79.2</v>
      </c>
      <c r="I196" s="4">
        <f>INDEX('Draft Engine'!$L$3:$L$225,$O196)</f>
        <v>0</v>
      </c>
      <c r="J196" s="4">
        <f>INDEX('Draft Engine'!$R$3:$R$225,$O196)</f>
        <v>260.39999999999998</v>
      </c>
      <c r="K196" s="4">
        <f>INDEX('Draft Engine'!$S$3:$S$225,$O196)</f>
        <v>66.399999999999977</v>
      </c>
      <c r="L196" s="4">
        <f>INDEX('Draft Engine'!$U$3:$U$225,$O196)</f>
        <v>42.78</v>
      </c>
      <c r="M196" s="4">
        <f>INDEX('Draft Engine'!$W$3:$W$225,$O196)</f>
        <v>66.78</v>
      </c>
      <c r="N196" t="str">
        <f>INDEX('Draft Engine'!$T$3:$T$225,$O196)</f>
        <v>C</v>
      </c>
      <c r="O196" s="6">
        <f>MATCH($A196,'Draft Engine'!$Q$3:$Q$225,0)</f>
        <v>149</v>
      </c>
    </row>
    <row r="197" spans="1:15" x14ac:dyDescent="0.25">
      <c r="A197">
        <f>195</f>
        <v>195</v>
      </c>
      <c r="B197" t="str">
        <f>INDEX('Draft Engine'!$A$3:$A$225,$O197)</f>
        <v>QB</v>
      </c>
      <c r="C197">
        <f>INDEX('Draft Engine'!$F$3:$F$225,$O197)</f>
        <v>32</v>
      </c>
      <c r="D197" t="str">
        <f>INDEX('Draft Engine'!$B$3:$B$225,$O197)</f>
        <v>Deshaun Watson</v>
      </c>
      <c r="E197" s="4">
        <f>INDEX('Draft Engine'!$N$3:$N$225,$O197)</f>
        <v>30.137500000000003</v>
      </c>
      <c r="F197" s="4">
        <f>INDEX('Draft Engine'!$E$3:$E$225,$O197)</f>
        <v>60.25</v>
      </c>
      <c r="G197" s="4">
        <f>INDEX('Draft Engine'!$G$3:$G$225,$O197)</f>
        <v>241.1</v>
      </c>
      <c r="H197" s="4">
        <f>INDEX('Draft Engine'!$J$3:$J$225,$O197)</f>
        <v>-110</v>
      </c>
      <c r="I197" s="4">
        <f>INDEX('Draft Engine'!$L$3:$L$225,$O197)</f>
        <v>0</v>
      </c>
      <c r="J197" s="4">
        <f>INDEX('Draft Engine'!$R$3:$R$225,$O197)</f>
        <v>270</v>
      </c>
      <c r="K197" s="4">
        <f>INDEX('Draft Engine'!$S$3:$S$225,$O197)</f>
        <v>75</v>
      </c>
      <c r="L197" s="4">
        <f>INDEX('Draft Engine'!$U$3:$U$225,$O197)</f>
        <v>48.25</v>
      </c>
      <c r="M197" s="4">
        <f>INDEX('Draft Engine'!$W$3:$W$225,$O197)</f>
        <v>72.25</v>
      </c>
      <c r="N197" t="str">
        <f>INDEX('Draft Engine'!$T$3:$T$225,$O197)</f>
        <v>C</v>
      </c>
      <c r="O197" s="6">
        <f>MATCH($A197,'Draft Engine'!$Q$3:$Q$225,0)</f>
        <v>32</v>
      </c>
    </row>
    <row r="198" spans="1:15" x14ac:dyDescent="0.25">
      <c r="A198">
        <f>196</f>
        <v>196</v>
      </c>
      <c r="B198" t="str">
        <f>INDEX('Draft Engine'!$A$3:$A$225,$O198)</f>
        <v>WR</v>
      </c>
      <c r="C198">
        <f>INDEX('Draft Engine'!$F$3:$F$225,$O198)</f>
        <v>67</v>
      </c>
      <c r="D198" t="str">
        <f>INDEX('Draft Engine'!$B$3:$B$225,$O198)</f>
        <v>Ryan Flournoy</v>
      </c>
      <c r="E198" s="4">
        <f>INDEX('Draft Engine'!$N$3:$N$225,$O198)</f>
        <v>30.000500000000002</v>
      </c>
      <c r="F198" s="4">
        <f>INDEX('Draft Engine'!$E$3:$E$225,$O198)</f>
        <v>54.11</v>
      </c>
      <c r="G198" s="4">
        <f>INDEX('Draft Engine'!$G$3:$G$225,$O198)</f>
        <v>157.30000000000001</v>
      </c>
      <c r="H198" s="4">
        <f>INDEX('Draft Engine'!$J$3:$J$225,$O198)</f>
        <v>-82</v>
      </c>
      <c r="I198" s="4">
        <f>INDEX('Draft Engine'!$L$3:$L$225,$O198)</f>
        <v>0</v>
      </c>
      <c r="J198" s="4">
        <f>INDEX('Draft Engine'!$R$3:$R$225,$O198)</f>
        <v>264.3</v>
      </c>
      <c r="K198" s="4">
        <f>INDEX('Draft Engine'!$S$3:$S$225,$O198)</f>
        <v>68.300000000000011</v>
      </c>
      <c r="L198" s="4">
        <f>INDEX('Draft Engine'!$U$3:$U$225,$O198)</f>
        <v>42.11</v>
      </c>
      <c r="M198" s="4">
        <f>INDEX('Draft Engine'!$W$3:$W$225,$O198)</f>
        <v>66.11</v>
      </c>
      <c r="N198" t="str">
        <f>INDEX('Draft Engine'!$T$3:$T$225,$O198)</f>
        <v>C</v>
      </c>
      <c r="O198" s="6">
        <f>MATCH($A198,'Draft Engine'!$Q$3:$Q$225,0)</f>
        <v>150</v>
      </c>
    </row>
    <row r="199" spans="1:15" x14ac:dyDescent="0.25">
      <c r="A199">
        <f>197</f>
        <v>197</v>
      </c>
      <c r="B199" t="str">
        <f>INDEX('Draft Engine'!$A$3:$A$225,$O199)</f>
        <v>WR</v>
      </c>
      <c r="C199">
        <f>INDEX('Draft Engine'!$F$3:$F$225,$O199)</f>
        <v>68</v>
      </c>
      <c r="D199" t="str">
        <f>INDEX('Draft Engine'!$B$3:$B$225,$O199)</f>
        <v>Jauan Jennings</v>
      </c>
      <c r="E199" s="4">
        <f>INDEX('Draft Engine'!$N$3:$N$225,$O199)</f>
        <v>29.391999999999999</v>
      </c>
      <c r="F199" s="4">
        <f>INDEX('Draft Engine'!$E$3:$E$225,$O199)</f>
        <v>53.44</v>
      </c>
      <c r="G199" s="4">
        <f>INDEX('Draft Engine'!$G$3:$G$225,$O199)</f>
        <v>154.4</v>
      </c>
      <c r="H199" s="4">
        <f>INDEX('Draft Engine'!$J$3:$J$225,$O199)</f>
        <v>-84.9</v>
      </c>
      <c r="I199" s="4">
        <f>INDEX('Draft Engine'!$L$3:$L$225,$O199)</f>
        <v>0</v>
      </c>
      <c r="J199" s="4">
        <f>INDEX('Draft Engine'!$R$3:$R$225,$O199)</f>
        <v>268.2</v>
      </c>
      <c r="K199" s="4">
        <f>INDEX('Draft Engine'!$S$3:$S$225,$O199)</f>
        <v>71.199999999999989</v>
      </c>
      <c r="L199" s="4">
        <f>INDEX('Draft Engine'!$U$3:$U$225,$O199)</f>
        <v>41.44</v>
      </c>
      <c r="M199" s="4">
        <f>INDEX('Draft Engine'!$W$3:$W$225,$O199)</f>
        <v>65.44</v>
      </c>
      <c r="N199" t="str">
        <f>INDEX('Draft Engine'!$T$3:$T$225,$O199)</f>
        <v>C</v>
      </c>
      <c r="O199" s="6">
        <f>MATCH($A199,'Draft Engine'!$Q$3:$Q$225,0)</f>
        <v>151</v>
      </c>
    </row>
    <row r="200" spans="1:15" x14ac:dyDescent="0.25">
      <c r="A200">
        <f>198</f>
        <v>198</v>
      </c>
      <c r="B200" t="str">
        <f>INDEX('Draft Engine'!$A$3:$A$225,$O200)</f>
        <v>WR</v>
      </c>
      <c r="C200">
        <f>INDEX('Draft Engine'!$F$3:$F$225,$O200)</f>
        <v>69</v>
      </c>
      <c r="D200" t="str">
        <f>INDEX('Draft Engine'!$B$3:$B$225,$O200)</f>
        <v>Darnell Mooney</v>
      </c>
      <c r="E200" s="4">
        <f>INDEX('Draft Engine'!$N$3:$N$225,$O200)</f>
        <v>29.023500000000006</v>
      </c>
      <c r="F200" s="4">
        <f>INDEX('Draft Engine'!$E$3:$E$225,$O200)</f>
        <v>52.77</v>
      </c>
      <c r="G200" s="4">
        <f>INDEX('Draft Engine'!$G$3:$G$225,$O200)</f>
        <v>151.6</v>
      </c>
      <c r="H200" s="4">
        <f>INDEX('Draft Engine'!$J$3:$J$225,$O200)</f>
        <v>-87.7</v>
      </c>
      <c r="I200" s="4">
        <f>INDEX('Draft Engine'!$L$3:$L$225,$O200)</f>
        <v>0</v>
      </c>
      <c r="J200" s="4">
        <f>INDEX('Draft Engine'!$R$3:$R$225,$O200)</f>
        <v>272.10000000000002</v>
      </c>
      <c r="K200" s="4">
        <f>INDEX('Draft Engine'!$S$3:$S$225,$O200)</f>
        <v>74.100000000000023</v>
      </c>
      <c r="L200" s="4">
        <f>INDEX('Draft Engine'!$U$3:$U$225,$O200)</f>
        <v>40.770000000000003</v>
      </c>
      <c r="M200" s="4">
        <f>INDEX('Draft Engine'!$W$3:$W$225,$O200)</f>
        <v>64.77000000000001</v>
      </c>
      <c r="N200" t="str">
        <f>INDEX('Draft Engine'!$T$3:$T$225,$O200)</f>
        <v>C</v>
      </c>
      <c r="O200" s="6">
        <f>MATCH($A200,'Draft Engine'!$Q$3:$Q$225,0)</f>
        <v>152</v>
      </c>
    </row>
    <row r="201" spans="1:15" x14ac:dyDescent="0.25">
      <c r="A201">
        <f>199</f>
        <v>199</v>
      </c>
      <c r="B201" t="str">
        <f>INDEX('Draft Engine'!$A$3:$A$225,$O201)</f>
        <v>WR</v>
      </c>
      <c r="C201">
        <f>INDEX('Draft Engine'!$F$3:$F$225,$O201)</f>
        <v>70</v>
      </c>
      <c r="D201" t="str">
        <f>INDEX('Draft Engine'!$B$3:$B$225,$O201)</f>
        <v>Ricky Pearsall</v>
      </c>
      <c r="E201" s="4">
        <f>INDEX('Draft Engine'!$N$3:$N$225,$O201)</f>
        <v>22</v>
      </c>
      <c r="F201" s="4">
        <f>INDEX('Draft Engine'!$E$3:$E$225,$O201)</f>
        <v>40</v>
      </c>
      <c r="G201" s="4">
        <f>INDEX('Draft Engine'!$G$3:$G$225,$O201)</f>
        <v>98</v>
      </c>
      <c r="H201" s="4">
        <f>INDEX('Draft Engine'!$J$3:$J$225,$O201)</f>
        <v>-141.30000000000001</v>
      </c>
      <c r="I201" s="4">
        <f>INDEX('Draft Engine'!$L$3:$L$225,$O201)</f>
        <v>0</v>
      </c>
      <c r="J201" s="4">
        <f>INDEX('Draft Engine'!$R$3:$R$225,$O201)</f>
        <v>174.6</v>
      </c>
      <c r="K201" s="4">
        <f>INDEX('Draft Engine'!$S$3:$S$225,$O201)</f>
        <v>-24.400000000000006</v>
      </c>
      <c r="L201" s="4">
        <f>INDEX('Draft Engine'!$U$3:$U$225,$O201)</f>
        <v>40</v>
      </c>
      <c r="M201" s="4">
        <f>INDEX('Draft Engine'!$W$3:$W$225,$O201)</f>
        <v>52</v>
      </c>
      <c r="N201" t="str">
        <f>INDEX('Draft Engine'!$T$3:$T$225,$O201)</f>
        <v>C</v>
      </c>
      <c r="O201" s="6">
        <f>MATCH($A201,'Draft Engine'!$Q$3:$Q$225,0)</f>
        <v>127</v>
      </c>
    </row>
    <row r="202" spans="1:15" x14ac:dyDescent="0.25">
      <c r="A202">
        <f>200</f>
        <v>200</v>
      </c>
      <c r="B202" t="str">
        <f>INDEX('Draft Engine'!$A$3:$A$225,$O202)</f>
        <v>DST</v>
      </c>
      <c r="C202">
        <f>INDEX('Draft Engine'!$F$3:$F$225,$O202)</f>
        <v>11</v>
      </c>
      <c r="D202" t="str">
        <f>INDEX('Draft Engine'!$B$3:$B$225,$O202)</f>
        <v>Baltimore Ravens</v>
      </c>
      <c r="E202" s="4">
        <f>INDEX('Draft Engine'!$N$3:$N$225,$O202)</f>
        <v>42.24</v>
      </c>
      <c r="F202" s="4">
        <f>INDEX('Draft Engine'!$E$3:$E$225,$O202)</f>
        <v>82</v>
      </c>
      <c r="G202" s="4">
        <f>INDEX('Draft Engine'!$G$3:$G$225,$O202)</f>
        <v>97.6</v>
      </c>
      <c r="H202" s="4">
        <f>INDEX('Draft Engine'!$J$3:$J$225,$O202)</f>
        <v>-2</v>
      </c>
      <c r="I202" s="4">
        <f>INDEX('Draft Engine'!$L$3:$L$225,$O202)</f>
        <v>16.666666666666668</v>
      </c>
      <c r="J202" s="4">
        <f>INDEX('Draft Engine'!$R$3:$R$225,$O202)</f>
        <v>200</v>
      </c>
      <c r="K202" s="4">
        <f>INDEX('Draft Engine'!$S$3:$S$225,$O202)</f>
        <v>0</v>
      </c>
      <c r="L202" s="4">
        <f>INDEX('Draft Engine'!$U$3:$U$225,$O202)</f>
        <v>73</v>
      </c>
      <c r="M202" s="4">
        <f>INDEX('Draft Engine'!$W$3:$W$225,$O202)</f>
        <v>91</v>
      </c>
      <c r="N202" t="str">
        <f>INDEX('Draft Engine'!$T$3:$T$225,$O202)</f>
        <v>B</v>
      </c>
      <c r="O202" s="6">
        <f>MATCH($A202,'Draft Engine'!$Q$3:$Q$225,0)</f>
        <v>202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A9D18E"/>
  </sheetPr>
  <dimension ref="A1:N34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8" customWidth="1"/>
    <col min="2" max="2" width="22" customWidth="1"/>
    <col min="3" max="3" width="10" customWidth="1"/>
    <col min="4" max="4" width="9" customWidth="1"/>
    <col min="5" max="5" width="10" customWidth="1"/>
    <col min="6" max="6" width="8" customWidth="1"/>
    <col min="7" max="8" width="11" customWidth="1"/>
    <col min="9" max="9" width="10" customWidth="1"/>
    <col min="10" max="10" width="9" customWidth="1"/>
    <col min="11" max="11" width="10" customWidth="1"/>
    <col min="12" max="12" width="55" customWidth="1"/>
    <col min="13" max="13" width="50" customWidth="1"/>
    <col min="14" max="14" width="6" customWidth="1"/>
  </cols>
  <sheetData>
    <row r="1" spans="1:14" ht="18.75" x14ac:dyDescent="0.3">
      <c r="A1" s="1" t="s">
        <v>577</v>
      </c>
    </row>
    <row r="2" spans="1:14" ht="27.95" customHeight="1" x14ac:dyDescent="0.25">
      <c r="A2" s="3" t="s">
        <v>4</v>
      </c>
      <c r="B2" s="3" t="s">
        <v>64</v>
      </c>
      <c r="C2" s="3" t="s">
        <v>6</v>
      </c>
      <c r="D2" s="3" t="s">
        <v>7</v>
      </c>
      <c r="E2" s="3" t="s">
        <v>571</v>
      </c>
      <c r="F2" s="3" t="s">
        <v>572</v>
      </c>
      <c r="G2" s="3" t="s">
        <v>8</v>
      </c>
      <c r="H2" s="3" t="s">
        <v>578</v>
      </c>
      <c r="I2" s="3" t="s">
        <v>9</v>
      </c>
      <c r="J2" s="3" t="s">
        <v>10</v>
      </c>
      <c r="K2" s="3" t="s">
        <v>77</v>
      </c>
      <c r="L2" s="3" t="s">
        <v>13</v>
      </c>
      <c r="M2" s="3" t="s">
        <v>80</v>
      </c>
      <c r="N2" s="3" t="s">
        <v>14</v>
      </c>
    </row>
    <row r="3" spans="1:14" x14ac:dyDescent="0.25">
      <c r="A3">
        <f>1</f>
        <v>1</v>
      </c>
      <c r="B3" t="str">
        <f>INDEX('Draft Engine'!$B$3:$B$34,$N3)</f>
        <v>Josh Allen</v>
      </c>
      <c r="C3" s="4">
        <f>INDEX('Draft Engine'!$E$3:$E$34,$N3)</f>
        <v>97.309899999999999</v>
      </c>
      <c r="D3" t="str">
        <f t="shared" ref="D3:D34" si="0">IF($C3&gt;=95,"ELITE",IF($C3&gt;=90,"TIER 1",IF($C3&gt;=85,"TIER 2",IF($C3&gt;=80,"TIER 3",IF($C3&gt;=75,"TIER 4",IF($C3&gt;=70,"TIER 5",IF($C3&gt;=65,"TIER 6","TIER 7")))))))</f>
        <v>ELITE</v>
      </c>
      <c r="E3">
        <f>INDEX('Draft Engine'!$G$3:$G$34,$N3)</f>
        <v>407.9</v>
      </c>
      <c r="F3">
        <f>INDEX('Draft Engine'!$J$3:$J$34,$N3)</f>
        <v>56.8</v>
      </c>
      <c r="G3">
        <f>INDEX('Draft Engine'!$N$3:$N$34,$N3)</f>
        <v>90.744444999999999</v>
      </c>
      <c r="H3">
        <f>INDEX('Draft Engine'!$Q$3:$Q$34,$N3)</f>
        <v>12</v>
      </c>
      <c r="I3">
        <f>INDEX('Draft Engine'!$R$3:$R$34,$N3)</f>
        <v>23</v>
      </c>
      <c r="J3">
        <f>INDEX('Draft Engine'!$S$3:$S$34,$N3)</f>
        <v>11</v>
      </c>
      <c r="K3" t="str">
        <f>INDEX('Draft Engine'!$T$3:$T$34,$N3)</f>
        <v>A</v>
      </c>
      <c r="L3" t="str">
        <f>INDEX('LIVE SOURCE'!$H$3:$H$34,$N3)</f>
        <v>Elite QB1; weekly top-5 expectation with overall QB1 upside.</v>
      </c>
      <c r="M3" t="str">
        <f>INDEX('LIVE SOURCE'!$J$3:$J$34,$N3)</f>
        <v>Passing-TD efficiency, rushing volume and supporting-cast health are the main swing factors.</v>
      </c>
      <c r="N3" s="6">
        <f>MATCH($A3,'Draft Engine'!$F$3:$F$34,0)</f>
        <v>1</v>
      </c>
    </row>
    <row r="4" spans="1:14" x14ac:dyDescent="0.25">
      <c r="A4">
        <f>2</f>
        <v>2</v>
      </c>
      <c r="B4" t="str">
        <f>INDEX('Draft Engine'!$B$3:$B$34,$N4)</f>
        <v>Caleb Williams</v>
      </c>
      <c r="C4" s="4">
        <f>INDEX('Draft Engine'!$E$3:$E$34,$N4)</f>
        <v>92.192700000000002</v>
      </c>
      <c r="D4" t="str">
        <f t="shared" si="0"/>
        <v>TIER 1</v>
      </c>
      <c r="E4">
        <f>INDEX('Draft Engine'!$G$3:$G$34,$N4)</f>
        <v>384.9</v>
      </c>
      <c r="F4">
        <f>INDEX('Draft Engine'!$J$3:$J$34,$N4)</f>
        <v>33.799999999999997</v>
      </c>
      <c r="G4">
        <f>INDEX('Draft Engine'!$N$3:$N$34,$N4)</f>
        <v>83.020754230769228</v>
      </c>
      <c r="H4">
        <f>INDEX('Draft Engine'!$Q$3:$Q$34,$N4)</f>
        <v>30</v>
      </c>
      <c r="I4">
        <f>INDEX('Draft Engine'!$R$3:$R$34,$N4)</f>
        <v>30</v>
      </c>
      <c r="J4">
        <f>INDEX('Draft Engine'!$S$3:$S$34,$N4)</f>
        <v>0</v>
      </c>
      <c r="K4" t="str">
        <f>INDEX('Draft Engine'!$T$3:$T$34,$N4)</f>
        <v>A</v>
      </c>
      <c r="L4" t="str">
        <f>INDEX('LIVE SOURCE'!$H$3:$H$34,$N4)</f>
        <v>Elite QB1; weekly top-5 expectation with overall QB1 upside.</v>
      </c>
      <c r="M4" t="str">
        <f>INDEX('LIVE SOURCE'!$J$3:$J$34,$N4)</f>
        <v>Passing-TD efficiency, rushing volume and supporting-cast health are the main swing factors.</v>
      </c>
      <c r="N4" s="6">
        <f>MATCH($A4,'Draft Engine'!$F$3:$F$34,0)</f>
        <v>2</v>
      </c>
    </row>
    <row r="5" spans="1:14" x14ac:dyDescent="0.25">
      <c r="A5">
        <f>3</f>
        <v>3</v>
      </c>
      <c r="B5" t="str">
        <f>INDEX('Draft Engine'!$B$3:$B$34,$N5)</f>
        <v>Drake Maye</v>
      </c>
      <c r="C5" s="4">
        <f>INDEX('Draft Engine'!$E$3:$E$34,$N5)</f>
        <v>91.043000000000006</v>
      </c>
      <c r="D5" t="str">
        <f t="shared" si="0"/>
        <v>TIER 1</v>
      </c>
      <c r="E5">
        <f>INDEX('Draft Engine'!$G$3:$G$34,$N5)</f>
        <v>379.7</v>
      </c>
      <c r="F5">
        <f>INDEX('Draft Engine'!$J$3:$J$34,$N5)</f>
        <v>28.6</v>
      </c>
      <c r="G5">
        <f>INDEX('Draft Engine'!$N$3:$N$34,$N5)</f>
        <v>80.683188461538478</v>
      </c>
      <c r="H5">
        <f>INDEX('Draft Engine'!$Q$3:$Q$34,$N5)</f>
        <v>37</v>
      </c>
      <c r="I5">
        <f>INDEX('Draft Engine'!$R$3:$R$34,$N5)</f>
        <v>38</v>
      </c>
      <c r="J5">
        <f>INDEX('Draft Engine'!$S$3:$S$34,$N5)</f>
        <v>1</v>
      </c>
      <c r="K5" t="str">
        <f>INDEX('Draft Engine'!$T$3:$T$34,$N5)</f>
        <v>A</v>
      </c>
      <c r="L5" t="str">
        <f>INDEX('LIVE SOURCE'!$H$3:$H$34,$N5)</f>
        <v>Elite QB1; weekly top-5 expectation with overall QB1 upside.</v>
      </c>
      <c r="M5" t="str">
        <f>INDEX('LIVE SOURCE'!$J$3:$J$34,$N5)</f>
        <v>Passing-TD efficiency, rushing volume and supporting-cast health are the main swing factors.</v>
      </c>
      <c r="N5" s="6">
        <f>MATCH($A5,'Draft Engine'!$F$3:$F$34,0)</f>
        <v>3</v>
      </c>
    </row>
    <row r="6" spans="1:14" x14ac:dyDescent="0.25">
      <c r="A6">
        <f>4</f>
        <v>4</v>
      </c>
      <c r="B6" t="str">
        <f>INDEX('Draft Engine'!$B$3:$B$34,$N6)</f>
        <v>Justin Herbert</v>
      </c>
      <c r="C6" s="4">
        <f>INDEX('Draft Engine'!$E$3:$E$34,$N6)</f>
        <v>90.116900000000001</v>
      </c>
      <c r="D6" t="str">
        <f t="shared" si="0"/>
        <v>TIER 1</v>
      </c>
      <c r="E6">
        <f>INDEX('Draft Engine'!$G$3:$G$34,$N6)</f>
        <v>375.5</v>
      </c>
      <c r="F6">
        <f>INDEX('Draft Engine'!$J$3:$J$34,$N6)</f>
        <v>24.4</v>
      </c>
      <c r="G6">
        <f>INDEX('Draft Engine'!$N$3:$N$34,$N6)</f>
        <v>78.648602692307691</v>
      </c>
      <c r="H6">
        <f>INDEX('Draft Engine'!$Q$3:$Q$34,$N6)</f>
        <v>42</v>
      </c>
      <c r="I6">
        <f>INDEX('Draft Engine'!$R$3:$R$34,$N6)</f>
        <v>46</v>
      </c>
      <c r="J6">
        <f>INDEX('Draft Engine'!$S$3:$S$34,$N6)</f>
        <v>4</v>
      </c>
      <c r="K6" t="str">
        <f>INDEX('Draft Engine'!$T$3:$T$34,$N6)</f>
        <v>A</v>
      </c>
      <c r="L6" t="str">
        <f>INDEX('LIVE SOURCE'!$H$3:$H$34,$N6)</f>
        <v>Strong every-week QB1; frequent top-8 finishes expected.</v>
      </c>
      <c r="M6" t="str">
        <f>INDEX('LIVE SOURCE'!$J$3:$J$34,$N6)</f>
        <v>Passing-TD efficiency, rushing volume and supporting-cast health are the main swing factors.</v>
      </c>
      <c r="N6" s="6">
        <f>MATCH($A6,'Draft Engine'!$F$3:$F$34,0)</f>
        <v>4</v>
      </c>
    </row>
    <row r="7" spans="1:14" x14ac:dyDescent="0.25">
      <c r="A7">
        <f>5</f>
        <v>5</v>
      </c>
      <c r="B7" t="str">
        <f>INDEX('Draft Engine'!$B$3:$B$34,$N7)</f>
        <v>Lamar Jackson</v>
      </c>
      <c r="C7" s="4">
        <f>INDEX('Draft Engine'!$E$3:$E$34,$N7)</f>
        <v>88.711200000000005</v>
      </c>
      <c r="D7" t="str">
        <f t="shared" si="0"/>
        <v>TIER 2</v>
      </c>
      <c r="E7">
        <f>INDEX('Draft Engine'!$G$3:$G$34,$N7)</f>
        <v>369.2</v>
      </c>
      <c r="F7">
        <f>INDEX('Draft Engine'!$J$3:$J$34,$N7)</f>
        <v>18.100000000000001</v>
      </c>
      <c r="G7">
        <f>INDEX('Draft Engine'!$N$3:$N$34,$N7)</f>
        <v>75.97223692307692</v>
      </c>
      <c r="H7">
        <f>INDEX('Draft Engine'!$Q$3:$Q$34,$N7)</f>
        <v>49</v>
      </c>
      <c r="I7">
        <f>INDEX('Draft Engine'!$R$3:$R$34,$N7)</f>
        <v>54</v>
      </c>
      <c r="J7">
        <f>INDEX('Draft Engine'!$S$3:$S$34,$N7)</f>
        <v>5</v>
      </c>
      <c r="K7" t="str">
        <f>INDEX('Draft Engine'!$T$3:$T$34,$N7)</f>
        <v>A</v>
      </c>
      <c r="L7" t="str">
        <f>INDEX('LIVE SOURCE'!$H$3:$H$34,$N7)</f>
        <v>Strong every-week QB1; frequent top-8 finishes expected.</v>
      </c>
      <c r="M7" t="str">
        <f>INDEX('LIVE SOURCE'!$J$3:$J$34,$N7)</f>
        <v>Passing-TD efficiency, rushing volume and supporting-cast health are the main swing factors.</v>
      </c>
      <c r="N7" s="6">
        <f>MATCH($A7,'Draft Engine'!$F$3:$F$34,0)</f>
        <v>5</v>
      </c>
    </row>
    <row r="8" spans="1:14" x14ac:dyDescent="0.25">
      <c r="A8">
        <f>6</f>
        <v>6</v>
      </c>
      <c r="B8" t="str">
        <f>INDEX('Draft Engine'!$B$3:$B$34,$N8)</f>
        <v>Jalen Hurts</v>
      </c>
      <c r="C8" s="4">
        <f>INDEX('Draft Engine'!$E$3:$E$34,$N8)</f>
        <v>88.4499</v>
      </c>
      <c r="D8" t="str">
        <f t="shared" si="0"/>
        <v>TIER 2</v>
      </c>
      <c r="E8">
        <f>INDEX('Draft Engine'!$G$3:$G$34,$N8)</f>
        <v>368</v>
      </c>
      <c r="F8">
        <f>INDEX('Draft Engine'!$J$3:$J$34,$N8)</f>
        <v>16.899999999999999</v>
      </c>
      <c r="G8">
        <f>INDEX('Draft Engine'!$N$3:$N$34,$N8)</f>
        <v>74.843291153846167</v>
      </c>
      <c r="H8">
        <f>INDEX('Draft Engine'!$Q$3:$Q$34,$N8)</f>
        <v>52</v>
      </c>
      <c r="I8">
        <f>INDEX('Draft Engine'!$R$3:$R$34,$N8)</f>
        <v>62</v>
      </c>
      <c r="J8">
        <f>INDEX('Draft Engine'!$S$3:$S$34,$N8)</f>
        <v>10</v>
      </c>
      <c r="K8" t="str">
        <f>INDEX('Draft Engine'!$T$3:$T$34,$N8)</f>
        <v>A</v>
      </c>
      <c r="L8" t="str">
        <f>INDEX('LIVE SOURCE'!$H$3:$H$34,$N8)</f>
        <v>Strong every-week QB1; frequent top-8 finishes expected.</v>
      </c>
      <c r="M8" t="str">
        <f>INDEX('LIVE SOURCE'!$J$3:$J$34,$N8)</f>
        <v>Passing-TD efficiency, rushing volume and supporting-cast health are the main swing factors.</v>
      </c>
      <c r="N8" s="6">
        <f>MATCH($A8,'Draft Engine'!$F$3:$F$34,0)</f>
        <v>6</v>
      </c>
    </row>
    <row r="9" spans="1:14" x14ac:dyDescent="0.25">
      <c r="A9">
        <f>7</f>
        <v>7</v>
      </c>
      <c r="B9" t="str">
        <f>INDEX('Draft Engine'!$B$3:$B$34,$N9)</f>
        <v>Patrick Mahomes II</v>
      </c>
      <c r="C9" s="4">
        <f>INDEX('Draft Engine'!$E$3:$E$34,$N9)</f>
        <v>87.006299999999996</v>
      </c>
      <c r="D9" t="str">
        <f t="shared" si="0"/>
        <v>TIER 2</v>
      </c>
      <c r="E9">
        <f>INDEX('Draft Engine'!$G$3:$G$34,$N9)</f>
        <v>361.5</v>
      </c>
      <c r="F9">
        <f>INDEX('Draft Engine'!$J$3:$J$34,$N9)</f>
        <v>10.4</v>
      </c>
      <c r="G9">
        <f>INDEX('Draft Engine'!$N$3:$N$34,$N9)</f>
        <v>72.110080384615387</v>
      </c>
      <c r="H9">
        <f>INDEX('Draft Engine'!$Q$3:$Q$34,$N9)</f>
        <v>59</v>
      </c>
      <c r="I9">
        <f>INDEX('Draft Engine'!$R$3:$R$34,$N9)</f>
        <v>70</v>
      </c>
      <c r="J9">
        <f>INDEX('Draft Engine'!$S$3:$S$34,$N9)</f>
        <v>11</v>
      </c>
      <c r="K9" t="str">
        <f>INDEX('Draft Engine'!$T$3:$T$34,$N9)</f>
        <v>A</v>
      </c>
      <c r="L9" t="str">
        <f>INDEX('LIVE SOURCE'!$H$3:$H$34,$N9)</f>
        <v>Strong every-week QB1; frequent top-8 finishes expected.</v>
      </c>
      <c r="M9" t="str">
        <f>INDEX('LIVE SOURCE'!$J$3:$J$34,$N9)</f>
        <v>Passing-TD efficiency, rushing volume and supporting-cast health are the main swing factors.</v>
      </c>
      <c r="N9" s="6">
        <f>MATCH($A9,'Draft Engine'!$F$3:$F$34,0)</f>
        <v>7</v>
      </c>
    </row>
    <row r="10" spans="1:14" x14ac:dyDescent="0.25">
      <c r="A10">
        <f>8</f>
        <v>8</v>
      </c>
      <c r="B10" t="str">
        <f>INDEX('Draft Engine'!$B$3:$B$34,$N10)</f>
        <v>Jayden Daniels</v>
      </c>
      <c r="C10" s="4">
        <f>INDEX('Draft Engine'!$E$3:$E$34,$N10)</f>
        <v>86.700299999999999</v>
      </c>
      <c r="D10" t="str">
        <f t="shared" si="0"/>
        <v>TIER 2</v>
      </c>
      <c r="E10">
        <f>INDEX('Draft Engine'!$G$3:$G$34,$N10)</f>
        <v>360.2</v>
      </c>
      <c r="F10">
        <f>INDEX('Draft Engine'!$J$3:$J$34,$N10)</f>
        <v>9.1</v>
      </c>
      <c r="G10">
        <f>INDEX('Draft Engine'!$N$3:$N$34,$N10)</f>
        <v>70.938549615384616</v>
      </c>
      <c r="H10">
        <f>INDEX('Draft Engine'!$Q$3:$Q$34,$N10)</f>
        <v>62</v>
      </c>
      <c r="I10">
        <f>INDEX('Draft Engine'!$R$3:$R$34,$N10)</f>
        <v>78</v>
      </c>
      <c r="J10">
        <f>INDEX('Draft Engine'!$S$3:$S$34,$N10)</f>
        <v>16</v>
      </c>
      <c r="K10" t="str">
        <f>INDEX('Draft Engine'!$T$3:$T$34,$N10)</f>
        <v>B</v>
      </c>
      <c r="L10" t="str">
        <f>INDEX('LIVE SOURCE'!$H$3:$H$34,$N10)</f>
        <v>Strong every-week QB1; frequent top-8 finishes expected.</v>
      </c>
      <c r="M10" t="str">
        <f>INDEX('LIVE SOURCE'!$J$3:$J$34,$N10)</f>
        <v>Availability/sample risk is elevated after only 7 games; talent is not being punished as heavily as durability.</v>
      </c>
      <c r="N10" s="6">
        <f>MATCH($A10,'Draft Engine'!$F$3:$F$34,0)</f>
        <v>8</v>
      </c>
    </row>
    <row r="11" spans="1:14" x14ac:dyDescent="0.25">
      <c r="A11">
        <f>9</f>
        <v>9</v>
      </c>
      <c r="B11" t="str">
        <f>INDEX('Draft Engine'!$B$3:$B$34,$N11)</f>
        <v>Joe Burrow</v>
      </c>
      <c r="C11" s="4">
        <f>INDEX('Draft Engine'!$E$3:$E$34,$N11)</f>
        <v>85.591300000000004</v>
      </c>
      <c r="D11" t="str">
        <f t="shared" si="0"/>
        <v>TIER 2</v>
      </c>
      <c r="E11">
        <f>INDEX('Draft Engine'!$G$3:$G$34,$N11)</f>
        <v>355.2</v>
      </c>
      <c r="F11">
        <f>INDEX('Draft Engine'!$J$3:$J$34,$N11)</f>
        <v>4.0999999999999996</v>
      </c>
      <c r="G11">
        <f>INDEX('Draft Engine'!$N$3:$N$34,$N11)</f>
        <v>68.659368846153853</v>
      </c>
      <c r="H11">
        <f>INDEX('Draft Engine'!$Q$3:$Q$34,$N11)</f>
        <v>67</v>
      </c>
      <c r="I11">
        <f>INDEX('Draft Engine'!$R$3:$R$34,$N11)</f>
        <v>86</v>
      </c>
      <c r="J11">
        <f>INDEX('Draft Engine'!$S$3:$S$34,$N11)</f>
        <v>19</v>
      </c>
      <c r="K11" t="str">
        <f>INDEX('Draft Engine'!$T$3:$T$34,$N11)</f>
        <v>B</v>
      </c>
      <c r="L11" t="str">
        <f>INDEX('LIVE SOURCE'!$H$3:$H$34,$N11)</f>
        <v>Low-end QB1/high-end QB2 in a 10-team league; startable most weeks.</v>
      </c>
      <c r="M11" t="str">
        <f>INDEX('LIVE SOURCE'!$J$3:$J$34,$N11)</f>
        <v>Availability/sample risk is elevated after only 8 games; talent is not being punished as heavily as durability.</v>
      </c>
      <c r="N11" s="6">
        <f>MATCH($A11,'Draft Engine'!$F$3:$F$34,0)</f>
        <v>9</v>
      </c>
    </row>
    <row r="12" spans="1:14" x14ac:dyDescent="0.25">
      <c r="A12">
        <f>10</f>
        <v>10</v>
      </c>
      <c r="B12" t="str">
        <f>INDEX('Draft Engine'!$B$3:$B$34,$N12)</f>
        <v>Matthew Stafford</v>
      </c>
      <c r="C12" s="4">
        <f>INDEX('Draft Engine'!$E$3:$E$34,$N12)</f>
        <v>85.419700000000006</v>
      </c>
      <c r="D12" t="str">
        <f t="shared" si="0"/>
        <v>TIER 2</v>
      </c>
      <c r="E12">
        <f>INDEX('Draft Engine'!$G$3:$G$34,$N12)</f>
        <v>354.4</v>
      </c>
      <c r="F12">
        <f>INDEX('Draft Engine'!$J$3:$J$34,$N12)</f>
        <v>3.3</v>
      </c>
      <c r="G12">
        <f>INDEX('Draft Engine'!$N$3:$N$34,$N12)</f>
        <v>67.651758076923088</v>
      </c>
      <c r="H12">
        <f>INDEX('Draft Engine'!$Q$3:$Q$34,$N12)</f>
        <v>71</v>
      </c>
      <c r="I12">
        <f>INDEX('Draft Engine'!$R$3:$R$34,$N12)</f>
        <v>94</v>
      </c>
      <c r="J12">
        <f>INDEX('Draft Engine'!$S$3:$S$34,$N12)</f>
        <v>23</v>
      </c>
      <c r="K12" t="str">
        <f>INDEX('Draft Engine'!$T$3:$T$34,$N12)</f>
        <v>A</v>
      </c>
      <c r="L12" t="str">
        <f>INDEX('LIVE SOURCE'!$H$3:$H$34,$N12)</f>
        <v>Low-end QB1/high-end QB2 in a 10-team league; startable most weeks.</v>
      </c>
      <c r="M12" t="str">
        <f>INDEX('LIVE SOURCE'!$J$3:$J$34,$N12)</f>
        <v>Passing-TD efficiency, rushing volume and supporting-cast health are the main swing factors.</v>
      </c>
      <c r="N12" s="6">
        <f>MATCH($A12,'Draft Engine'!$F$3:$F$34,0)</f>
        <v>10</v>
      </c>
    </row>
    <row r="13" spans="1:14" x14ac:dyDescent="0.25">
      <c r="A13">
        <f>11</f>
        <v>11</v>
      </c>
      <c r="B13" t="str">
        <f>INDEX('Draft Engine'!$B$3:$B$34,$N13)</f>
        <v>Bo Nix</v>
      </c>
      <c r="C13" s="4">
        <f>INDEX('Draft Engine'!$E$3:$E$34,$N13)</f>
        <v>85.248500000000007</v>
      </c>
      <c r="D13" t="str">
        <f t="shared" si="0"/>
        <v>TIER 2</v>
      </c>
      <c r="E13">
        <f>INDEX('Draft Engine'!$G$3:$G$34,$N13)</f>
        <v>353.6</v>
      </c>
      <c r="F13">
        <f>INDEX('Draft Engine'!$J$3:$J$34,$N13)</f>
        <v>2.5</v>
      </c>
      <c r="G13">
        <f>INDEX('Draft Engine'!$N$3:$N$34,$N13)</f>
        <v>66.64436730769232</v>
      </c>
      <c r="H13">
        <f>INDEX('Draft Engine'!$Q$3:$Q$34,$N13)</f>
        <v>75</v>
      </c>
      <c r="I13">
        <f>INDEX('Draft Engine'!$R$3:$R$34,$N13)</f>
        <v>102</v>
      </c>
      <c r="J13">
        <f>INDEX('Draft Engine'!$S$3:$S$34,$N13)</f>
        <v>27</v>
      </c>
      <c r="K13" t="str">
        <f>INDEX('Draft Engine'!$T$3:$T$34,$N13)</f>
        <v>A</v>
      </c>
      <c r="L13" t="str">
        <f>INDEX('LIVE SOURCE'!$H$3:$H$34,$N13)</f>
        <v>Low-end QB1/high-end QB2 in a 10-team league; startable most weeks.</v>
      </c>
      <c r="M13" t="str">
        <f>INDEX('LIVE SOURCE'!$J$3:$J$34,$N13)</f>
        <v>Passing-TD efficiency, rushing volume and supporting-cast health are the main swing factors.</v>
      </c>
      <c r="N13" s="6">
        <f>MATCH($A13,'Draft Engine'!$F$3:$F$34,0)</f>
        <v>11</v>
      </c>
    </row>
    <row r="14" spans="1:14" x14ac:dyDescent="0.25">
      <c r="A14">
        <f>12</f>
        <v>12</v>
      </c>
      <c r="B14" t="str">
        <f>INDEX('Draft Engine'!$B$3:$B$34,$N14)</f>
        <v>Dak Prescott</v>
      </c>
      <c r="C14" s="4">
        <f>INDEX('Draft Engine'!$E$3:$E$34,$N14)</f>
        <v>85.115600000000001</v>
      </c>
      <c r="D14" t="str">
        <f t="shared" si="0"/>
        <v>TIER 2</v>
      </c>
      <c r="E14">
        <f>INDEX('Draft Engine'!$G$3:$G$34,$N14)</f>
        <v>353</v>
      </c>
      <c r="F14">
        <f>INDEX('Draft Engine'!$J$3:$J$34,$N14)</f>
        <v>1.9</v>
      </c>
      <c r="G14">
        <f>INDEX('Draft Engine'!$N$3:$N$34,$N14)</f>
        <v>65.694041538461533</v>
      </c>
      <c r="H14">
        <f>INDEX('Draft Engine'!$Q$3:$Q$34,$N14)</f>
        <v>78</v>
      </c>
      <c r="I14">
        <f>INDEX('Draft Engine'!$R$3:$R$34,$N14)</f>
        <v>110</v>
      </c>
      <c r="J14">
        <f>INDEX('Draft Engine'!$S$3:$S$34,$N14)</f>
        <v>32</v>
      </c>
      <c r="K14" t="str">
        <f>INDEX('Draft Engine'!$T$3:$T$34,$N14)</f>
        <v>A</v>
      </c>
      <c r="L14" t="str">
        <f>INDEX('LIVE SOURCE'!$H$3:$H$34,$N14)</f>
        <v>Low-end QB1/high-end QB2 in a 10-team league; startable most weeks.</v>
      </c>
      <c r="M14" t="str">
        <f>INDEX('LIVE SOURCE'!$J$3:$J$34,$N14)</f>
        <v>Passing-TD efficiency, rushing volume and supporting-cast health are the main swing factors.</v>
      </c>
      <c r="N14" s="6">
        <f>MATCH($A14,'Draft Engine'!$F$3:$F$34,0)</f>
        <v>12</v>
      </c>
    </row>
    <row r="15" spans="1:14" x14ac:dyDescent="0.25">
      <c r="A15">
        <f>13</f>
        <v>13</v>
      </c>
      <c r="B15" t="str">
        <f>INDEX('Draft Engine'!$B$3:$B$34,$N15)</f>
        <v>Trevor Lawrence</v>
      </c>
      <c r="C15" s="4">
        <f>INDEX('Draft Engine'!$E$3:$E$34,$N15)</f>
        <v>84.692099999999996</v>
      </c>
      <c r="D15" t="str">
        <f t="shared" si="0"/>
        <v>TIER 3</v>
      </c>
      <c r="E15">
        <f>INDEX('Draft Engine'!$G$3:$G$34,$N15)</f>
        <v>351.1</v>
      </c>
      <c r="F15">
        <f>INDEX('Draft Engine'!$J$3:$J$34,$N15)</f>
        <v>0</v>
      </c>
      <c r="G15">
        <f>INDEX('Draft Engine'!$N$3:$N$34,$N15)</f>
        <v>64.349885769230767</v>
      </c>
      <c r="H15">
        <f>INDEX('Draft Engine'!$Q$3:$Q$34,$N15)</f>
        <v>82</v>
      </c>
      <c r="I15">
        <f>INDEX('Draft Engine'!$R$3:$R$34,$N15)</f>
        <v>118</v>
      </c>
      <c r="J15">
        <f>INDEX('Draft Engine'!$S$3:$S$34,$N15)</f>
        <v>36</v>
      </c>
      <c r="K15" t="str">
        <f>INDEX('Draft Engine'!$T$3:$T$34,$N15)</f>
        <v>A</v>
      </c>
      <c r="L15" t="str">
        <f>INDEX('LIVE SOURCE'!$H$3:$H$34,$N15)</f>
        <v>QB2/streaming tier; useful when matchup and supporting cast line up.</v>
      </c>
      <c r="M15" t="str">
        <f>INDEX('LIVE SOURCE'!$J$3:$J$34,$N15)</f>
        <v>Passing-TD efficiency, rushing volume and supporting-cast health are the main swing factors.</v>
      </c>
      <c r="N15" s="6">
        <f>MATCH($A15,'Draft Engine'!$F$3:$F$34,0)</f>
        <v>13</v>
      </c>
    </row>
    <row r="16" spans="1:14" x14ac:dyDescent="0.25">
      <c r="A16">
        <f>14</f>
        <v>14</v>
      </c>
      <c r="B16" t="str">
        <f>INDEX('Draft Engine'!$B$3:$B$34,$N16)</f>
        <v>Brock Purdy</v>
      </c>
      <c r="C16" s="4">
        <f>INDEX('Draft Engine'!$E$3:$E$34,$N16)</f>
        <v>83.8386</v>
      </c>
      <c r="D16" t="str">
        <f t="shared" si="0"/>
        <v>TIER 3</v>
      </c>
      <c r="E16">
        <f>INDEX('Draft Engine'!$G$3:$G$34,$N16)</f>
        <v>347.3</v>
      </c>
      <c r="F16">
        <f>INDEX('Draft Engine'!$J$3:$J$34,$N16)</f>
        <v>-3.8</v>
      </c>
      <c r="G16">
        <f>INDEX('Draft Engine'!$N$3:$N$34,$N16)</f>
        <v>62.427230000000009</v>
      </c>
      <c r="H16">
        <f>INDEX('Draft Engine'!$Q$3:$Q$34,$N16)</f>
        <v>90</v>
      </c>
      <c r="I16">
        <f>INDEX('Draft Engine'!$R$3:$R$34,$N16)</f>
        <v>126</v>
      </c>
      <c r="J16">
        <f>INDEX('Draft Engine'!$S$3:$S$34,$N16)</f>
        <v>36</v>
      </c>
      <c r="K16" t="str">
        <f>INDEX('Draft Engine'!$T$3:$T$34,$N16)</f>
        <v>B</v>
      </c>
      <c r="L16" t="str">
        <f>INDEX('LIVE SOURCE'!$H$3:$H$34,$N16)</f>
        <v>QB2/streaming tier; useful when matchup and supporting cast line up.</v>
      </c>
      <c r="M16" t="str">
        <f>INDEX('LIVE SOURCE'!$J$3:$J$34,$N16)</f>
        <v>Availability/sample risk is elevated after only 9 games; talent is not being punished as heavily as durability.</v>
      </c>
      <c r="N16" s="6">
        <f>MATCH($A16,'Draft Engine'!$F$3:$F$34,0)</f>
        <v>14</v>
      </c>
    </row>
    <row r="17" spans="1:14" x14ac:dyDescent="0.25">
      <c r="A17">
        <f>15</f>
        <v>15</v>
      </c>
      <c r="B17" t="str">
        <f>INDEX('Draft Engine'!$B$3:$B$34,$N17)</f>
        <v>Jaxson Dart</v>
      </c>
      <c r="C17" s="4">
        <f>INDEX('Draft Engine'!$E$3:$E$34,$N17)</f>
        <v>83.060699999999997</v>
      </c>
      <c r="D17" t="str">
        <f t="shared" si="0"/>
        <v>TIER 3</v>
      </c>
      <c r="E17">
        <f>INDEX('Draft Engine'!$G$3:$G$34,$N17)</f>
        <v>343.8</v>
      </c>
      <c r="F17">
        <f>INDEX('Draft Engine'!$J$3:$J$34,$N17)</f>
        <v>-7.3</v>
      </c>
      <c r="G17">
        <f>INDEX('Draft Engine'!$N$3:$N$34,$N17)</f>
        <v>60.600154230769235</v>
      </c>
      <c r="H17">
        <f>INDEX('Draft Engine'!$Q$3:$Q$34,$N17)</f>
        <v>96</v>
      </c>
      <c r="I17">
        <f>INDEX('Draft Engine'!$R$3:$R$34,$N17)</f>
        <v>134</v>
      </c>
      <c r="J17">
        <f>INDEX('Draft Engine'!$S$3:$S$34,$N17)</f>
        <v>38</v>
      </c>
      <c r="K17" t="str">
        <f>INDEX('Draft Engine'!$T$3:$T$34,$N17)</f>
        <v>A</v>
      </c>
      <c r="L17" t="str">
        <f>INDEX('LIVE SOURCE'!$H$3:$H$34,$N17)</f>
        <v>QB2/streaming tier; useful when matchup and supporting cast line up.</v>
      </c>
      <c r="M17" t="str">
        <f>INDEX('LIVE SOURCE'!$J$3:$J$34,$N17)</f>
        <v>Passing-TD efficiency, rushing volume and supporting-cast health are the main swing factors.</v>
      </c>
      <c r="N17" s="6">
        <f>MATCH($A17,'Draft Engine'!$F$3:$F$34,0)</f>
        <v>15</v>
      </c>
    </row>
    <row r="18" spans="1:14" x14ac:dyDescent="0.25">
      <c r="A18">
        <f>16</f>
        <v>16</v>
      </c>
      <c r="B18" t="str">
        <f>INDEX('Draft Engine'!$B$3:$B$34,$N18)</f>
        <v>Jared Goff</v>
      </c>
      <c r="C18" s="4">
        <f>INDEX('Draft Engine'!$E$3:$E$34,$N18)</f>
        <v>82.642499999999998</v>
      </c>
      <c r="D18" t="str">
        <f t="shared" si="0"/>
        <v>TIER 3</v>
      </c>
      <c r="E18">
        <f>INDEX('Draft Engine'!$G$3:$G$34,$N18)</f>
        <v>341.9</v>
      </c>
      <c r="F18">
        <f>INDEX('Draft Engine'!$J$3:$J$34,$N18)</f>
        <v>-9.1999999999999993</v>
      </c>
      <c r="G18">
        <f>INDEX('Draft Engine'!$N$3:$N$34,$N18)</f>
        <v>59.258913461538462</v>
      </c>
      <c r="H18">
        <f>INDEX('Draft Engine'!$Q$3:$Q$34,$N18)</f>
        <v>99</v>
      </c>
      <c r="I18">
        <f>INDEX('Draft Engine'!$R$3:$R$34,$N18)</f>
        <v>142</v>
      </c>
      <c r="J18">
        <f>INDEX('Draft Engine'!$S$3:$S$34,$N18)</f>
        <v>43</v>
      </c>
      <c r="K18" t="str">
        <f>INDEX('Draft Engine'!$T$3:$T$34,$N18)</f>
        <v>A</v>
      </c>
      <c r="L18" t="str">
        <f>INDEX('LIVE SOURCE'!$H$3:$H$34,$N18)</f>
        <v>QB2/streaming tier; useful when matchup and supporting cast line up.</v>
      </c>
      <c r="M18" t="str">
        <f>INDEX('LIVE SOURCE'!$J$3:$J$34,$N18)</f>
        <v>Passing-TD efficiency, rushing volume and supporting-cast health are the main swing factors.</v>
      </c>
      <c r="N18" s="6">
        <f>MATCH($A18,'Draft Engine'!$F$3:$F$34,0)</f>
        <v>16</v>
      </c>
    </row>
    <row r="19" spans="1:14" x14ac:dyDescent="0.25">
      <c r="A19">
        <f>17</f>
        <v>17</v>
      </c>
      <c r="B19" t="str">
        <f>INDEX('Draft Engine'!$B$3:$B$34,$N19)</f>
        <v>Kyler Murray</v>
      </c>
      <c r="C19" s="4">
        <f>INDEX('Draft Engine'!$E$3:$E$34,$N19)</f>
        <v>80.710099999999997</v>
      </c>
      <c r="D19" t="str">
        <f t="shared" si="0"/>
        <v>TIER 3</v>
      </c>
      <c r="E19">
        <f>INDEX('Draft Engine'!$G$3:$G$34,$N19)</f>
        <v>333.2</v>
      </c>
      <c r="F19">
        <f>INDEX('Draft Engine'!$J$3:$J$34,$N19)</f>
        <v>-17.899999999999999</v>
      </c>
      <c r="G19">
        <f>INDEX('Draft Engine'!$N$3:$N$34,$N19)</f>
        <v>55.860862692307691</v>
      </c>
      <c r="H19">
        <f>INDEX('Draft Engine'!$Q$3:$Q$34,$N19)</f>
        <v>109</v>
      </c>
      <c r="I19">
        <f>INDEX('Draft Engine'!$R$3:$R$34,$N19)</f>
        <v>150</v>
      </c>
      <c r="J19">
        <f>INDEX('Draft Engine'!$S$3:$S$34,$N19)</f>
        <v>41</v>
      </c>
      <c r="K19" t="str">
        <f>INDEX('Draft Engine'!$T$3:$T$34,$N19)</f>
        <v>B</v>
      </c>
      <c r="L19" t="str">
        <f>INDEX('LIVE SOURCE'!$H$3:$H$34,$N19)</f>
        <v>QB2/streaming tier; useful when matchup and supporting cast line up.</v>
      </c>
      <c r="M19" t="str">
        <f>INDEX('LIVE SOURCE'!$J$3:$J$34,$N19)</f>
        <v>Availability/sample risk is elevated after only 5 games; talent is not being punished as heavily as durability.</v>
      </c>
      <c r="N19" s="6">
        <f>MATCH($A19,'Draft Engine'!$F$3:$F$34,0)</f>
        <v>17</v>
      </c>
    </row>
    <row r="20" spans="1:14" x14ac:dyDescent="0.25">
      <c r="A20">
        <f>18</f>
        <v>18</v>
      </c>
      <c r="B20" t="str">
        <f>INDEX('Draft Engine'!$B$3:$B$34,$N20)</f>
        <v>Jordan Love</v>
      </c>
      <c r="C20" s="4">
        <f>INDEX('Draft Engine'!$E$3:$E$34,$N20)</f>
        <v>80.040800000000004</v>
      </c>
      <c r="D20" t="str">
        <f t="shared" si="0"/>
        <v>TIER 3</v>
      </c>
      <c r="E20">
        <f>INDEX('Draft Engine'!$G$3:$G$34,$N20)</f>
        <v>330.2</v>
      </c>
      <c r="F20">
        <f>INDEX('Draft Engine'!$J$3:$J$34,$N20)</f>
        <v>-20.9</v>
      </c>
      <c r="G20">
        <f>INDEX('Draft Engine'!$N$3:$N$34,$N20)</f>
        <v>54.183516923076922</v>
      </c>
      <c r="H20">
        <f>INDEX('Draft Engine'!$Q$3:$Q$34,$N20)</f>
        <v>114</v>
      </c>
      <c r="I20">
        <f>INDEX('Draft Engine'!$R$3:$R$34,$N20)</f>
        <v>158</v>
      </c>
      <c r="J20">
        <f>INDEX('Draft Engine'!$S$3:$S$34,$N20)</f>
        <v>44</v>
      </c>
      <c r="K20" t="str">
        <f>INDEX('Draft Engine'!$T$3:$T$34,$N20)</f>
        <v>A</v>
      </c>
      <c r="L20" t="str">
        <f>INDEX('LIVE SOURCE'!$H$3:$H$34,$N20)</f>
        <v>QB2/streaming tier; useful when matchup and supporting cast line up.</v>
      </c>
      <c r="M20" t="str">
        <f>INDEX('LIVE SOURCE'!$J$3:$J$34,$N20)</f>
        <v>Passing-TD efficiency, rushing volume and supporting-cast health are the main swing factors.</v>
      </c>
      <c r="N20" s="6">
        <f>MATCH($A20,'Draft Engine'!$F$3:$F$34,0)</f>
        <v>18</v>
      </c>
    </row>
    <row r="21" spans="1:14" x14ac:dyDescent="0.25">
      <c r="A21">
        <f>19</f>
        <v>19</v>
      </c>
      <c r="B21" t="str">
        <f>INDEX('Draft Engine'!$B$3:$B$34,$N21)</f>
        <v>Baker Mayfield</v>
      </c>
      <c r="C21" s="4">
        <f>INDEX('Draft Engine'!$E$3:$E$34,$N21)</f>
        <v>79.825999999999993</v>
      </c>
      <c r="D21" t="str">
        <f t="shared" si="0"/>
        <v>TIER 4</v>
      </c>
      <c r="E21">
        <f>INDEX('Draft Engine'!$G$3:$G$34,$N21)</f>
        <v>329.2</v>
      </c>
      <c r="F21">
        <f>INDEX('Draft Engine'!$J$3:$J$34,$N21)</f>
        <v>-21.9</v>
      </c>
      <c r="G21">
        <f>INDEX('Draft Engine'!$N$3:$N$34,$N21)</f>
        <v>53.116146153846152</v>
      </c>
      <c r="H21">
        <f>INDEX('Draft Engine'!$Q$3:$Q$34,$N21)</f>
        <v>117</v>
      </c>
      <c r="I21">
        <f>INDEX('Draft Engine'!$R$3:$R$34,$N21)</f>
        <v>166</v>
      </c>
      <c r="J21">
        <f>INDEX('Draft Engine'!$S$3:$S$34,$N21)</f>
        <v>49</v>
      </c>
      <c r="K21" t="str">
        <f>INDEX('Draft Engine'!$T$3:$T$34,$N21)</f>
        <v>A</v>
      </c>
      <c r="L21" t="str">
        <f>INDEX('LIVE SOURCE'!$H$3:$H$34,$N21)</f>
        <v>Bench/streaming option; needs matchup, rushing or TD spike weeks.</v>
      </c>
      <c r="M21" t="str">
        <f>INDEX('LIVE SOURCE'!$J$3:$J$34,$N21)</f>
        <v>Passing-TD efficiency, rushing volume and supporting-cast health are the main swing factors.</v>
      </c>
      <c r="N21" s="6">
        <f>MATCH($A21,'Draft Engine'!$F$3:$F$34,0)</f>
        <v>19</v>
      </c>
    </row>
    <row r="22" spans="1:14" x14ac:dyDescent="0.25">
      <c r="A22">
        <f>20</f>
        <v>20</v>
      </c>
      <c r="B22" t="str">
        <f>INDEX('Draft Engine'!$B$3:$B$34,$N22)</f>
        <v>Tyler Shough</v>
      </c>
      <c r="C22" s="4">
        <f>INDEX('Draft Engine'!$E$3:$E$34,$N22)</f>
        <v>77.365600000000001</v>
      </c>
      <c r="D22" t="str">
        <f t="shared" si="0"/>
        <v>TIER 4</v>
      </c>
      <c r="E22">
        <f>INDEX('Draft Engine'!$G$3:$G$34,$N22)</f>
        <v>318.10000000000002</v>
      </c>
      <c r="F22">
        <f>INDEX('Draft Engine'!$J$3:$J$34,$N22)</f>
        <v>-33</v>
      </c>
      <c r="G22">
        <f>INDEX('Draft Engine'!$N$3:$N$34,$N22)</f>
        <v>48.995695384615388</v>
      </c>
      <c r="H22">
        <f>INDEX('Draft Engine'!$Q$3:$Q$34,$N22)</f>
        <v>129</v>
      </c>
      <c r="I22">
        <f>INDEX('Draft Engine'!$R$3:$R$34,$N22)</f>
        <v>174</v>
      </c>
      <c r="J22">
        <f>INDEX('Draft Engine'!$S$3:$S$34,$N22)</f>
        <v>45</v>
      </c>
      <c r="K22" t="str">
        <f>INDEX('Draft Engine'!$T$3:$T$34,$N22)</f>
        <v>B</v>
      </c>
      <c r="L22" t="str">
        <f>INDEX('LIVE SOURCE'!$H$3:$H$34,$N22)</f>
        <v>Bench/streaming option; needs matchup, rushing or TD spike weeks.</v>
      </c>
      <c r="M22" t="str">
        <f>INDEX('LIVE SOURCE'!$J$3:$J$34,$N22)</f>
        <v>Passing-TD efficiency, rushing volume and supporting-cast health are the main swing factors.</v>
      </c>
      <c r="N22" s="6">
        <f>MATCH($A22,'Draft Engine'!$F$3:$F$34,0)</f>
        <v>20</v>
      </c>
    </row>
    <row r="23" spans="1:14" x14ac:dyDescent="0.25">
      <c r="A23">
        <f>21</f>
        <v>21</v>
      </c>
      <c r="B23" t="str">
        <f>INDEX('Draft Engine'!$B$3:$B$34,$N23)</f>
        <v>C.J. Stroud</v>
      </c>
      <c r="C23" s="4">
        <f>INDEX('Draft Engine'!$E$3:$E$34,$N23)</f>
        <v>75.762100000000004</v>
      </c>
      <c r="D23" t="str">
        <f t="shared" si="0"/>
        <v>TIER 4</v>
      </c>
      <c r="E23">
        <f>INDEX('Draft Engine'!$G$3:$G$34,$N23)</f>
        <v>310.89999999999998</v>
      </c>
      <c r="F23">
        <f>INDEX('Draft Engine'!$J$3:$J$34,$N23)</f>
        <v>-40.200000000000003</v>
      </c>
      <c r="G23">
        <f>INDEX('Draft Engine'!$N$3:$N$34,$N23)</f>
        <v>46.433154999999999</v>
      </c>
      <c r="H23">
        <f>INDEX('Draft Engine'!$Q$3:$Q$34,$N23)</f>
        <v>156</v>
      </c>
      <c r="I23">
        <f>INDEX('Draft Engine'!$R$3:$R$34,$N23)</f>
        <v>182</v>
      </c>
      <c r="J23">
        <f>INDEX('Draft Engine'!$S$3:$S$34,$N23)</f>
        <v>26</v>
      </c>
      <c r="K23" t="str">
        <f>INDEX('Draft Engine'!$T$3:$T$34,$N23)</f>
        <v>A</v>
      </c>
      <c r="L23" t="str">
        <f>INDEX('LIVE SOURCE'!$H$3:$H$34,$N23)</f>
        <v>Bench/streaming option; needs matchup, rushing or TD spike weeks.</v>
      </c>
      <c r="M23" t="str">
        <f>INDEX('LIVE SOURCE'!$J$3:$J$34,$N23)</f>
        <v>Passing-TD efficiency, rushing volume and supporting-cast health are the main swing factors.</v>
      </c>
      <c r="N23" s="6">
        <f>MATCH($A23,'Draft Engine'!$F$3:$F$34,0)</f>
        <v>21</v>
      </c>
    </row>
    <row r="24" spans="1:14" x14ac:dyDescent="0.25">
      <c r="A24">
        <f>22</f>
        <v>22</v>
      </c>
      <c r="B24" t="str">
        <f>INDEX('Draft Engine'!$B$3:$B$34,$N24)</f>
        <v>Sam Darnold</v>
      </c>
      <c r="C24" s="4">
        <f>INDEX('Draft Engine'!$E$3:$E$34,$N24)</f>
        <v>75.554199999999994</v>
      </c>
      <c r="D24" t="str">
        <f t="shared" si="0"/>
        <v>TIER 4</v>
      </c>
      <c r="E24">
        <f>INDEX('Draft Engine'!$G$3:$G$34,$N24)</f>
        <v>310</v>
      </c>
      <c r="F24">
        <f>INDEX('Draft Engine'!$J$3:$J$34,$N24)</f>
        <v>-41.1</v>
      </c>
      <c r="G24">
        <f>INDEX('Draft Engine'!$N$3:$N$34,$N24)</f>
        <v>46.15681</v>
      </c>
      <c r="H24">
        <f>INDEX('Draft Engine'!$Q$3:$Q$34,$N24)</f>
        <v>158</v>
      </c>
      <c r="I24">
        <f>INDEX('Draft Engine'!$R$3:$R$34,$N24)</f>
        <v>190</v>
      </c>
      <c r="J24">
        <f>INDEX('Draft Engine'!$S$3:$S$34,$N24)</f>
        <v>32</v>
      </c>
      <c r="K24" t="str">
        <f>INDEX('Draft Engine'!$T$3:$T$34,$N24)</f>
        <v>A</v>
      </c>
      <c r="L24" t="str">
        <f>INDEX('LIVE SOURCE'!$H$3:$H$34,$N24)</f>
        <v>Bench/streaming option; needs matchup, rushing or TD spike weeks.</v>
      </c>
      <c r="M24" t="str">
        <f>INDEX('LIVE SOURCE'!$J$3:$J$34,$N24)</f>
        <v>Passing-TD efficiency, rushing volume and supporting-cast health are the main swing factors.</v>
      </c>
      <c r="N24" s="6">
        <f>MATCH($A24,'Draft Engine'!$F$3:$F$34,0)</f>
        <v>22</v>
      </c>
    </row>
    <row r="25" spans="1:14" x14ac:dyDescent="0.25">
      <c r="A25">
        <f>23</f>
        <v>23</v>
      </c>
      <c r="B25" t="str">
        <f>INDEX('Draft Engine'!$B$3:$B$34,$N25)</f>
        <v>Daniel Jones</v>
      </c>
      <c r="C25" s="4">
        <f>INDEX('Draft Engine'!$E$3:$E$34,$N25)</f>
        <v>74.790400000000005</v>
      </c>
      <c r="D25" t="str">
        <f t="shared" si="0"/>
        <v>TIER 5</v>
      </c>
      <c r="E25">
        <f>INDEX('Draft Engine'!$G$3:$G$34,$N25)</f>
        <v>306.60000000000002</v>
      </c>
      <c r="F25">
        <f>INDEX('Draft Engine'!$J$3:$J$34,$N25)</f>
        <v>-44.5</v>
      </c>
      <c r="G25">
        <f>INDEX('Draft Engine'!$N$3:$N$34,$N25)</f>
        <v>45.124720000000011</v>
      </c>
      <c r="H25">
        <f>INDEX('Draft Engine'!$Q$3:$Q$34,$N25)</f>
        <v>159</v>
      </c>
      <c r="I25">
        <f>INDEX('Draft Engine'!$R$3:$R$34,$N25)</f>
        <v>198</v>
      </c>
      <c r="J25">
        <f>INDEX('Draft Engine'!$S$3:$S$34,$N25)</f>
        <v>39</v>
      </c>
      <c r="K25" t="str">
        <f>INDEX('Draft Engine'!$T$3:$T$34,$N25)</f>
        <v>A</v>
      </c>
      <c r="L25" t="str">
        <f>INDEX('LIVE SOURCE'!$H$3:$H$34,$N25)</f>
        <v>Bench/streaming option; needs matchup, rushing or TD spike weeks.</v>
      </c>
      <c r="M25" t="str">
        <f>INDEX('LIVE SOURCE'!$J$3:$J$34,$N25)</f>
        <v>Passing-TD efficiency, rushing volume and supporting-cast health are the main swing factors.</v>
      </c>
      <c r="N25" s="6">
        <f>MATCH($A25,'Draft Engine'!$F$3:$F$34,0)</f>
        <v>23</v>
      </c>
    </row>
    <row r="26" spans="1:14" x14ac:dyDescent="0.25">
      <c r="A26">
        <f>24</f>
        <v>24</v>
      </c>
      <c r="B26" t="str">
        <f>INDEX('Draft Engine'!$B$3:$B$34,$N26)</f>
        <v>Malik Willis</v>
      </c>
      <c r="C26" s="4">
        <f>INDEX('Draft Engine'!$E$3:$E$34,$N26)</f>
        <v>74.240300000000005</v>
      </c>
      <c r="D26" t="str">
        <f t="shared" si="0"/>
        <v>TIER 5</v>
      </c>
      <c r="E26">
        <f>INDEX('Draft Engine'!$G$3:$G$34,$N26)</f>
        <v>304.10000000000002</v>
      </c>
      <c r="F26">
        <f>INDEX('Draft Engine'!$J$3:$J$34,$N26)</f>
        <v>-47</v>
      </c>
      <c r="G26">
        <f>INDEX('Draft Engine'!$N$3:$N$34,$N26)</f>
        <v>44.372165000000003</v>
      </c>
      <c r="H26">
        <f>INDEX('Draft Engine'!$Q$3:$Q$34,$N26)</f>
        <v>161</v>
      </c>
      <c r="I26">
        <f>INDEX('Draft Engine'!$R$3:$R$34,$N26)</f>
        <v>206</v>
      </c>
      <c r="J26">
        <f>INDEX('Draft Engine'!$S$3:$S$34,$N26)</f>
        <v>45</v>
      </c>
      <c r="K26" t="str">
        <f>INDEX('Draft Engine'!$T$3:$T$34,$N26)</f>
        <v>B</v>
      </c>
      <c r="L26" t="str">
        <f>INDEX('LIVE SOURCE'!$H$3:$H$34,$N26)</f>
        <v>Bench/streaming option; needs matchup, rushing or TD spike weeks.</v>
      </c>
      <c r="M26" t="str">
        <f>INDEX('LIVE SOURCE'!$J$3:$J$34,$N26)</f>
        <v>Availability/sample risk is elevated after only 4 games; talent is not being punished as heavily as durability.</v>
      </c>
      <c r="N26" s="6">
        <f>MATCH($A26,'Draft Engine'!$F$3:$F$34,0)</f>
        <v>24</v>
      </c>
    </row>
    <row r="27" spans="1:14" x14ac:dyDescent="0.25">
      <c r="A27">
        <f>25</f>
        <v>25</v>
      </c>
      <c r="B27" t="str">
        <f>INDEX('Draft Engine'!$B$3:$B$34,$N27)</f>
        <v>Bryce Young</v>
      </c>
      <c r="C27" s="4">
        <f>INDEX('Draft Engine'!$E$3:$E$34,$N27)</f>
        <v>72.797600000000003</v>
      </c>
      <c r="D27" t="str">
        <f t="shared" si="0"/>
        <v>TIER 5</v>
      </c>
      <c r="E27">
        <f>INDEX('Draft Engine'!$G$3:$G$34,$N27)</f>
        <v>297.60000000000002</v>
      </c>
      <c r="F27">
        <f>INDEX('Draft Engine'!$J$3:$J$34,$N27)</f>
        <v>-53.5</v>
      </c>
      <c r="G27">
        <f>INDEX('Draft Engine'!$N$3:$N$34,$N27)</f>
        <v>42.408680000000004</v>
      </c>
      <c r="H27">
        <f>INDEX('Draft Engine'!$Q$3:$Q$34,$N27)</f>
        <v>168</v>
      </c>
      <c r="I27">
        <f>INDEX('Draft Engine'!$R$3:$R$34,$N27)</f>
        <v>214</v>
      </c>
      <c r="J27">
        <f>INDEX('Draft Engine'!$S$3:$S$34,$N27)</f>
        <v>46</v>
      </c>
      <c r="K27" t="str">
        <f>INDEX('Draft Engine'!$T$3:$T$34,$N27)</f>
        <v>A</v>
      </c>
      <c r="L27" t="str">
        <f>INDEX('LIVE SOURCE'!$H$3:$H$34,$N27)</f>
        <v>Deep QB2; waiver-level in a normal 10-team format.</v>
      </c>
      <c r="M27" t="str">
        <f>INDEX('LIVE SOURCE'!$J$3:$J$34,$N27)</f>
        <v>Passing-TD efficiency, rushing volume and supporting-cast health are the main swing factors.</v>
      </c>
      <c r="N27" s="6">
        <f>MATCH($A27,'Draft Engine'!$F$3:$F$34,0)</f>
        <v>25</v>
      </c>
    </row>
    <row r="28" spans="1:14" x14ac:dyDescent="0.25">
      <c r="A28">
        <f>26</f>
        <v>26</v>
      </c>
      <c r="B28" t="str">
        <f>INDEX('Draft Engine'!$B$3:$B$34,$N28)</f>
        <v>Cam Ward</v>
      </c>
      <c r="C28" s="4">
        <f>INDEX('Draft Engine'!$E$3:$E$34,$N28)</f>
        <v>72.664599999999993</v>
      </c>
      <c r="D28" t="str">
        <f t="shared" si="0"/>
        <v>TIER 5</v>
      </c>
      <c r="E28">
        <f>INDEX('Draft Engine'!$G$3:$G$34,$N28)</f>
        <v>297</v>
      </c>
      <c r="F28">
        <f>INDEX('Draft Engine'!$J$3:$J$34,$N28)</f>
        <v>-54.1</v>
      </c>
      <c r="G28">
        <f>INDEX('Draft Engine'!$N$3:$N$34,$N28)</f>
        <v>42.227530000000002</v>
      </c>
      <c r="H28">
        <f>INDEX('Draft Engine'!$Q$3:$Q$34,$N28)</f>
        <v>170</v>
      </c>
      <c r="I28">
        <f>INDEX('Draft Engine'!$R$3:$R$34,$N28)</f>
        <v>222</v>
      </c>
      <c r="J28">
        <f>INDEX('Draft Engine'!$S$3:$S$34,$N28)</f>
        <v>52</v>
      </c>
      <c r="K28" t="str">
        <f>INDEX('Draft Engine'!$T$3:$T$34,$N28)</f>
        <v>A</v>
      </c>
      <c r="L28" t="str">
        <f>INDEX('LIVE SOURCE'!$H$3:$H$34,$N28)</f>
        <v>Deep QB2; waiver-level in a normal 10-team format.</v>
      </c>
      <c r="M28" t="str">
        <f>INDEX('LIVE SOURCE'!$J$3:$J$34,$N28)</f>
        <v>Passing-TD efficiency, rushing volume and supporting-cast health are the main swing factors.</v>
      </c>
      <c r="N28" s="6">
        <f>MATCH($A28,'Draft Engine'!$F$3:$F$34,0)</f>
        <v>26</v>
      </c>
    </row>
    <row r="29" spans="1:14" x14ac:dyDescent="0.25">
      <c r="A29">
        <f>27</f>
        <v>27</v>
      </c>
      <c r="B29" t="str">
        <f>INDEX('Draft Engine'!$B$3:$B$34,$N29)</f>
        <v>Jacoby Brissett</v>
      </c>
      <c r="C29" s="4">
        <f>INDEX('Draft Engine'!$E$3:$E$34,$N29)</f>
        <v>71.333399999999997</v>
      </c>
      <c r="D29" t="str">
        <f t="shared" si="0"/>
        <v>TIER 5</v>
      </c>
      <c r="E29">
        <f>INDEX('Draft Engine'!$G$3:$G$34,$N29)</f>
        <v>291</v>
      </c>
      <c r="F29">
        <f>INDEX('Draft Engine'!$J$3:$J$34,$N29)</f>
        <v>-60.1</v>
      </c>
      <c r="G29">
        <f>INDEX('Draft Engine'!$N$3:$N$34,$N29)</f>
        <v>40.415370000000003</v>
      </c>
      <c r="H29">
        <f>INDEX('Draft Engine'!$Q$3:$Q$34,$N29)</f>
        <v>176</v>
      </c>
      <c r="I29">
        <f>INDEX('Draft Engine'!$R$3:$R$34,$N29)</f>
        <v>230</v>
      </c>
      <c r="J29">
        <f>INDEX('Draft Engine'!$S$3:$S$34,$N29)</f>
        <v>54</v>
      </c>
      <c r="K29" t="str">
        <f>INDEX('Draft Engine'!$T$3:$T$34,$N29)</f>
        <v>A</v>
      </c>
      <c r="L29" t="str">
        <f>INDEX('LIVE SOURCE'!$H$3:$H$34,$N29)</f>
        <v>Deep QB2; waiver-level in a normal 10-team format.</v>
      </c>
      <c r="M29" t="str">
        <f>INDEX('LIVE SOURCE'!$J$3:$J$34,$N29)</f>
        <v>Passing-TD efficiency, rushing volume and supporting-cast health are the main swing factors.</v>
      </c>
      <c r="N29" s="6">
        <f>MATCH($A29,'Draft Engine'!$F$3:$F$34,0)</f>
        <v>27</v>
      </c>
    </row>
    <row r="30" spans="1:14" x14ac:dyDescent="0.25">
      <c r="A30">
        <f>28</f>
        <v>28</v>
      </c>
      <c r="B30" t="str">
        <f>INDEX('Draft Engine'!$B$3:$B$34,$N30)</f>
        <v>Geno Smith</v>
      </c>
      <c r="C30" s="4">
        <f>INDEX('Draft Engine'!$E$3:$E$34,$N30)</f>
        <v>71.098600000000005</v>
      </c>
      <c r="D30" t="str">
        <f t="shared" si="0"/>
        <v>TIER 5</v>
      </c>
      <c r="E30">
        <f>INDEX('Draft Engine'!$G$3:$G$34,$N30)</f>
        <v>289.89999999999998</v>
      </c>
      <c r="F30">
        <f>INDEX('Draft Engine'!$J$3:$J$34,$N30)</f>
        <v>-61.2</v>
      </c>
      <c r="G30">
        <f>INDEX('Draft Engine'!$N$3:$N$34,$N30)</f>
        <v>40.08823000000001</v>
      </c>
      <c r="H30">
        <f>INDEX('Draft Engine'!$Q$3:$Q$34,$N30)</f>
        <v>177</v>
      </c>
      <c r="I30">
        <f>INDEX('Draft Engine'!$R$3:$R$34,$N30)</f>
        <v>238</v>
      </c>
      <c r="J30">
        <f>INDEX('Draft Engine'!$S$3:$S$34,$N30)</f>
        <v>61</v>
      </c>
      <c r="K30" t="str">
        <f>INDEX('Draft Engine'!$T$3:$T$34,$N30)</f>
        <v>A</v>
      </c>
      <c r="L30" t="str">
        <f>INDEX('LIVE SOURCE'!$H$3:$H$34,$N30)</f>
        <v>Deep QB2; waiver-level in a normal 10-team format.</v>
      </c>
      <c r="M30" t="str">
        <f>INDEX('LIVE SOURCE'!$J$3:$J$34,$N30)</f>
        <v>Passing-TD efficiency, rushing volume and supporting-cast health are the main swing factors.</v>
      </c>
      <c r="N30" s="6">
        <f>MATCH($A30,'Draft Engine'!$F$3:$F$34,0)</f>
        <v>28</v>
      </c>
    </row>
    <row r="31" spans="1:14" x14ac:dyDescent="0.25">
      <c r="A31">
        <f>29</f>
        <v>29</v>
      </c>
      <c r="B31" t="str">
        <f>INDEX('Draft Engine'!$B$3:$B$34,$N31)</f>
        <v>Aaron Rodgers</v>
      </c>
      <c r="C31" s="4">
        <f>INDEX('Draft Engine'!$E$3:$E$34,$N31)</f>
        <v>70.884799999999998</v>
      </c>
      <c r="D31" t="str">
        <f t="shared" si="0"/>
        <v>TIER 5</v>
      </c>
      <c r="E31">
        <f>INDEX('Draft Engine'!$G$3:$G$34,$N31)</f>
        <v>289</v>
      </c>
      <c r="F31">
        <f>INDEX('Draft Engine'!$J$3:$J$34,$N31)</f>
        <v>-62.1</v>
      </c>
      <c r="G31">
        <f>INDEX('Draft Engine'!$N$3:$N$34,$N31)</f>
        <v>39.808640000000004</v>
      </c>
      <c r="H31">
        <f>INDEX('Draft Engine'!$Q$3:$Q$34,$N31)</f>
        <v>178</v>
      </c>
      <c r="I31">
        <f>INDEX('Draft Engine'!$R$3:$R$34,$N31)</f>
        <v>246</v>
      </c>
      <c r="J31">
        <f>INDEX('Draft Engine'!$S$3:$S$34,$N31)</f>
        <v>68</v>
      </c>
      <c r="K31" t="str">
        <f>INDEX('Draft Engine'!$T$3:$T$34,$N31)</f>
        <v>A</v>
      </c>
      <c r="L31" t="str">
        <f>INDEX('LIVE SOURCE'!$H$3:$H$34,$N31)</f>
        <v>Deep QB2; waiver-level in a normal 10-team format.</v>
      </c>
      <c r="M31" t="str">
        <f>INDEX('LIVE SOURCE'!$J$3:$J$34,$N31)</f>
        <v>Passing-TD efficiency, rushing volume and supporting-cast health are the main swing factors.</v>
      </c>
      <c r="N31" s="6">
        <f>MATCH($A31,'Draft Engine'!$F$3:$F$34,0)</f>
        <v>29</v>
      </c>
    </row>
    <row r="32" spans="1:14" x14ac:dyDescent="0.25">
      <c r="A32">
        <f>30</f>
        <v>30</v>
      </c>
      <c r="B32" t="str">
        <f>INDEX('Draft Engine'!$B$3:$B$34,$N32)</f>
        <v>Tua Tagovailoa</v>
      </c>
      <c r="C32" s="4">
        <f>INDEX('Draft Engine'!$E$3:$E$34,$N32)</f>
        <v>67.851200000000006</v>
      </c>
      <c r="D32" t="str">
        <f t="shared" si="0"/>
        <v>TIER 6</v>
      </c>
      <c r="E32">
        <f>INDEX('Draft Engine'!$G$3:$G$34,$N32)</f>
        <v>275.3</v>
      </c>
      <c r="F32">
        <f>INDEX('Draft Engine'!$J$3:$J$34,$N32)</f>
        <v>-75.8</v>
      </c>
      <c r="G32">
        <f>INDEX('Draft Engine'!$N$3:$N$34,$N32)</f>
        <v>35.674160000000008</v>
      </c>
      <c r="H32">
        <f>INDEX('Draft Engine'!$Q$3:$Q$34,$N32)</f>
        <v>186</v>
      </c>
      <c r="I32">
        <f>INDEX('Draft Engine'!$R$3:$R$34,$N32)</f>
        <v>254</v>
      </c>
      <c r="J32">
        <f>INDEX('Draft Engine'!$S$3:$S$34,$N32)</f>
        <v>68</v>
      </c>
      <c r="K32" t="str">
        <f>INDEX('Draft Engine'!$T$3:$T$34,$N32)</f>
        <v>A</v>
      </c>
      <c r="L32" t="str">
        <f>INDEX('LIVE SOURCE'!$H$3:$H$34,$N32)</f>
        <v>Deep QB2; waiver-level in a normal 10-team format.</v>
      </c>
      <c r="M32" t="str">
        <f>INDEX('LIVE SOURCE'!$J$3:$J$34,$N32)</f>
        <v>Passing-TD efficiency, rushing volume and supporting-cast health are the main swing factors.</v>
      </c>
      <c r="N32" s="6">
        <f>MATCH($A32,'Draft Engine'!$F$3:$F$34,0)</f>
        <v>30</v>
      </c>
    </row>
    <row r="33" spans="1:14" x14ac:dyDescent="0.25">
      <c r="A33">
        <f>31</f>
        <v>31</v>
      </c>
      <c r="B33" t="str">
        <f>INDEX('Draft Engine'!$B$3:$B$34,$N33)</f>
        <v>Kirk Cousins</v>
      </c>
      <c r="C33" s="4">
        <f>INDEX('Draft Engine'!$E$3:$E$34,$N33)</f>
        <v>65.792900000000003</v>
      </c>
      <c r="D33" t="str">
        <f t="shared" si="0"/>
        <v>TIER 6</v>
      </c>
      <c r="E33">
        <f>INDEX('Draft Engine'!$G$3:$G$34,$N33)</f>
        <v>266.10000000000002</v>
      </c>
      <c r="F33">
        <f>INDEX('Draft Engine'!$J$3:$J$34,$N33)</f>
        <v>-85</v>
      </c>
      <c r="G33">
        <f>INDEX('Draft Engine'!$N$3:$N$34,$N33)</f>
        <v>33.186095000000002</v>
      </c>
      <c r="H33">
        <f>INDEX('Draft Engine'!$Q$3:$Q$34,$N33)</f>
        <v>190</v>
      </c>
      <c r="I33">
        <f>INDEX('Draft Engine'!$R$3:$R$34,$N33)</f>
        <v>262</v>
      </c>
      <c r="J33">
        <f>INDEX('Draft Engine'!$S$3:$S$34,$N33)</f>
        <v>72</v>
      </c>
      <c r="K33" t="str">
        <f>INDEX('Draft Engine'!$T$3:$T$34,$N33)</f>
        <v>B</v>
      </c>
      <c r="L33" t="str">
        <f>INDEX('LIVE SOURCE'!$H$3:$H$34,$N33)</f>
        <v>Deep QB2; waiver-level in a normal 10-team format.</v>
      </c>
      <c r="M33" t="str">
        <f>INDEX('LIVE SOURCE'!$J$3:$J$34,$N33)</f>
        <v>Passing-TD efficiency, rushing volume and supporting-cast health are the main swing factors.</v>
      </c>
      <c r="N33" s="6">
        <f>MATCH($A33,'Draft Engine'!$F$3:$F$34,0)</f>
        <v>31</v>
      </c>
    </row>
    <row r="34" spans="1:14" x14ac:dyDescent="0.25">
      <c r="A34">
        <f>32</f>
        <v>32</v>
      </c>
      <c r="B34" t="str">
        <f>INDEX('Draft Engine'!$B$3:$B$34,$N34)</f>
        <v>Deshaun Watson</v>
      </c>
      <c r="C34" s="4">
        <f>INDEX('Draft Engine'!$E$3:$E$34,$N34)</f>
        <v>60.25</v>
      </c>
      <c r="D34" t="str">
        <f t="shared" si="0"/>
        <v>TIER 7</v>
      </c>
      <c r="E34">
        <f>INDEX('Draft Engine'!$G$3:$G$34,$N34)</f>
        <v>241.1</v>
      </c>
      <c r="F34">
        <f>INDEX('Draft Engine'!$J$3:$J$34,$N34)</f>
        <v>-110</v>
      </c>
      <c r="G34">
        <f>INDEX('Draft Engine'!$N$3:$N$34,$N34)</f>
        <v>30.137500000000003</v>
      </c>
      <c r="H34">
        <f>INDEX('Draft Engine'!$Q$3:$Q$34,$N34)</f>
        <v>195</v>
      </c>
      <c r="I34">
        <f>INDEX('Draft Engine'!$R$3:$R$34,$N34)</f>
        <v>270</v>
      </c>
      <c r="J34">
        <f>INDEX('Draft Engine'!$S$3:$S$34,$N34)</f>
        <v>75</v>
      </c>
      <c r="K34" t="str">
        <f>INDEX('Draft Engine'!$T$3:$T$34,$N34)</f>
        <v>C</v>
      </c>
      <c r="L34" t="str">
        <f>INDEX('LIVE SOURCE'!$H$3:$H$34,$N34)</f>
        <v>Deep QB2; waiver-level in a normal 10-team format.</v>
      </c>
      <c r="M34" t="str">
        <f>INDEX('LIVE SOURCE'!$J$3:$J$34,$N34)</f>
        <v>Evidence is thinner than for established veterans, so camp, depth-chart and role news can move the grade materially.</v>
      </c>
      <c r="N34" s="6">
        <f>MATCH($A34,'Draft Engine'!$F$3:$F$34,0)</f>
        <v>32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A9D18E"/>
  </sheetPr>
  <dimension ref="A1:N52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8" customWidth="1"/>
    <col min="2" max="2" width="22" customWidth="1"/>
    <col min="3" max="3" width="10" customWidth="1"/>
    <col min="4" max="4" width="9" customWidth="1"/>
    <col min="5" max="5" width="10" customWidth="1"/>
    <col min="6" max="6" width="8" customWidth="1"/>
    <col min="7" max="8" width="11" customWidth="1"/>
    <col min="9" max="9" width="10" customWidth="1"/>
    <col min="10" max="10" width="9" customWidth="1"/>
    <col min="11" max="11" width="10" customWidth="1"/>
    <col min="12" max="12" width="55" customWidth="1"/>
    <col min="13" max="13" width="50" customWidth="1"/>
    <col min="14" max="14" width="6" customWidth="1"/>
  </cols>
  <sheetData>
    <row r="1" spans="1:14" ht="18.75" x14ac:dyDescent="0.3">
      <c r="A1" s="1" t="s">
        <v>579</v>
      </c>
    </row>
    <row r="2" spans="1:14" ht="27.95" customHeight="1" x14ac:dyDescent="0.25">
      <c r="A2" s="3" t="s">
        <v>4</v>
      </c>
      <c r="B2" s="3" t="s">
        <v>64</v>
      </c>
      <c r="C2" s="3" t="s">
        <v>6</v>
      </c>
      <c r="D2" s="3" t="s">
        <v>7</v>
      </c>
      <c r="E2" s="3" t="s">
        <v>571</v>
      </c>
      <c r="F2" s="3" t="s">
        <v>572</v>
      </c>
      <c r="G2" s="3" t="s">
        <v>8</v>
      </c>
      <c r="H2" s="3" t="s">
        <v>578</v>
      </c>
      <c r="I2" s="3" t="s">
        <v>9</v>
      </c>
      <c r="J2" s="3" t="s">
        <v>10</v>
      </c>
      <c r="K2" s="3" t="s">
        <v>77</v>
      </c>
      <c r="L2" s="3" t="s">
        <v>13</v>
      </c>
      <c r="M2" s="3" t="s">
        <v>80</v>
      </c>
      <c r="N2" s="3" t="s">
        <v>14</v>
      </c>
    </row>
    <row r="3" spans="1:14" x14ac:dyDescent="0.25">
      <c r="A3">
        <f>1</f>
        <v>1</v>
      </c>
      <c r="B3" t="str">
        <f>INDEX('Draft Engine'!$B$35:$B$84,$N3)</f>
        <v>Bijan Robinson</v>
      </c>
      <c r="C3" s="4">
        <f>INDEX('Draft Engine'!$E$35:$E$84,$N3)</f>
        <v>97.3673</v>
      </c>
      <c r="D3" t="str">
        <f t="shared" ref="D3:D34" si="0">IF($C3&gt;=95,"ELITE",IF($C3&gt;=90,"TIER 1",IF($C3&gt;=85,"TIER 2",IF($C3&gt;=80,"TIER 3",IF($C3&gt;=75,"TIER 4",IF($C3&gt;=70,"TIER 5",IF($C3&gt;=65,"TIER 6","TIER 7")))))))</f>
        <v>ELITE</v>
      </c>
      <c r="E3">
        <f>INDEX('Draft Engine'!$G$35:$G$84,$N3)</f>
        <v>338.9</v>
      </c>
      <c r="F3">
        <f>INDEX('Draft Engine'!$J$35:$J$84,$N3)</f>
        <v>99.9</v>
      </c>
      <c r="G3">
        <f>INDEX('Draft Engine'!$N$35:$N$84,$N3)</f>
        <v>98.552015000000011</v>
      </c>
      <c r="H3">
        <f>INDEX('Draft Engine'!$Q$35:$Q$84,$N3)</f>
        <v>2</v>
      </c>
      <c r="I3">
        <f>INDEX('Draft Engine'!$R$35:$R$84,$N3)</f>
        <v>1.8</v>
      </c>
      <c r="J3">
        <f>INDEX('Draft Engine'!$S$35:$S$84,$N3)</f>
        <v>-0.19999999999999996</v>
      </c>
      <c r="K3" t="str">
        <f>INDEX('Draft Engine'!$T$35:$T$84,$N3)</f>
        <v>A</v>
      </c>
      <c r="L3" t="str">
        <f>INDEX('LIVE SOURCE'!$H$35:$H$84,$N3)</f>
        <v>Elite RB1 and first-round roster anchor with league-winning ceiling.</v>
      </c>
      <c r="M3" t="str">
        <f>INDEX('LIVE SOURCE'!$J$35:$J$84,$N3)</f>
        <v>Touchdown variance, receiving-role changes and backfield competition are the main downside paths.</v>
      </c>
      <c r="N3" s="6">
        <f>MATCH($A3,'Draft Engine'!$F$35:$F$84,0)</f>
        <v>1</v>
      </c>
    </row>
    <row r="4" spans="1:14" x14ac:dyDescent="0.25">
      <c r="A4">
        <f>2</f>
        <v>2</v>
      </c>
      <c r="B4" t="str">
        <f>INDEX('Draft Engine'!$B$35:$B$84,$N4)</f>
        <v>Jahmyr Gibbs</v>
      </c>
      <c r="C4" s="4">
        <f>INDEX('Draft Engine'!$E$35:$E$84,$N4)</f>
        <v>96.332300000000004</v>
      </c>
      <c r="D4" t="str">
        <f t="shared" si="0"/>
        <v>ELITE</v>
      </c>
      <c r="E4">
        <f>INDEX('Draft Engine'!$G$35:$G$84,$N4)</f>
        <v>334.6</v>
      </c>
      <c r="F4">
        <f>INDEX('Draft Engine'!$J$35:$J$84,$N4)</f>
        <v>95.6</v>
      </c>
      <c r="G4">
        <f>INDEX('Draft Engine'!$N$35:$N$84,$N4)</f>
        <v>97.982765000000001</v>
      </c>
      <c r="H4">
        <f>INDEX('Draft Engine'!$Q$35:$Q$84,$N4)</f>
        <v>4</v>
      </c>
      <c r="I4">
        <f>INDEX('Draft Engine'!$R$35:$R$84,$N4)</f>
        <v>1.2</v>
      </c>
      <c r="J4">
        <f>INDEX('Draft Engine'!$S$35:$S$84,$N4)</f>
        <v>-2.8</v>
      </c>
      <c r="K4" t="str">
        <f>INDEX('Draft Engine'!$T$35:$T$84,$N4)</f>
        <v>A</v>
      </c>
      <c r="L4" t="str">
        <f>INDEX('LIVE SOURCE'!$H$35:$H$84,$N4)</f>
        <v>Elite RB1 and first-round roster anchor with league-winning ceiling.</v>
      </c>
      <c r="M4" t="str">
        <f>INDEX('LIVE SOURCE'!$J$35:$J$84,$N4)</f>
        <v>Touchdown variance, receiving-role changes and backfield competition are the main downside paths.</v>
      </c>
      <c r="N4" s="6">
        <f>MATCH($A4,'Draft Engine'!$F$35:$F$84,0)</f>
        <v>2</v>
      </c>
    </row>
    <row r="5" spans="1:14" x14ac:dyDescent="0.25">
      <c r="A5">
        <f>3</f>
        <v>3</v>
      </c>
      <c r="B5" t="str">
        <f>INDEX('Draft Engine'!$B$35:$B$84,$N5)</f>
        <v>Christian McCaffrey</v>
      </c>
      <c r="C5" s="4">
        <f>INDEX('Draft Engine'!$E$35:$E$84,$N5)</f>
        <v>94.244699999999995</v>
      </c>
      <c r="D5" t="str">
        <f t="shared" si="0"/>
        <v>TIER 1</v>
      </c>
      <c r="E5">
        <f>INDEX('Draft Engine'!$G$35:$G$84,$N5)</f>
        <v>325.8</v>
      </c>
      <c r="F5">
        <f>INDEX('Draft Engine'!$J$35:$J$84,$N5)</f>
        <v>86.8</v>
      </c>
      <c r="G5">
        <f>INDEX('Draft Engine'!$N$35:$N$84,$N5)</f>
        <v>96.834585000000004</v>
      </c>
      <c r="H5">
        <f>INDEX('Draft Engine'!$Q$35:$Q$84,$N5)</f>
        <v>5</v>
      </c>
      <c r="I5">
        <f>INDEX('Draft Engine'!$R$35:$R$84,$N5)</f>
        <v>7</v>
      </c>
      <c r="J5">
        <f>INDEX('Draft Engine'!$S$35:$S$84,$N5)</f>
        <v>2</v>
      </c>
      <c r="K5" t="str">
        <f>INDEX('Draft Engine'!$T$35:$T$84,$N5)</f>
        <v>A</v>
      </c>
      <c r="L5" t="str">
        <f>INDEX('LIVE SOURCE'!$H$35:$H$84,$N5)</f>
        <v>Elite RB1 and first-round roster anchor with league-winning ceiling.</v>
      </c>
      <c r="M5" t="str">
        <f>INDEX('LIVE SOURCE'!$J$35:$J$84,$N5)</f>
        <v>Touchdown variance, receiving-role changes and backfield competition are the main downside paths.</v>
      </c>
      <c r="N5" s="6">
        <f>MATCH($A5,'Draft Engine'!$F$35:$F$84,0)</f>
        <v>3</v>
      </c>
    </row>
    <row r="6" spans="1:14" x14ac:dyDescent="0.25">
      <c r="A6">
        <f>4</f>
        <v>4</v>
      </c>
      <c r="B6" t="str">
        <f>INDEX('Draft Engine'!$B$35:$B$84,$N6)</f>
        <v>Jonathan Taylor</v>
      </c>
      <c r="C6" s="4">
        <f>INDEX('Draft Engine'!$E$35:$E$84,$N6)</f>
        <v>92.147000000000006</v>
      </c>
      <c r="D6" t="str">
        <f t="shared" si="0"/>
        <v>TIER 1</v>
      </c>
      <c r="E6">
        <f>INDEX('Draft Engine'!$G$35:$G$84,$N6)</f>
        <v>317</v>
      </c>
      <c r="F6">
        <f>INDEX('Draft Engine'!$J$35:$J$84,$N6)</f>
        <v>78</v>
      </c>
      <c r="G6">
        <f>INDEX('Draft Engine'!$N$35:$N$84,$N6)</f>
        <v>94.720850000000013</v>
      </c>
      <c r="H6">
        <f>INDEX('Draft Engine'!$Q$35:$Q$84,$N6)</f>
        <v>8</v>
      </c>
      <c r="I6">
        <f>INDEX('Draft Engine'!$R$35:$R$84,$N6)</f>
        <v>11</v>
      </c>
      <c r="J6">
        <f>INDEX('Draft Engine'!$S$35:$S$84,$N6)</f>
        <v>3</v>
      </c>
      <c r="K6" t="str">
        <f>INDEX('Draft Engine'!$T$35:$T$84,$N6)</f>
        <v>A</v>
      </c>
      <c r="L6" t="str">
        <f>INDEX('LIVE SOURCE'!$H$35:$H$84,$N6)</f>
        <v>Elite RB1 and first-round roster anchor with league-winning ceiling.</v>
      </c>
      <c r="M6" t="str">
        <f>INDEX('LIVE SOURCE'!$J$35:$J$84,$N6)</f>
        <v>Touchdown variance, receiving-role changes and backfield competition are the main downside paths.</v>
      </c>
      <c r="N6" s="6">
        <f>MATCH($A6,'Draft Engine'!$F$35:$F$84,0)</f>
        <v>4</v>
      </c>
    </row>
    <row r="7" spans="1:14" x14ac:dyDescent="0.25">
      <c r="A7">
        <f>5</f>
        <v>5</v>
      </c>
      <c r="B7" t="str">
        <f>INDEX('Draft Engine'!$B$35:$B$84,$N7)</f>
        <v>Jeremiyah Love</v>
      </c>
      <c r="C7" s="4">
        <f>INDEX('Draft Engine'!$E$35:$E$84,$N7)</f>
        <v>90.865899999999996</v>
      </c>
      <c r="D7" t="str">
        <f t="shared" si="0"/>
        <v>TIER 1</v>
      </c>
      <c r="E7">
        <f>INDEX('Draft Engine'!$G$35:$G$84,$N7)</f>
        <v>311.60000000000002</v>
      </c>
      <c r="F7">
        <f>INDEX('Draft Engine'!$J$35:$J$84,$N7)</f>
        <v>72.599999999999994</v>
      </c>
      <c r="G7">
        <f>INDEX('Draft Engine'!$N$35:$N$84,$N7)</f>
        <v>93.044245000000004</v>
      </c>
      <c r="H7">
        <f>INDEX('Draft Engine'!$Q$35:$Q$84,$N7)</f>
        <v>11</v>
      </c>
      <c r="I7">
        <f>INDEX('Draft Engine'!$R$35:$R$84,$N7)</f>
        <v>18.8</v>
      </c>
      <c r="J7">
        <f>INDEX('Draft Engine'!$S$35:$S$84,$N7)</f>
        <v>7.8000000000000007</v>
      </c>
      <c r="K7" t="str">
        <f>INDEX('Draft Engine'!$T$35:$T$84,$N7)</f>
        <v>B</v>
      </c>
      <c r="L7" t="str">
        <f>INDEX('LIVE SOURCE'!$H$35:$H$84,$N7)</f>
        <v>Elite RB1 and first-round roster anchor with league-winning ceiling.</v>
      </c>
      <c r="M7" t="str">
        <f>INDEX('LIVE SOURCE'!$J$35:$J$84,$N7)</f>
        <v>NFL translation and exact weekly role are the main variables; preseason first-team usage can move this rating quickly.</v>
      </c>
      <c r="N7" s="6">
        <f>MATCH($A7,'Draft Engine'!$F$35:$F$84,0)</f>
        <v>5</v>
      </c>
    </row>
    <row r="8" spans="1:14" x14ac:dyDescent="0.25">
      <c r="A8">
        <f>6</f>
        <v>6</v>
      </c>
      <c r="B8" t="str">
        <f>INDEX('Draft Engine'!$B$35:$B$84,$N8)</f>
        <v>Omarion Hampton</v>
      </c>
      <c r="C8" s="4">
        <f>INDEX('Draft Engine'!$E$35:$E$84,$N8)</f>
        <v>88.642099999999999</v>
      </c>
      <c r="D8" t="str">
        <f t="shared" si="0"/>
        <v>TIER 2</v>
      </c>
      <c r="E8">
        <f>INDEX('Draft Engine'!$G$35:$G$84,$N8)</f>
        <v>302.3</v>
      </c>
      <c r="F8">
        <f>INDEX('Draft Engine'!$J$35:$J$84,$N8)</f>
        <v>63.3</v>
      </c>
      <c r="G8">
        <f>INDEX('Draft Engine'!$N$35:$N$84,$N8)</f>
        <v>90.147154999999998</v>
      </c>
      <c r="H8">
        <f>INDEX('Draft Engine'!$Q$35:$Q$84,$N8)</f>
        <v>14</v>
      </c>
      <c r="I8">
        <f>INDEX('Draft Engine'!$R$35:$R$84,$N8)</f>
        <v>23</v>
      </c>
      <c r="J8">
        <f>INDEX('Draft Engine'!$S$35:$S$84,$N8)</f>
        <v>9</v>
      </c>
      <c r="K8" t="str">
        <f>INDEX('Draft Engine'!$T$35:$T$84,$N8)</f>
        <v>B</v>
      </c>
      <c r="L8" t="str">
        <f>INDEX('LIVE SOURCE'!$H$35:$H$84,$N8)</f>
        <v>Strong RB1; weekly top-12 expectation with multi-touchdown ceiling.</v>
      </c>
      <c r="M8" t="str">
        <f>INDEX('LIVE SOURCE'!$J$35:$J$84,$N8)</f>
        <v>Availability/sample risk is elevated after only 9 games; talent is not being punished as heavily as durability.</v>
      </c>
      <c r="N8" s="6">
        <f>MATCH($A8,'Draft Engine'!$F$35:$F$84,0)</f>
        <v>6</v>
      </c>
    </row>
    <row r="9" spans="1:14" x14ac:dyDescent="0.25">
      <c r="A9">
        <f>7</f>
        <v>7</v>
      </c>
      <c r="B9" t="str">
        <f>INDEX('Draft Engine'!$B$35:$B$84,$N9)</f>
        <v>De'Von Achane</v>
      </c>
      <c r="C9" s="4">
        <f>INDEX('Draft Engine'!$E$35:$E$84,$N9)</f>
        <v>87.944000000000003</v>
      </c>
      <c r="D9" t="str">
        <f t="shared" si="0"/>
        <v>TIER 2</v>
      </c>
      <c r="E9">
        <f>INDEX('Draft Engine'!$G$35:$G$84,$N9)</f>
        <v>299.39999999999998</v>
      </c>
      <c r="F9">
        <f>INDEX('Draft Engine'!$J$35:$J$84,$N9)</f>
        <v>60.4</v>
      </c>
      <c r="G9">
        <f>INDEX('Draft Engine'!$N$35:$N$84,$N9)</f>
        <v>89.241200000000006</v>
      </c>
      <c r="H9">
        <f>INDEX('Draft Engine'!$Q$35:$Q$84,$N9)</f>
        <v>16</v>
      </c>
      <c r="I9">
        <f>INDEX('Draft Engine'!$R$35:$R$84,$N9)</f>
        <v>18</v>
      </c>
      <c r="J9">
        <f>INDEX('Draft Engine'!$S$35:$S$84,$N9)</f>
        <v>2</v>
      </c>
      <c r="K9" t="str">
        <f>INDEX('Draft Engine'!$T$35:$T$84,$N9)</f>
        <v>A</v>
      </c>
      <c r="L9" t="str">
        <f>INDEX('LIVE SOURCE'!$H$35:$H$84,$N9)</f>
        <v>Strong RB1; weekly top-12 expectation with multi-touchdown ceiling.</v>
      </c>
      <c r="M9" t="str">
        <f>INDEX('LIVE SOURCE'!$J$35:$J$84,$N9)</f>
        <v>Touchdown variance, receiving-role changes and backfield competition are the main downside paths.</v>
      </c>
      <c r="N9" s="6">
        <f>MATCH($A9,'Draft Engine'!$F$35:$F$84,0)</f>
        <v>7</v>
      </c>
    </row>
    <row r="10" spans="1:14" x14ac:dyDescent="0.25">
      <c r="A10">
        <f>8</f>
        <v>8</v>
      </c>
      <c r="B10" t="str">
        <f>INDEX('Draft Engine'!$B$35:$B$84,$N10)</f>
        <v>Kenneth Walker III</v>
      </c>
      <c r="C10" s="4">
        <f>INDEX('Draft Engine'!$E$35:$E$84,$N10)</f>
        <v>87.292599999999993</v>
      </c>
      <c r="D10" t="str">
        <f t="shared" si="0"/>
        <v>TIER 2</v>
      </c>
      <c r="E10">
        <f>INDEX('Draft Engine'!$G$35:$G$84,$N10)</f>
        <v>296.60000000000002</v>
      </c>
      <c r="F10">
        <f>INDEX('Draft Engine'!$J$35:$J$84,$N10)</f>
        <v>57.6</v>
      </c>
      <c r="G10">
        <f>INDEX('Draft Engine'!$N$35:$N$84,$N10)</f>
        <v>88.113304999999997</v>
      </c>
      <c r="H10">
        <f>INDEX('Draft Engine'!$Q$35:$Q$84,$N10)</f>
        <v>17</v>
      </c>
      <c r="I10">
        <f>INDEX('Draft Engine'!$R$35:$R$84,$N10)</f>
        <v>31.4</v>
      </c>
      <c r="J10">
        <f>INDEX('Draft Engine'!$S$35:$S$84,$N10)</f>
        <v>14.399999999999999</v>
      </c>
      <c r="K10" t="str">
        <f>INDEX('Draft Engine'!$T$35:$T$84,$N10)</f>
        <v>A</v>
      </c>
      <c r="L10" t="str">
        <f>INDEX('LIVE SOURCE'!$H$35:$H$84,$N10)</f>
        <v>Strong RB1; weekly top-12 expectation with multi-touchdown ceiling.</v>
      </c>
      <c r="M10" t="str">
        <f>INDEX('LIVE SOURCE'!$J$35:$J$84,$N10)</f>
        <v>Touchdown variance, receiving-role changes and backfield competition are the main downside paths.</v>
      </c>
      <c r="N10" s="6">
        <f>MATCH($A10,'Draft Engine'!$F$35:$F$84,0)</f>
        <v>8</v>
      </c>
    </row>
    <row r="11" spans="1:14" x14ac:dyDescent="0.25">
      <c r="A11">
        <f>9</f>
        <v>9</v>
      </c>
      <c r="B11" t="str">
        <f>INDEX('Draft Engine'!$B$35:$B$84,$N11)</f>
        <v>James Cook III</v>
      </c>
      <c r="C11" s="4">
        <f>INDEX('Draft Engine'!$E$35:$E$84,$N11)</f>
        <v>87.058000000000007</v>
      </c>
      <c r="D11" t="str">
        <f t="shared" si="0"/>
        <v>TIER 2</v>
      </c>
      <c r="E11">
        <f>INDEX('Draft Engine'!$G$35:$G$84,$N11)</f>
        <v>295.60000000000002</v>
      </c>
      <c r="F11">
        <f>INDEX('Draft Engine'!$J$35:$J$84,$N11)</f>
        <v>56.6</v>
      </c>
      <c r="G11">
        <f>INDEX('Draft Engine'!$N$35:$N$84,$N11)</f>
        <v>87.444900000000018</v>
      </c>
      <c r="H11">
        <f>INDEX('Draft Engine'!$Q$35:$Q$84,$N11)</f>
        <v>20</v>
      </c>
      <c r="I11">
        <f>INDEX('Draft Engine'!$R$35:$R$84,$N11)</f>
        <v>15</v>
      </c>
      <c r="J11">
        <f>INDEX('Draft Engine'!$S$35:$S$84,$N11)</f>
        <v>-5</v>
      </c>
      <c r="K11" t="str">
        <f>INDEX('Draft Engine'!$T$35:$T$84,$N11)</f>
        <v>A</v>
      </c>
      <c r="L11" t="str">
        <f>INDEX('LIVE SOURCE'!$H$35:$H$84,$N11)</f>
        <v>Strong RB1; weekly top-12 expectation with multi-touchdown ceiling.</v>
      </c>
      <c r="M11" t="str">
        <f>INDEX('LIVE SOURCE'!$J$35:$J$84,$N11)</f>
        <v>Touchdown variance, receiving-role changes and backfield competition are the main downside paths.</v>
      </c>
      <c r="N11" s="6">
        <f>MATCH($A11,'Draft Engine'!$F$35:$F$84,0)</f>
        <v>9</v>
      </c>
    </row>
    <row r="12" spans="1:14" x14ac:dyDescent="0.25">
      <c r="A12">
        <f>10</f>
        <v>10</v>
      </c>
      <c r="B12" t="str">
        <f>INDEX('Draft Engine'!$B$35:$B$84,$N12)</f>
        <v>Kyren Williams</v>
      </c>
      <c r="C12" s="4">
        <f>INDEX('Draft Engine'!$E$35:$E$84,$N12)</f>
        <v>85.948599999999999</v>
      </c>
      <c r="D12" t="str">
        <f t="shared" si="0"/>
        <v>TIER 2</v>
      </c>
      <c r="E12">
        <f>INDEX('Draft Engine'!$G$35:$G$84,$N12)</f>
        <v>291</v>
      </c>
      <c r="F12">
        <f>INDEX('Draft Engine'!$J$35:$J$84,$N12)</f>
        <v>52</v>
      </c>
      <c r="G12">
        <f>INDEX('Draft Engine'!$N$35:$N$84,$N12)</f>
        <v>85.647355000000005</v>
      </c>
      <c r="H12">
        <f>INDEX('Draft Engine'!$Q$35:$Q$84,$N12)</f>
        <v>22</v>
      </c>
      <c r="I12">
        <f>INDEX('Draft Engine'!$R$35:$R$84,$N12)</f>
        <v>39.799999999999997</v>
      </c>
      <c r="J12">
        <f>INDEX('Draft Engine'!$S$35:$S$84,$N12)</f>
        <v>17.799999999999997</v>
      </c>
      <c r="K12" t="str">
        <f>INDEX('Draft Engine'!$T$35:$T$84,$N12)</f>
        <v>A</v>
      </c>
      <c r="L12" t="str">
        <f>INDEX('LIVE SOURCE'!$H$35:$H$84,$N12)</f>
        <v>Strong RB1; weekly top-12 expectation with multi-touchdown ceiling.</v>
      </c>
      <c r="M12" t="str">
        <f>INDEX('LIVE SOURCE'!$J$35:$J$84,$N12)</f>
        <v>Touchdown variance, receiving-role changes and backfield competition are the main downside paths.</v>
      </c>
      <c r="N12" s="6">
        <f>MATCH($A12,'Draft Engine'!$F$35:$F$84,0)</f>
        <v>10</v>
      </c>
    </row>
    <row r="13" spans="1:14" x14ac:dyDescent="0.25">
      <c r="A13">
        <f>11</f>
        <v>11</v>
      </c>
      <c r="B13" t="str">
        <f>INDEX('Draft Engine'!$B$35:$B$84,$N13)</f>
        <v>Breece Hall</v>
      </c>
      <c r="C13" s="4">
        <f>INDEX('Draft Engine'!$E$35:$E$84,$N13)</f>
        <v>85.895200000000003</v>
      </c>
      <c r="D13" t="str">
        <f t="shared" si="0"/>
        <v>TIER 2</v>
      </c>
      <c r="E13">
        <f>INDEX('Draft Engine'!$G$35:$G$84,$N13)</f>
        <v>290.8</v>
      </c>
      <c r="F13">
        <f>INDEX('Draft Engine'!$J$35:$J$84,$N13)</f>
        <v>51.8</v>
      </c>
      <c r="G13">
        <f>INDEX('Draft Engine'!$N$35:$N$84,$N13)</f>
        <v>85.222610000000003</v>
      </c>
      <c r="H13">
        <f>INDEX('Draft Engine'!$Q$35:$Q$84,$N13)</f>
        <v>24</v>
      </c>
      <c r="I13">
        <f>INDEX('Draft Engine'!$R$35:$R$84,$N13)</f>
        <v>44</v>
      </c>
      <c r="J13">
        <f>INDEX('Draft Engine'!$S$35:$S$84,$N13)</f>
        <v>20</v>
      </c>
      <c r="K13" t="str">
        <f>INDEX('Draft Engine'!$T$35:$T$84,$N13)</f>
        <v>A</v>
      </c>
      <c r="L13" t="str">
        <f>INDEX('LIVE SOURCE'!$H$35:$H$84,$N13)</f>
        <v>Strong RB1; weekly top-12 expectation with multi-touchdown ceiling.</v>
      </c>
      <c r="M13" t="str">
        <f>INDEX('LIVE SOURCE'!$J$35:$J$84,$N13)</f>
        <v>Touchdown variance, receiving-role changes and backfield competition are the main downside paths.</v>
      </c>
      <c r="N13" s="6">
        <f>MATCH($A13,'Draft Engine'!$F$35:$F$84,0)</f>
        <v>11</v>
      </c>
    </row>
    <row r="14" spans="1:14" x14ac:dyDescent="0.25">
      <c r="A14">
        <f>12</f>
        <v>12</v>
      </c>
      <c r="B14" t="str">
        <f>INDEX('Draft Engine'!$B$35:$B$84,$N14)</f>
        <v>Ashton Jeanty</v>
      </c>
      <c r="C14" s="4">
        <f>INDEX('Draft Engine'!$E$35:$E$84,$N14)</f>
        <v>85.843299999999999</v>
      </c>
      <c r="D14" t="str">
        <f t="shared" si="0"/>
        <v>TIER 2</v>
      </c>
      <c r="E14">
        <f>INDEX('Draft Engine'!$G$35:$G$84,$N14)</f>
        <v>290.5</v>
      </c>
      <c r="F14">
        <f>INDEX('Draft Engine'!$J$35:$J$84,$N14)</f>
        <v>51.5</v>
      </c>
      <c r="G14">
        <f>INDEX('Draft Engine'!$N$35:$N$84,$N14)</f>
        <v>84.780690000000007</v>
      </c>
      <c r="H14">
        <f>INDEX('Draft Engine'!$Q$35:$Q$84,$N14)</f>
        <v>25</v>
      </c>
      <c r="I14">
        <f>INDEX('Draft Engine'!$R$35:$R$84,$N14)</f>
        <v>13</v>
      </c>
      <c r="J14">
        <f>INDEX('Draft Engine'!$S$35:$S$84,$N14)</f>
        <v>-12</v>
      </c>
      <c r="K14" t="str">
        <f>INDEX('Draft Engine'!$T$35:$T$84,$N14)</f>
        <v>A</v>
      </c>
      <c r="L14" t="str">
        <f>INDEX('LIVE SOURCE'!$H$35:$H$84,$N14)</f>
        <v>Strong RB1; weekly top-12 expectation with multi-touchdown ceiling.</v>
      </c>
      <c r="M14" t="str">
        <f>INDEX('LIVE SOURCE'!$J$35:$J$84,$N14)</f>
        <v>Price is the biggest risk: the market currently asks you to draft him earlier than the model prefers.</v>
      </c>
      <c r="N14" s="6">
        <f>MATCH($A14,'Draft Engine'!$F$35:$F$84,0)</f>
        <v>12</v>
      </c>
    </row>
    <row r="15" spans="1:14" x14ac:dyDescent="0.25">
      <c r="A15">
        <f>13</f>
        <v>13</v>
      </c>
      <c r="B15" t="str">
        <f>INDEX('Draft Engine'!$B$35:$B$84,$N15)</f>
        <v>Derrick Henry</v>
      </c>
      <c r="C15" s="4">
        <f>INDEX('Draft Engine'!$E$35:$E$84,$N15)</f>
        <v>85.667400000000001</v>
      </c>
      <c r="D15" t="str">
        <f t="shared" si="0"/>
        <v>TIER 2</v>
      </c>
      <c r="E15">
        <f>INDEX('Draft Engine'!$G$35:$G$84,$N15)</f>
        <v>289.8</v>
      </c>
      <c r="F15">
        <f>INDEX('Draft Engine'!$J$35:$J$84,$N15)</f>
        <v>50.8</v>
      </c>
      <c r="G15">
        <f>INDEX('Draft Engine'!$N$35:$N$84,$N15)</f>
        <v>84.198570000000004</v>
      </c>
      <c r="H15">
        <f>INDEX('Draft Engine'!$Q$35:$Q$84,$N15)</f>
        <v>27</v>
      </c>
      <c r="I15">
        <f>INDEX('Draft Engine'!$R$35:$R$84,$N15)</f>
        <v>52.400000000000013</v>
      </c>
      <c r="J15">
        <f>INDEX('Draft Engine'!$S$35:$S$84,$N15)</f>
        <v>25.400000000000013</v>
      </c>
      <c r="K15" t="str">
        <f>INDEX('Draft Engine'!$T$35:$T$84,$N15)</f>
        <v>A</v>
      </c>
      <c r="L15" t="str">
        <f>INDEX('LIVE SOURCE'!$H$35:$H$84,$N15)</f>
        <v>RB2 with RB1 weeks; should be a regular starter.</v>
      </c>
      <c r="M15" t="str">
        <f>INDEX('LIVE SOURCE'!$J$35:$J$84,$N15)</f>
        <v>Touchdown variance, receiving-role changes and backfield competition are the main downside paths.</v>
      </c>
      <c r="N15" s="6">
        <f>MATCH($A15,'Draft Engine'!$F$35:$F$84,0)</f>
        <v>13</v>
      </c>
    </row>
    <row r="16" spans="1:14" x14ac:dyDescent="0.25">
      <c r="A16">
        <f>14</f>
        <v>14</v>
      </c>
      <c r="B16" t="str">
        <f>INDEX('Draft Engine'!$B$35:$B$84,$N16)</f>
        <v>Chase Brown</v>
      </c>
      <c r="C16" s="4">
        <f>INDEX('Draft Engine'!$E$35:$E$84,$N16)</f>
        <v>85.664400000000001</v>
      </c>
      <c r="D16" t="str">
        <f t="shared" si="0"/>
        <v>TIER 2</v>
      </c>
      <c r="E16">
        <f>INDEX('Draft Engine'!$G$35:$G$84,$N16)</f>
        <v>289.8</v>
      </c>
      <c r="F16">
        <f>INDEX('Draft Engine'!$J$35:$J$84,$N16)</f>
        <v>50.8</v>
      </c>
      <c r="G16">
        <f>INDEX('Draft Engine'!$N$35:$N$84,$N16)</f>
        <v>83.837545000000006</v>
      </c>
      <c r="H16">
        <f>INDEX('Draft Engine'!$Q$35:$Q$84,$N16)</f>
        <v>29</v>
      </c>
      <c r="I16">
        <f>INDEX('Draft Engine'!$R$35:$R$84,$N16)</f>
        <v>21</v>
      </c>
      <c r="J16">
        <f>INDEX('Draft Engine'!$S$35:$S$84,$N16)</f>
        <v>-8</v>
      </c>
      <c r="K16" t="str">
        <f>INDEX('Draft Engine'!$T$35:$T$84,$N16)</f>
        <v>A</v>
      </c>
      <c r="L16" t="str">
        <f>INDEX('LIVE SOURCE'!$H$35:$H$84,$N16)</f>
        <v>RB2 with RB1 weeks; should be a regular starter.</v>
      </c>
      <c r="M16" t="str">
        <f>INDEX('LIVE SOURCE'!$J$35:$J$84,$N16)</f>
        <v>Touchdown variance, receiving-role changes and backfield competition are the main downside paths.</v>
      </c>
      <c r="N16" s="6">
        <f>MATCH($A16,'Draft Engine'!$F$35:$F$84,0)</f>
        <v>14</v>
      </c>
    </row>
    <row r="17" spans="1:14" x14ac:dyDescent="0.25">
      <c r="A17">
        <f>15</f>
        <v>15</v>
      </c>
      <c r="B17" t="str">
        <f>INDEX('Draft Engine'!$B$35:$B$84,$N17)</f>
        <v>Josh Jacobs</v>
      </c>
      <c r="C17" s="4">
        <f>INDEX('Draft Engine'!$E$35:$E$84,$N17)</f>
        <v>84.426400000000001</v>
      </c>
      <c r="D17" t="str">
        <f t="shared" si="0"/>
        <v>TIER 3</v>
      </c>
      <c r="E17">
        <f>INDEX('Draft Engine'!$G$35:$G$84,$N17)</f>
        <v>284.60000000000002</v>
      </c>
      <c r="F17">
        <f>INDEX('Draft Engine'!$J$35:$J$84,$N17)</f>
        <v>45.6</v>
      </c>
      <c r="G17">
        <f>INDEX('Draft Engine'!$N$35:$N$84,$N17)</f>
        <v>81.861270000000005</v>
      </c>
      <c r="H17">
        <f>INDEX('Draft Engine'!$Q$35:$Q$84,$N17)</f>
        <v>33</v>
      </c>
      <c r="I17">
        <f>INDEX('Draft Engine'!$R$35:$R$84,$N17)</f>
        <v>60.8</v>
      </c>
      <c r="J17">
        <f>INDEX('Draft Engine'!$S$35:$S$84,$N17)</f>
        <v>27.799999999999997</v>
      </c>
      <c r="K17" t="str">
        <f>INDEX('Draft Engine'!$T$35:$T$84,$N17)</f>
        <v>A</v>
      </c>
      <c r="L17" t="str">
        <f>INDEX('LIVE SOURCE'!$H$35:$H$84,$N17)</f>
        <v>RB2 with RB1 weeks; should be a regular starter.</v>
      </c>
      <c r="M17" t="str">
        <f>INDEX('LIVE SOURCE'!$J$35:$J$84,$N17)</f>
        <v>Touchdown variance, receiving-role changes and backfield competition are the main downside paths.</v>
      </c>
      <c r="N17" s="6">
        <f>MATCH($A17,'Draft Engine'!$F$35:$F$84,0)</f>
        <v>15</v>
      </c>
    </row>
    <row r="18" spans="1:14" x14ac:dyDescent="0.25">
      <c r="A18">
        <f>16</f>
        <v>16</v>
      </c>
      <c r="B18" t="str">
        <f>INDEX('Draft Engine'!$B$35:$B$84,$N18)</f>
        <v>Saquon Barkley</v>
      </c>
      <c r="C18" s="4">
        <f>INDEX('Draft Engine'!$E$35:$E$84,$N18)</f>
        <v>84.034000000000006</v>
      </c>
      <c r="D18" t="str">
        <f t="shared" si="0"/>
        <v>TIER 3</v>
      </c>
      <c r="E18">
        <f>INDEX('Draft Engine'!$G$35:$G$84,$N18)</f>
        <v>282.89999999999998</v>
      </c>
      <c r="F18">
        <f>INDEX('Draft Engine'!$J$35:$J$84,$N18)</f>
        <v>43.9</v>
      </c>
      <c r="G18">
        <f>INDEX('Draft Engine'!$N$35:$N$84,$N18)</f>
        <v>80.980074999999999</v>
      </c>
      <c r="H18">
        <f>INDEX('Draft Engine'!$Q$35:$Q$84,$N18)</f>
        <v>36</v>
      </c>
      <c r="I18">
        <f>INDEX('Draft Engine'!$R$35:$R$84,$N18)</f>
        <v>65</v>
      </c>
      <c r="J18">
        <f>INDEX('Draft Engine'!$S$35:$S$84,$N18)</f>
        <v>29</v>
      </c>
      <c r="K18" t="str">
        <f>INDEX('Draft Engine'!$T$35:$T$84,$N18)</f>
        <v>A</v>
      </c>
      <c r="L18" t="str">
        <f>INDEX('LIVE SOURCE'!$H$35:$H$84,$N18)</f>
        <v>RB2 with RB1 weeks; should be a regular starter.</v>
      </c>
      <c r="M18" t="str">
        <f>INDEX('LIVE SOURCE'!$J$35:$J$84,$N18)</f>
        <v>Touchdown variance, receiving-role changes and backfield competition are the main downside paths.</v>
      </c>
      <c r="N18" s="6">
        <f>MATCH($A18,'Draft Engine'!$F$35:$F$84,0)</f>
        <v>16</v>
      </c>
    </row>
    <row r="19" spans="1:14" x14ac:dyDescent="0.25">
      <c r="A19">
        <f>17</f>
        <v>17</v>
      </c>
      <c r="B19" t="str">
        <f>INDEX('Draft Engine'!$B$35:$B$84,$N19)</f>
        <v>Javonte Williams</v>
      </c>
      <c r="C19" s="4">
        <f>INDEX('Draft Engine'!$E$35:$E$84,$N19)</f>
        <v>83.803200000000004</v>
      </c>
      <c r="D19" t="str">
        <f t="shared" si="0"/>
        <v>TIER 3</v>
      </c>
      <c r="E19">
        <f>INDEX('Draft Engine'!$G$35:$G$84,$N19)</f>
        <v>282</v>
      </c>
      <c r="F19">
        <f>INDEX('Draft Engine'!$J$35:$J$84,$N19)</f>
        <v>43</v>
      </c>
      <c r="G19">
        <f>INDEX('Draft Engine'!$N$35:$N$84,$N19)</f>
        <v>80.331760000000003</v>
      </c>
      <c r="H19">
        <f>INDEX('Draft Engine'!$Q$35:$Q$84,$N19)</f>
        <v>38</v>
      </c>
      <c r="I19">
        <f>INDEX('Draft Engine'!$R$35:$R$84,$N19)</f>
        <v>69.2</v>
      </c>
      <c r="J19">
        <f>INDEX('Draft Engine'!$S$35:$S$84,$N19)</f>
        <v>31.200000000000003</v>
      </c>
      <c r="K19" t="str">
        <f>INDEX('Draft Engine'!$T$35:$T$84,$N19)</f>
        <v>A</v>
      </c>
      <c r="L19" t="str">
        <f>INDEX('LIVE SOURCE'!$H$35:$H$84,$N19)</f>
        <v>RB2 with RB1 weeks; should be a regular starter.</v>
      </c>
      <c r="M19" t="str">
        <f>INDEX('LIVE SOURCE'!$J$35:$J$84,$N19)</f>
        <v>Touchdown variance, receiving-role changes and backfield competition are the main downside paths.</v>
      </c>
      <c r="N19" s="6">
        <f>MATCH($A19,'Draft Engine'!$F$35:$F$84,0)</f>
        <v>17</v>
      </c>
    </row>
    <row r="20" spans="1:14" x14ac:dyDescent="0.25">
      <c r="A20">
        <f>18</f>
        <v>18</v>
      </c>
      <c r="B20" t="str">
        <f>INDEX('Draft Engine'!$B$35:$B$84,$N20)</f>
        <v>Travis Etienne Jr.</v>
      </c>
      <c r="C20" s="4">
        <f>INDEX('Draft Engine'!$E$35:$E$84,$N20)</f>
        <v>83.043599999999998</v>
      </c>
      <c r="D20" t="str">
        <f t="shared" si="0"/>
        <v>TIER 3</v>
      </c>
      <c r="E20">
        <f>INDEX('Draft Engine'!$G$35:$G$84,$N20)</f>
        <v>278.8</v>
      </c>
      <c r="F20">
        <f>INDEX('Draft Engine'!$J$35:$J$84,$N20)</f>
        <v>39.799999999999997</v>
      </c>
      <c r="G20">
        <f>INDEX('Draft Engine'!$N$35:$N$84,$N20)</f>
        <v>78.978605000000002</v>
      </c>
      <c r="H20">
        <f>INDEX('Draft Engine'!$Q$35:$Q$84,$N20)</f>
        <v>40</v>
      </c>
      <c r="I20">
        <f>INDEX('Draft Engine'!$R$35:$R$84,$N20)</f>
        <v>73.400000000000006</v>
      </c>
      <c r="J20">
        <f>INDEX('Draft Engine'!$S$35:$S$84,$N20)</f>
        <v>33.400000000000006</v>
      </c>
      <c r="K20" t="str">
        <f>INDEX('Draft Engine'!$T$35:$T$84,$N20)</f>
        <v>A</v>
      </c>
      <c r="L20" t="str">
        <f>INDEX('LIVE SOURCE'!$H$35:$H$84,$N20)</f>
        <v>RB2 with RB1 weeks; should be a regular starter.</v>
      </c>
      <c r="M20" t="str">
        <f>INDEX('LIVE SOURCE'!$J$35:$J$84,$N20)</f>
        <v>Touchdown variance, receiving-role changes and backfield competition are the main downside paths.</v>
      </c>
      <c r="N20" s="6">
        <f>MATCH($A20,'Draft Engine'!$F$35:$F$84,0)</f>
        <v>18</v>
      </c>
    </row>
    <row r="21" spans="1:14" x14ac:dyDescent="0.25">
      <c r="A21">
        <f>19</f>
        <v>19</v>
      </c>
      <c r="B21" t="str">
        <f>INDEX('Draft Engine'!$B$35:$B$84,$N21)</f>
        <v>Cam Skattebo</v>
      </c>
      <c r="C21" s="4">
        <f>INDEX('Draft Engine'!$E$35:$E$84,$N21)</f>
        <v>81.888400000000004</v>
      </c>
      <c r="D21" t="str">
        <f t="shared" si="0"/>
        <v>TIER 3</v>
      </c>
      <c r="E21">
        <f>INDEX('Draft Engine'!$G$35:$G$84,$N21)</f>
        <v>273.89999999999998</v>
      </c>
      <c r="F21">
        <f>INDEX('Draft Engine'!$J$35:$J$84,$N21)</f>
        <v>34.9</v>
      </c>
      <c r="G21">
        <f>INDEX('Draft Engine'!$N$35:$N$84,$N21)</f>
        <v>77.101870000000005</v>
      </c>
      <c r="H21">
        <f>INDEX('Draft Engine'!$Q$35:$Q$84,$N21)</f>
        <v>46</v>
      </c>
      <c r="I21">
        <f>INDEX('Draft Engine'!$R$35:$R$84,$N21)</f>
        <v>77.600000000000009</v>
      </c>
      <c r="J21">
        <f>INDEX('Draft Engine'!$S$35:$S$84,$N21)</f>
        <v>31.600000000000009</v>
      </c>
      <c r="K21" t="str">
        <f>INDEX('Draft Engine'!$T$35:$T$84,$N21)</f>
        <v>B</v>
      </c>
      <c r="L21" t="str">
        <f>INDEX('LIVE SOURCE'!$H$35:$H$84,$N21)</f>
        <v>RB2 with RB1 weeks; should be a regular starter.</v>
      </c>
      <c r="M21" t="str">
        <f>INDEX('LIVE SOURCE'!$J$35:$J$84,$N21)</f>
        <v>Availability/sample risk is elevated after only 8 games; talent is not being punished as heavily as durability.</v>
      </c>
      <c r="N21" s="6">
        <f>MATCH($A21,'Draft Engine'!$F$35:$F$84,0)</f>
        <v>19</v>
      </c>
    </row>
    <row r="22" spans="1:14" x14ac:dyDescent="0.25">
      <c r="A22">
        <f>20</f>
        <v>20</v>
      </c>
      <c r="B22" t="str">
        <f>INDEX('Draft Engine'!$B$35:$B$84,$N22)</f>
        <v>D'Andre Swift</v>
      </c>
      <c r="C22" s="4">
        <f>INDEX('Draft Engine'!$E$35:$E$84,$N22)</f>
        <v>79.985600000000005</v>
      </c>
      <c r="D22" t="str">
        <f t="shared" si="0"/>
        <v>TIER 4</v>
      </c>
      <c r="E22">
        <f>INDEX('Draft Engine'!$G$35:$G$84,$N22)</f>
        <v>265.89999999999998</v>
      </c>
      <c r="F22">
        <f>INDEX('Draft Engine'!$J$35:$J$84,$N22)</f>
        <v>26.9</v>
      </c>
      <c r="G22">
        <f>INDEX('Draft Engine'!$N$35:$N$84,$N22)</f>
        <v>74.255955</v>
      </c>
      <c r="H22">
        <f>INDEX('Draft Engine'!$Q$35:$Q$84,$N22)</f>
        <v>53</v>
      </c>
      <c r="I22">
        <f>INDEX('Draft Engine'!$R$35:$R$84,$N22)</f>
        <v>81.8</v>
      </c>
      <c r="J22">
        <f>INDEX('Draft Engine'!$S$35:$S$84,$N22)</f>
        <v>28.799999999999997</v>
      </c>
      <c r="K22" t="str">
        <f>INDEX('Draft Engine'!$T$35:$T$84,$N22)</f>
        <v>A</v>
      </c>
      <c r="L22" t="str">
        <f>INDEX('LIVE SOURCE'!$H$35:$H$84,$N22)</f>
        <v>RB2 with RB1 weeks; should be a regular starter.</v>
      </c>
      <c r="M22" t="str">
        <f>INDEX('LIVE SOURCE'!$J$35:$J$84,$N22)</f>
        <v>Touchdown variance, receiving-role changes and backfield competition are the main downside paths.</v>
      </c>
      <c r="N22" s="6">
        <f>MATCH($A22,'Draft Engine'!$F$35:$F$84,0)</f>
        <v>20</v>
      </c>
    </row>
    <row r="23" spans="1:14" x14ac:dyDescent="0.25">
      <c r="A23">
        <f>21</f>
        <v>21</v>
      </c>
      <c r="B23" t="str">
        <f>INDEX('Draft Engine'!$B$35:$B$84,$N23)</f>
        <v>Bucky Irving</v>
      </c>
      <c r="C23" s="4">
        <f>INDEX('Draft Engine'!$E$35:$E$84,$N23)</f>
        <v>79.935500000000005</v>
      </c>
      <c r="D23" t="str">
        <f t="shared" si="0"/>
        <v>TIER 4</v>
      </c>
      <c r="E23">
        <f>INDEX('Draft Engine'!$G$35:$G$84,$N23)</f>
        <v>265.7</v>
      </c>
      <c r="F23">
        <f>INDEX('Draft Engine'!$J$35:$J$84,$N23)</f>
        <v>26.7</v>
      </c>
      <c r="G23">
        <f>INDEX('Draft Engine'!$N$35:$N$84,$N23)</f>
        <v>73.833025000000006</v>
      </c>
      <c r="H23">
        <f>INDEX('Draft Engine'!$Q$35:$Q$84,$N23)</f>
        <v>54</v>
      </c>
      <c r="I23">
        <f>INDEX('Draft Engine'!$R$35:$R$84,$N23)</f>
        <v>86</v>
      </c>
      <c r="J23">
        <f>INDEX('Draft Engine'!$S$35:$S$84,$N23)</f>
        <v>32</v>
      </c>
      <c r="K23" t="str">
        <f>INDEX('Draft Engine'!$T$35:$T$84,$N23)</f>
        <v>B</v>
      </c>
      <c r="L23" t="str">
        <f>INDEX('LIVE SOURCE'!$H$35:$H$84,$N23)</f>
        <v>RB2/FLEX; useful weekly but role and receiving volume matter.</v>
      </c>
      <c r="M23" t="str">
        <f>INDEX('LIVE SOURCE'!$J$35:$J$84,$N23)</f>
        <v>Touchdown variance, receiving-role changes and backfield competition are the main downside paths.</v>
      </c>
      <c r="N23" s="6">
        <f>MATCH($A23,'Draft Engine'!$F$35:$F$84,0)</f>
        <v>21</v>
      </c>
    </row>
    <row r="24" spans="1:14" x14ac:dyDescent="0.25">
      <c r="A24">
        <f>22</f>
        <v>22</v>
      </c>
      <c r="B24" t="str">
        <f>INDEX('Draft Engine'!$B$35:$B$84,$N24)</f>
        <v>Quinshon Judkins</v>
      </c>
      <c r="C24" s="4">
        <f>INDEX('Draft Engine'!$E$35:$E$84,$N24)</f>
        <v>79.930300000000003</v>
      </c>
      <c r="D24" t="str">
        <f t="shared" si="0"/>
        <v>TIER 4</v>
      </c>
      <c r="E24">
        <f>INDEX('Draft Engine'!$G$35:$G$84,$N24)</f>
        <v>265.7</v>
      </c>
      <c r="F24">
        <f>INDEX('Draft Engine'!$J$35:$J$84,$N24)</f>
        <v>26.7</v>
      </c>
      <c r="G24">
        <f>INDEX('Draft Engine'!$N$35:$N$84,$N24)</f>
        <v>73.470789999999994</v>
      </c>
      <c r="H24">
        <f>INDEX('Draft Engine'!$Q$35:$Q$84,$N24)</f>
        <v>56</v>
      </c>
      <c r="I24">
        <f>INDEX('Draft Engine'!$R$35:$R$84,$N24)</f>
        <v>90.2</v>
      </c>
      <c r="J24">
        <f>INDEX('Draft Engine'!$S$35:$S$84,$N24)</f>
        <v>34.200000000000003</v>
      </c>
      <c r="K24" t="str">
        <f>INDEX('Draft Engine'!$T$35:$T$84,$N24)</f>
        <v>A</v>
      </c>
      <c r="L24" t="str">
        <f>INDEX('LIVE SOURCE'!$H$35:$H$84,$N24)</f>
        <v>RB2/FLEX; useful weekly but role and receiving volume matter.</v>
      </c>
      <c r="M24" t="str">
        <f>INDEX('LIVE SOURCE'!$J$35:$J$84,$N24)</f>
        <v>Touchdown variance, receiving-role changes and backfield competition are the main downside paths.</v>
      </c>
      <c r="N24" s="6">
        <f>MATCH($A24,'Draft Engine'!$F$35:$F$84,0)</f>
        <v>22</v>
      </c>
    </row>
    <row r="25" spans="1:14" x14ac:dyDescent="0.25">
      <c r="A25">
        <f>23</f>
        <v>23</v>
      </c>
      <c r="B25" t="str">
        <f>INDEX('Draft Engine'!$B$35:$B$84,$N25)</f>
        <v>David Montgomery</v>
      </c>
      <c r="C25" s="4">
        <f>INDEX('Draft Engine'!$E$35:$E$84,$N25)</f>
        <v>77.910200000000003</v>
      </c>
      <c r="D25" t="str">
        <f t="shared" si="0"/>
        <v>TIER 4</v>
      </c>
      <c r="E25">
        <f>INDEX('Draft Engine'!$G$35:$G$84,$N25)</f>
        <v>257.2</v>
      </c>
      <c r="F25">
        <f>INDEX('Draft Engine'!$J$35:$J$84,$N25)</f>
        <v>18.2</v>
      </c>
      <c r="G25">
        <f>INDEX('Draft Engine'!$N$35:$N$84,$N25)</f>
        <v>70.470359999999999</v>
      </c>
      <c r="H25">
        <f>INDEX('Draft Engine'!$Q$35:$Q$84,$N25)</f>
        <v>63</v>
      </c>
      <c r="I25">
        <f>INDEX('Draft Engine'!$R$35:$R$84,$N25)</f>
        <v>94.4</v>
      </c>
      <c r="J25">
        <f>INDEX('Draft Engine'!$S$35:$S$84,$N25)</f>
        <v>31.400000000000006</v>
      </c>
      <c r="K25" t="str">
        <f>INDEX('Draft Engine'!$T$35:$T$84,$N25)</f>
        <v>A</v>
      </c>
      <c r="L25" t="str">
        <f>INDEX('LIVE SOURCE'!$H$35:$H$84,$N25)</f>
        <v>RB2/FLEX; useful weekly but role and receiving volume matter.</v>
      </c>
      <c r="M25" t="str">
        <f>INDEX('LIVE SOURCE'!$J$35:$J$84,$N25)</f>
        <v>Touchdown variance, receiving-role changes and backfield competition are the main downside paths.</v>
      </c>
      <c r="N25" s="6">
        <f>MATCH($A25,'Draft Engine'!$F$35:$F$84,0)</f>
        <v>23</v>
      </c>
    </row>
    <row r="26" spans="1:14" x14ac:dyDescent="0.25">
      <c r="A26">
        <f>24</f>
        <v>24</v>
      </c>
      <c r="B26" t="str">
        <f>INDEX('Draft Engine'!$B$35:$B$84,$N26)</f>
        <v>TreVeyon Henderson</v>
      </c>
      <c r="C26" s="4">
        <f>INDEX('Draft Engine'!$E$35:$E$84,$N26)</f>
        <v>77.832499999999996</v>
      </c>
      <c r="D26" t="str">
        <f t="shared" si="0"/>
        <v>TIER 4</v>
      </c>
      <c r="E26">
        <f>INDEX('Draft Engine'!$G$35:$G$84,$N26)</f>
        <v>256.89999999999998</v>
      </c>
      <c r="F26">
        <f>INDEX('Draft Engine'!$J$35:$J$84,$N26)</f>
        <v>17.899999999999999</v>
      </c>
      <c r="G26">
        <f>INDEX('Draft Engine'!$N$35:$N$84,$N26)</f>
        <v>70.014250000000004</v>
      </c>
      <c r="H26">
        <f>INDEX('Draft Engine'!$Q$35:$Q$84,$N26)</f>
        <v>65</v>
      </c>
      <c r="I26">
        <f>INDEX('Draft Engine'!$R$35:$R$84,$N26)</f>
        <v>98.600000000000009</v>
      </c>
      <c r="J26">
        <f>INDEX('Draft Engine'!$S$35:$S$84,$N26)</f>
        <v>33.600000000000009</v>
      </c>
      <c r="K26" t="str">
        <f>INDEX('Draft Engine'!$T$35:$T$84,$N26)</f>
        <v>A</v>
      </c>
      <c r="L26" t="str">
        <f>INDEX('LIVE SOURCE'!$H$35:$H$84,$N26)</f>
        <v>RB2/FLEX; useful weekly but role and receiving volume matter.</v>
      </c>
      <c r="M26" t="str">
        <f>INDEX('LIVE SOURCE'!$J$35:$J$84,$N26)</f>
        <v>Touchdown variance, receiving-role changes and backfield competition are the main downside paths.</v>
      </c>
      <c r="N26" s="6">
        <f>MATCH($A26,'Draft Engine'!$F$35:$F$84,0)</f>
        <v>24</v>
      </c>
    </row>
    <row r="27" spans="1:14" x14ac:dyDescent="0.25">
      <c r="A27">
        <f>25</f>
        <v>25</v>
      </c>
      <c r="B27" t="str">
        <f>INDEX('Draft Engine'!$B$35:$B$84,$N27)</f>
        <v>Jadarian Price</v>
      </c>
      <c r="C27" s="4">
        <f>INDEX('Draft Engine'!$E$35:$E$84,$N27)</f>
        <v>76.662199999999999</v>
      </c>
      <c r="D27" t="str">
        <f t="shared" si="0"/>
        <v>TIER 4</v>
      </c>
      <c r="E27">
        <f>INDEX('Draft Engine'!$G$35:$G$84,$N27)</f>
        <v>252</v>
      </c>
      <c r="F27">
        <f>INDEX('Draft Engine'!$J$35:$J$84,$N27)</f>
        <v>13</v>
      </c>
      <c r="G27">
        <f>INDEX('Draft Engine'!$N$35:$N$84,$N27)</f>
        <v>68.12921</v>
      </c>
      <c r="H27">
        <f>INDEX('Draft Engine'!$Q$35:$Q$84,$N27)</f>
        <v>68</v>
      </c>
      <c r="I27">
        <f>INDEX('Draft Engine'!$R$35:$R$84,$N27)</f>
        <v>102.8</v>
      </c>
      <c r="J27">
        <f>INDEX('Draft Engine'!$S$35:$S$84,$N27)</f>
        <v>34.799999999999997</v>
      </c>
      <c r="K27" t="str">
        <f>INDEX('Draft Engine'!$T$35:$T$84,$N27)</f>
        <v>B</v>
      </c>
      <c r="L27" t="str">
        <f>INDEX('LIVE SOURCE'!$H$35:$H$84,$N27)</f>
        <v>RB2/FLEX; useful weekly but role and receiving volume matter.</v>
      </c>
      <c r="M27" t="str">
        <f>INDEX('LIVE SOURCE'!$J$35:$J$84,$N27)</f>
        <v>NFL translation and exact weekly role are the main variables; preseason first-team usage can move this rating quickly.</v>
      </c>
      <c r="N27" s="6">
        <f>MATCH($A27,'Draft Engine'!$F$35:$F$84,0)</f>
        <v>25</v>
      </c>
    </row>
    <row r="28" spans="1:14" x14ac:dyDescent="0.25">
      <c r="A28">
        <f>26</f>
        <v>26</v>
      </c>
      <c r="B28" t="str">
        <f>INDEX('Draft Engine'!$B$35:$B$84,$N28)</f>
        <v>Jaylen Warren</v>
      </c>
      <c r="C28" s="4">
        <f>INDEX('Draft Engine'!$E$35:$E$84,$N28)</f>
        <v>76.091800000000006</v>
      </c>
      <c r="D28" t="str">
        <f t="shared" si="0"/>
        <v>TIER 4</v>
      </c>
      <c r="E28">
        <f>INDEX('Draft Engine'!$G$35:$G$84,$N28)</f>
        <v>249.6</v>
      </c>
      <c r="F28">
        <f>INDEX('Draft Engine'!$J$35:$J$84,$N28)</f>
        <v>10.6</v>
      </c>
      <c r="G28">
        <f>INDEX('Draft Engine'!$N$35:$N$84,$N28)</f>
        <v>67.024115000000009</v>
      </c>
      <c r="H28">
        <f>INDEX('Draft Engine'!$Q$35:$Q$84,$N28)</f>
        <v>73</v>
      </c>
      <c r="I28">
        <f>INDEX('Draft Engine'!$R$35:$R$84,$N28)</f>
        <v>107</v>
      </c>
      <c r="J28">
        <f>INDEX('Draft Engine'!$S$35:$S$84,$N28)</f>
        <v>34</v>
      </c>
      <c r="K28" t="str">
        <f>INDEX('Draft Engine'!$T$35:$T$84,$N28)</f>
        <v>A</v>
      </c>
      <c r="L28" t="str">
        <f>INDEX('LIVE SOURCE'!$H$35:$H$84,$N28)</f>
        <v>RB2/FLEX; useful weekly but role and receiving volume matter.</v>
      </c>
      <c r="M28" t="str">
        <f>INDEX('LIVE SOURCE'!$J$35:$J$84,$N28)</f>
        <v>Touchdown variance, receiving-role changes and backfield competition are the main downside paths.</v>
      </c>
      <c r="N28" s="6">
        <f>MATCH($A28,'Draft Engine'!$F$35:$F$84,0)</f>
        <v>26</v>
      </c>
    </row>
    <row r="29" spans="1:14" x14ac:dyDescent="0.25">
      <c r="A29">
        <f>27</f>
        <v>27</v>
      </c>
      <c r="B29" t="str">
        <f>INDEX('Draft Engine'!$B$35:$B$84,$N29)</f>
        <v>Rico Dowdle</v>
      </c>
      <c r="C29" s="4">
        <f>INDEX('Draft Engine'!$E$35:$E$84,$N29)</f>
        <v>75.785799999999995</v>
      </c>
      <c r="D29" t="str">
        <f t="shared" si="0"/>
        <v>TIER 4</v>
      </c>
      <c r="E29">
        <f>INDEX('Draft Engine'!$G$35:$G$84,$N29)</f>
        <v>248.3</v>
      </c>
      <c r="F29">
        <f>INDEX('Draft Engine'!$J$35:$J$84,$N29)</f>
        <v>9.3000000000000007</v>
      </c>
      <c r="G29">
        <f>INDEX('Draft Engine'!$N$35:$N$84,$N29)</f>
        <v>66.262439999999998</v>
      </c>
      <c r="H29">
        <f>INDEX('Draft Engine'!$Q$35:$Q$84,$N29)</f>
        <v>77</v>
      </c>
      <c r="I29">
        <f>INDEX('Draft Engine'!$R$35:$R$84,$N29)</f>
        <v>111.2</v>
      </c>
      <c r="J29">
        <f>INDEX('Draft Engine'!$S$35:$S$84,$N29)</f>
        <v>34.200000000000003</v>
      </c>
      <c r="K29" t="str">
        <f>INDEX('Draft Engine'!$T$35:$T$84,$N29)</f>
        <v>A</v>
      </c>
      <c r="L29" t="str">
        <f>INDEX('LIVE SOURCE'!$H$35:$H$84,$N29)</f>
        <v>RB2/FLEX; useful weekly but role and receiving volume matter.</v>
      </c>
      <c r="M29" t="str">
        <f>INDEX('LIVE SOURCE'!$J$35:$J$84,$N29)</f>
        <v>Touchdown variance, receiving-role changes and backfield competition are the main downside paths.</v>
      </c>
      <c r="N29" s="6">
        <f>MATCH($A29,'Draft Engine'!$F$35:$F$84,0)</f>
        <v>27</v>
      </c>
    </row>
    <row r="30" spans="1:14" x14ac:dyDescent="0.25">
      <c r="A30">
        <f>28</f>
        <v>28</v>
      </c>
      <c r="B30" t="str">
        <f>INDEX('Draft Engine'!$B$35:$B$84,$N30)</f>
        <v>Tony Pollard</v>
      </c>
      <c r="C30" s="4">
        <f>INDEX('Draft Engine'!$E$35:$E$84,$N30)</f>
        <v>75.098600000000005</v>
      </c>
      <c r="D30" t="str">
        <f t="shared" si="0"/>
        <v>TIER 4</v>
      </c>
      <c r="E30">
        <f>INDEX('Draft Engine'!$G$35:$G$84,$N30)</f>
        <v>245.4</v>
      </c>
      <c r="F30">
        <f>INDEX('Draft Engine'!$J$35:$J$84,$N30)</f>
        <v>6.4</v>
      </c>
      <c r="G30">
        <f>INDEX('Draft Engine'!$N$35:$N$84,$N30)</f>
        <v>65.003105000000005</v>
      </c>
      <c r="H30">
        <f>INDEX('Draft Engine'!$Q$35:$Q$84,$N30)</f>
        <v>81</v>
      </c>
      <c r="I30">
        <f>INDEX('Draft Engine'!$R$35:$R$84,$N30)</f>
        <v>115.4</v>
      </c>
      <c r="J30">
        <f>INDEX('Draft Engine'!$S$35:$S$84,$N30)</f>
        <v>34.400000000000006</v>
      </c>
      <c r="K30" t="str">
        <f>INDEX('Draft Engine'!$T$35:$T$84,$N30)</f>
        <v>A</v>
      </c>
      <c r="L30" t="str">
        <f>INDEX('LIVE SOURCE'!$H$35:$H$84,$N30)</f>
        <v>RB2/FLEX; useful weekly but role and receiving volume matter.</v>
      </c>
      <c r="M30" t="str">
        <f>INDEX('LIVE SOURCE'!$J$35:$J$84,$N30)</f>
        <v>Touchdown variance, receiving-role changes and backfield competition are the main downside paths.</v>
      </c>
      <c r="N30" s="6">
        <f>MATCH($A30,'Draft Engine'!$F$35:$F$84,0)</f>
        <v>28</v>
      </c>
    </row>
    <row r="31" spans="1:14" x14ac:dyDescent="0.25">
      <c r="A31">
        <f>29</f>
        <v>29</v>
      </c>
      <c r="B31" t="str">
        <f>INDEX('Draft Engine'!$B$35:$B$84,$N31)</f>
        <v>Rhamondre Stevenson</v>
      </c>
      <c r="C31" s="4">
        <f>INDEX('Draft Engine'!$E$35:$E$84,$N31)</f>
        <v>74.588099999999997</v>
      </c>
      <c r="D31" t="str">
        <f t="shared" si="0"/>
        <v>TIER 5</v>
      </c>
      <c r="E31">
        <f>INDEX('Draft Engine'!$G$35:$G$84,$N31)</f>
        <v>243.3</v>
      </c>
      <c r="F31">
        <f>INDEX('Draft Engine'!$J$35:$J$84,$N31)</f>
        <v>4.3</v>
      </c>
      <c r="G31">
        <f>INDEX('Draft Engine'!$N$35:$N$84,$N31)</f>
        <v>63.984954999999999</v>
      </c>
      <c r="H31">
        <f>INDEX('Draft Engine'!$Q$35:$Q$84,$N31)</f>
        <v>84</v>
      </c>
      <c r="I31">
        <f>INDEX('Draft Engine'!$R$35:$R$84,$N31)</f>
        <v>119.6</v>
      </c>
      <c r="J31">
        <f>INDEX('Draft Engine'!$S$35:$S$84,$N31)</f>
        <v>35.599999999999994</v>
      </c>
      <c r="K31" t="str">
        <f>INDEX('Draft Engine'!$T$35:$T$84,$N31)</f>
        <v>A</v>
      </c>
      <c r="L31" t="str">
        <f>INDEX('LIVE SOURCE'!$H$35:$H$84,$N31)</f>
        <v>RB2/FLEX; useful weekly but role and receiving volume matter.</v>
      </c>
      <c r="M31" t="str">
        <f>INDEX('LIVE SOURCE'!$J$35:$J$84,$N31)</f>
        <v>Touchdown variance, receiving-role changes and backfield competition are the main downside paths.</v>
      </c>
      <c r="N31" s="6">
        <f>MATCH($A31,'Draft Engine'!$F$35:$F$84,0)</f>
        <v>29</v>
      </c>
    </row>
    <row r="32" spans="1:14" x14ac:dyDescent="0.25">
      <c r="A32">
        <f>30</f>
        <v>30</v>
      </c>
      <c r="B32" t="str">
        <f>INDEX('Draft Engine'!$B$35:$B$84,$N32)</f>
        <v>Kenneth Gainwell</v>
      </c>
      <c r="C32" s="4">
        <f>INDEX('Draft Engine'!$E$35:$E$84,$N32)</f>
        <v>74.504900000000006</v>
      </c>
      <c r="D32" t="str">
        <f t="shared" si="0"/>
        <v>TIER 5</v>
      </c>
      <c r="E32">
        <f>INDEX('Draft Engine'!$G$35:$G$84,$N32)</f>
        <v>242.9</v>
      </c>
      <c r="F32">
        <f>INDEX('Draft Engine'!$J$35:$J$84,$N32)</f>
        <v>3.9</v>
      </c>
      <c r="G32">
        <f>INDEX('Draft Engine'!$N$35:$N$84,$N32)</f>
        <v>63.507820000000002</v>
      </c>
      <c r="H32">
        <f>INDEX('Draft Engine'!$Q$35:$Q$84,$N32)</f>
        <v>86</v>
      </c>
      <c r="I32">
        <f>INDEX('Draft Engine'!$R$35:$R$84,$N32)</f>
        <v>123.8</v>
      </c>
      <c r="J32">
        <f>INDEX('Draft Engine'!$S$35:$S$84,$N32)</f>
        <v>37.799999999999997</v>
      </c>
      <c r="K32" t="str">
        <f>INDEX('Draft Engine'!$T$35:$T$84,$N32)</f>
        <v>A</v>
      </c>
      <c r="L32" t="str">
        <f>INDEX('LIVE SOURCE'!$H$35:$H$84,$N32)</f>
        <v>RB2/FLEX; useful weekly but role and receiving volume matter.</v>
      </c>
      <c r="M32" t="str">
        <f>INDEX('LIVE SOURCE'!$J$35:$J$84,$N32)</f>
        <v>Touchdown variance, receiving-role changes and backfield competition are the main downside paths.</v>
      </c>
      <c r="N32" s="6">
        <f>MATCH($A32,'Draft Engine'!$F$35:$F$84,0)</f>
        <v>30</v>
      </c>
    </row>
    <row r="33" spans="1:14" x14ac:dyDescent="0.25">
      <c r="A33">
        <f>31</f>
        <v>31</v>
      </c>
      <c r="B33" t="str">
        <f>INDEX('Draft Engine'!$B$35:$B$84,$N33)</f>
        <v>Bhayshul Tuten</v>
      </c>
      <c r="C33" s="4">
        <f>INDEX('Draft Engine'!$E$35:$E$84,$N33)</f>
        <v>74.467699999999994</v>
      </c>
      <c r="D33" t="str">
        <f t="shared" si="0"/>
        <v>TIER 5</v>
      </c>
      <c r="E33">
        <f>INDEX('Draft Engine'!$G$35:$G$84,$N33)</f>
        <v>242.8</v>
      </c>
      <c r="F33">
        <f>INDEX('Draft Engine'!$J$35:$J$84,$N33)</f>
        <v>3.8</v>
      </c>
      <c r="G33">
        <f>INDEX('Draft Engine'!$N$35:$N$84,$N33)</f>
        <v>63.109984999999995</v>
      </c>
      <c r="H33">
        <f>INDEX('Draft Engine'!$Q$35:$Q$84,$N33)</f>
        <v>87</v>
      </c>
      <c r="I33">
        <f>INDEX('Draft Engine'!$R$35:$R$84,$N33)</f>
        <v>128</v>
      </c>
      <c r="J33">
        <f>INDEX('Draft Engine'!$S$35:$S$84,$N33)</f>
        <v>41</v>
      </c>
      <c r="K33" t="str">
        <f>INDEX('Draft Engine'!$T$35:$T$84,$N33)</f>
        <v>A</v>
      </c>
      <c r="L33" t="str">
        <f>INDEX('LIVE SOURCE'!$H$35:$H$84,$N33)</f>
        <v>FLEX/bench depth with upside if workload grows.</v>
      </c>
      <c r="M33" t="str">
        <f>INDEX('LIVE SOURCE'!$J$35:$J$84,$N33)</f>
        <v>Touchdown variance, receiving-role changes and backfield competition are the main downside paths.</v>
      </c>
      <c r="N33" s="6">
        <f>MATCH($A33,'Draft Engine'!$F$35:$F$84,0)</f>
        <v>31</v>
      </c>
    </row>
    <row r="34" spans="1:14" x14ac:dyDescent="0.25">
      <c r="A34">
        <f>32</f>
        <v>32</v>
      </c>
      <c r="B34" t="str">
        <f>INDEX('Draft Engine'!$B$35:$B$84,$N34)</f>
        <v>RJ Harvey</v>
      </c>
      <c r="C34" s="4">
        <f>INDEX('Draft Engine'!$E$35:$E$84,$N34)</f>
        <v>73.567800000000005</v>
      </c>
      <c r="D34" t="str">
        <f t="shared" si="0"/>
        <v>TIER 5</v>
      </c>
      <c r="E34">
        <f>INDEX('Draft Engine'!$G$35:$G$84,$N34)</f>
        <v>239</v>
      </c>
      <c r="F34">
        <f>INDEX('Draft Engine'!$J$35:$J$84,$N34)</f>
        <v>0</v>
      </c>
      <c r="G34">
        <f>INDEX('Draft Engine'!$N$35:$N$84,$N34)</f>
        <v>61.571665000000003</v>
      </c>
      <c r="H34">
        <f>INDEX('Draft Engine'!$Q$35:$Q$84,$N34)</f>
        <v>92</v>
      </c>
      <c r="I34">
        <f>INDEX('Draft Engine'!$R$35:$R$84,$N34)</f>
        <v>132.19999999999999</v>
      </c>
      <c r="J34">
        <f>INDEX('Draft Engine'!$S$35:$S$84,$N34)</f>
        <v>40.199999999999989</v>
      </c>
      <c r="K34" t="str">
        <f>INDEX('Draft Engine'!$T$35:$T$84,$N34)</f>
        <v>A</v>
      </c>
      <c r="L34" t="str">
        <f>INDEX('LIVE SOURCE'!$H$35:$H$84,$N34)</f>
        <v>FLEX/bench depth with upside if workload grows.</v>
      </c>
      <c r="M34" t="str">
        <f>INDEX('LIVE SOURCE'!$J$35:$J$84,$N34)</f>
        <v>Touchdown variance, receiving-role changes and backfield competition are the main downside paths.</v>
      </c>
      <c r="N34" s="6">
        <f>MATCH($A34,'Draft Engine'!$F$35:$F$84,0)</f>
        <v>32</v>
      </c>
    </row>
    <row r="35" spans="1:14" x14ac:dyDescent="0.25">
      <c r="A35">
        <f>33</f>
        <v>33</v>
      </c>
      <c r="B35" t="str">
        <f>INDEX('Draft Engine'!$B$35:$B$84,$N35)</f>
        <v>Kyle Monangai</v>
      </c>
      <c r="C35" s="4">
        <f>INDEX('Draft Engine'!$E$35:$E$84,$N35)</f>
        <v>72.610200000000006</v>
      </c>
      <c r="D35" t="str">
        <f t="shared" ref="D35:D52" si="1">IF($C35&gt;=95,"ELITE",IF($C35&gt;=90,"TIER 1",IF($C35&gt;=85,"TIER 2",IF($C35&gt;=80,"TIER 3",IF($C35&gt;=75,"TIER 4",IF($C35&gt;=70,"TIER 5",IF($C35&gt;=65,"TIER 6","TIER 7")))))))</f>
        <v>TIER 5</v>
      </c>
      <c r="E35">
        <f>INDEX('Draft Engine'!$G$35:$G$84,$N35)</f>
        <v>235</v>
      </c>
      <c r="F35">
        <f>INDEX('Draft Engine'!$J$35:$J$84,$N35)</f>
        <v>-4</v>
      </c>
      <c r="G35">
        <f>INDEX('Draft Engine'!$N$35:$N$84,$N35)</f>
        <v>59.965610000000005</v>
      </c>
      <c r="H35">
        <f>INDEX('Draft Engine'!$Q$35:$Q$84,$N35)</f>
        <v>98</v>
      </c>
      <c r="I35">
        <f>INDEX('Draft Engine'!$R$35:$R$84,$N35)</f>
        <v>136.4</v>
      </c>
      <c r="J35">
        <f>INDEX('Draft Engine'!$S$35:$S$84,$N35)</f>
        <v>38.400000000000006</v>
      </c>
      <c r="K35" t="str">
        <f>INDEX('Draft Engine'!$T$35:$T$84,$N35)</f>
        <v>A</v>
      </c>
      <c r="L35" t="str">
        <f>INDEX('LIVE SOURCE'!$H$35:$H$84,$N35)</f>
        <v>FLEX/bench depth with upside if workload grows.</v>
      </c>
      <c r="M35" t="str">
        <f>INDEX('LIVE SOURCE'!$J$35:$J$84,$N35)</f>
        <v>Touchdown variance, receiving-role changes and backfield competition are the main downside paths.</v>
      </c>
      <c r="N35" s="6">
        <f>MATCH($A35,'Draft Engine'!$F$35:$F$84,0)</f>
        <v>33</v>
      </c>
    </row>
    <row r="36" spans="1:14" x14ac:dyDescent="0.25">
      <c r="A36">
        <f>34</f>
        <v>34</v>
      </c>
      <c r="B36" t="str">
        <f>INDEX('Draft Engine'!$B$35:$B$84,$N36)</f>
        <v>Chuba Hubbard</v>
      </c>
      <c r="C36" s="4">
        <f>INDEX('Draft Engine'!$E$35:$E$84,$N36)</f>
        <v>71.866699999999994</v>
      </c>
      <c r="D36" t="str">
        <f t="shared" si="1"/>
        <v>TIER 5</v>
      </c>
      <c r="E36">
        <f>INDEX('Draft Engine'!$G$35:$G$84,$N36)</f>
        <v>231.8</v>
      </c>
      <c r="F36">
        <f>INDEX('Draft Engine'!$J$35:$J$84,$N36)</f>
        <v>-7.2</v>
      </c>
      <c r="G36">
        <f>INDEX('Draft Engine'!$N$35:$N$84,$N36)</f>
        <v>58.621310000000001</v>
      </c>
      <c r="H36">
        <f>INDEX('Draft Engine'!$Q$35:$Q$84,$N36)</f>
        <v>100</v>
      </c>
      <c r="I36">
        <f>INDEX('Draft Engine'!$R$35:$R$84,$N36)</f>
        <v>140.6</v>
      </c>
      <c r="J36">
        <f>INDEX('Draft Engine'!$S$35:$S$84,$N36)</f>
        <v>40.599999999999994</v>
      </c>
      <c r="K36" t="str">
        <f>INDEX('Draft Engine'!$T$35:$T$84,$N36)</f>
        <v>A</v>
      </c>
      <c r="L36" t="str">
        <f>INDEX('LIVE SOURCE'!$H$35:$H$84,$N36)</f>
        <v>FLEX/bench depth with upside if workload grows.</v>
      </c>
      <c r="M36" t="str">
        <f>INDEX('LIVE SOURCE'!$J$35:$J$84,$N36)</f>
        <v>Touchdown variance, receiving-role changes and backfield competition are the main downside paths.</v>
      </c>
      <c r="N36" s="6">
        <f>MATCH($A36,'Draft Engine'!$F$35:$F$84,0)</f>
        <v>34</v>
      </c>
    </row>
    <row r="37" spans="1:14" x14ac:dyDescent="0.25">
      <c r="A37">
        <f>35</f>
        <v>35</v>
      </c>
      <c r="B37" t="str">
        <f>INDEX('Draft Engine'!$B$35:$B$84,$N37)</f>
        <v>Aaron Jones Sr.</v>
      </c>
      <c r="C37" s="4">
        <f>INDEX('Draft Engine'!$E$35:$E$84,$N37)</f>
        <v>71.697699999999998</v>
      </c>
      <c r="D37" t="str">
        <f t="shared" si="1"/>
        <v>TIER 5</v>
      </c>
      <c r="E37">
        <f>INDEX('Draft Engine'!$G$35:$G$84,$N37)</f>
        <v>231.1</v>
      </c>
      <c r="F37">
        <f>INDEX('Draft Engine'!$J$35:$J$84,$N37)</f>
        <v>-7.9</v>
      </c>
      <c r="G37">
        <f>INDEX('Draft Engine'!$N$35:$N$84,$N37)</f>
        <v>58.042985000000002</v>
      </c>
      <c r="H37">
        <f>INDEX('Draft Engine'!$Q$35:$Q$84,$N37)</f>
        <v>102</v>
      </c>
      <c r="I37">
        <f>INDEX('Draft Engine'!$R$35:$R$84,$N37)</f>
        <v>144.80000000000001</v>
      </c>
      <c r="J37">
        <f>INDEX('Draft Engine'!$S$35:$S$84,$N37)</f>
        <v>42.800000000000011</v>
      </c>
      <c r="K37" t="str">
        <f>INDEX('Draft Engine'!$T$35:$T$84,$N37)</f>
        <v>A</v>
      </c>
      <c r="L37" t="str">
        <f>INDEX('LIVE SOURCE'!$H$35:$H$84,$N37)</f>
        <v>FLEX/bench depth with upside if workload grows.</v>
      </c>
      <c r="M37" t="str">
        <f>INDEX('LIVE SOURCE'!$J$35:$J$84,$N37)</f>
        <v>Touchdown variance, receiving-role changes and backfield competition are the main downside paths.</v>
      </c>
      <c r="N37" s="6">
        <f>MATCH($A37,'Draft Engine'!$F$35:$F$84,0)</f>
        <v>35</v>
      </c>
    </row>
    <row r="38" spans="1:14" x14ac:dyDescent="0.25">
      <c r="A38">
        <f>36</f>
        <v>36</v>
      </c>
      <c r="B38" t="str">
        <f>INDEX('Draft Engine'!$B$35:$B$84,$N38)</f>
        <v>J.K. Dobbins</v>
      </c>
      <c r="C38" s="4">
        <f>INDEX('Draft Engine'!$E$35:$E$84,$N38)</f>
        <v>71.166600000000003</v>
      </c>
      <c r="D38" t="str">
        <f t="shared" si="1"/>
        <v>TIER 5</v>
      </c>
      <c r="E38">
        <f>INDEX('Draft Engine'!$G$35:$G$84,$N38)</f>
        <v>228.9</v>
      </c>
      <c r="F38">
        <f>INDEX('Draft Engine'!$J$35:$J$84,$N38)</f>
        <v>-10.1</v>
      </c>
      <c r="G38">
        <f>INDEX('Draft Engine'!$N$35:$N$84,$N38)</f>
        <v>56.995505000000009</v>
      </c>
      <c r="H38">
        <f>INDEX('Draft Engine'!$Q$35:$Q$84,$N38)</f>
        <v>106</v>
      </c>
      <c r="I38">
        <f>INDEX('Draft Engine'!$R$35:$R$84,$N38)</f>
        <v>149</v>
      </c>
      <c r="J38">
        <f>INDEX('Draft Engine'!$S$35:$S$84,$N38)</f>
        <v>43</v>
      </c>
      <c r="K38" t="str">
        <f>INDEX('Draft Engine'!$T$35:$T$84,$N38)</f>
        <v>B</v>
      </c>
      <c r="L38" t="str">
        <f>INDEX('LIVE SOURCE'!$H$35:$H$84,$N38)</f>
        <v>FLEX/bench depth with upside if workload grows.</v>
      </c>
      <c r="M38" t="str">
        <f>INDEX('LIVE SOURCE'!$J$35:$J$84,$N38)</f>
        <v>Touchdown variance, receiving-role changes and backfield competition are the main downside paths.</v>
      </c>
      <c r="N38" s="6">
        <f>MATCH($A38,'Draft Engine'!$F$35:$F$84,0)</f>
        <v>36</v>
      </c>
    </row>
    <row r="39" spans="1:14" x14ac:dyDescent="0.25">
      <c r="A39">
        <f>37</f>
        <v>37</v>
      </c>
      <c r="B39" t="str">
        <f>INDEX('Draft Engine'!$B$35:$B$84,$N39)</f>
        <v>Blake Corum</v>
      </c>
      <c r="C39" s="4">
        <f>INDEX('Draft Engine'!$E$35:$E$84,$N39)</f>
        <v>69.519599999999997</v>
      </c>
      <c r="D39" t="str">
        <f t="shared" si="1"/>
        <v>TIER 6</v>
      </c>
      <c r="E39">
        <f>INDEX('Draft Engine'!$G$35:$G$84,$N39)</f>
        <v>222</v>
      </c>
      <c r="F39">
        <f>INDEX('Draft Engine'!$J$35:$J$84,$N39)</f>
        <v>-17</v>
      </c>
      <c r="G39">
        <f>INDEX('Draft Engine'!$N$35:$N$84,$N39)</f>
        <v>54.488279999999996</v>
      </c>
      <c r="H39">
        <f>INDEX('Draft Engine'!$Q$35:$Q$84,$N39)</f>
        <v>113</v>
      </c>
      <c r="I39">
        <f>INDEX('Draft Engine'!$R$35:$R$84,$N39)</f>
        <v>153.19999999999999</v>
      </c>
      <c r="J39">
        <f>INDEX('Draft Engine'!$S$35:$S$84,$N39)</f>
        <v>40.199999999999989</v>
      </c>
      <c r="K39" t="str">
        <f>INDEX('Draft Engine'!$T$35:$T$84,$N39)</f>
        <v>A</v>
      </c>
      <c r="L39" t="str">
        <f>INDEX('LIVE SOURCE'!$H$35:$H$84,$N39)</f>
        <v>FLEX/bench depth with upside if workload grows.</v>
      </c>
      <c r="M39" t="str">
        <f>INDEX('LIVE SOURCE'!$J$35:$J$84,$N39)</f>
        <v>Touchdown variance, receiving-role changes and backfield competition are the main downside paths.</v>
      </c>
      <c r="N39" s="6">
        <f>MATCH($A39,'Draft Engine'!$F$35:$F$84,0)</f>
        <v>37</v>
      </c>
    </row>
    <row r="40" spans="1:14" x14ac:dyDescent="0.25">
      <c r="A40">
        <f>38</f>
        <v>38</v>
      </c>
      <c r="B40" t="str">
        <f>INDEX('Draft Engine'!$B$35:$B$84,$N40)</f>
        <v>Rachaad White</v>
      </c>
      <c r="C40" s="4">
        <f>INDEX('Draft Engine'!$E$35:$E$84,$N40)</f>
        <v>69.203699999999998</v>
      </c>
      <c r="D40" t="str">
        <f t="shared" si="1"/>
        <v>TIER 6</v>
      </c>
      <c r="E40">
        <f>INDEX('Draft Engine'!$G$35:$G$84,$N40)</f>
        <v>220.7</v>
      </c>
      <c r="F40">
        <f>INDEX('Draft Engine'!$J$35:$J$84,$N40)</f>
        <v>-18.3</v>
      </c>
      <c r="G40">
        <f>INDEX('Draft Engine'!$N$35:$N$84,$N40)</f>
        <v>53.721159999999998</v>
      </c>
      <c r="H40">
        <f>INDEX('Draft Engine'!$Q$35:$Q$84,$N40)</f>
        <v>115</v>
      </c>
      <c r="I40">
        <f>INDEX('Draft Engine'!$R$35:$R$84,$N40)</f>
        <v>157.4</v>
      </c>
      <c r="J40">
        <f>INDEX('Draft Engine'!$S$35:$S$84,$N40)</f>
        <v>42.400000000000006</v>
      </c>
      <c r="K40" t="str">
        <f>INDEX('Draft Engine'!$T$35:$T$84,$N40)</f>
        <v>A</v>
      </c>
      <c r="L40" t="str">
        <f>INDEX('LIVE SOURCE'!$H$35:$H$84,$N40)</f>
        <v>FLEX/bench depth with upside if workload grows.</v>
      </c>
      <c r="M40" t="str">
        <f>INDEX('LIVE SOURCE'!$J$35:$J$84,$N40)</f>
        <v>Touchdown variance, receiving-role changes and backfield competition are the main downside paths.</v>
      </c>
      <c r="N40" s="6">
        <f>MATCH($A40,'Draft Engine'!$F$35:$F$84,0)</f>
        <v>38</v>
      </c>
    </row>
    <row r="41" spans="1:14" x14ac:dyDescent="0.25">
      <c r="A41">
        <f>39</f>
        <v>39</v>
      </c>
      <c r="B41" t="str">
        <f>INDEX('Draft Engine'!$B$35:$B$84,$N41)</f>
        <v>Jacory Croskey-Merritt</v>
      </c>
      <c r="C41" s="4">
        <f>INDEX('Draft Engine'!$E$35:$E$84,$N41)</f>
        <v>68.992199999999997</v>
      </c>
      <c r="D41" t="str">
        <f t="shared" si="1"/>
        <v>TIER 6</v>
      </c>
      <c r="E41">
        <f>INDEX('Draft Engine'!$G$35:$G$84,$N41)</f>
        <v>219.8</v>
      </c>
      <c r="F41">
        <f>INDEX('Draft Engine'!$J$35:$J$84,$N41)</f>
        <v>-19.2</v>
      </c>
      <c r="G41">
        <f>INDEX('Draft Engine'!$N$35:$N$84,$N41)</f>
        <v>53.083460000000002</v>
      </c>
      <c r="H41">
        <f>INDEX('Draft Engine'!$Q$35:$Q$84,$N41)</f>
        <v>118</v>
      </c>
      <c r="I41">
        <f>INDEX('Draft Engine'!$R$35:$R$84,$N41)</f>
        <v>161.6</v>
      </c>
      <c r="J41">
        <f>INDEX('Draft Engine'!$S$35:$S$84,$N41)</f>
        <v>43.599999999999994</v>
      </c>
      <c r="K41" t="str">
        <f>INDEX('Draft Engine'!$T$35:$T$84,$N41)</f>
        <v>A</v>
      </c>
      <c r="L41" t="str">
        <f>INDEX('LIVE SOURCE'!$H$35:$H$84,$N41)</f>
        <v>FLEX/bench depth with upside if workload grows.</v>
      </c>
      <c r="M41" t="str">
        <f>INDEX('LIVE SOURCE'!$J$35:$J$84,$N41)</f>
        <v>Touchdown variance, receiving-role changes and backfield competition are the main downside paths.</v>
      </c>
      <c r="N41" s="6">
        <f>MATCH($A41,'Draft Engine'!$F$35:$F$84,0)</f>
        <v>39</v>
      </c>
    </row>
    <row r="42" spans="1:14" x14ac:dyDescent="0.25">
      <c r="A42">
        <f>40</f>
        <v>40</v>
      </c>
      <c r="B42" t="str">
        <f>INDEX('Draft Engine'!$B$35:$B$84,$N42)</f>
        <v>Jordan Mason</v>
      </c>
      <c r="C42" s="4">
        <f>INDEX('Draft Engine'!$E$35:$E$84,$N42)</f>
        <v>67.657399999999996</v>
      </c>
      <c r="D42" t="str">
        <f t="shared" si="1"/>
        <v>TIER 6</v>
      </c>
      <c r="E42">
        <f>INDEX('Draft Engine'!$G$35:$G$84,$N42)</f>
        <v>214.2</v>
      </c>
      <c r="F42">
        <f>INDEX('Draft Engine'!$J$35:$J$84,$N42)</f>
        <v>-24.8</v>
      </c>
      <c r="G42">
        <f>INDEX('Draft Engine'!$N$35:$N$84,$N42)</f>
        <v>50.981945000000003</v>
      </c>
      <c r="H42">
        <f>INDEX('Draft Engine'!$Q$35:$Q$84,$N42)</f>
        <v>125</v>
      </c>
      <c r="I42">
        <f>INDEX('Draft Engine'!$R$35:$R$84,$N42)</f>
        <v>165.8</v>
      </c>
      <c r="J42">
        <f>INDEX('Draft Engine'!$S$35:$S$84,$N42)</f>
        <v>40.800000000000011</v>
      </c>
      <c r="K42" t="str">
        <f>INDEX('Draft Engine'!$T$35:$T$84,$N42)</f>
        <v>A</v>
      </c>
      <c r="L42" t="str">
        <f>INDEX('LIVE SOURCE'!$H$35:$H$84,$N42)</f>
        <v>FLEX/bench depth with upside if workload grows.</v>
      </c>
      <c r="M42" t="str">
        <f>INDEX('LIVE SOURCE'!$J$35:$J$84,$N42)</f>
        <v>Touchdown variance, receiving-role changes and backfield competition are the main downside paths.</v>
      </c>
      <c r="N42" s="6">
        <f>MATCH($A42,'Draft Engine'!$F$35:$F$84,0)</f>
        <v>40</v>
      </c>
    </row>
    <row r="43" spans="1:14" x14ac:dyDescent="0.25">
      <c r="A43">
        <f>41</f>
        <v>41</v>
      </c>
      <c r="B43" t="str">
        <f>INDEX('Draft Engine'!$B$35:$B$84,$N43)</f>
        <v>Woody Marks</v>
      </c>
      <c r="C43" s="4">
        <f>INDEX('Draft Engine'!$E$35:$E$84,$N43)</f>
        <v>66.866200000000006</v>
      </c>
      <c r="D43" t="str">
        <f t="shared" si="1"/>
        <v>TIER 6</v>
      </c>
      <c r="E43">
        <f>INDEX('Draft Engine'!$G$35:$G$84,$N43)</f>
        <v>210.8</v>
      </c>
      <c r="F43">
        <f>INDEX('Draft Engine'!$J$35:$J$84,$N43)</f>
        <v>-28.2</v>
      </c>
      <c r="G43">
        <f>INDEX('Draft Engine'!$N$35:$N$84,$N43)</f>
        <v>49.575410000000005</v>
      </c>
      <c r="H43">
        <f>INDEX('Draft Engine'!$Q$35:$Q$84,$N43)</f>
        <v>128</v>
      </c>
      <c r="I43">
        <f>INDEX('Draft Engine'!$R$35:$R$84,$N43)</f>
        <v>170</v>
      </c>
      <c r="J43">
        <f>INDEX('Draft Engine'!$S$35:$S$84,$N43)</f>
        <v>42</v>
      </c>
      <c r="K43" t="str">
        <f>INDEX('Draft Engine'!$T$35:$T$84,$N43)</f>
        <v>A</v>
      </c>
      <c r="L43" t="str">
        <f>INDEX('LIVE SOURCE'!$H$35:$H$84,$N43)</f>
        <v>Bench stash/handcuff profile; value is tied to role change or injury ahead.</v>
      </c>
      <c r="M43" t="str">
        <f>INDEX('LIVE SOURCE'!$J$35:$J$84,$N43)</f>
        <v>Touchdown variance, receiving-role changes and backfield competition are the main downside paths.</v>
      </c>
      <c r="N43" s="6">
        <f>MATCH($A43,'Draft Engine'!$F$35:$F$84,0)</f>
        <v>41</v>
      </c>
    </row>
    <row r="44" spans="1:14" x14ac:dyDescent="0.25">
      <c r="A44">
        <f>42</f>
        <v>42</v>
      </c>
      <c r="B44" t="str">
        <f>INDEX('Draft Engine'!$B$35:$B$84,$N44)</f>
        <v>Chris Rodriguez Jr.</v>
      </c>
      <c r="C44" s="4">
        <f>INDEX('Draft Engine'!$E$35:$E$84,$N44)</f>
        <v>66.537000000000006</v>
      </c>
      <c r="D44" t="str">
        <f t="shared" si="1"/>
        <v>TIER 6</v>
      </c>
      <c r="E44">
        <f>INDEX('Draft Engine'!$G$35:$G$84,$N44)</f>
        <v>209.5</v>
      </c>
      <c r="F44">
        <f>INDEX('Draft Engine'!$J$35:$J$84,$N44)</f>
        <v>-29.5</v>
      </c>
      <c r="G44">
        <f>INDEX('Draft Engine'!$N$35:$N$84,$N44)</f>
        <v>48.800975000000001</v>
      </c>
      <c r="H44">
        <f>INDEX('Draft Engine'!$Q$35:$Q$84,$N44)</f>
        <v>151</v>
      </c>
      <c r="I44">
        <f>INDEX('Draft Engine'!$R$35:$R$84,$N44)</f>
        <v>174.2</v>
      </c>
      <c r="J44">
        <f>INDEX('Draft Engine'!$S$35:$S$84,$N44)</f>
        <v>23.199999999999989</v>
      </c>
      <c r="K44" t="str">
        <f>INDEX('Draft Engine'!$T$35:$T$84,$N44)</f>
        <v>A</v>
      </c>
      <c r="L44" t="str">
        <f>INDEX('LIVE SOURCE'!$H$35:$H$84,$N44)</f>
        <v>Bench stash/handcuff profile; value is tied to role change or injury ahead.</v>
      </c>
      <c r="M44" t="str">
        <f>INDEX('LIVE SOURCE'!$J$35:$J$84,$N44)</f>
        <v>Touchdown variance, receiving-role changes and backfield competition are the main downside paths.</v>
      </c>
      <c r="N44" s="6">
        <f>MATCH($A44,'Draft Engine'!$F$35:$F$84,0)</f>
        <v>42</v>
      </c>
    </row>
    <row r="45" spans="1:14" x14ac:dyDescent="0.25">
      <c r="A45">
        <f>43</f>
        <v>43</v>
      </c>
      <c r="B45" t="str">
        <f>INDEX('Draft Engine'!$B$35:$B$84,$N45)</f>
        <v>Tyrone Tracy Jr.</v>
      </c>
      <c r="C45" s="4">
        <f>INDEX('Draft Engine'!$E$35:$E$84,$N45)</f>
        <v>66.531000000000006</v>
      </c>
      <c r="D45" t="str">
        <f t="shared" si="1"/>
        <v>TIER 6</v>
      </c>
      <c r="E45">
        <f>INDEX('Draft Engine'!$G$35:$G$84,$N45)</f>
        <v>209.4</v>
      </c>
      <c r="F45">
        <f>INDEX('Draft Engine'!$J$35:$J$84,$N45)</f>
        <v>-29.6</v>
      </c>
      <c r="G45">
        <f>INDEX('Draft Engine'!$N$35:$N$84,$N45)</f>
        <v>48.420300000000005</v>
      </c>
      <c r="H45">
        <f>INDEX('Draft Engine'!$Q$35:$Q$84,$N45)</f>
        <v>152</v>
      </c>
      <c r="I45">
        <f>INDEX('Draft Engine'!$R$35:$R$84,$N45)</f>
        <v>178.4</v>
      </c>
      <c r="J45">
        <f>INDEX('Draft Engine'!$S$35:$S$84,$N45)</f>
        <v>26.400000000000006</v>
      </c>
      <c r="K45" t="str">
        <f>INDEX('Draft Engine'!$T$35:$T$84,$N45)</f>
        <v>A</v>
      </c>
      <c r="L45" t="str">
        <f>INDEX('LIVE SOURCE'!$H$35:$H$84,$N45)</f>
        <v>Bench stash/handcuff profile; value is tied to role change or injury ahead.</v>
      </c>
      <c r="M45" t="str">
        <f>INDEX('LIVE SOURCE'!$J$35:$J$84,$N45)</f>
        <v>Touchdown variance, receiving-role changes and backfield competition are the main downside paths.</v>
      </c>
      <c r="N45" s="6">
        <f>MATCH($A45,'Draft Engine'!$F$35:$F$84,0)</f>
        <v>43</v>
      </c>
    </row>
    <row r="46" spans="1:14" x14ac:dyDescent="0.25">
      <c r="A46">
        <f>44</f>
        <v>44</v>
      </c>
      <c r="B46" t="str">
        <f>INDEX('Draft Engine'!$B$35:$B$84,$N46)</f>
        <v>Tyler Allgeier</v>
      </c>
      <c r="C46" s="4">
        <f>INDEX('Draft Engine'!$E$35:$E$84,$N46)</f>
        <v>63.032200000000003</v>
      </c>
      <c r="D46" t="str">
        <f t="shared" si="1"/>
        <v>TIER 7</v>
      </c>
      <c r="E46">
        <f>INDEX('Draft Engine'!$G$35:$G$84,$N46)</f>
        <v>194.7</v>
      </c>
      <c r="F46">
        <f>INDEX('Draft Engine'!$J$35:$J$84,$N46)</f>
        <v>-44.3</v>
      </c>
      <c r="G46">
        <f>INDEX('Draft Engine'!$N$35:$N$84,$N46)</f>
        <v>43.49058500000001</v>
      </c>
      <c r="H46">
        <f>INDEX('Draft Engine'!$Q$35:$Q$84,$N46)</f>
        <v>163</v>
      </c>
      <c r="I46">
        <f>INDEX('Draft Engine'!$R$35:$R$84,$N46)</f>
        <v>182.6</v>
      </c>
      <c r="J46">
        <f>INDEX('Draft Engine'!$S$35:$S$84,$N46)</f>
        <v>19.599999999999994</v>
      </c>
      <c r="K46" t="str">
        <f>INDEX('Draft Engine'!$T$35:$T$84,$N46)</f>
        <v>A</v>
      </c>
      <c r="L46" t="str">
        <f>INDEX('LIVE SOURCE'!$H$35:$H$84,$N46)</f>
        <v>Bench stash/handcuff profile; value is tied to role change or injury ahead.</v>
      </c>
      <c r="M46" t="str">
        <f>INDEX('LIVE SOURCE'!$J$35:$J$84,$N46)</f>
        <v>Touchdown variance, receiving-role changes and backfield competition are the main downside paths.</v>
      </c>
      <c r="N46" s="6">
        <f>MATCH($A46,'Draft Engine'!$F$35:$F$84,0)</f>
        <v>44</v>
      </c>
    </row>
    <row r="47" spans="1:14" x14ac:dyDescent="0.25">
      <c r="A47">
        <f>45</f>
        <v>45</v>
      </c>
      <c r="B47" t="str">
        <f>INDEX('Draft Engine'!$B$35:$B$84,$N47)</f>
        <v>Zach Charbonnet</v>
      </c>
      <c r="C47" s="4">
        <f>INDEX('Draft Engine'!$E$35:$E$84,$N47)</f>
        <v>62.549799999999998</v>
      </c>
      <c r="D47" t="str">
        <f t="shared" si="1"/>
        <v>TIER 7</v>
      </c>
      <c r="E47">
        <f>INDEX('Draft Engine'!$G$35:$G$84,$N47)</f>
        <v>192.7</v>
      </c>
      <c r="F47">
        <f>INDEX('Draft Engine'!$J$35:$J$84,$N47)</f>
        <v>-46.3</v>
      </c>
      <c r="G47">
        <f>INDEX('Draft Engine'!$N$35:$N$84,$N47)</f>
        <v>42.505890000000008</v>
      </c>
      <c r="H47">
        <f>INDEX('Draft Engine'!$Q$35:$Q$84,$N47)</f>
        <v>167</v>
      </c>
      <c r="I47">
        <f>INDEX('Draft Engine'!$R$35:$R$84,$N47)</f>
        <v>186.8</v>
      </c>
      <c r="J47">
        <f>INDEX('Draft Engine'!$S$35:$S$84,$N47)</f>
        <v>19.800000000000011</v>
      </c>
      <c r="K47" t="str">
        <f>INDEX('Draft Engine'!$T$35:$T$84,$N47)</f>
        <v>A</v>
      </c>
      <c r="L47" t="str">
        <f>INDEX('LIVE SOURCE'!$H$35:$H$84,$N47)</f>
        <v>Bench stash/handcuff profile; value is tied to role change or injury ahead.</v>
      </c>
      <c r="M47" t="str">
        <f>INDEX('LIVE SOURCE'!$J$35:$J$84,$N47)</f>
        <v>Touchdown variance, receiving-role changes and backfield competition are the main downside paths.</v>
      </c>
      <c r="N47" s="6">
        <f>MATCH($A47,'Draft Engine'!$F$35:$F$84,0)</f>
        <v>45</v>
      </c>
    </row>
    <row r="48" spans="1:14" x14ac:dyDescent="0.25">
      <c r="A48">
        <f>46</f>
        <v>46</v>
      </c>
      <c r="B48" t="str">
        <f>INDEX('Draft Engine'!$B$35:$B$84,$N48)</f>
        <v>Jonathon Brooks</v>
      </c>
      <c r="C48" s="4">
        <f>INDEX('Draft Engine'!$E$35:$E$84,$N48)</f>
        <v>62.2</v>
      </c>
      <c r="D48" t="str">
        <f t="shared" si="1"/>
        <v>TIER 7</v>
      </c>
      <c r="E48">
        <f>INDEX('Draft Engine'!$G$35:$G$84,$N48)</f>
        <v>191.2</v>
      </c>
      <c r="F48">
        <f>INDEX('Draft Engine'!$J$35:$J$84,$N48)</f>
        <v>-47.8</v>
      </c>
      <c r="G48">
        <f>INDEX('Draft Engine'!$N$35:$N$84,$N48)</f>
        <v>41.684125000000002</v>
      </c>
      <c r="H48">
        <f>INDEX('Draft Engine'!$Q$35:$Q$84,$N48)</f>
        <v>171</v>
      </c>
      <c r="I48">
        <f>INDEX('Draft Engine'!$R$35:$R$84,$N48)</f>
        <v>191</v>
      </c>
      <c r="J48">
        <f>INDEX('Draft Engine'!$S$35:$S$84,$N48)</f>
        <v>20</v>
      </c>
      <c r="K48" t="str">
        <f>INDEX('Draft Engine'!$T$35:$T$84,$N48)</f>
        <v>C</v>
      </c>
      <c r="L48" t="str">
        <f>INDEX('LIVE SOURCE'!$H$35:$H$84,$N48)</f>
        <v>Bench stash/handcuff profile; value is tied to role change or injury ahead.</v>
      </c>
      <c r="M48" t="str">
        <f>INDEX('LIVE SOURCE'!$J$35:$J$84,$N48)</f>
        <v>Evidence is thinner than for established veterans, so camp, depth-chart and role news can move the grade materially.</v>
      </c>
      <c r="N48" s="6">
        <f>MATCH($A48,'Draft Engine'!$F$35:$F$84,0)</f>
        <v>46</v>
      </c>
    </row>
    <row r="49" spans="1:14" x14ac:dyDescent="0.25">
      <c r="A49">
        <f>47</f>
        <v>47</v>
      </c>
      <c r="B49" t="str">
        <f>INDEX('Draft Engine'!$B$35:$B$84,$N49)</f>
        <v>Emanuel Wilson</v>
      </c>
      <c r="C49" s="4">
        <f>INDEX('Draft Engine'!$E$35:$E$84,$N49)</f>
        <v>61.982100000000003</v>
      </c>
      <c r="D49" t="str">
        <f t="shared" si="1"/>
        <v>TIER 7</v>
      </c>
      <c r="E49">
        <f>INDEX('Draft Engine'!$G$35:$G$84,$N49)</f>
        <v>190.3</v>
      </c>
      <c r="F49">
        <f>INDEX('Draft Engine'!$J$35:$J$84,$N49)</f>
        <v>-48.7</v>
      </c>
      <c r="G49">
        <f>INDEX('Draft Engine'!$N$35:$N$84,$N49)</f>
        <v>41.042905000000005</v>
      </c>
      <c r="H49">
        <f>INDEX('Draft Engine'!$Q$35:$Q$84,$N49)</f>
        <v>173</v>
      </c>
      <c r="I49">
        <f>INDEX('Draft Engine'!$R$35:$R$84,$N49)</f>
        <v>195.2</v>
      </c>
      <c r="J49">
        <f>INDEX('Draft Engine'!$S$35:$S$84,$N49)</f>
        <v>22.199999999999989</v>
      </c>
      <c r="K49" t="str">
        <f>INDEX('Draft Engine'!$T$35:$T$84,$N49)</f>
        <v>A</v>
      </c>
      <c r="L49" t="str">
        <f>INDEX('LIVE SOURCE'!$H$35:$H$84,$N49)</f>
        <v>Bench stash/handcuff profile; value is tied to role change or injury ahead.</v>
      </c>
      <c r="M49" t="str">
        <f>INDEX('LIVE SOURCE'!$J$35:$J$84,$N49)</f>
        <v>Touchdown variance, receiving-role changes and backfield competition are the main downside paths.</v>
      </c>
      <c r="N49" s="6">
        <f>MATCH($A49,'Draft Engine'!$F$35:$F$84,0)</f>
        <v>47</v>
      </c>
    </row>
    <row r="50" spans="1:14" x14ac:dyDescent="0.25">
      <c r="A50">
        <f>48</f>
        <v>48</v>
      </c>
      <c r="B50" t="str">
        <f>INDEX('Draft Engine'!$B$35:$B$84,$N50)</f>
        <v>Isiah Pacheco</v>
      </c>
      <c r="C50" s="4">
        <f>INDEX('Draft Engine'!$E$35:$E$84,$N50)</f>
        <v>60.0092</v>
      </c>
      <c r="D50" t="str">
        <f t="shared" si="1"/>
        <v>TIER 7</v>
      </c>
      <c r="E50">
        <f>INDEX('Draft Engine'!$G$35:$G$84,$N50)</f>
        <v>182</v>
      </c>
      <c r="F50">
        <f>INDEX('Draft Engine'!$J$35:$J$84,$N50)</f>
        <v>-57</v>
      </c>
      <c r="G50">
        <f>INDEX('Draft Engine'!$N$35:$N$84,$N50)</f>
        <v>38.104435000000002</v>
      </c>
      <c r="H50">
        <f>INDEX('Draft Engine'!$Q$35:$Q$84,$N50)</f>
        <v>181</v>
      </c>
      <c r="I50">
        <f>INDEX('Draft Engine'!$R$35:$R$84,$N50)</f>
        <v>199.4</v>
      </c>
      <c r="J50">
        <f>INDEX('Draft Engine'!$S$35:$S$84,$N50)</f>
        <v>18.400000000000006</v>
      </c>
      <c r="K50" t="str">
        <f>INDEX('Draft Engine'!$T$35:$T$84,$N50)</f>
        <v>B</v>
      </c>
      <c r="L50" t="str">
        <f>INDEX('LIVE SOURCE'!$H$35:$H$84,$N50)</f>
        <v>Bench stash/handcuff profile; value is tied to role change or injury ahead.</v>
      </c>
      <c r="M50" t="str">
        <f>INDEX('LIVE SOURCE'!$J$35:$J$84,$N50)</f>
        <v>Touchdown variance, receiving-role changes and backfield competition are the main downside paths.</v>
      </c>
      <c r="N50" s="6">
        <f>MATCH($A50,'Draft Engine'!$F$35:$F$84,0)</f>
        <v>48</v>
      </c>
    </row>
    <row r="51" spans="1:14" x14ac:dyDescent="0.25">
      <c r="A51">
        <f>49</f>
        <v>49</v>
      </c>
      <c r="B51" t="str">
        <f>INDEX('Draft Engine'!$B$35:$B$84,$N51)</f>
        <v>Alvin Kamara</v>
      </c>
      <c r="C51" s="4">
        <f>INDEX('Draft Engine'!$E$35:$E$84,$N51)</f>
        <v>59.15</v>
      </c>
      <c r="D51" t="str">
        <f t="shared" si="1"/>
        <v>TIER 7</v>
      </c>
      <c r="E51">
        <f>INDEX('Draft Engine'!$G$35:$G$84,$N51)</f>
        <v>178.4</v>
      </c>
      <c r="F51">
        <f>INDEX('Draft Engine'!$J$35:$J$84,$N51)</f>
        <v>-60.6</v>
      </c>
      <c r="G51">
        <f>INDEX('Draft Engine'!$N$35:$N$84,$N51)</f>
        <v>36.624499999999998</v>
      </c>
      <c r="H51">
        <f>INDEX('Draft Engine'!$Q$35:$Q$84,$N51)</f>
        <v>184</v>
      </c>
      <c r="I51">
        <f>INDEX('Draft Engine'!$R$35:$R$84,$N51)</f>
        <v>203.6</v>
      </c>
      <c r="J51">
        <f>INDEX('Draft Engine'!$S$35:$S$84,$N51)</f>
        <v>19.599999999999994</v>
      </c>
      <c r="K51" t="str">
        <f>INDEX('Draft Engine'!$T$35:$T$84,$N51)</f>
        <v>B</v>
      </c>
      <c r="L51" t="str">
        <f>INDEX('LIVE SOURCE'!$H$35:$H$84,$N51)</f>
        <v>Bench stash/handcuff profile; value is tied to role change or injury ahead.</v>
      </c>
      <c r="M51" t="str">
        <f>INDEX('LIVE SOURCE'!$J$35:$J$84,$N51)</f>
        <v>Touchdown variance, receiving-role changes and backfield competition are the main downside paths.</v>
      </c>
      <c r="N51" s="6">
        <f>MATCH($A51,'Draft Engine'!$F$35:$F$84,0)</f>
        <v>49</v>
      </c>
    </row>
    <row r="52" spans="1:14" x14ac:dyDescent="0.25">
      <c r="A52">
        <f>50</f>
        <v>50</v>
      </c>
      <c r="B52" t="str">
        <f>INDEX('Draft Engine'!$B$35:$B$84,$N52)</f>
        <v>Justice Hill</v>
      </c>
      <c r="C52" s="4">
        <f>INDEX('Draft Engine'!$E$35:$E$84,$N52)</f>
        <v>54.88</v>
      </c>
      <c r="D52" t="str">
        <f t="shared" si="1"/>
        <v>TIER 7</v>
      </c>
      <c r="E52">
        <f>INDEX('Draft Engine'!$G$35:$G$84,$N52)</f>
        <v>160.5</v>
      </c>
      <c r="F52">
        <f>INDEX('Draft Engine'!$J$35:$J$84,$N52)</f>
        <v>-78.5</v>
      </c>
      <c r="G52">
        <f>INDEX('Draft Engine'!$N$35:$N$84,$N52)</f>
        <v>31.054000000000006</v>
      </c>
      <c r="H52">
        <f>INDEX('Draft Engine'!$Q$35:$Q$84,$N52)</f>
        <v>193</v>
      </c>
      <c r="I52">
        <f>INDEX('Draft Engine'!$R$35:$R$84,$N52)</f>
        <v>207.8</v>
      </c>
      <c r="J52">
        <f>INDEX('Draft Engine'!$S$35:$S$84,$N52)</f>
        <v>14.800000000000011</v>
      </c>
      <c r="K52" t="str">
        <f>INDEX('Draft Engine'!$T$35:$T$84,$N52)</f>
        <v>B</v>
      </c>
      <c r="L52" t="str">
        <f>INDEX('LIVE SOURCE'!$H$35:$H$84,$N52)</f>
        <v>Bench stash/handcuff profile; value is tied to role change or injury ahead.</v>
      </c>
      <c r="M52" t="str">
        <f>INDEX('LIVE SOURCE'!$J$35:$J$84,$N52)</f>
        <v>Touchdown variance, receiving-role changes and backfield competition are the main downside paths.</v>
      </c>
      <c r="N52" s="6">
        <f>MATCH($A52,'Draft Engine'!$F$35:$F$84,0)</f>
        <v>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A9D18E"/>
  </sheetPr>
  <dimension ref="A1:N72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8" customWidth="1"/>
    <col min="2" max="2" width="22" customWidth="1"/>
    <col min="3" max="3" width="10" customWidth="1"/>
    <col min="4" max="4" width="9" customWidth="1"/>
    <col min="5" max="5" width="10" customWidth="1"/>
    <col min="6" max="6" width="8" customWidth="1"/>
    <col min="7" max="8" width="11" customWidth="1"/>
    <col min="9" max="9" width="10" customWidth="1"/>
    <col min="10" max="10" width="9" customWidth="1"/>
    <col min="11" max="11" width="10" customWidth="1"/>
    <col min="12" max="12" width="55" customWidth="1"/>
    <col min="13" max="13" width="50" customWidth="1"/>
    <col min="14" max="14" width="6" customWidth="1"/>
  </cols>
  <sheetData>
    <row r="1" spans="1:14" ht="18.75" x14ac:dyDescent="0.3">
      <c r="A1" s="1" t="s">
        <v>580</v>
      </c>
    </row>
    <row r="2" spans="1:14" ht="27.95" customHeight="1" x14ac:dyDescent="0.25">
      <c r="A2" s="3" t="s">
        <v>4</v>
      </c>
      <c r="B2" s="3" t="s">
        <v>64</v>
      </c>
      <c r="C2" s="3" t="s">
        <v>6</v>
      </c>
      <c r="D2" s="3" t="s">
        <v>7</v>
      </c>
      <c r="E2" s="3" t="s">
        <v>571</v>
      </c>
      <c r="F2" s="3" t="s">
        <v>572</v>
      </c>
      <c r="G2" s="3" t="s">
        <v>8</v>
      </c>
      <c r="H2" s="3" t="s">
        <v>578</v>
      </c>
      <c r="I2" s="3" t="s">
        <v>9</v>
      </c>
      <c r="J2" s="3" t="s">
        <v>10</v>
      </c>
      <c r="K2" s="3" t="s">
        <v>77</v>
      </c>
      <c r="L2" s="3" t="s">
        <v>13</v>
      </c>
      <c r="M2" s="3" t="s">
        <v>80</v>
      </c>
      <c r="N2" s="3" t="s">
        <v>14</v>
      </c>
    </row>
    <row r="3" spans="1:14" x14ac:dyDescent="0.25">
      <c r="A3">
        <f>1</f>
        <v>1</v>
      </c>
      <c r="B3" t="str">
        <f>INDEX('Draft Engine'!$B$85:$B$154,$N3)</f>
        <v>Puka Nacua</v>
      </c>
      <c r="C3" s="4">
        <f>INDEX('Draft Engine'!$E$85:$E$154,$N3)</f>
        <v>98.485900000000001</v>
      </c>
      <c r="D3" t="str">
        <f t="shared" ref="D3:D34" si="0">IF($C3&gt;=95,"ELITE",IF($C3&gt;=90,"TIER 1",IF($C3&gt;=85,"TIER 2",IF($C3&gt;=80,"TIER 3",IF($C3&gt;=75,"TIER 4",IF($C3&gt;=70,"TIER 5",IF($C3&gt;=65,"TIER 6","TIER 7")))))))</f>
        <v>ELITE</v>
      </c>
      <c r="E3">
        <f>INDEX('Draft Engine'!$G$85:$G$154,$N3)</f>
        <v>343.6</v>
      </c>
      <c r="F3">
        <f>INDEX('Draft Engine'!$J$85:$J$154,$N3)</f>
        <v>104.3</v>
      </c>
      <c r="G3">
        <f>INDEX('Draft Engine'!$N$85:$N$154,$N3)</f>
        <v>99.167245000000008</v>
      </c>
      <c r="H3">
        <f>INDEX('Draft Engine'!$Q$85:$Q$154,$N3)</f>
        <v>1</v>
      </c>
      <c r="I3">
        <f>INDEX('Draft Engine'!$R$85:$R$154,$N3)</f>
        <v>3.8</v>
      </c>
      <c r="J3">
        <f>INDEX('Draft Engine'!$S$85:$S$154,$N3)</f>
        <v>2.8</v>
      </c>
      <c r="K3" t="str">
        <f>INDEX('Draft Engine'!$T$85:$T$154,$N3)</f>
        <v>A</v>
      </c>
      <c r="L3" t="str">
        <f>INDEX('LIVE SOURCE'!$H$85:$H$154,$N3)</f>
        <v>Elite WR1 and first-round caliber target with overall WR1 upside.</v>
      </c>
      <c r="M3" t="str">
        <f>INDEX('LIVE SOURCE'!$J$85:$J$154,$N3)</f>
        <v>Target competition, quarterback efficiency and touchdown regression are the main downside paths.</v>
      </c>
      <c r="N3" s="6">
        <f>MATCH($A3,'Draft Engine'!$F$85:$F$154,0)</f>
        <v>2</v>
      </c>
    </row>
    <row r="4" spans="1:14" x14ac:dyDescent="0.25">
      <c r="A4">
        <f>2</f>
        <v>2</v>
      </c>
      <c r="B4" t="str">
        <f>INDEX('Draft Engine'!$B$85:$B$154,$N4)</f>
        <v>Ja'Marr Chase</v>
      </c>
      <c r="C4" s="4">
        <f>INDEX('Draft Engine'!$E$85:$E$154,$N4)</f>
        <v>96.732299999999995</v>
      </c>
      <c r="D4" t="str">
        <f t="shared" si="0"/>
        <v>ELITE</v>
      </c>
      <c r="E4">
        <f>INDEX('Draft Engine'!$G$85:$G$154,$N4)</f>
        <v>336.3</v>
      </c>
      <c r="F4">
        <f>INDEX('Draft Engine'!$J$85:$J$154,$N4)</f>
        <v>97</v>
      </c>
      <c r="G4">
        <f>INDEX('Draft Engine'!$N$85:$N$154,$N4)</f>
        <v>98.202764999999999</v>
      </c>
      <c r="H4">
        <f>INDEX('Draft Engine'!$Q$85:$Q$154,$N4)</f>
        <v>3</v>
      </c>
      <c r="I4">
        <f>INDEX('Draft Engine'!$R$85:$R$154,$N4)</f>
        <v>3.2</v>
      </c>
      <c r="J4">
        <f>INDEX('Draft Engine'!$S$85:$S$154,$N4)</f>
        <v>0.20000000000000018</v>
      </c>
      <c r="K4" t="str">
        <f>INDEX('Draft Engine'!$T$85:$T$154,$N4)</f>
        <v>A</v>
      </c>
      <c r="L4" t="str">
        <f>INDEX('LIVE SOURCE'!$H$85:$H$154,$N4)</f>
        <v>Elite WR1 and first-round caliber target with overall WR1 upside.</v>
      </c>
      <c r="M4" t="str">
        <f>INDEX('LIVE SOURCE'!$J$85:$J$154,$N4)</f>
        <v>Target competition, quarterback efficiency and touchdown regression are the main downside paths.</v>
      </c>
      <c r="N4" s="6">
        <f>MATCH($A4,'Draft Engine'!$F$85:$F$154,0)</f>
        <v>1</v>
      </c>
    </row>
    <row r="5" spans="1:14" x14ac:dyDescent="0.25">
      <c r="A5">
        <f>3</f>
        <v>3</v>
      </c>
      <c r="B5" t="str">
        <f>INDEX('Draft Engine'!$B$85:$B$154,$N5)</f>
        <v>Jaxon Smith-Njigba</v>
      </c>
      <c r="C5" s="4">
        <f>INDEX('Draft Engine'!$E$85:$E$154,$N5)</f>
        <v>94.079899999999995</v>
      </c>
      <c r="D5" t="str">
        <f t="shared" si="0"/>
        <v>TIER 1</v>
      </c>
      <c r="E5">
        <f>INDEX('Draft Engine'!$G$85:$G$154,$N5)</f>
        <v>325.10000000000002</v>
      </c>
      <c r="F5">
        <f>INDEX('Draft Engine'!$J$85:$J$154,$N5)</f>
        <v>85.8</v>
      </c>
      <c r="G5">
        <f>INDEX('Draft Engine'!$N$85:$N$154,$N5)</f>
        <v>96.743944999999997</v>
      </c>
      <c r="H5">
        <f>INDEX('Draft Engine'!$Q$85:$Q$154,$N5)</f>
        <v>6</v>
      </c>
      <c r="I5">
        <f>INDEX('Draft Engine'!$R$85:$R$154,$N5)</f>
        <v>5.4</v>
      </c>
      <c r="J5">
        <f>INDEX('Draft Engine'!$S$85:$S$154,$N5)</f>
        <v>-0.59999999999999964</v>
      </c>
      <c r="K5" t="str">
        <f>INDEX('Draft Engine'!$T$85:$T$154,$N5)</f>
        <v>A</v>
      </c>
      <c r="L5" t="str">
        <f>INDEX('LIVE SOURCE'!$H$85:$H$154,$N5)</f>
        <v>Elite WR1 and first-round caliber target with overall WR1 upside.</v>
      </c>
      <c r="M5" t="str">
        <f>INDEX('LIVE SOURCE'!$J$85:$J$154,$N5)</f>
        <v>Target competition, quarterback efficiency and touchdown regression are the main downside paths.</v>
      </c>
      <c r="N5" s="6">
        <f>MATCH($A5,'Draft Engine'!$F$85:$F$154,0)</f>
        <v>3</v>
      </c>
    </row>
    <row r="6" spans="1:14" x14ac:dyDescent="0.25">
      <c r="A6">
        <f>4</f>
        <v>4</v>
      </c>
      <c r="B6" t="str">
        <f>INDEX('Draft Engine'!$B$85:$B$154,$N6)</f>
        <v>Amon-Ra St. Brown</v>
      </c>
      <c r="C6" s="4">
        <f>INDEX('Draft Engine'!$E$85:$E$154,$N6)</f>
        <v>93.263900000000007</v>
      </c>
      <c r="D6" t="str">
        <f t="shared" si="0"/>
        <v>TIER 1</v>
      </c>
      <c r="E6">
        <f>INDEX('Draft Engine'!$G$85:$G$154,$N6)</f>
        <v>321.7</v>
      </c>
      <c r="F6">
        <f>INDEX('Draft Engine'!$J$85:$J$154,$N6)</f>
        <v>82.4</v>
      </c>
      <c r="G6">
        <f>INDEX('Draft Engine'!$N$85:$N$154,$N6)</f>
        <v>96.127144999999999</v>
      </c>
      <c r="H6">
        <f>INDEX('Draft Engine'!$Q$85:$Q$154,$N6)</f>
        <v>7</v>
      </c>
      <c r="I6">
        <f>INDEX('Draft Engine'!$R$85:$R$154,$N6)</f>
        <v>6</v>
      </c>
      <c r="J6">
        <f>INDEX('Draft Engine'!$S$85:$S$154,$N6)</f>
        <v>-1</v>
      </c>
      <c r="K6" t="str">
        <f>INDEX('Draft Engine'!$T$85:$T$154,$N6)</f>
        <v>A</v>
      </c>
      <c r="L6" t="str">
        <f>INDEX('LIVE SOURCE'!$H$85:$H$154,$N6)</f>
        <v>Elite WR1 and first-round caliber target with overall WR1 upside.</v>
      </c>
      <c r="M6" t="str">
        <f>INDEX('LIVE SOURCE'!$J$85:$J$154,$N6)</f>
        <v>Target competition, quarterback efficiency and touchdown regression are the main downside paths.</v>
      </c>
      <c r="N6" s="6">
        <f>MATCH($A6,'Draft Engine'!$F$85:$F$154,0)</f>
        <v>4</v>
      </c>
    </row>
    <row r="7" spans="1:14" x14ac:dyDescent="0.25">
      <c r="A7">
        <f>5</f>
        <v>5</v>
      </c>
      <c r="B7" t="str">
        <f>INDEX('Draft Engine'!$B$85:$B$154,$N7)</f>
        <v>Nico Collins</v>
      </c>
      <c r="C7" s="4">
        <f>INDEX('Draft Engine'!$E$85:$E$154,$N7)</f>
        <v>91.492500000000007</v>
      </c>
      <c r="D7" t="str">
        <f t="shared" si="0"/>
        <v>TIER 1</v>
      </c>
      <c r="E7">
        <f>INDEX('Draft Engine'!$G$85:$G$154,$N7)</f>
        <v>314.3</v>
      </c>
      <c r="F7">
        <f>INDEX('Draft Engine'!$J$85:$J$154,$N7)</f>
        <v>75</v>
      </c>
      <c r="G7">
        <f>INDEX('Draft Engine'!$N$85:$N$154,$N7)</f>
        <v>93.820875000000001</v>
      </c>
      <c r="H7">
        <f>INDEX('Draft Engine'!$Q$85:$Q$154,$N7)</f>
        <v>9</v>
      </c>
      <c r="I7">
        <f>INDEX('Draft Engine'!$R$85:$R$154,$N7)</f>
        <v>12</v>
      </c>
      <c r="J7">
        <f>INDEX('Draft Engine'!$S$85:$S$154,$N7)</f>
        <v>3</v>
      </c>
      <c r="K7" t="str">
        <f>INDEX('Draft Engine'!$T$85:$T$154,$N7)</f>
        <v>B</v>
      </c>
      <c r="L7" t="str">
        <f>INDEX('LIVE SOURCE'!$H$85:$H$154,$N7)</f>
        <v>Elite WR1 and first-round caliber target with overall WR1 upside.</v>
      </c>
      <c r="M7" t="str">
        <f>INDEX('LIVE SOURCE'!$J$85:$J$154,$N7)</f>
        <v>Target competition, quarterback efficiency and touchdown regression are the main downside paths.</v>
      </c>
      <c r="N7" s="6">
        <f>MATCH($A7,'Draft Engine'!$F$85:$F$154,0)</f>
        <v>10</v>
      </c>
    </row>
    <row r="8" spans="1:14" x14ac:dyDescent="0.25">
      <c r="A8">
        <f>6</f>
        <v>6</v>
      </c>
      <c r="B8" t="str">
        <f>INDEX('Draft Engine'!$B$85:$B$154,$N8)</f>
        <v>Chris Olave</v>
      </c>
      <c r="C8" s="4">
        <f>INDEX('Draft Engine'!$E$85:$E$154,$N8)</f>
        <v>88.907499999999999</v>
      </c>
      <c r="D8" t="str">
        <f t="shared" si="0"/>
        <v>TIER 2</v>
      </c>
      <c r="E8">
        <f>INDEX('Draft Engine'!$G$85:$G$154,$N8)</f>
        <v>303.39999999999998</v>
      </c>
      <c r="F8">
        <f>INDEX('Draft Engine'!$J$85:$J$154,$N8)</f>
        <v>64.099999999999994</v>
      </c>
      <c r="G8">
        <f>INDEX('Draft Engine'!$N$85:$N$154,$N8)</f>
        <v>90.270458333333337</v>
      </c>
      <c r="H8">
        <f>INDEX('Draft Engine'!$Q$85:$Q$154,$N8)</f>
        <v>13</v>
      </c>
      <c r="I8">
        <f>INDEX('Draft Engine'!$R$85:$R$154,$N8)</f>
        <v>19</v>
      </c>
      <c r="J8">
        <f>INDEX('Draft Engine'!$S$85:$S$154,$N8)</f>
        <v>6</v>
      </c>
      <c r="K8" t="str">
        <f>INDEX('Draft Engine'!$T$85:$T$154,$N8)</f>
        <v>B</v>
      </c>
      <c r="L8" t="str">
        <f>INDEX('LIVE SOURCE'!$H$85:$H$154,$N8)</f>
        <v>Strong WR1; bankable weekly starter with spike-week ceiling.</v>
      </c>
      <c r="M8" t="str">
        <f>INDEX('LIVE SOURCE'!$J$85:$J$154,$N8)</f>
        <v>Target competition, quarterback efficiency and touchdown regression are the main downside paths.</v>
      </c>
      <c r="N8" s="6">
        <f>MATCH($A8,'Draft Engine'!$F$85:$F$154,0)</f>
        <v>12</v>
      </c>
    </row>
    <row r="9" spans="1:14" x14ac:dyDescent="0.25">
      <c r="A9">
        <f>7</f>
        <v>7</v>
      </c>
      <c r="B9" t="str">
        <f>INDEX('Draft Engine'!$B$85:$B$154,$N9)</f>
        <v>Drake London</v>
      </c>
      <c r="C9" s="4">
        <f>INDEX('Draft Engine'!$E$85:$E$154,$N9)</f>
        <v>87.510599999999997</v>
      </c>
      <c r="D9" t="str">
        <f t="shared" si="0"/>
        <v>TIER 2</v>
      </c>
      <c r="E9">
        <f>INDEX('Draft Engine'!$G$85:$G$154,$N9)</f>
        <v>297.5</v>
      </c>
      <c r="F9">
        <f>INDEX('Draft Engine'!$J$85:$J$154,$N9)</f>
        <v>58.2</v>
      </c>
      <c r="G9">
        <f>INDEX('Draft Engine'!$N$85:$N$154,$N9)</f>
        <v>88.106830000000002</v>
      </c>
      <c r="H9">
        <f>INDEX('Draft Engine'!$Q$85:$Q$154,$N9)</f>
        <v>18</v>
      </c>
      <c r="I9">
        <f>INDEX('Draft Engine'!$R$85:$R$154,$N9)</f>
        <v>10</v>
      </c>
      <c r="J9">
        <f>INDEX('Draft Engine'!$S$85:$S$154,$N9)</f>
        <v>-8</v>
      </c>
      <c r="K9" t="str">
        <f>INDEX('Draft Engine'!$T$85:$T$154,$N9)</f>
        <v>A</v>
      </c>
      <c r="L9" t="str">
        <f>INDEX('LIVE SOURCE'!$H$85:$H$154,$N9)</f>
        <v>Strong WR1; bankable weekly starter with spike-week ceiling.</v>
      </c>
      <c r="M9" t="str">
        <f>INDEX('LIVE SOURCE'!$J$85:$J$154,$N9)</f>
        <v>Target competition, quarterback efficiency and touchdown regression are the main downside paths.</v>
      </c>
      <c r="N9" s="6">
        <f>MATCH($A9,'Draft Engine'!$F$85:$F$154,0)</f>
        <v>9</v>
      </c>
    </row>
    <row r="10" spans="1:14" x14ac:dyDescent="0.25">
      <c r="A10">
        <f>8</f>
        <v>8</v>
      </c>
      <c r="B10" t="str">
        <f>INDEX('Draft Engine'!$B$85:$B$154,$N10)</f>
        <v>DeVonta Smith</v>
      </c>
      <c r="C10" s="4">
        <f>INDEX('Draft Engine'!$E$85:$E$154,$N10)</f>
        <v>87.487499999999997</v>
      </c>
      <c r="D10" t="str">
        <f t="shared" si="0"/>
        <v>TIER 2</v>
      </c>
      <c r="E10">
        <f>INDEX('Draft Engine'!$G$85:$G$154,$N10)</f>
        <v>297.39999999999998</v>
      </c>
      <c r="F10">
        <f>INDEX('Draft Engine'!$J$85:$J$154,$N10)</f>
        <v>58.1</v>
      </c>
      <c r="G10">
        <f>INDEX('Draft Engine'!$N$85:$N$154,$N10)</f>
        <v>87.742791666666662</v>
      </c>
      <c r="H10">
        <f>INDEX('Draft Engine'!$Q$85:$Q$154,$N10)</f>
        <v>19</v>
      </c>
      <c r="I10">
        <f>INDEX('Draft Engine'!$R$85:$R$154,$N10)</f>
        <v>24</v>
      </c>
      <c r="J10">
        <f>INDEX('Draft Engine'!$S$85:$S$154,$N10)</f>
        <v>5</v>
      </c>
      <c r="K10" t="str">
        <f>INDEX('Draft Engine'!$T$85:$T$154,$N10)</f>
        <v>B</v>
      </c>
      <c r="L10" t="str">
        <f>INDEX('LIVE SOURCE'!$H$85:$H$154,$N10)</f>
        <v>Strong WR1; bankable weekly starter with spike-week ceiling.</v>
      </c>
      <c r="M10" t="str">
        <f>INDEX('LIVE SOURCE'!$J$85:$J$154,$N10)</f>
        <v>Target competition, quarterback efficiency and touchdown regression are the main downside paths.</v>
      </c>
      <c r="N10" s="6">
        <f>MATCH($A10,'Draft Engine'!$F$85:$F$154,0)</f>
        <v>16</v>
      </c>
    </row>
    <row r="11" spans="1:14" x14ac:dyDescent="0.25">
      <c r="A11">
        <f>9</f>
        <v>9</v>
      </c>
      <c r="B11" t="str">
        <f>INDEX('Draft Engine'!$B$85:$B$154,$N11)</f>
        <v>Zay Flowers</v>
      </c>
      <c r="C11" s="4">
        <f>INDEX('Draft Engine'!$E$85:$E$154,$N11)</f>
        <v>86.57</v>
      </c>
      <c r="D11" t="str">
        <f t="shared" si="0"/>
        <v>TIER 2</v>
      </c>
      <c r="E11">
        <f>INDEX('Draft Engine'!$G$85:$G$154,$N11)</f>
        <v>293.60000000000002</v>
      </c>
      <c r="F11">
        <f>INDEX('Draft Engine'!$J$85:$J$154,$N11)</f>
        <v>54.3</v>
      </c>
      <c r="G11">
        <f>INDEX('Draft Engine'!$N$85:$N$154,$N11)</f>
        <v>86.220833333333331</v>
      </c>
      <c r="H11">
        <f>INDEX('Draft Engine'!$Q$85:$Q$154,$N11)</f>
        <v>21</v>
      </c>
      <c r="I11">
        <f>INDEX('Draft Engine'!$R$85:$R$154,$N11)</f>
        <v>65.400000000000006</v>
      </c>
      <c r="J11">
        <f>INDEX('Draft Engine'!$S$85:$S$154,$N11)</f>
        <v>44.400000000000006</v>
      </c>
      <c r="K11" t="str">
        <f>INDEX('Draft Engine'!$T$85:$T$154,$N11)</f>
        <v>B</v>
      </c>
      <c r="L11" t="str">
        <f>INDEX('LIVE SOURCE'!$H$85:$H$154,$N11)</f>
        <v>Strong WR1; bankable weekly starter with spike-week ceiling.</v>
      </c>
      <c r="M11" t="str">
        <f>INDEX('LIVE SOURCE'!$J$85:$J$154,$N11)</f>
        <v>Target competition, quarterback efficiency and touchdown regression are the main downside paths.</v>
      </c>
      <c r="N11" s="6">
        <f>MATCH($A11,'Draft Engine'!$F$85:$F$154,0)</f>
        <v>17</v>
      </c>
    </row>
    <row r="12" spans="1:14" x14ac:dyDescent="0.25">
      <c r="A12">
        <f>10</f>
        <v>10</v>
      </c>
      <c r="B12" t="str">
        <f>INDEX('Draft Engine'!$B$85:$B$154,$N12)</f>
        <v>Garrett Wilson</v>
      </c>
      <c r="C12" s="4">
        <f>INDEX('Draft Engine'!$E$85:$E$154,$N12)</f>
        <v>86.155000000000001</v>
      </c>
      <c r="D12" t="str">
        <f t="shared" si="0"/>
        <v>TIER 2</v>
      </c>
      <c r="E12">
        <f>INDEX('Draft Engine'!$G$85:$G$154,$N12)</f>
        <v>291.89999999999998</v>
      </c>
      <c r="F12">
        <f>INDEX('Draft Engine'!$J$85:$J$154,$N12)</f>
        <v>52.6</v>
      </c>
      <c r="G12">
        <f>INDEX('Draft Engine'!$N$85:$N$154,$N12)</f>
        <v>85.353250000000003</v>
      </c>
      <c r="H12">
        <f>INDEX('Draft Engine'!$Q$85:$Q$154,$N12)</f>
        <v>23</v>
      </c>
      <c r="I12">
        <f>INDEX('Draft Engine'!$R$85:$R$154,$N12)</f>
        <v>57.6</v>
      </c>
      <c r="J12">
        <f>INDEX('Draft Engine'!$S$85:$S$154,$N12)</f>
        <v>34.6</v>
      </c>
      <c r="K12" t="str">
        <f>INDEX('Draft Engine'!$T$85:$T$154,$N12)</f>
        <v>B</v>
      </c>
      <c r="L12" t="str">
        <f>INDEX('LIVE SOURCE'!$H$85:$H$154,$N12)</f>
        <v>Strong WR1; bankable weekly starter with spike-week ceiling.</v>
      </c>
      <c r="M12" t="str">
        <f>INDEX('LIVE SOURCE'!$J$85:$J$154,$N12)</f>
        <v>Availability/sample risk is elevated after only 7 games; talent is not being punished as heavily as durability.</v>
      </c>
      <c r="N12" s="6">
        <f>MATCH($A12,'Draft Engine'!$F$85:$F$154,0)</f>
        <v>15</v>
      </c>
    </row>
    <row r="13" spans="1:14" x14ac:dyDescent="0.25">
      <c r="A13">
        <f>11</f>
        <v>11</v>
      </c>
      <c r="B13" t="str">
        <f>INDEX('Draft Engine'!$B$85:$B$154,$N13)</f>
        <v>CeeDee Lamb</v>
      </c>
      <c r="C13" s="4">
        <f>INDEX('Draft Engine'!$E$85:$E$154,$N13)</f>
        <v>85.742599999999996</v>
      </c>
      <c r="D13" t="str">
        <f t="shared" si="0"/>
        <v>TIER 2</v>
      </c>
      <c r="E13">
        <f>INDEX('Draft Engine'!$G$85:$G$154,$N13)</f>
        <v>290.10000000000002</v>
      </c>
      <c r="F13">
        <f>INDEX('Draft Engine'!$J$85:$J$154,$N13)</f>
        <v>50.8</v>
      </c>
      <c r="G13">
        <f>INDEX('Draft Engine'!$N$85:$N$154,$N13)</f>
        <v>84.469096666666672</v>
      </c>
      <c r="H13">
        <f>INDEX('Draft Engine'!$Q$85:$Q$154,$N13)</f>
        <v>26</v>
      </c>
      <c r="I13">
        <f>INDEX('Draft Engine'!$R$85:$R$154,$N13)</f>
        <v>8</v>
      </c>
      <c r="J13">
        <f>INDEX('Draft Engine'!$S$85:$S$154,$N13)</f>
        <v>-18</v>
      </c>
      <c r="K13" t="str">
        <f>INDEX('Draft Engine'!$T$85:$T$154,$N13)</f>
        <v>A</v>
      </c>
      <c r="L13" t="str">
        <f>INDEX('LIVE SOURCE'!$H$85:$H$154,$N13)</f>
        <v>Strong WR1; bankable weekly starter with spike-week ceiling.</v>
      </c>
      <c r="M13" t="str">
        <f>INDEX('LIVE SOURCE'!$J$85:$J$154,$N13)</f>
        <v>Price is the biggest risk: the market currently asks you to draft him earlier than the model prefers.</v>
      </c>
      <c r="N13" s="6">
        <f>MATCH($A13,'Draft Engine'!$F$85:$F$154,0)</f>
        <v>6</v>
      </c>
    </row>
    <row r="14" spans="1:14" x14ac:dyDescent="0.25">
      <c r="A14">
        <f>12</f>
        <v>12</v>
      </c>
      <c r="B14" t="str">
        <f>INDEX('Draft Engine'!$B$85:$B$154,$N14)</f>
        <v>Tetairoa McMillan</v>
      </c>
      <c r="C14" s="4">
        <f>INDEX('Draft Engine'!$E$85:$E$154,$N14)</f>
        <v>85.74</v>
      </c>
      <c r="D14" t="str">
        <f t="shared" si="0"/>
        <v>TIER 2</v>
      </c>
      <c r="E14">
        <f>INDEX('Draft Engine'!$G$85:$G$154,$N14)</f>
        <v>290.10000000000002</v>
      </c>
      <c r="F14">
        <f>INDEX('Draft Engine'!$J$85:$J$154,$N14)</f>
        <v>50.8</v>
      </c>
      <c r="G14">
        <f>INDEX('Draft Engine'!$N$85:$N$154,$N14)</f>
        <v>84.134333333333331</v>
      </c>
      <c r="H14">
        <f>INDEX('Draft Engine'!$Q$85:$Q$154,$N14)</f>
        <v>28</v>
      </c>
      <c r="I14">
        <f>INDEX('Draft Engine'!$R$85:$R$154,$N14)</f>
        <v>49.8</v>
      </c>
      <c r="J14">
        <f>INDEX('Draft Engine'!$S$85:$S$154,$N14)</f>
        <v>21.799999999999997</v>
      </c>
      <c r="K14" t="str">
        <f>INDEX('Draft Engine'!$T$85:$T$154,$N14)</f>
        <v>B</v>
      </c>
      <c r="L14" t="str">
        <f>INDEX('LIVE SOURCE'!$H$85:$H$154,$N14)</f>
        <v>Strong WR1; bankable weekly starter with spike-week ceiling.</v>
      </c>
      <c r="M14" t="str">
        <f>INDEX('LIVE SOURCE'!$J$85:$J$154,$N14)</f>
        <v>Target competition, quarterback efficiency and touchdown regression are the main downside paths.</v>
      </c>
      <c r="N14" s="6">
        <f>MATCH($A14,'Draft Engine'!$F$85:$F$154,0)</f>
        <v>13</v>
      </c>
    </row>
    <row r="15" spans="1:14" x14ac:dyDescent="0.25">
      <c r="A15">
        <f>13</f>
        <v>13</v>
      </c>
      <c r="B15" t="str">
        <f>INDEX('Draft Engine'!$B$85:$B$154,$N15)</f>
        <v>Tee Higgins</v>
      </c>
      <c r="C15" s="4">
        <f>INDEX('Draft Engine'!$E$85:$E$154,$N15)</f>
        <v>84.822500000000005</v>
      </c>
      <c r="D15" t="str">
        <f t="shared" si="0"/>
        <v>TIER 3</v>
      </c>
      <c r="E15">
        <f>INDEX('Draft Engine'!$G$85:$G$154,$N15)</f>
        <v>286.3</v>
      </c>
      <c r="F15">
        <f>INDEX('Draft Engine'!$J$85:$J$154,$N15)</f>
        <v>47</v>
      </c>
      <c r="G15">
        <f>INDEX('Draft Engine'!$N$85:$N$154,$N15)</f>
        <v>82.612375000000014</v>
      </c>
      <c r="H15">
        <f>INDEX('Draft Engine'!$Q$85:$Q$154,$N15)</f>
        <v>31</v>
      </c>
      <c r="I15">
        <f>INDEX('Draft Engine'!$R$85:$R$154,$N15)</f>
        <v>53.7</v>
      </c>
      <c r="J15">
        <f>INDEX('Draft Engine'!$S$85:$S$154,$N15)</f>
        <v>22.700000000000003</v>
      </c>
      <c r="K15" t="str">
        <f>INDEX('Draft Engine'!$T$85:$T$154,$N15)</f>
        <v>B</v>
      </c>
      <c r="L15" t="str">
        <f>INDEX('LIVE SOURCE'!$H$85:$H$154,$N15)</f>
        <v>Strong WR2 with top-12 weekly upside.</v>
      </c>
      <c r="M15" t="str">
        <f>INDEX('LIVE SOURCE'!$J$85:$J$154,$N15)</f>
        <v>Target competition, quarterback efficiency and touchdown regression are the main downside paths.</v>
      </c>
      <c r="N15" s="6">
        <f>MATCH($A15,'Draft Engine'!$F$85:$F$154,0)</f>
        <v>14</v>
      </c>
    </row>
    <row r="16" spans="1:14" x14ac:dyDescent="0.25">
      <c r="A16">
        <f>14</f>
        <v>14</v>
      </c>
      <c r="B16" t="str">
        <f>INDEX('Draft Engine'!$B$85:$B$154,$N16)</f>
        <v>Justin Jefferson</v>
      </c>
      <c r="C16" s="4">
        <f>INDEX('Draft Engine'!$E$85:$E$154,$N16)</f>
        <v>84.793599999999998</v>
      </c>
      <c r="D16" t="str">
        <f t="shared" si="0"/>
        <v>TIER 3</v>
      </c>
      <c r="E16">
        <f>INDEX('Draft Engine'!$G$85:$G$154,$N16)</f>
        <v>286.10000000000002</v>
      </c>
      <c r="F16">
        <f>INDEX('Draft Engine'!$J$85:$J$154,$N16)</f>
        <v>46.8</v>
      </c>
      <c r="G16">
        <f>INDEX('Draft Engine'!$N$85:$N$154,$N16)</f>
        <v>82.227146666666684</v>
      </c>
      <c r="H16">
        <f>INDEX('Draft Engine'!$Q$85:$Q$154,$N16)</f>
        <v>32</v>
      </c>
      <c r="I16">
        <f>INDEX('Draft Engine'!$R$85:$R$154,$N16)</f>
        <v>9</v>
      </c>
      <c r="J16">
        <f>INDEX('Draft Engine'!$S$85:$S$154,$N16)</f>
        <v>-23</v>
      </c>
      <c r="K16" t="str">
        <f>INDEX('Draft Engine'!$T$85:$T$154,$N16)</f>
        <v>A</v>
      </c>
      <c r="L16" t="str">
        <f>INDEX('LIVE SOURCE'!$H$85:$H$154,$N16)</f>
        <v>Strong WR2 with top-12 weekly upside.</v>
      </c>
      <c r="M16" t="str">
        <f>INDEX('LIVE SOURCE'!$J$85:$J$154,$N16)</f>
        <v>Price is the biggest risk: the market currently asks you to draft him earlier than the model prefers.</v>
      </c>
      <c r="N16" s="6">
        <f>MATCH($A16,'Draft Engine'!$F$85:$F$154,0)</f>
        <v>7</v>
      </c>
    </row>
    <row r="17" spans="1:14" x14ac:dyDescent="0.25">
      <c r="A17">
        <f>15</f>
        <v>15</v>
      </c>
      <c r="B17" t="str">
        <f>INDEX('Draft Engine'!$B$85:$B$154,$N17)</f>
        <v>Rashee Rice</v>
      </c>
      <c r="C17" s="4">
        <f>INDEX('Draft Engine'!$E$85:$E$154,$N17)</f>
        <v>84.094700000000003</v>
      </c>
      <c r="D17" t="str">
        <f t="shared" si="0"/>
        <v>TIER 3</v>
      </c>
      <c r="E17">
        <f>INDEX('Draft Engine'!$G$85:$G$154,$N17)</f>
        <v>283.2</v>
      </c>
      <c r="F17">
        <f>INDEX('Draft Engine'!$J$85:$J$154,$N17)</f>
        <v>43.9</v>
      </c>
      <c r="G17">
        <f>INDEX('Draft Engine'!$N$85:$N$154,$N17)</f>
        <v>80.987418333333338</v>
      </c>
      <c r="H17">
        <f>INDEX('Draft Engine'!$Q$85:$Q$154,$N17)</f>
        <v>35</v>
      </c>
      <c r="I17">
        <f>INDEX('Draft Engine'!$R$85:$R$154,$N17)</f>
        <v>22</v>
      </c>
      <c r="J17">
        <f>INDEX('Draft Engine'!$S$85:$S$154,$N17)</f>
        <v>-13</v>
      </c>
      <c r="K17" t="str">
        <f>INDEX('Draft Engine'!$T$85:$T$154,$N17)</f>
        <v>A</v>
      </c>
      <c r="L17" t="str">
        <f>INDEX('LIVE SOURCE'!$H$85:$H$154,$N17)</f>
        <v>Strong WR2 with top-12 weekly upside.</v>
      </c>
      <c r="M17" t="str">
        <f>INDEX('LIVE SOURCE'!$J$85:$J$154,$N17)</f>
        <v>Availability/sample risk is elevated after only 8 games; talent is not being punished as heavily as durability.</v>
      </c>
      <c r="N17" s="6">
        <f>MATCH($A17,'Draft Engine'!$F$85:$F$154,0)</f>
        <v>11</v>
      </c>
    </row>
    <row r="18" spans="1:14" x14ac:dyDescent="0.25">
      <c r="A18">
        <f>16</f>
        <v>16</v>
      </c>
      <c r="B18" t="str">
        <f>INDEX('Draft Engine'!$B$85:$B$154,$N18)</f>
        <v>A.J. Brown</v>
      </c>
      <c r="C18" s="4">
        <f>INDEX('Draft Engine'!$E$85:$E$154,$N18)</f>
        <v>83.235699999999994</v>
      </c>
      <c r="D18" t="str">
        <f t="shared" si="0"/>
        <v>TIER 3</v>
      </c>
      <c r="E18">
        <f>INDEX('Draft Engine'!$G$85:$G$154,$N18)</f>
        <v>279.60000000000002</v>
      </c>
      <c r="F18">
        <f>INDEX('Draft Engine'!$J$85:$J$154,$N18)</f>
        <v>40.299999999999997</v>
      </c>
      <c r="G18">
        <f>INDEX('Draft Engine'!$N$85:$N$154,$N18)</f>
        <v>79.533635000000004</v>
      </c>
      <c r="H18">
        <f>INDEX('Draft Engine'!$Q$85:$Q$154,$N18)</f>
        <v>39</v>
      </c>
      <c r="I18">
        <f>INDEX('Draft Engine'!$R$85:$R$154,$N18)</f>
        <v>14</v>
      </c>
      <c r="J18">
        <f>INDEX('Draft Engine'!$S$85:$S$154,$N18)</f>
        <v>-25</v>
      </c>
      <c r="K18" t="str">
        <f>INDEX('Draft Engine'!$T$85:$T$154,$N18)</f>
        <v>A</v>
      </c>
      <c r="L18" t="str">
        <f>INDEX('LIVE SOURCE'!$H$85:$H$154,$N18)</f>
        <v>Strong WR2 with top-12 weekly upside.</v>
      </c>
      <c r="M18" t="str">
        <f>INDEX('LIVE SOURCE'!$J$85:$J$154,$N18)</f>
        <v>Price is the biggest risk: the market currently asks you to draft him earlier than the model prefers.</v>
      </c>
      <c r="N18" s="6">
        <f>MATCH($A18,'Draft Engine'!$F$85:$F$154,0)</f>
        <v>5</v>
      </c>
    </row>
    <row r="19" spans="1:14" x14ac:dyDescent="0.25">
      <c r="A19">
        <f>17</f>
        <v>17</v>
      </c>
      <c r="B19" t="str">
        <f>INDEX('Draft Engine'!$B$85:$B$154,$N19)</f>
        <v>Ladd McConkey</v>
      </c>
      <c r="C19" s="4">
        <f>INDEX('Draft Engine'!$E$85:$E$154,$N19)</f>
        <v>82.732500000000002</v>
      </c>
      <c r="D19" t="str">
        <f t="shared" si="0"/>
        <v>TIER 3</v>
      </c>
      <c r="E19">
        <f>INDEX('Draft Engine'!$G$85:$G$154,$N19)</f>
        <v>277.5</v>
      </c>
      <c r="F19">
        <f>INDEX('Draft Engine'!$J$85:$J$154,$N19)</f>
        <v>38.200000000000003</v>
      </c>
      <c r="G19">
        <f>INDEX('Draft Engine'!$N$85:$N$154,$N19)</f>
        <v>78.545541666666679</v>
      </c>
      <c r="H19">
        <f>INDEX('Draft Engine'!$Q$85:$Q$154,$N19)</f>
        <v>43</v>
      </c>
      <c r="I19">
        <f>INDEX('Draft Engine'!$R$85:$R$154,$N19)</f>
        <v>84.899999999999991</v>
      </c>
      <c r="J19">
        <f>INDEX('Draft Engine'!$S$85:$S$154,$N19)</f>
        <v>41.899999999999991</v>
      </c>
      <c r="K19" t="str">
        <f>INDEX('Draft Engine'!$T$85:$T$154,$N19)</f>
        <v>B</v>
      </c>
      <c r="L19" t="str">
        <f>INDEX('LIVE SOURCE'!$H$85:$H$154,$N19)</f>
        <v>Strong WR2 with top-12 weekly upside.</v>
      </c>
      <c r="M19" t="str">
        <f>INDEX('LIVE SOURCE'!$J$85:$J$154,$N19)</f>
        <v>Target competition, quarterback efficiency and touchdown regression are the main downside paths.</v>
      </c>
      <c r="N19" s="6">
        <f>MATCH($A19,'Draft Engine'!$F$85:$F$154,0)</f>
        <v>22</v>
      </c>
    </row>
    <row r="20" spans="1:14" x14ac:dyDescent="0.25">
      <c r="A20">
        <f>18</f>
        <v>18</v>
      </c>
      <c r="B20" t="str">
        <f>INDEX('Draft Engine'!$B$85:$B$154,$N20)</f>
        <v>Jaylen Waddle</v>
      </c>
      <c r="C20" s="4">
        <f>INDEX('Draft Engine'!$E$85:$E$154,$N20)</f>
        <v>82.317499999999995</v>
      </c>
      <c r="D20" t="str">
        <f t="shared" si="0"/>
        <v>TIER 3</v>
      </c>
      <c r="E20">
        <f>INDEX('Draft Engine'!$G$85:$G$154,$N20)</f>
        <v>275.7</v>
      </c>
      <c r="F20">
        <f>INDEX('Draft Engine'!$J$85:$J$154,$N20)</f>
        <v>36.4</v>
      </c>
      <c r="G20">
        <f>INDEX('Draft Engine'!$N$85:$N$154,$N20)</f>
        <v>77.659958333333336</v>
      </c>
      <c r="H20">
        <f>INDEX('Draft Engine'!$Q$85:$Q$154,$N20)</f>
        <v>44</v>
      </c>
      <c r="I20">
        <f>INDEX('Draft Engine'!$R$85:$R$154,$N20)</f>
        <v>77.099999999999994</v>
      </c>
      <c r="J20">
        <f>INDEX('Draft Engine'!$S$85:$S$154,$N20)</f>
        <v>33.099999999999994</v>
      </c>
      <c r="K20" t="str">
        <f>INDEX('Draft Engine'!$T$85:$T$154,$N20)</f>
        <v>C</v>
      </c>
      <c r="L20" t="str">
        <f>INDEX('LIVE SOURCE'!$H$85:$H$154,$N20)</f>
        <v>Strong WR2 with top-12 weekly upside.</v>
      </c>
      <c r="M20" t="str">
        <f>INDEX('LIVE SOURCE'!$J$85:$J$154,$N20)</f>
        <v>Target competition, quarterback efficiency and touchdown regression are the main downside paths.</v>
      </c>
      <c r="N20" s="6">
        <f>MATCH($A20,'Draft Engine'!$F$85:$F$154,0)</f>
        <v>20</v>
      </c>
    </row>
    <row r="21" spans="1:14" x14ac:dyDescent="0.25">
      <c r="A21">
        <f>19</f>
        <v>19</v>
      </c>
      <c r="B21" t="str">
        <f>INDEX('Draft Engine'!$B$85:$B$154,$N21)</f>
        <v>George Pickens</v>
      </c>
      <c r="C21" s="4">
        <f>INDEX('Draft Engine'!$E$85:$E$154,$N21)</f>
        <v>81.836600000000004</v>
      </c>
      <c r="D21" t="str">
        <f t="shared" si="0"/>
        <v>TIER 3</v>
      </c>
      <c r="E21">
        <f>INDEX('Draft Engine'!$G$85:$G$154,$N21)</f>
        <v>273.7</v>
      </c>
      <c r="F21">
        <f>INDEX('Draft Engine'!$J$85:$J$154,$N21)</f>
        <v>34.4</v>
      </c>
      <c r="G21">
        <f>INDEX('Draft Engine'!$N$85:$N$154,$N21)</f>
        <v>76.702130000000011</v>
      </c>
      <c r="H21">
        <f>INDEX('Draft Engine'!$Q$85:$Q$154,$N21)</f>
        <v>47</v>
      </c>
      <c r="I21">
        <f>INDEX('Draft Engine'!$R$85:$R$154,$N21)</f>
        <v>16</v>
      </c>
      <c r="J21">
        <f>INDEX('Draft Engine'!$S$85:$S$154,$N21)</f>
        <v>-31</v>
      </c>
      <c r="K21" t="str">
        <f>INDEX('Draft Engine'!$T$85:$T$154,$N21)</f>
        <v>A</v>
      </c>
      <c r="L21" t="str">
        <f>INDEX('LIVE SOURCE'!$H$85:$H$154,$N21)</f>
        <v>Strong WR2 with top-12 weekly upside.</v>
      </c>
      <c r="M21" t="str">
        <f>INDEX('LIVE SOURCE'!$J$85:$J$154,$N21)</f>
        <v>Price is the biggest risk: the market currently asks you to draft him earlier than the model prefers.</v>
      </c>
      <c r="N21" s="6">
        <f>MATCH($A21,'Draft Engine'!$F$85:$F$154,0)</f>
        <v>8</v>
      </c>
    </row>
    <row r="22" spans="1:14" x14ac:dyDescent="0.25">
      <c r="A22">
        <f>20</f>
        <v>20</v>
      </c>
      <c r="B22" t="str">
        <f>INDEX('Draft Engine'!$B$85:$B$154,$N22)</f>
        <v>Emeka Egbuka</v>
      </c>
      <c r="C22" s="4">
        <f>INDEX('Draft Engine'!$E$85:$E$154,$N22)</f>
        <v>81.734999999999999</v>
      </c>
      <c r="D22" t="str">
        <f t="shared" si="0"/>
        <v>TIER 3</v>
      </c>
      <c r="E22">
        <f>INDEX('Draft Engine'!$G$85:$G$154,$N22)</f>
        <v>273.3</v>
      </c>
      <c r="F22">
        <f>INDEX('Draft Engine'!$J$85:$J$154,$N22)</f>
        <v>34</v>
      </c>
      <c r="G22">
        <f>INDEX('Draft Engine'!$N$85:$N$154,$N22)</f>
        <v>76.240916666666678</v>
      </c>
      <c r="H22">
        <f>INDEX('Draft Engine'!$Q$85:$Q$154,$N22)</f>
        <v>48</v>
      </c>
      <c r="I22">
        <f>INDEX('Draft Engine'!$R$85:$R$154,$N22)</f>
        <v>73.2</v>
      </c>
      <c r="J22">
        <f>INDEX('Draft Engine'!$S$85:$S$154,$N22)</f>
        <v>25.200000000000003</v>
      </c>
      <c r="K22" t="str">
        <f>INDEX('Draft Engine'!$T$85:$T$154,$N22)</f>
        <v>C</v>
      </c>
      <c r="L22" t="str">
        <f>INDEX('LIVE SOURCE'!$H$85:$H$154,$N22)</f>
        <v>Strong WR2 with top-12 weekly upside.</v>
      </c>
      <c r="M22" t="str">
        <f>INDEX('LIVE SOURCE'!$J$85:$J$154,$N22)</f>
        <v>Target competition, quarterback efficiency and touchdown regression are the main downside paths.</v>
      </c>
      <c r="N22" s="6">
        <f>MATCH($A22,'Draft Engine'!$F$85:$F$154,0)</f>
        <v>19</v>
      </c>
    </row>
    <row r="23" spans="1:14" x14ac:dyDescent="0.25">
      <c r="A23">
        <f>21</f>
        <v>21</v>
      </c>
      <c r="B23" t="str">
        <f>INDEX('Draft Engine'!$B$85:$B$154,$N23)</f>
        <v>Malik Nabers</v>
      </c>
      <c r="C23" s="4">
        <f>INDEX('Draft Engine'!$E$85:$E$154,$N23)</f>
        <v>81.152500000000003</v>
      </c>
      <c r="D23" t="str">
        <f t="shared" si="0"/>
        <v>TIER 3</v>
      </c>
      <c r="E23">
        <f>INDEX('Draft Engine'!$G$85:$G$154,$N23)</f>
        <v>270.8</v>
      </c>
      <c r="F23">
        <f>INDEX('Draft Engine'!$J$85:$J$154,$N23)</f>
        <v>31.5</v>
      </c>
      <c r="G23">
        <f>INDEX('Draft Engine'!$N$85:$N$154,$N23)</f>
        <v>75.137208333333334</v>
      </c>
      <c r="H23">
        <f>INDEX('Draft Engine'!$Q$85:$Q$154,$N23)</f>
        <v>51</v>
      </c>
      <c r="I23">
        <f>INDEX('Draft Engine'!$R$85:$R$154,$N23)</f>
        <v>69.3</v>
      </c>
      <c r="J23">
        <f>INDEX('Draft Engine'!$S$85:$S$154,$N23)</f>
        <v>18.299999999999997</v>
      </c>
      <c r="K23" t="str">
        <f>INDEX('Draft Engine'!$T$85:$T$154,$N23)</f>
        <v>C</v>
      </c>
      <c r="L23" t="str">
        <f>INDEX('LIVE SOURCE'!$H$85:$H$154,$N23)</f>
        <v>Strong WR2 with top-12 weekly upside.</v>
      </c>
      <c r="M23" t="str">
        <f>INDEX('LIVE SOURCE'!$J$85:$J$154,$N23)</f>
        <v>Evidence is thinner than for established veterans, so camp, depth-chart and role news can move the grade materially.</v>
      </c>
      <c r="N23" s="6">
        <f>MATCH($A23,'Draft Engine'!$F$85:$F$154,0)</f>
        <v>18</v>
      </c>
    </row>
    <row r="24" spans="1:14" x14ac:dyDescent="0.25">
      <c r="A24">
        <f>22</f>
        <v>22</v>
      </c>
      <c r="B24" t="str">
        <f>INDEX('Draft Engine'!$B$85:$B$154,$N24)</f>
        <v>Terry McLaurin</v>
      </c>
      <c r="C24" s="4">
        <f>INDEX('Draft Engine'!$E$85:$E$154,$N24)</f>
        <v>79.900000000000006</v>
      </c>
      <c r="D24" t="str">
        <f t="shared" si="0"/>
        <v>TIER 4</v>
      </c>
      <c r="E24">
        <f>INDEX('Draft Engine'!$G$85:$G$154,$N24)</f>
        <v>265.60000000000002</v>
      </c>
      <c r="F24">
        <f>INDEX('Draft Engine'!$J$85:$J$154,$N24)</f>
        <v>26.3</v>
      </c>
      <c r="G24">
        <f>INDEX('Draft Engine'!$N$85:$N$154,$N24)</f>
        <v>73.179000000000002</v>
      </c>
      <c r="H24">
        <f>INDEX('Draft Engine'!$Q$85:$Q$154,$N24)</f>
        <v>57</v>
      </c>
      <c r="I24">
        <f>INDEX('Draft Engine'!$R$85:$R$154,$N24)</f>
        <v>81</v>
      </c>
      <c r="J24">
        <f>INDEX('Draft Engine'!$S$85:$S$154,$N24)</f>
        <v>24</v>
      </c>
      <c r="K24" t="str">
        <f>INDEX('Draft Engine'!$T$85:$T$154,$N24)</f>
        <v>C</v>
      </c>
      <c r="L24" t="str">
        <f>INDEX('LIVE SOURCE'!$H$85:$H$154,$N24)</f>
        <v>Strong WR2 with top-12 weekly upside.</v>
      </c>
      <c r="M24" t="str">
        <f>INDEX('LIVE SOURCE'!$J$85:$J$154,$N24)</f>
        <v>Target competition, quarterback efficiency and touchdown regression are the main downside paths.</v>
      </c>
      <c r="N24" s="6">
        <f>MATCH($A24,'Draft Engine'!$F$85:$F$154,0)</f>
        <v>21</v>
      </c>
    </row>
    <row r="25" spans="1:14" x14ac:dyDescent="0.25">
      <c r="A25">
        <f>23</f>
        <v>23</v>
      </c>
      <c r="B25" t="str">
        <f>INDEX('Draft Engine'!$B$85:$B$154,$N25)</f>
        <v>Luther Burden III</v>
      </c>
      <c r="C25" s="4">
        <f>INDEX('Draft Engine'!$E$85:$E$154,$N25)</f>
        <v>78.647499999999994</v>
      </c>
      <c r="D25" t="str">
        <f t="shared" si="0"/>
        <v>TIER 4</v>
      </c>
      <c r="E25">
        <f>INDEX('Draft Engine'!$G$85:$G$154,$N25)</f>
        <v>260.3</v>
      </c>
      <c r="F25">
        <f>INDEX('Draft Engine'!$J$85:$J$154,$N25)</f>
        <v>21</v>
      </c>
      <c r="G25">
        <f>INDEX('Draft Engine'!$N$85:$N$154,$N25)</f>
        <v>71.20279166666667</v>
      </c>
      <c r="H25">
        <f>INDEX('Draft Engine'!$Q$85:$Q$154,$N25)</f>
        <v>61</v>
      </c>
      <c r="I25">
        <f>INDEX('Draft Engine'!$R$85:$R$154,$N25)</f>
        <v>92.7</v>
      </c>
      <c r="J25">
        <f>INDEX('Draft Engine'!$S$85:$S$154,$N25)</f>
        <v>31.700000000000003</v>
      </c>
      <c r="K25" t="str">
        <f>INDEX('Draft Engine'!$T$85:$T$154,$N25)</f>
        <v>C</v>
      </c>
      <c r="L25" t="str">
        <f>INDEX('LIVE SOURCE'!$H$85:$H$154,$N25)</f>
        <v>Strong WR2 with top-12 weekly upside.</v>
      </c>
      <c r="M25" t="str">
        <f>INDEX('LIVE SOURCE'!$J$85:$J$154,$N25)</f>
        <v>Target competition, quarterback efficiency and touchdown regression are the main downside paths.</v>
      </c>
      <c r="N25" s="6">
        <f>MATCH($A25,'Draft Engine'!$F$85:$F$154,0)</f>
        <v>24</v>
      </c>
    </row>
    <row r="26" spans="1:14" x14ac:dyDescent="0.25">
      <c r="A26">
        <f>24</f>
        <v>24</v>
      </c>
      <c r="B26" t="str">
        <f>INDEX('Draft Engine'!$B$85:$B$154,$N26)</f>
        <v>Davante Adams</v>
      </c>
      <c r="C26" s="4">
        <f>INDEX('Draft Engine'!$E$85:$E$154,$N26)</f>
        <v>78.064999999999998</v>
      </c>
      <c r="D26" t="str">
        <f t="shared" si="0"/>
        <v>TIER 4</v>
      </c>
      <c r="E26">
        <f>INDEX('Draft Engine'!$G$85:$G$154,$N26)</f>
        <v>257.89999999999998</v>
      </c>
      <c r="F26">
        <f>INDEX('Draft Engine'!$J$85:$J$154,$N26)</f>
        <v>18.600000000000001</v>
      </c>
      <c r="G26">
        <f>INDEX('Draft Engine'!$N$85:$N$154,$N26)</f>
        <v>70.117083333333326</v>
      </c>
      <c r="H26">
        <f>INDEX('Draft Engine'!$Q$85:$Q$154,$N26)</f>
        <v>64</v>
      </c>
      <c r="I26">
        <f>INDEX('Draft Engine'!$R$85:$R$154,$N26)</f>
        <v>88.8</v>
      </c>
      <c r="J26">
        <f>INDEX('Draft Engine'!$S$85:$S$154,$N26)</f>
        <v>24.799999999999997</v>
      </c>
      <c r="K26" t="str">
        <f>INDEX('Draft Engine'!$T$85:$T$154,$N26)</f>
        <v>C</v>
      </c>
      <c r="L26" t="str">
        <f>INDEX('LIVE SOURCE'!$H$85:$H$154,$N26)</f>
        <v>Strong WR2 with top-12 weekly upside.</v>
      </c>
      <c r="M26" t="str">
        <f>INDEX('LIVE SOURCE'!$J$85:$J$154,$N26)</f>
        <v>Target competition, quarterback efficiency and touchdown regression are the main downside paths.</v>
      </c>
      <c r="N26" s="6">
        <f>MATCH($A26,'Draft Engine'!$F$85:$F$154,0)</f>
        <v>23</v>
      </c>
    </row>
    <row r="27" spans="1:14" x14ac:dyDescent="0.25">
      <c r="A27">
        <f>25</f>
        <v>25</v>
      </c>
      <c r="B27" t="str">
        <f>INDEX('Draft Engine'!$B$85:$B$154,$N27)</f>
        <v>Mike Evans</v>
      </c>
      <c r="C27" s="4">
        <f>INDEX('Draft Engine'!$E$85:$E$154,$N27)</f>
        <v>76.477500000000006</v>
      </c>
      <c r="D27" t="str">
        <f t="shared" si="0"/>
        <v>TIER 4</v>
      </c>
      <c r="E27">
        <f>INDEX('Draft Engine'!$G$85:$G$154,$N27)</f>
        <v>251.2</v>
      </c>
      <c r="F27">
        <f>INDEX('Draft Engine'!$J$85:$J$154,$N27)</f>
        <v>11.9</v>
      </c>
      <c r="G27">
        <f>INDEX('Draft Engine'!$N$85:$N$154,$N27)</f>
        <v>67.704625000000007</v>
      </c>
      <c r="H27">
        <f>INDEX('Draft Engine'!$Q$85:$Q$154,$N27)</f>
        <v>70</v>
      </c>
      <c r="I27">
        <f>INDEX('Draft Engine'!$R$85:$R$154,$N27)</f>
        <v>108.3</v>
      </c>
      <c r="J27">
        <f>INDEX('Draft Engine'!$S$85:$S$154,$N27)</f>
        <v>38.299999999999997</v>
      </c>
      <c r="K27" t="str">
        <f>INDEX('Draft Engine'!$T$85:$T$154,$N27)</f>
        <v>C</v>
      </c>
      <c r="L27" t="str">
        <f>INDEX('LIVE SOURCE'!$H$85:$H$154,$N27)</f>
        <v>WR2/FLEX; dependable lineup option with matchup-driven ceiling.</v>
      </c>
      <c r="M27" t="str">
        <f>INDEX('LIVE SOURCE'!$J$85:$J$154,$N27)</f>
        <v>Evidence is thinner than for established veterans, so camp, depth-chart and role news can move the grade materially.</v>
      </c>
      <c r="N27" s="6">
        <f>MATCH($A27,'Draft Engine'!$F$85:$F$154,0)</f>
        <v>28</v>
      </c>
    </row>
    <row r="28" spans="1:14" x14ac:dyDescent="0.25">
      <c r="A28">
        <f>26</f>
        <v>26</v>
      </c>
      <c r="B28" t="str">
        <f>INDEX('Draft Engine'!$B$85:$B$154,$N28)</f>
        <v>Jordyn Tyson</v>
      </c>
      <c r="C28" s="4">
        <f>INDEX('Draft Engine'!$E$85:$E$154,$N28)</f>
        <v>76.22</v>
      </c>
      <c r="D28" t="str">
        <f t="shared" si="0"/>
        <v>TIER 4</v>
      </c>
      <c r="E28">
        <f>INDEX('Draft Engine'!$G$85:$G$154,$N28)</f>
        <v>250.1</v>
      </c>
      <c r="F28">
        <f>INDEX('Draft Engine'!$J$85:$J$154,$N28)</f>
        <v>10.8</v>
      </c>
      <c r="G28">
        <f>INDEX('Draft Engine'!$N$85:$N$154,$N28)</f>
        <v>67.031666666666666</v>
      </c>
      <c r="H28">
        <f>INDEX('Draft Engine'!$Q$85:$Q$154,$N28)</f>
        <v>72</v>
      </c>
      <c r="I28">
        <f>INDEX('Draft Engine'!$R$85:$R$154,$N28)</f>
        <v>135.6</v>
      </c>
      <c r="J28">
        <f>INDEX('Draft Engine'!$S$85:$S$154,$N28)</f>
        <v>63.599999999999994</v>
      </c>
      <c r="K28" t="str">
        <f>INDEX('Draft Engine'!$T$85:$T$154,$N28)</f>
        <v>C</v>
      </c>
      <c r="L28" t="str">
        <f>INDEX('LIVE SOURCE'!$H$85:$H$154,$N28)</f>
        <v>WR2/FLEX; dependable lineup option with matchup-driven ceiling.</v>
      </c>
      <c r="M28" t="str">
        <f>INDEX('LIVE SOURCE'!$J$85:$J$154,$N28)</f>
        <v>NFL translation and exact weekly role are the main variables; preseason first-team usage can move this rating quickly.</v>
      </c>
      <c r="N28" s="6">
        <f>MATCH($A28,'Draft Engine'!$F$85:$F$154,0)</f>
        <v>35</v>
      </c>
    </row>
    <row r="29" spans="1:14" x14ac:dyDescent="0.25">
      <c r="A29">
        <f>27</f>
        <v>27</v>
      </c>
      <c r="B29" t="str">
        <f>INDEX('Draft Engine'!$B$85:$B$154,$N29)</f>
        <v>Jameson Williams</v>
      </c>
      <c r="C29" s="4">
        <f>INDEX('Draft Engine'!$E$85:$E$154,$N29)</f>
        <v>76.0625</v>
      </c>
      <c r="D29" t="str">
        <f t="shared" si="0"/>
        <v>TIER 4</v>
      </c>
      <c r="E29">
        <f>INDEX('Draft Engine'!$G$85:$G$154,$N29)</f>
        <v>249.5</v>
      </c>
      <c r="F29">
        <f>INDEX('Draft Engine'!$J$85:$J$154,$N29)</f>
        <v>10.199999999999999</v>
      </c>
      <c r="G29">
        <f>INDEX('Draft Engine'!$N$85:$N$154,$N29)</f>
        <v>66.503708333333336</v>
      </c>
      <c r="H29">
        <f>INDEX('Draft Engine'!$Q$85:$Q$154,$N29)</f>
        <v>76</v>
      </c>
      <c r="I29">
        <f>INDEX('Draft Engine'!$R$85:$R$154,$N29)</f>
        <v>100.5</v>
      </c>
      <c r="J29">
        <f>INDEX('Draft Engine'!$S$85:$S$154,$N29)</f>
        <v>24.5</v>
      </c>
      <c r="K29" t="str">
        <f>INDEX('Draft Engine'!$T$85:$T$154,$N29)</f>
        <v>C</v>
      </c>
      <c r="L29" t="str">
        <f>INDEX('LIVE SOURCE'!$H$85:$H$154,$N29)</f>
        <v>WR2/FLEX; dependable lineup option with matchup-driven ceiling.</v>
      </c>
      <c r="M29" t="str">
        <f>INDEX('LIVE SOURCE'!$J$85:$J$154,$N29)</f>
        <v>Target competition, quarterback efficiency and touchdown regression are the main downside paths.</v>
      </c>
      <c r="N29" s="6">
        <f>MATCH($A29,'Draft Engine'!$F$85:$F$154,0)</f>
        <v>26</v>
      </c>
    </row>
    <row r="30" spans="1:14" x14ac:dyDescent="0.25">
      <c r="A30">
        <f>28</f>
        <v>28</v>
      </c>
      <c r="B30" t="str">
        <f>INDEX('Draft Engine'!$B$85:$B$154,$N30)</f>
        <v>Michael Pittman Jr.</v>
      </c>
      <c r="C30" s="4">
        <f>INDEX('Draft Engine'!$E$85:$E$154,$N30)</f>
        <v>75.55</v>
      </c>
      <c r="D30" t="str">
        <f t="shared" si="0"/>
        <v>TIER 4</v>
      </c>
      <c r="E30">
        <f>INDEX('Draft Engine'!$G$85:$G$154,$N30)</f>
        <v>247.3</v>
      </c>
      <c r="F30">
        <f>INDEX('Draft Engine'!$J$85:$J$154,$N30)</f>
        <v>8</v>
      </c>
      <c r="G30">
        <f>INDEX('Draft Engine'!$N$85:$N$154,$N30)</f>
        <v>65.492500000000007</v>
      </c>
      <c r="H30">
        <f>INDEX('Draft Engine'!$Q$85:$Q$154,$N30)</f>
        <v>79</v>
      </c>
      <c r="I30">
        <f>INDEX('Draft Engine'!$R$85:$R$154,$N30)</f>
        <v>139.5</v>
      </c>
      <c r="J30">
        <f>INDEX('Draft Engine'!$S$85:$S$154,$N30)</f>
        <v>60.5</v>
      </c>
      <c r="K30" t="str">
        <f>INDEX('Draft Engine'!$T$85:$T$154,$N30)</f>
        <v>C</v>
      </c>
      <c r="L30" t="str">
        <f>INDEX('LIVE SOURCE'!$H$85:$H$154,$N30)</f>
        <v>WR2/FLEX; dependable lineup option with matchup-driven ceiling.</v>
      </c>
      <c r="M30" t="str">
        <f>INDEX('LIVE SOURCE'!$J$85:$J$154,$N30)</f>
        <v>Target competition, quarterback efficiency and touchdown regression are the main downside paths.</v>
      </c>
      <c r="N30" s="6">
        <f>MATCH($A30,'Draft Engine'!$F$85:$F$154,0)</f>
        <v>36</v>
      </c>
    </row>
    <row r="31" spans="1:14" x14ac:dyDescent="0.25">
      <c r="A31">
        <f>29</f>
        <v>29</v>
      </c>
      <c r="B31" t="str">
        <f>INDEX('Draft Engine'!$B$85:$B$154,$N31)</f>
        <v>DJ Moore</v>
      </c>
      <c r="C31" s="4">
        <f>INDEX('Draft Engine'!$E$85:$E$154,$N31)</f>
        <v>75.48</v>
      </c>
      <c r="D31" t="str">
        <f t="shared" si="0"/>
        <v>TIER 4</v>
      </c>
      <c r="E31">
        <f>INDEX('Draft Engine'!$G$85:$G$154,$N31)</f>
        <v>247</v>
      </c>
      <c r="F31">
        <f>INDEX('Draft Engine'!$J$85:$J$154,$N31)</f>
        <v>7.7</v>
      </c>
      <c r="G31">
        <f>INDEX('Draft Engine'!$N$85:$N$154,$N31)</f>
        <v>65.066666666666677</v>
      </c>
      <c r="H31">
        <f>INDEX('Draft Engine'!$Q$85:$Q$154,$N31)</f>
        <v>80</v>
      </c>
      <c r="I31">
        <f>INDEX('Draft Engine'!$R$85:$R$154,$N31)</f>
        <v>96.6</v>
      </c>
      <c r="J31">
        <f>INDEX('Draft Engine'!$S$85:$S$154,$N31)</f>
        <v>16.599999999999994</v>
      </c>
      <c r="K31" t="str">
        <f>INDEX('Draft Engine'!$T$85:$T$154,$N31)</f>
        <v>C</v>
      </c>
      <c r="L31" t="str">
        <f>INDEX('LIVE SOURCE'!$H$85:$H$154,$N31)</f>
        <v>WR2/FLEX; dependable lineup option with matchup-driven ceiling.</v>
      </c>
      <c r="M31" t="str">
        <f>INDEX('LIVE SOURCE'!$J$85:$J$154,$N31)</f>
        <v>Target competition, quarterback efficiency and touchdown regression are the main downside paths.</v>
      </c>
      <c r="N31" s="6">
        <f>MATCH($A31,'Draft Engine'!$F$85:$F$154,0)</f>
        <v>25</v>
      </c>
    </row>
    <row r="32" spans="1:14" x14ac:dyDescent="0.25">
      <c r="A32">
        <f>30</f>
        <v>30</v>
      </c>
      <c r="B32" t="str">
        <f>INDEX('Draft Engine'!$B$85:$B$154,$N32)</f>
        <v>Jakobi Meyers</v>
      </c>
      <c r="C32" s="4">
        <f>INDEX('Draft Engine'!$E$85:$E$154,$N32)</f>
        <v>74.88</v>
      </c>
      <c r="D32" t="str">
        <f t="shared" si="0"/>
        <v>TIER 5</v>
      </c>
      <c r="E32">
        <f>INDEX('Draft Engine'!$G$85:$G$154,$N32)</f>
        <v>244.5</v>
      </c>
      <c r="F32">
        <f>INDEX('Draft Engine'!$J$85:$J$154,$N32)</f>
        <v>5.2</v>
      </c>
      <c r="G32">
        <f>INDEX('Draft Engine'!$N$85:$N$154,$N32)</f>
        <v>63.953333333333333</v>
      </c>
      <c r="H32">
        <f>INDEX('Draft Engine'!$Q$85:$Q$154,$N32)</f>
        <v>85</v>
      </c>
      <c r="I32">
        <f>INDEX('Draft Engine'!$R$85:$R$154,$N32)</f>
        <v>143.4</v>
      </c>
      <c r="J32">
        <f>INDEX('Draft Engine'!$S$85:$S$154,$N32)</f>
        <v>58.400000000000006</v>
      </c>
      <c r="K32" t="str">
        <f>INDEX('Draft Engine'!$T$85:$T$154,$N32)</f>
        <v>C</v>
      </c>
      <c r="L32" t="str">
        <f>INDEX('LIVE SOURCE'!$H$85:$H$154,$N32)</f>
        <v>WR2/FLEX; dependable lineup option with matchup-driven ceiling.</v>
      </c>
      <c r="M32" t="str">
        <f>INDEX('LIVE SOURCE'!$J$85:$J$154,$N32)</f>
        <v>Target competition, quarterback efficiency and touchdown regression are the main downside paths.</v>
      </c>
      <c r="N32" s="6">
        <f>MATCH($A32,'Draft Engine'!$F$85:$F$154,0)</f>
        <v>37</v>
      </c>
    </row>
    <row r="33" spans="1:14" x14ac:dyDescent="0.25">
      <c r="A33">
        <f>31</f>
        <v>31</v>
      </c>
      <c r="B33" t="str">
        <f>INDEX('Draft Engine'!$B$85:$B$154,$N33)</f>
        <v>Jordan Addison</v>
      </c>
      <c r="C33" s="4">
        <f>INDEX('Draft Engine'!$E$85:$E$154,$N33)</f>
        <v>74.209999999999994</v>
      </c>
      <c r="D33" t="str">
        <f t="shared" si="0"/>
        <v>TIER 5</v>
      </c>
      <c r="E33">
        <f>INDEX('Draft Engine'!$G$85:$G$154,$N33)</f>
        <v>241.7</v>
      </c>
      <c r="F33">
        <f>INDEX('Draft Engine'!$J$85:$J$154,$N33)</f>
        <v>2.4</v>
      </c>
      <c r="G33">
        <f>INDEX('Draft Engine'!$N$85:$N$154,$N33)</f>
        <v>62.747500000000002</v>
      </c>
      <c r="H33">
        <f>INDEX('Draft Engine'!$Q$85:$Q$154,$N33)</f>
        <v>88</v>
      </c>
      <c r="I33">
        <f>INDEX('Draft Engine'!$R$85:$R$154,$N33)</f>
        <v>147.30000000000001</v>
      </c>
      <c r="J33">
        <f>INDEX('Draft Engine'!$S$85:$S$154,$N33)</f>
        <v>59.300000000000011</v>
      </c>
      <c r="K33" t="str">
        <f>INDEX('Draft Engine'!$T$85:$T$154,$N33)</f>
        <v>C</v>
      </c>
      <c r="L33" t="str">
        <f>INDEX('LIVE SOURCE'!$H$85:$H$154,$N33)</f>
        <v>WR2/FLEX; dependable lineup option with matchup-driven ceiling.</v>
      </c>
      <c r="M33" t="str">
        <f>INDEX('LIVE SOURCE'!$J$85:$J$154,$N33)</f>
        <v>Target competition, quarterback efficiency and touchdown regression are the main downside paths.</v>
      </c>
      <c r="N33" s="6">
        <f>MATCH($A33,'Draft Engine'!$F$85:$F$154,0)</f>
        <v>38</v>
      </c>
    </row>
    <row r="34" spans="1:14" x14ac:dyDescent="0.25">
      <c r="A34">
        <f>32</f>
        <v>32</v>
      </c>
      <c r="B34" t="str">
        <f>INDEX('Draft Engine'!$B$85:$B$154,$N34)</f>
        <v>Christian Watson</v>
      </c>
      <c r="C34" s="4">
        <f>INDEX('Draft Engine'!$E$85:$E$154,$N34)</f>
        <v>73.892499999999998</v>
      </c>
      <c r="D34" t="str">
        <f t="shared" si="0"/>
        <v>TIER 5</v>
      </c>
      <c r="E34">
        <f>INDEX('Draft Engine'!$G$85:$G$154,$N34)</f>
        <v>240.3</v>
      </c>
      <c r="F34">
        <f>INDEX('Draft Engine'!$J$85:$J$154,$N34)</f>
        <v>1</v>
      </c>
      <c r="G34">
        <f>INDEX('Draft Engine'!$N$85:$N$154,$N34)</f>
        <v>61.987541666666665</v>
      </c>
      <c r="H34">
        <f>INDEX('Draft Engine'!$Q$85:$Q$154,$N34)</f>
        <v>91</v>
      </c>
      <c r="I34">
        <f>INDEX('Draft Engine'!$R$85:$R$154,$N34)</f>
        <v>116.1</v>
      </c>
      <c r="J34">
        <f>INDEX('Draft Engine'!$S$85:$S$154,$N34)</f>
        <v>25.099999999999994</v>
      </c>
      <c r="K34" t="str">
        <f>INDEX('Draft Engine'!$T$85:$T$154,$N34)</f>
        <v>C</v>
      </c>
      <c r="L34" t="str">
        <f>INDEX('LIVE SOURCE'!$H$85:$H$154,$N34)</f>
        <v>WR2/FLEX; dependable lineup option with matchup-driven ceiling.</v>
      </c>
      <c r="M34" t="str">
        <f>INDEX('LIVE SOURCE'!$J$85:$J$154,$N34)</f>
        <v>Target competition, quarterback efficiency and touchdown regression are the main downside paths.</v>
      </c>
      <c r="N34" s="6">
        <f>MATCH($A34,'Draft Engine'!$F$85:$F$154,0)</f>
        <v>30</v>
      </c>
    </row>
    <row r="35" spans="1:14" x14ac:dyDescent="0.25">
      <c r="A35">
        <f>33</f>
        <v>33</v>
      </c>
      <c r="B35" t="str">
        <f>INDEX('Draft Engine'!$B$85:$B$154,$N35)</f>
        <v>Rome Odunze</v>
      </c>
      <c r="C35" s="4">
        <f>INDEX('Draft Engine'!$E$85:$E$154,$N35)</f>
        <v>73.644999999999996</v>
      </c>
      <c r="D35" t="str">
        <f t="shared" ref="D35:D66" si="1">IF($C35&gt;=95,"ELITE",IF($C35&gt;=90,"TIER 1",IF($C35&gt;=85,"TIER 2",IF($C35&gt;=80,"TIER 3",IF($C35&gt;=75,"TIER 4",IF($C35&gt;=70,"TIER 5",IF($C35&gt;=65,"TIER 6","TIER 7")))))))</f>
        <v>TIER 5</v>
      </c>
      <c r="E35">
        <f>INDEX('Draft Engine'!$G$85:$G$154,$N35)</f>
        <v>239.3</v>
      </c>
      <c r="F35">
        <f>INDEX('Draft Engine'!$J$85:$J$154,$N35)</f>
        <v>0</v>
      </c>
      <c r="G35">
        <f>INDEX('Draft Engine'!$N$85:$N$154,$N35)</f>
        <v>61.338083333333337</v>
      </c>
      <c r="H35">
        <f>INDEX('Draft Engine'!$Q$85:$Q$154,$N35)</f>
        <v>93</v>
      </c>
      <c r="I35">
        <f>INDEX('Draft Engine'!$R$85:$R$154,$N35)</f>
        <v>104.4</v>
      </c>
      <c r="J35">
        <f>INDEX('Draft Engine'!$S$85:$S$154,$N35)</f>
        <v>11.400000000000006</v>
      </c>
      <c r="K35" t="str">
        <f>INDEX('Draft Engine'!$T$85:$T$154,$N35)</f>
        <v>C</v>
      </c>
      <c r="L35" t="str">
        <f>INDEX('LIVE SOURCE'!$H$85:$H$154,$N35)</f>
        <v>WR2/FLEX; dependable lineup option with matchup-driven ceiling.</v>
      </c>
      <c r="M35" t="str">
        <f>INDEX('LIVE SOURCE'!$J$85:$J$154,$N35)</f>
        <v>Target competition, quarterback efficiency and touchdown regression are the main downside paths.</v>
      </c>
      <c r="N35" s="6">
        <f>MATCH($A35,'Draft Engine'!$F$85:$F$154,0)</f>
        <v>27</v>
      </c>
    </row>
    <row r="36" spans="1:14" x14ac:dyDescent="0.25">
      <c r="A36">
        <f>34</f>
        <v>34</v>
      </c>
      <c r="B36" t="str">
        <f>INDEX('Draft Engine'!$B$85:$B$154,$N36)</f>
        <v>Wan'Dale Robinson</v>
      </c>
      <c r="C36" s="4">
        <f>INDEX('Draft Engine'!$E$85:$E$154,$N36)</f>
        <v>73.540000000000006</v>
      </c>
      <c r="D36" t="str">
        <f t="shared" si="1"/>
        <v>TIER 5</v>
      </c>
      <c r="E36">
        <f>INDEX('Draft Engine'!$G$85:$G$154,$N36)</f>
        <v>238.9</v>
      </c>
      <c r="F36">
        <f>INDEX('Draft Engine'!$J$85:$J$154,$N36)</f>
        <v>-0.4</v>
      </c>
      <c r="G36">
        <f>INDEX('Draft Engine'!$N$85:$N$154,$N36)</f>
        <v>60.875000000000007</v>
      </c>
      <c r="H36">
        <f>INDEX('Draft Engine'!$Q$85:$Q$154,$N36)</f>
        <v>95</v>
      </c>
      <c r="I36">
        <f>INDEX('Draft Engine'!$R$85:$R$154,$N36)</f>
        <v>151.19999999999999</v>
      </c>
      <c r="J36">
        <f>INDEX('Draft Engine'!$S$85:$S$154,$N36)</f>
        <v>56.199999999999989</v>
      </c>
      <c r="K36" t="str">
        <f>INDEX('Draft Engine'!$T$85:$T$154,$N36)</f>
        <v>C</v>
      </c>
      <c r="L36" t="str">
        <f>INDEX('LIVE SOURCE'!$H$85:$H$154,$N36)</f>
        <v>WR2/FLEX; dependable lineup option with matchup-driven ceiling.</v>
      </c>
      <c r="M36" t="str">
        <f>INDEX('LIVE SOURCE'!$J$85:$J$154,$N36)</f>
        <v>Target competition, quarterback efficiency and touchdown regression are the main downside paths.</v>
      </c>
      <c r="N36" s="6">
        <f>MATCH($A36,'Draft Engine'!$F$85:$F$154,0)</f>
        <v>39</v>
      </c>
    </row>
    <row r="37" spans="1:14" x14ac:dyDescent="0.25">
      <c r="A37">
        <f>35</f>
        <v>35</v>
      </c>
      <c r="B37" t="str">
        <f>INDEX('Draft Engine'!$B$85:$B$154,$N37)</f>
        <v>Carnell Tate</v>
      </c>
      <c r="C37" s="4">
        <f>INDEX('Draft Engine'!$E$85:$E$154,$N37)</f>
        <v>71.89</v>
      </c>
      <c r="D37" t="str">
        <f t="shared" si="1"/>
        <v>TIER 5</v>
      </c>
      <c r="E37">
        <f>INDEX('Draft Engine'!$G$85:$G$154,$N37)</f>
        <v>231.9</v>
      </c>
      <c r="F37">
        <f>INDEX('Draft Engine'!$J$85:$J$154,$N37)</f>
        <v>-7.4</v>
      </c>
      <c r="G37">
        <f>INDEX('Draft Engine'!$N$85:$N$154,$N37)</f>
        <v>58.374166666666667</v>
      </c>
      <c r="H37">
        <f>INDEX('Draft Engine'!$Q$85:$Q$154,$N37)</f>
        <v>101</v>
      </c>
      <c r="I37">
        <f>INDEX('Draft Engine'!$R$85:$R$154,$N37)</f>
        <v>127.8</v>
      </c>
      <c r="J37">
        <f>INDEX('Draft Engine'!$S$85:$S$154,$N37)</f>
        <v>26.799999999999997</v>
      </c>
      <c r="K37" t="str">
        <f>INDEX('Draft Engine'!$T$85:$T$154,$N37)</f>
        <v>C</v>
      </c>
      <c r="L37" t="str">
        <f>INDEX('LIVE SOURCE'!$H$85:$H$154,$N37)</f>
        <v>WR2/FLEX; dependable lineup option with matchup-driven ceiling.</v>
      </c>
      <c r="M37" t="str">
        <f>INDEX('LIVE SOURCE'!$J$85:$J$154,$N37)</f>
        <v>NFL translation and exact weekly role are the main variables; preseason first-team usage can move this rating quickly.</v>
      </c>
      <c r="N37" s="6">
        <f>MATCH($A37,'Draft Engine'!$F$85:$F$154,0)</f>
        <v>33</v>
      </c>
    </row>
    <row r="38" spans="1:14" x14ac:dyDescent="0.25">
      <c r="A38">
        <f>36</f>
        <v>36</v>
      </c>
      <c r="B38" t="str">
        <f>INDEX('Draft Engine'!$B$85:$B$154,$N38)</f>
        <v>Marvin Harrison Jr.</v>
      </c>
      <c r="C38" s="4">
        <f>INDEX('Draft Engine'!$E$85:$E$154,$N38)</f>
        <v>71.81</v>
      </c>
      <c r="D38" t="str">
        <f t="shared" si="1"/>
        <v>TIER 5</v>
      </c>
      <c r="E38">
        <f>INDEX('Draft Engine'!$G$85:$G$154,$N38)</f>
        <v>231.6</v>
      </c>
      <c r="F38">
        <f>INDEX('Draft Engine'!$J$85:$J$154,$N38)</f>
        <v>-7.7</v>
      </c>
      <c r="G38">
        <f>INDEX('Draft Engine'!$N$85:$N$154,$N38)</f>
        <v>57.942833333333347</v>
      </c>
      <c r="H38">
        <f>INDEX('Draft Engine'!$Q$85:$Q$154,$N38)</f>
        <v>103</v>
      </c>
      <c r="I38">
        <f>INDEX('Draft Engine'!$R$85:$R$154,$N38)</f>
        <v>112.2</v>
      </c>
      <c r="J38">
        <f>INDEX('Draft Engine'!$S$85:$S$154,$N38)</f>
        <v>9.2000000000000028</v>
      </c>
      <c r="K38" t="str">
        <f>INDEX('Draft Engine'!$T$85:$T$154,$N38)</f>
        <v>C</v>
      </c>
      <c r="L38" t="str">
        <f>INDEX('LIVE SOURCE'!$H$85:$H$154,$N38)</f>
        <v>FLEX/bench receiver; needs target growth or efficiency spikes.</v>
      </c>
      <c r="M38" t="str">
        <f>INDEX('LIVE SOURCE'!$J$85:$J$154,$N38)</f>
        <v>Target competition, quarterback efficiency and touchdown regression are the main downside paths.</v>
      </c>
      <c r="N38" s="6">
        <f>MATCH($A38,'Draft Engine'!$F$85:$F$154,0)</f>
        <v>29</v>
      </c>
    </row>
    <row r="39" spans="1:14" x14ac:dyDescent="0.25">
      <c r="A39">
        <f>37</f>
        <v>37</v>
      </c>
      <c r="B39" t="str">
        <f>INDEX('Draft Engine'!$B$85:$B$154,$N39)</f>
        <v>Parker Washington</v>
      </c>
      <c r="C39" s="4">
        <f>INDEX('Draft Engine'!$E$85:$E$154,$N39)</f>
        <v>71.53</v>
      </c>
      <c r="D39" t="str">
        <f t="shared" si="1"/>
        <v>TIER 5</v>
      </c>
      <c r="E39">
        <f>INDEX('Draft Engine'!$G$85:$G$154,$N39)</f>
        <v>230.4</v>
      </c>
      <c r="F39">
        <f>INDEX('Draft Engine'!$J$85:$J$154,$N39)</f>
        <v>-8.9</v>
      </c>
      <c r="G39">
        <f>INDEX('Draft Engine'!$N$85:$N$154,$N39)</f>
        <v>57.2395</v>
      </c>
      <c r="H39">
        <f>INDEX('Draft Engine'!$Q$85:$Q$154,$N39)</f>
        <v>104</v>
      </c>
      <c r="I39">
        <f>INDEX('Draft Engine'!$R$85:$R$154,$N39)</f>
        <v>162.9</v>
      </c>
      <c r="J39">
        <f>INDEX('Draft Engine'!$S$85:$S$154,$N39)</f>
        <v>58.900000000000006</v>
      </c>
      <c r="K39" t="str">
        <f>INDEX('Draft Engine'!$T$85:$T$154,$N39)</f>
        <v>C</v>
      </c>
      <c r="L39" t="str">
        <f>INDEX('LIVE SOURCE'!$H$85:$H$154,$N39)</f>
        <v>FLEX/bench receiver; needs target growth or efficiency spikes.</v>
      </c>
      <c r="M39" t="str">
        <f>INDEX('LIVE SOURCE'!$J$85:$J$154,$N39)</f>
        <v>Target competition, quarterback efficiency and touchdown regression are the main downside paths.</v>
      </c>
      <c r="N39" s="6">
        <f>MATCH($A39,'Draft Engine'!$F$85:$F$154,0)</f>
        <v>42</v>
      </c>
    </row>
    <row r="40" spans="1:14" x14ac:dyDescent="0.25">
      <c r="A40">
        <f>38</f>
        <v>38</v>
      </c>
      <c r="B40" t="str">
        <f>INDEX('Draft Engine'!$B$85:$B$154,$N40)</f>
        <v>Chris Godwin Jr.</v>
      </c>
      <c r="C40" s="4">
        <f>INDEX('Draft Engine'!$E$85:$E$154,$N40)</f>
        <v>70.86</v>
      </c>
      <c r="D40" t="str">
        <f t="shared" si="1"/>
        <v>TIER 5</v>
      </c>
      <c r="E40">
        <f>INDEX('Draft Engine'!$G$85:$G$154,$N40)</f>
        <v>227.6</v>
      </c>
      <c r="F40">
        <f>INDEX('Draft Engine'!$J$85:$J$154,$N40)</f>
        <v>-11.7</v>
      </c>
      <c r="G40">
        <f>INDEX('Draft Engine'!$N$85:$N$154,$N40)</f>
        <v>56.033666666666669</v>
      </c>
      <c r="H40">
        <f>INDEX('Draft Engine'!$Q$85:$Q$154,$N40)</f>
        <v>108</v>
      </c>
      <c r="I40">
        <f>INDEX('Draft Engine'!$R$85:$R$154,$N40)</f>
        <v>166.8</v>
      </c>
      <c r="J40">
        <f>INDEX('Draft Engine'!$S$85:$S$154,$N40)</f>
        <v>58.800000000000011</v>
      </c>
      <c r="K40" t="str">
        <f>INDEX('Draft Engine'!$T$85:$T$154,$N40)</f>
        <v>C</v>
      </c>
      <c r="L40" t="str">
        <f>INDEX('LIVE SOURCE'!$H$85:$H$154,$N40)</f>
        <v>FLEX/bench receiver; needs target growth or efficiency spikes.</v>
      </c>
      <c r="M40" t="str">
        <f>INDEX('LIVE SOURCE'!$J$85:$J$154,$N40)</f>
        <v>Evidence is thinner than for established veterans, so camp, depth-chart and role news can move the grade materially.</v>
      </c>
      <c r="N40" s="6">
        <f>MATCH($A40,'Draft Engine'!$F$85:$F$154,0)</f>
        <v>43</v>
      </c>
    </row>
    <row r="41" spans="1:14" x14ac:dyDescent="0.25">
      <c r="A41">
        <f>39</f>
        <v>39</v>
      </c>
      <c r="B41" t="str">
        <f>INDEX('Draft Engine'!$B$85:$B$154,$N41)</f>
        <v>Alec Pierce</v>
      </c>
      <c r="C41" s="4">
        <f>INDEX('Draft Engine'!$E$85:$E$154,$N41)</f>
        <v>70.724999999999994</v>
      </c>
      <c r="D41" t="str">
        <f t="shared" si="1"/>
        <v>TIER 5</v>
      </c>
      <c r="E41">
        <f>INDEX('Draft Engine'!$G$85:$G$154,$N41)</f>
        <v>227</v>
      </c>
      <c r="F41">
        <f>INDEX('Draft Engine'!$J$85:$J$154,$N41)</f>
        <v>-12.3</v>
      </c>
      <c r="G41">
        <f>INDEX('Draft Engine'!$N$85:$N$154,$N41)</f>
        <v>55.518083333333337</v>
      </c>
      <c r="H41">
        <f>INDEX('Draft Engine'!$Q$85:$Q$154,$N41)</f>
        <v>110</v>
      </c>
      <c r="I41">
        <f>INDEX('Draft Engine'!$R$85:$R$154,$N41)</f>
        <v>120</v>
      </c>
      <c r="J41">
        <f>INDEX('Draft Engine'!$S$85:$S$154,$N41)</f>
        <v>10</v>
      </c>
      <c r="K41" t="str">
        <f>INDEX('Draft Engine'!$T$85:$T$154,$N41)</f>
        <v>C</v>
      </c>
      <c r="L41" t="str">
        <f>INDEX('LIVE SOURCE'!$H$85:$H$154,$N41)</f>
        <v>FLEX/bench receiver; needs target growth or efficiency spikes.</v>
      </c>
      <c r="M41" t="str">
        <f>INDEX('LIVE SOURCE'!$J$85:$J$154,$N41)</f>
        <v>Target competition, quarterback efficiency and touchdown regression are the main downside paths.</v>
      </c>
      <c r="N41" s="6">
        <f>MATCH($A41,'Draft Engine'!$F$85:$F$154,0)</f>
        <v>31</v>
      </c>
    </row>
    <row r="42" spans="1:14" x14ac:dyDescent="0.25">
      <c r="A42">
        <f>40</f>
        <v>40</v>
      </c>
      <c r="B42" t="str">
        <f>INDEX('Draft Engine'!$B$85:$B$154,$N42)</f>
        <v>Quentin Johnston</v>
      </c>
      <c r="C42" s="4">
        <f>INDEX('Draft Engine'!$E$85:$E$154,$N42)</f>
        <v>70.19</v>
      </c>
      <c r="D42" t="str">
        <f t="shared" si="1"/>
        <v>TIER 5</v>
      </c>
      <c r="E42">
        <f>INDEX('Draft Engine'!$G$85:$G$154,$N42)</f>
        <v>224.8</v>
      </c>
      <c r="F42">
        <f>INDEX('Draft Engine'!$J$85:$J$154,$N42)</f>
        <v>-14.5</v>
      </c>
      <c r="G42">
        <f>INDEX('Draft Engine'!$N$85:$N$154,$N42)</f>
        <v>54.494500000000002</v>
      </c>
      <c r="H42">
        <f>INDEX('Draft Engine'!$Q$85:$Q$154,$N42)</f>
        <v>112</v>
      </c>
      <c r="I42">
        <f>INDEX('Draft Engine'!$R$85:$R$154,$N42)</f>
        <v>170.7</v>
      </c>
      <c r="J42">
        <f>INDEX('Draft Engine'!$S$85:$S$154,$N42)</f>
        <v>58.699999999999989</v>
      </c>
      <c r="K42" t="str">
        <f>INDEX('Draft Engine'!$T$85:$T$154,$N42)</f>
        <v>C</v>
      </c>
      <c r="L42" t="str">
        <f>INDEX('LIVE SOURCE'!$H$85:$H$154,$N42)</f>
        <v>FLEX/bench receiver; needs target growth or efficiency spikes.</v>
      </c>
      <c r="M42" t="str">
        <f>INDEX('LIVE SOURCE'!$J$85:$J$154,$N42)</f>
        <v>Target competition, quarterback efficiency and touchdown regression are the main downside paths.</v>
      </c>
      <c r="N42" s="6">
        <f>MATCH($A42,'Draft Engine'!$F$85:$F$154,0)</f>
        <v>44</v>
      </c>
    </row>
    <row r="43" spans="1:14" x14ac:dyDescent="0.25">
      <c r="A43">
        <f>41</f>
        <v>41</v>
      </c>
      <c r="B43" t="str">
        <f>INDEX('Draft Engine'!$B$85:$B$154,$N43)</f>
        <v>DK Metcalf</v>
      </c>
      <c r="C43" s="4">
        <f>INDEX('Draft Engine'!$E$85:$E$154,$N43)</f>
        <v>69.807500000000005</v>
      </c>
      <c r="D43" t="str">
        <f t="shared" si="1"/>
        <v>TIER 6</v>
      </c>
      <c r="E43">
        <f>INDEX('Draft Engine'!$G$85:$G$154,$N43)</f>
        <v>223.2</v>
      </c>
      <c r="F43">
        <f>INDEX('Draft Engine'!$J$85:$J$154,$N43)</f>
        <v>-16.100000000000001</v>
      </c>
      <c r="G43">
        <f>INDEX('Draft Engine'!$N$85:$N$154,$N43)</f>
        <v>53.662791666666671</v>
      </c>
      <c r="H43">
        <f>INDEX('Draft Engine'!$Q$85:$Q$154,$N43)</f>
        <v>116</v>
      </c>
      <c r="I43">
        <f>INDEX('Draft Engine'!$R$85:$R$154,$N43)</f>
        <v>123.9</v>
      </c>
      <c r="J43">
        <f>INDEX('Draft Engine'!$S$85:$S$154,$N43)</f>
        <v>7.9000000000000057</v>
      </c>
      <c r="K43" t="str">
        <f>INDEX('Draft Engine'!$T$85:$T$154,$N43)</f>
        <v>C</v>
      </c>
      <c r="L43" t="str">
        <f>INDEX('LIVE SOURCE'!$H$85:$H$154,$N43)</f>
        <v>FLEX/bench receiver; needs target growth or efficiency spikes.</v>
      </c>
      <c r="M43" t="str">
        <f>INDEX('LIVE SOURCE'!$J$85:$J$154,$N43)</f>
        <v>Price is the biggest risk: the market currently asks you to draft him earlier than the model prefers.</v>
      </c>
      <c r="N43" s="6">
        <f>MATCH($A43,'Draft Engine'!$F$85:$F$154,0)</f>
        <v>32</v>
      </c>
    </row>
    <row r="44" spans="1:14" x14ac:dyDescent="0.25">
      <c r="A44">
        <f>42</f>
        <v>42</v>
      </c>
      <c r="B44" t="str">
        <f>INDEX('Draft Engine'!$B$85:$B$154,$N44)</f>
        <v>Makai Lemon</v>
      </c>
      <c r="C44" s="4">
        <f>INDEX('Draft Engine'!$E$85:$E$154,$N44)</f>
        <v>69.2</v>
      </c>
      <c r="D44" t="str">
        <f t="shared" si="1"/>
        <v>TIER 6</v>
      </c>
      <c r="E44">
        <f>INDEX('Draft Engine'!$G$85:$G$154,$N44)</f>
        <v>220.6</v>
      </c>
      <c r="F44">
        <f>INDEX('Draft Engine'!$J$85:$J$154,$N44)</f>
        <v>-18.7</v>
      </c>
      <c r="G44">
        <f>INDEX('Draft Engine'!$N$85:$N$154,$N44)</f>
        <v>52.527333333333338</v>
      </c>
      <c r="H44">
        <f>INDEX('Draft Engine'!$Q$85:$Q$154,$N44)</f>
        <v>119</v>
      </c>
      <c r="I44">
        <f>INDEX('Draft Engine'!$R$85:$R$154,$N44)</f>
        <v>159</v>
      </c>
      <c r="J44">
        <f>INDEX('Draft Engine'!$S$85:$S$154,$N44)</f>
        <v>40</v>
      </c>
      <c r="K44" t="str">
        <f>INDEX('Draft Engine'!$T$85:$T$154,$N44)</f>
        <v>C</v>
      </c>
      <c r="L44" t="str">
        <f>INDEX('LIVE SOURCE'!$H$85:$H$154,$N44)</f>
        <v>WR2/FLEX; dependable lineup option with matchup-driven ceiling.</v>
      </c>
      <c r="M44" t="str">
        <f>INDEX('LIVE SOURCE'!$J$85:$J$154,$N44)</f>
        <v>NFL translation and exact weekly role are the main variables; preseason first-team usage can move this rating quickly.</v>
      </c>
      <c r="N44" s="6">
        <f>MATCH($A44,'Draft Engine'!$F$85:$F$154,0)</f>
        <v>41</v>
      </c>
    </row>
    <row r="45" spans="1:14" x14ac:dyDescent="0.25">
      <c r="A45">
        <f>43</f>
        <v>43</v>
      </c>
      <c r="B45" t="str">
        <f>INDEX('Draft Engine'!$B$85:$B$154,$N45)</f>
        <v>Michael Wilson</v>
      </c>
      <c r="C45" s="4">
        <f>INDEX('Draft Engine'!$E$85:$E$154,$N45)</f>
        <v>68.849999999999994</v>
      </c>
      <c r="D45" t="str">
        <f t="shared" si="1"/>
        <v>TIER 6</v>
      </c>
      <c r="E45">
        <f>INDEX('Draft Engine'!$G$85:$G$154,$N45)</f>
        <v>219.2</v>
      </c>
      <c r="F45">
        <f>INDEX('Draft Engine'!$J$85:$J$154,$N45)</f>
        <v>-20.100000000000001</v>
      </c>
      <c r="G45">
        <f>INDEX('Draft Engine'!$N$85:$N$154,$N45)</f>
        <v>51.749499999999998</v>
      </c>
      <c r="H45">
        <f>INDEX('Draft Engine'!$Q$85:$Q$154,$N45)</f>
        <v>122</v>
      </c>
      <c r="I45">
        <f>INDEX('Draft Engine'!$R$85:$R$154,$N45)</f>
        <v>178.5</v>
      </c>
      <c r="J45">
        <f>INDEX('Draft Engine'!$S$85:$S$154,$N45)</f>
        <v>56.5</v>
      </c>
      <c r="K45" t="str">
        <f>INDEX('Draft Engine'!$T$85:$T$154,$N45)</f>
        <v>C</v>
      </c>
      <c r="L45" t="str">
        <f>INDEX('LIVE SOURCE'!$H$85:$H$154,$N45)</f>
        <v>FLEX/bench receiver; needs target growth or efficiency spikes.</v>
      </c>
      <c r="M45" t="str">
        <f>INDEX('LIVE SOURCE'!$J$85:$J$154,$N45)</f>
        <v>Target competition, quarterback efficiency and touchdown regression are the main downside paths.</v>
      </c>
      <c r="N45" s="6">
        <f>MATCH($A45,'Draft Engine'!$F$85:$F$154,0)</f>
        <v>46</v>
      </c>
    </row>
    <row r="46" spans="1:14" x14ac:dyDescent="0.25">
      <c r="A46">
        <f>44</f>
        <v>44</v>
      </c>
      <c r="B46" t="str">
        <f>INDEX('Draft Engine'!$B$85:$B$154,$N46)</f>
        <v>Courtland Sutton</v>
      </c>
      <c r="C46" s="4">
        <f>INDEX('Draft Engine'!$E$85:$E$154,$N46)</f>
        <v>68.722499999999997</v>
      </c>
      <c r="D46" t="str">
        <f t="shared" si="1"/>
        <v>TIER 6</v>
      </c>
      <c r="E46">
        <f>INDEX('Draft Engine'!$G$85:$G$154,$N46)</f>
        <v>218.6</v>
      </c>
      <c r="F46">
        <f>INDEX('Draft Engine'!$J$85:$J$154,$N46)</f>
        <v>-20.7</v>
      </c>
      <c r="G46">
        <f>INDEX('Draft Engine'!$N$85:$N$154,$N46)</f>
        <v>51.238041666666668</v>
      </c>
      <c r="H46">
        <f>INDEX('Draft Engine'!$Q$85:$Q$154,$N46)</f>
        <v>123</v>
      </c>
      <c r="I46">
        <f>INDEX('Draft Engine'!$R$85:$R$154,$N46)</f>
        <v>131.69999999999999</v>
      </c>
      <c r="J46">
        <f>INDEX('Draft Engine'!$S$85:$S$154,$N46)</f>
        <v>8.6999999999999886</v>
      </c>
      <c r="K46" t="str">
        <f>INDEX('Draft Engine'!$T$85:$T$154,$N46)</f>
        <v>C</v>
      </c>
      <c r="L46" t="str">
        <f>INDEX('LIVE SOURCE'!$H$85:$H$154,$N46)</f>
        <v>FLEX/bench receiver; needs target growth or efficiency spikes.</v>
      </c>
      <c r="M46" t="str">
        <f>INDEX('LIVE SOURCE'!$J$85:$J$154,$N46)</f>
        <v>Target competition, quarterback efficiency and touchdown regression are the main downside paths.</v>
      </c>
      <c r="N46" s="6">
        <f>MATCH($A46,'Draft Engine'!$F$85:$F$154,0)</f>
        <v>34</v>
      </c>
    </row>
    <row r="47" spans="1:14" x14ac:dyDescent="0.25">
      <c r="A47">
        <f>45</f>
        <v>45</v>
      </c>
      <c r="B47" t="str">
        <f>INDEX('Draft Engine'!$B$85:$B$154,$N47)</f>
        <v>Xavier Worthy</v>
      </c>
      <c r="C47" s="4">
        <f>INDEX('Draft Engine'!$E$85:$E$154,$N47)</f>
        <v>68.180000000000007</v>
      </c>
      <c r="D47" t="str">
        <f t="shared" si="1"/>
        <v>TIER 6</v>
      </c>
      <c r="E47">
        <f>INDEX('Draft Engine'!$G$85:$G$154,$N47)</f>
        <v>216.4</v>
      </c>
      <c r="F47">
        <f>INDEX('Draft Engine'!$J$85:$J$154,$N47)</f>
        <v>-22.9</v>
      </c>
      <c r="G47">
        <f>INDEX('Draft Engine'!$N$85:$N$154,$N47)</f>
        <v>50.210333333333345</v>
      </c>
      <c r="H47">
        <f>INDEX('Draft Engine'!$Q$85:$Q$154,$N47)</f>
        <v>127</v>
      </c>
      <c r="I47">
        <f>INDEX('Draft Engine'!$R$85:$R$154,$N47)</f>
        <v>182.4</v>
      </c>
      <c r="J47">
        <f>INDEX('Draft Engine'!$S$85:$S$154,$N47)</f>
        <v>55.400000000000006</v>
      </c>
      <c r="K47" t="str">
        <f>INDEX('Draft Engine'!$T$85:$T$154,$N47)</f>
        <v>C</v>
      </c>
      <c r="L47" t="str">
        <f>INDEX('LIVE SOURCE'!$H$85:$H$154,$N47)</f>
        <v>FLEX/bench receiver; needs target growth or efficiency spikes.</v>
      </c>
      <c r="M47" t="str">
        <f>INDEX('LIVE SOURCE'!$J$85:$J$154,$N47)</f>
        <v>Target competition, quarterback efficiency and touchdown regression are the main downside paths.</v>
      </c>
      <c r="N47" s="6">
        <f>MATCH($A47,'Draft Engine'!$F$85:$F$154,0)</f>
        <v>47</v>
      </c>
    </row>
    <row r="48" spans="1:14" x14ac:dyDescent="0.25">
      <c r="A48">
        <f>46</f>
        <v>46</v>
      </c>
      <c r="B48" t="str">
        <f>INDEX('Draft Engine'!$B$85:$B$154,$N48)</f>
        <v>Matthew Golden</v>
      </c>
      <c r="C48" s="4">
        <f>INDEX('Draft Engine'!$E$85:$E$154,$N48)</f>
        <v>67.510000000000005</v>
      </c>
      <c r="D48" t="str">
        <f t="shared" si="1"/>
        <v>TIER 6</v>
      </c>
      <c r="E48">
        <f>INDEX('Draft Engine'!$G$85:$G$154,$N48)</f>
        <v>213.5</v>
      </c>
      <c r="F48">
        <f>INDEX('Draft Engine'!$J$85:$J$154,$N48)</f>
        <v>-25.8</v>
      </c>
      <c r="G48">
        <f>INDEX('Draft Engine'!$N$85:$N$154,$N48)</f>
        <v>48.986500000000007</v>
      </c>
      <c r="H48">
        <f>INDEX('Draft Engine'!$Q$85:$Q$154,$N48)</f>
        <v>130</v>
      </c>
      <c r="I48">
        <f>INDEX('Draft Engine'!$R$85:$R$154,$N48)</f>
        <v>186.3</v>
      </c>
      <c r="J48">
        <f>INDEX('Draft Engine'!$S$85:$S$154,$N48)</f>
        <v>56.300000000000011</v>
      </c>
      <c r="K48" t="str">
        <f>INDEX('Draft Engine'!$T$85:$T$154,$N48)</f>
        <v>C</v>
      </c>
      <c r="L48" t="str">
        <f>INDEX('LIVE SOURCE'!$H$85:$H$154,$N48)</f>
        <v>FLEX/bench receiver; needs target growth or efficiency spikes.</v>
      </c>
      <c r="M48" t="str">
        <f>INDEX('LIVE SOURCE'!$J$85:$J$154,$N48)</f>
        <v>Evidence is thinner than for established veterans, so camp, depth-chart and role news can move the grade materially.</v>
      </c>
      <c r="N48" s="6">
        <f>MATCH($A48,'Draft Engine'!$F$85:$F$154,0)</f>
        <v>48</v>
      </c>
    </row>
    <row r="49" spans="1:14" x14ac:dyDescent="0.25">
      <c r="A49">
        <f>47</f>
        <v>47</v>
      </c>
      <c r="B49" t="str">
        <f>INDEX('Draft Engine'!$B$85:$B$154,$N49)</f>
        <v>Brian Thomas Jr.</v>
      </c>
      <c r="C49" s="4">
        <f>INDEX('Draft Engine'!$E$85:$E$154,$N49)</f>
        <v>66.967500000000001</v>
      </c>
      <c r="D49" t="str">
        <f t="shared" si="1"/>
        <v>TIER 6</v>
      </c>
      <c r="E49">
        <f>INDEX('Draft Engine'!$G$85:$G$154,$N49)</f>
        <v>211.3</v>
      </c>
      <c r="F49">
        <f>INDEX('Draft Engine'!$J$85:$J$154,$N49)</f>
        <v>-28</v>
      </c>
      <c r="G49">
        <f>INDEX('Draft Engine'!$N$85:$N$154,$N49)</f>
        <v>47.95879166666667</v>
      </c>
      <c r="H49">
        <f>INDEX('Draft Engine'!$Q$85:$Q$154,$N49)</f>
        <v>153</v>
      </c>
      <c r="I49">
        <f>INDEX('Draft Engine'!$R$85:$R$154,$N49)</f>
        <v>155.1</v>
      </c>
      <c r="J49">
        <f>INDEX('Draft Engine'!$S$85:$S$154,$N49)</f>
        <v>2.0999999999999943</v>
      </c>
      <c r="K49" t="str">
        <f>INDEX('Draft Engine'!$T$85:$T$154,$N49)</f>
        <v>C</v>
      </c>
      <c r="L49" t="str">
        <f>INDEX('LIVE SOURCE'!$H$85:$H$154,$N49)</f>
        <v>FLEX/bench receiver; needs target growth or efficiency spikes.</v>
      </c>
      <c r="M49" t="str">
        <f>INDEX('LIVE SOURCE'!$J$85:$J$154,$N49)</f>
        <v>Target competition, quarterback efficiency and touchdown regression are the main downside paths.</v>
      </c>
      <c r="N49" s="6">
        <f>MATCH($A49,'Draft Engine'!$F$85:$F$154,0)</f>
        <v>40</v>
      </c>
    </row>
    <row r="50" spans="1:14" x14ac:dyDescent="0.25">
      <c r="A50">
        <f>48</f>
        <v>48</v>
      </c>
      <c r="B50" t="str">
        <f>INDEX('Draft Engine'!$B$85:$B$154,$N50)</f>
        <v>Josh Downs</v>
      </c>
      <c r="C50" s="4">
        <f>INDEX('Draft Engine'!$E$85:$E$154,$N50)</f>
        <v>66.84</v>
      </c>
      <c r="D50" t="str">
        <f t="shared" si="1"/>
        <v>TIER 6</v>
      </c>
      <c r="E50">
        <f>INDEX('Draft Engine'!$G$85:$G$154,$N50)</f>
        <v>210.7</v>
      </c>
      <c r="F50">
        <f>INDEX('Draft Engine'!$J$85:$J$154,$N50)</f>
        <v>-28.6</v>
      </c>
      <c r="G50">
        <f>INDEX('Draft Engine'!$N$85:$N$154,$N50)</f>
        <v>47.44733333333334</v>
      </c>
      <c r="H50">
        <f>INDEX('Draft Engine'!$Q$85:$Q$154,$N50)</f>
        <v>154</v>
      </c>
      <c r="I50">
        <f>INDEX('Draft Engine'!$R$85:$R$154,$N50)</f>
        <v>190.2</v>
      </c>
      <c r="J50">
        <f>INDEX('Draft Engine'!$S$85:$S$154,$N50)</f>
        <v>36.199999999999989</v>
      </c>
      <c r="K50" t="str">
        <f>INDEX('Draft Engine'!$T$85:$T$154,$N50)</f>
        <v>C</v>
      </c>
      <c r="L50" t="str">
        <f>INDEX('LIVE SOURCE'!$H$85:$H$154,$N50)</f>
        <v>FLEX/bench receiver; needs target growth or efficiency spikes.</v>
      </c>
      <c r="M50" t="str">
        <f>INDEX('LIVE SOURCE'!$J$85:$J$154,$N50)</f>
        <v>Target competition, quarterback efficiency and touchdown regression are the main downside paths.</v>
      </c>
      <c r="N50" s="6">
        <f>MATCH($A50,'Draft Engine'!$F$85:$F$154,0)</f>
        <v>49</v>
      </c>
    </row>
    <row r="51" spans="1:14" x14ac:dyDescent="0.25">
      <c r="A51">
        <f>49</f>
        <v>49</v>
      </c>
      <c r="B51" t="str">
        <f>INDEX('Draft Engine'!$B$85:$B$154,$N51)</f>
        <v>Jayden Reed</v>
      </c>
      <c r="C51" s="4">
        <f>INDEX('Draft Engine'!$E$85:$E$154,$N51)</f>
        <v>66.17</v>
      </c>
      <c r="D51" t="str">
        <f t="shared" si="1"/>
        <v>TIER 6</v>
      </c>
      <c r="E51">
        <f>INDEX('Draft Engine'!$G$85:$G$154,$N51)</f>
        <v>207.9</v>
      </c>
      <c r="F51">
        <f>INDEX('Draft Engine'!$J$85:$J$154,$N51)</f>
        <v>-31.4</v>
      </c>
      <c r="G51">
        <f>INDEX('Draft Engine'!$N$85:$N$154,$N51)</f>
        <v>46.241500000000002</v>
      </c>
      <c r="H51">
        <f>INDEX('Draft Engine'!$Q$85:$Q$154,$N51)</f>
        <v>157</v>
      </c>
      <c r="I51">
        <f>INDEX('Draft Engine'!$R$85:$R$154,$N51)</f>
        <v>194.1</v>
      </c>
      <c r="J51">
        <f>INDEX('Draft Engine'!$S$85:$S$154,$N51)</f>
        <v>37.099999999999994</v>
      </c>
      <c r="K51" t="str">
        <f>INDEX('Draft Engine'!$T$85:$T$154,$N51)</f>
        <v>C</v>
      </c>
      <c r="L51" t="str">
        <f>INDEX('LIVE SOURCE'!$H$85:$H$154,$N51)</f>
        <v>FLEX/bench receiver; needs target growth or efficiency spikes.</v>
      </c>
      <c r="M51" t="str">
        <f>INDEX('LIVE SOURCE'!$J$85:$J$154,$N51)</f>
        <v>Evidence is thinner than for established veterans, so camp, depth-chart and role news can move the grade materially.</v>
      </c>
      <c r="N51" s="6">
        <f>MATCH($A51,'Draft Engine'!$F$85:$F$154,0)</f>
        <v>50</v>
      </c>
    </row>
    <row r="52" spans="1:14" x14ac:dyDescent="0.25">
      <c r="A52">
        <f>50</f>
        <v>50</v>
      </c>
      <c r="B52" t="str">
        <f>INDEX('Draft Engine'!$B$85:$B$154,$N52)</f>
        <v>Khalil Shakir</v>
      </c>
      <c r="C52" s="4">
        <f>INDEX('Draft Engine'!$E$85:$E$154,$N52)</f>
        <v>65.5</v>
      </c>
      <c r="D52" t="str">
        <f t="shared" si="1"/>
        <v>TIER 6</v>
      </c>
      <c r="E52">
        <f>INDEX('Draft Engine'!$G$85:$G$154,$N52)</f>
        <v>205.1</v>
      </c>
      <c r="F52">
        <f>INDEX('Draft Engine'!$J$85:$J$154,$N52)</f>
        <v>-34.200000000000003</v>
      </c>
      <c r="G52">
        <f>INDEX('Draft Engine'!$N$85:$N$154,$N52)</f>
        <v>45.035666666666671</v>
      </c>
      <c r="H52">
        <f>INDEX('Draft Engine'!$Q$85:$Q$154,$N52)</f>
        <v>160</v>
      </c>
      <c r="I52">
        <f>INDEX('Draft Engine'!$R$85:$R$154,$N52)</f>
        <v>198</v>
      </c>
      <c r="J52">
        <f>INDEX('Draft Engine'!$S$85:$S$154,$N52)</f>
        <v>38</v>
      </c>
      <c r="K52" t="str">
        <f>INDEX('Draft Engine'!$T$85:$T$154,$N52)</f>
        <v>C</v>
      </c>
      <c r="L52" t="str">
        <f>INDEX('LIVE SOURCE'!$H$85:$H$154,$N52)</f>
        <v>Late-round bench upside; role growth is required for weekly relevance.</v>
      </c>
      <c r="M52" t="str">
        <f>INDEX('LIVE SOURCE'!$J$85:$J$154,$N52)</f>
        <v>Target competition, quarterback efficiency and touchdown regression are the main downside paths.</v>
      </c>
      <c r="N52" s="6">
        <f>MATCH($A52,'Draft Engine'!$F$85:$F$154,0)</f>
        <v>51</v>
      </c>
    </row>
    <row r="53" spans="1:14" x14ac:dyDescent="0.25">
      <c r="A53">
        <f>51</f>
        <v>51</v>
      </c>
      <c r="B53" t="str">
        <f>INDEX('Draft Engine'!$B$85:$B$154,$N53)</f>
        <v>Jalin Hyatt</v>
      </c>
      <c r="C53" s="4">
        <f>INDEX('Draft Engine'!$E$85:$E$154,$N53)</f>
        <v>64.83</v>
      </c>
      <c r="D53" t="str">
        <f t="shared" si="1"/>
        <v>TIER 7</v>
      </c>
      <c r="E53">
        <f>INDEX('Draft Engine'!$G$85:$G$154,$N53)</f>
        <v>202.3</v>
      </c>
      <c r="F53">
        <f>INDEX('Draft Engine'!$J$85:$J$154,$N53)</f>
        <v>-37</v>
      </c>
      <c r="G53">
        <f>INDEX('Draft Engine'!$N$85:$N$154,$N53)</f>
        <v>43.996499999999997</v>
      </c>
      <c r="H53">
        <f>INDEX('Draft Engine'!$Q$85:$Q$154,$N53)</f>
        <v>162</v>
      </c>
      <c r="I53">
        <f>INDEX('Draft Engine'!$R$85:$R$154,$N53)</f>
        <v>201.9</v>
      </c>
      <c r="J53">
        <f>INDEX('Draft Engine'!$S$85:$S$154,$N53)</f>
        <v>39.900000000000006</v>
      </c>
      <c r="K53" t="str">
        <f>INDEX('Draft Engine'!$T$85:$T$154,$N53)</f>
        <v>C</v>
      </c>
      <c r="L53" t="str">
        <f>INDEX('LIVE SOURCE'!$H$85:$H$154,$N53)</f>
        <v>Late-round bench upside; role growth is required for weekly relevance.</v>
      </c>
      <c r="M53" t="str">
        <f>INDEX('LIVE SOURCE'!$J$85:$J$154,$N53)</f>
        <v>Evidence is thinner than for established veterans, so camp, depth-chart and role news can move the grade materially.</v>
      </c>
      <c r="N53" s="6">
        <f>MATCH($A53,'Draft Engine'!$F$85:$F$154,0)</f>
        <v>52</v>
      </c>
    </row>
    <row r="54" spans="1:14" x14ac:dyDescent="0.25">
      <c r="A54">
        <f>52</f>
        <v>52</v>
      </c>
      <c r="B54" t="str">
        <f>INDEX('Draft Engine'!$B$85:$B$154,$N54)</f>
        <v>Romeo Doubs</v>
      </c>
      <c r="C54" s="4">
        <f>INDEX('Draft Engine'!$E$85:$E$154,$N54)</f>
        <v>64.16</v>
      </c>
      <c r="D54" t="str">
        <f t="shared" si="1"/>
        <v>TIER 7</v>
      </c>
      <c r="E54">
        <f>INDEX('Draft Engine'!$G$85:$G$154,$N54)</f>
        <v>199.5</v>
      </c>
      <c r="F54">
        <f>INDEX('Draft Engine'!$J$85:$J$154,$N54)</f>
        <v>-39.799999999999997</v>
      </c>
      <c r="G54">
        <f>INDEX('Draft Engine'!$N$85:$N$154,$N54)</f>
        <v>43.124000000000002</v>
      </c>
      <c r="H54">
        <f>INDEX('Draft Engine'!$Q$85:$Q$154,$N54)</f>
        <v>166</v>
      </c>
      <c r="I54">
        <f>INDEX('Draft Engine'!$R$85:$R$154,$N54)</f>
        <v>205.8</v>
      </c>
      <c r="J54">
        <f>INDEX('Draft Engine'!$S$85:$S$154,$N54)</f>
        <v>39.800000000000011</v>
      </c>
      <c r="K54" t="str">
        <f>INDEX('Draft Engine'!$T$85:$T$154,$N54)</f>
        <v>C</v>
      </c>
      <c r="L54" t="str">
        <f>INDEX('LIVE SOURCE'!$H$85:$H$154,$N54)</f>
        <v>Late-round bench upside; role growth is required for weekly relevance.</v>
      </c>
      <c r="M54" t="str">
        <f>INDEX('LIVE SOURCE'!$J$85:$J$154,$N54)</f>
        <v>Target competition, quarterback efficiency and touchdown regression are the main downside paths.</v>
      </c>
      <c r="N54" s="6">
        <f>MATCH($A54,'Draft Engine'!$F$85:$F$154,0)</f>
        <v>53</v>
      </c>
    </row>
    <row r="55" spans="1:14" x14ac:dyDescent="0.25">
      <c r="A55">
        <f>53</f>
        <v>53</v>
      </c>
      <c r="B55" t="str">
        <f>INDEX('Draft Engine'!$B$85:$B$154,$N55)</f>
        <v>Jalen Coker</v>
      </c>
      <c r="C55" s="4">
        <f>INDEX('Draft Engine'!$E$85:$E$154,$N55)</f>
        <v>63.49</v>
      </c>
      <c r="D55" t="str">
        <f t="shared" si="1"/>
        <v>TIER 7</v>
      </c>
      <c r="E55">
        <f>INDEX('Draft Engine'!$G$85:$G$154,$N55)</f>
        <v>196.7</v>
      </c>
      <c r="F55">
        <f>INDEX('Draft Engine'!$J$85:$J$154,$N55)</f>
        <v>-42.6</v>
      </c>
      <c r="G55">
        <f>INDEX('Draft Engine'!$N$85:$N$154,$N55)</f>
        <v>42.251500000000007</v>
      </c>
      <c r="H55">
        <f>INDEX('Draft Engine'!$Q$85:$Q$154,$N55)</f>
        <v>169</v>
      </c>
      <c r="I55">
        <f>INDEX('Draft Engine'!$R$85:$R$154,$N55)</f>
        <v>209.7</v>
      </c>
      <c r="J55">
        <f>INDEX('Draft Engine'!$S$85:$S$154,$N55)</f>
        <v>40.699999999999989</v>
      </c>
      <c r="K55" t="str">
        <f>INDEX('Draft Engine'!$T$85:$T$154,$N55)</f>
        <v>C</v>
      </c>
      <c r="L55" t="str">
        <f>INDEX('LIVE SOURCE'!$H$85:$H$154,$N55)</f>
        <v>Late-round bench upside; role growth is required for weekly relevance.</v>
      </c>
      <c r="M55" t="str">
        <f>INDEX('LIVE SOURCE'!$J$85:$J$154,$N55)</f>
        <v>Target competition, quarterback efficiency and touchdown regression are the main downside paths.</v>
      </c>
      <c r="N55" s="6">
        <f>MATCH($A55,'Draft Engine'!$F$85:$F$154,0)</f>
        <v>54</v>
      </c>
    </row>
    <row r="56" spans="1:14" x14ac:dyDescent="0.25">
      <c r="A56">
        <f>54</f>
        <v>54</v>
      </c>
      <c r="B56" t="str">
        <f>INDEX('Draft Engine'!$B$85:$B$154,$N56)</f>
        <v>KC Concepcion</v>
      </c>
      <c r="C56" s="4">
        <f>INDEX('Draft Engine'!$E$85:$E$154,$N56)</f>
        <v>62.82</v>
      </c>
      <c r="D56" t="str">
        <f t="shared" si="1"/>
        <v>TIER 7</v>
      </c>
      <c r="E56">
        <f>INDEX('Draft Engine'!$G$85:$G$154,$N56)</f>
        <v>193.8</v>
      </c>
      <c r="F56">
        <f>INDEX('Draft Engine'!$J$85:$J$154,$N56)</f>
        <v>-45.5</v>
      </c>
      <c r="G56">
        <f>INDEX('Draft Engine'!$N$85:$N$154,$N56)</f>
        <v>41.361000000000004</v>
      </c>
      <c r="H56">
        <f>INDEX('Draft Engine'!$Q$85:$Q$154,$N56)</f>
        <v>172</v>
      </c>
      <c r="I56">
        <f>INDEX('Draft Engine'!$R$85:$R$154,$N56)</f>
        <v>213.6</v>
      </c>
      <c r="J56">
        <f>INDEX('Draft Engine'!$S$85:$S$154,$N56)</f>
        <v>41.599999999999994</v>
      </c>
      <c r="K56" t="str">
        <f>INDEX('Draft Engine'!$T$85:$T$154,$N56)</f>
        <v>C</v>
      </c>
      <c r="L56" t="str">
        <f>INDEX('LIVE SOURCE'!$H$85:$H$154,$N56)</f>
        <v>Late-round bench upside; role growth is required for weekly relevance.</v>
      </c>
      <c r="M56" t="str">
        <f>INDEX('LIVE SOURCE'!$J$85:$J$154,$N56)</f>
        <v>NFL translation and exact weekly role are the main variables; preseason first-team usage can move this rating quickly.</v>
      </c>
      <c r="N56" s="6">
        <f>MATCH($A56,'Draft Engine'!$F$85:$F$154,0)</f>
        <v>55</v>
      </c>
    </row>
    <row r="57" spans="1:14" x14ac:dyDescent="0.25">
      <c r="A57">
        <f>55</f>
        <v>55</v>
      </c>
      <c r="B57" t="str">
        <f>INDEX('Draft Engine'!$B$85:$B$154,$N57)</f>
        <v>Rashid Shaheed</v>
      </c>
      <c r="C57" s="4">
        <f>INDEX('Draft Engine'!$E$85:$E$154,$N57)</f>
        <v>62.15</v>
      </c>
      <c r="D57" t="str">
        <f t="shared" si="1"/>
        <v>TIER 7</v>
      </c>
      <c r="E57">
        <f>INDEX('Draft Engine'!$G$85:$G$154,$N57)</f>
        <v>191</v>
      </c>
      <c r="F57">
        <f>INDEX('Draft Engine'!$J$85:$J$154,$N57)</f>
        <v>-48.3</v>
      </c>
      <c r="G57">
        <f>INDEX('Draft Engine'!$N$85:$N$154,$N57)</f>
        <v>40.488500000000002</v>
      </c>
      <c r="H57">
        <f>INDEX('Draft Engine'!$Q$85:$Q$154,$N57)</f>
        <v>175</v>
      </c>
      <c r="I57">
        <f>INDEX('Draft Engine'!$R$85:$R$154,$N57)</f>
        <v>217.5</v>
      </c>
      <c r="J57">
        <f>INDEX('Draft Engine'!$S$85:$S$154,$N57)</f>
        <v>42.5</v>
      </c>
      <c r="K57" t="str">
        <f>INDEX('Draft Engine'!$T$85:$T$154,$N57)</f>
        <v>C</v>
      </c>
      <c r="L57" t="str">
        <f>INDEX('LIVE SOURCE'!$H$85:$H$154,$N57)</f>
        <v>Late-round bench upside; role growth is required for weekly relevance.</v>
      </c>
      <c r="M57" t="str">
        <f>INDEX('LIVE SOURCE'!$J$85:$J$154,$N57)</f>
        <v>Target competition, quarterback efficiency and touchdown regression are the main downside paths.</v>
      </c>
      <c r="N57" s="6">
        <f>MATCH($A57,'Draft Engine'!$F$85:$F$154,0)</f>
        <v>56</v>
      </c>
    </row>
    <row r="58" spans="1:14" x14ac:dyDescent="0.25">
      <c r="A58">
        <f>56</f>
        <v>56</v>
      </c>
      <c r="B58" t="str">
        <f>INDEX('Draft Engine'!$B$85:$B$154,$N58)</f>
        <v>Calvin Ridley</v>
      </c>
      <c r="C58" s="4">
        <f>INDEX('Draft Engine'!$E$85:$E$154,$N58)</f>
        <v>61.48</v>
      </c>
      <c r="D58" t="str">
        <f t="shared" si="1"/>
        <v>TIER 7</v>
      </c>
      <c r="E58">
        <f>INDEX('Draft Engine'!$G$85:$G$154,$N58)</f>
        <v>188.2</v>
      </c>
      <c r="F58">
        <f>INDEX('Draft Engine'!$J$85:$J$154,$N58)</f>
        <v>-51.1</v>
      </c>
      <c r="G58">
        <f>INDEX('Draft Engine'!$N$85:$N$154,$N58)</f>
        <v>39.616</v>
      </c>
      <c r="H58">
        <f>INDEX('Draft Engine'!$Q$85:$Q$154,$N58)</f>
        <v>179</v>
      </c>
      <c r="I58">
        <f>INDEX('Draft Engine'!$R$85:$R$154,$N58)</f>
        <v>221.4</v>
      </c>
      <c r="J58">
        <f>INDEX('Draft Engine'!$S$85:$S$154,$N58)</f>
        <v>42.400000000000006</v>
      </c>
      <c r="K58" t="str">
        <f>INDEX('Draft Engine'!$T$85:$T$154,$N58)</f>
        <v>C</v>
      </c>
      <c r="L58" t="str">
        <f>INDEX('LIVE SOURCE'!$H$85:$H$154,$N58)</f>
        <v>Late-round bench upside; role growth is required for weekly relevance.</v>
      </c>
      <c r="M58" t="str">
        <f>INDEX('LIVE SOURCE'!$J$85:$J$154,$N58)</f>
        <v>Evidence is thinner than for established veterans, so camp, depth-chart and role news can move the grade materially.</v>
      </c>
      <c r="N58" s="6">
        <f>MATCH($A58,'Draft Engine'!$F$85:$F$154,0)</f>
        <v>57</v>
      </c>
    </row>
    <row r="59" spans="1:14" x14ac:dyDescent="0.25">
      <c r="A59">
        <f>57</f>
        <v>57</v>
      </c>
      <c r="B59" t="str">
        <f>INDEX('Draft Engine'!$B$85:$B$154,$N59)</f>
        <v>Omar Cooper Jr.</v>
      </c>
      <c r="C59" s="4">
        <f>INDEX('Draft Engine'!$E$85:$E$154,$N59)</f>
        <v>60.81</v>
      </c>
      <c r="D59" t="str">
        <f t="shared" si="1"/>
        <v>TIER 7</v>
      </c>
      <c r="E59">
        <f>INDEX('Draft Engine'!$G$85:$G$154,$N59)</f>
        <v>185.4</v>
      </c>
      <c r="F59">
        <f>INDEX('Draft Engine'!$J$85:$J$154,$N59)</f>
        <v>-53.9</v>
      </c>
      <c r="G59">
        <f>INDEX('Draft Engine'!$N$85:$N$154,$N59)</f>
        <v>38.743500000000004</v>
      </c>
      <c r="H59">
        <f>INDEX('Draft Engine'!$Q$85:$Q$154,$N59)</f>
        <v>180</v>
      </c>
      <c r="I59">
        <f>INDEX('Draft Engine'!$R$85:$R$154,$N59)</f>
        <v>225.3</v>
      </c>
      <c r="J59">
        <f>INDEX('Draft Engine'!$S$85:$S$154,$N59)</f>
        <v>45.300000000000011</v>
      </c>
      <c r="K59" t="str">
        <f>INDEX('Draft Engine'!$T$85:$T$154,$N59)</f>
        <v>C</v>
      </c>
      <c r="L59" t="str">
        <f>INDEX('LIVE SOURCE'!$H$85:$H$154,$N59)</f>
        <v>Late-round bench upside; role growth is required for weekly relevance.</v>
      </c>
      <c r="M59" t="str">
        <f>INDEX('LIVE SOURCE'!$J$85:$J$154,$N59)</f>
        <v>NFL translation and exact weekly role are the main variables; preseason first-team usage can move this rating quickly.</v>
      </c>
      <c r="N59" s="6">
        <f>MATCH($A59,'Draft Engine'!$F$85:$F$154,0)</f>
        <v>58</v>
      </c>
    </row>
    <row r="60" spans="1:14" x14ac:dyDescent="0.25">
      <c r="A60">
        <f>58</f>
        <v>58</v>
      </c>
      <c r="B60" t="str">
        <f>INDEX('Draft Engine'!$B$85:$B$154,$N60)</f>
        <v>Jerry Jeudy</v>
      </c>
      <c r="C60" s="4">
        <f>INDEX('Draft Engine'!$E$85:$E$154,$N60)</f>
        <v>60.14</v>
      </c>
      <c r="D60" t="str">
        <f t="shared" si="1"/>
        <v>TIER 7</v>
      </c>
      <c r="E60">
        <f>INDEX('Draft Engine'!$G$85:$G$154,$N60)</f>
        <v>182.6</v>
      </c>
      <c r="F60">
        <f>INDEX('Draft Engine'!$J$85:$J$154,$N60)</f>
        <v>-56.7</v>
      </c>
      <c r="G60">
        <f>INDEX('Draft Engine'!$N$85:$N$154,$N60)</f>
        <v>37.871000000000002</v>
      </c>
      <c r="H60">
        <f>INDEX('Draft Engine'!$Q$85:$Q$154,$N60)</f>
        <v>182</v>
      </c>
      <c r="I60">
        <f>INDEX('Draft Engine'!$R$85:$R$154,$N60)</f>
        <v>229.2</v>
      </c>
      <c r="J60">
        <f>INDEX('Draft Engine'!$S$85:$S$154,$N60)</f>
        <v>47.199999999999989</v>
      </c>
      <c r="K60" t="str">
        <f>INDEX('Draft Engine'!$T$85:$T$154,$N60)</f>
        <v>C</v>
      </c>
      <c r="L60" t="str">
        <f>INDEX('LIVE SOURCE'!$H$85:$H$154,$N60)</f>
        <v>Late-round bench upside; role growth is required for weekly relevance.</v>
      </c>
      <c r="M60" t="str">
        <f>INDEX('LIVE SOURCE'!$J$85:$J$154,$N60)</f>
        <v>Target competition, quarterback efficiency and touchdown regression are the main downside paths.</v>
      </c>
      <c r="N60" s="6">
        <f>MATCH($A60,'Draft Engine'!$F$85:$F$154,0)</f>
        <v>59</v>
      </c>
    </row>
    <row r="61" spans="1:14" x14ac:dyDescent="0.25">
      <c r="A61">
        <f>59</f>
        <v>59</v>
      </c>
      <c r="B61" t="str">
        <f>INDEX('Draft Engine'!$B$85:$B$154,$N61)</f>
        <v>Jalen Nailor</v>
      </c>
      <c r="C61" s="4">
        <f>INDEX('Draft Engine'!$E$85:$E$154,$N61)</f>
        <v>59.47</v>
      </c>
      <c r="D61" t="str">
        <f t="shared" si="1"/>
        <v>TIER 7</v>
      </c>
      <c r="E61">
        <f>INDEX('Draft Engine'!$G$85:$G$154,$N61)</f>
        <v>179.8</v>
      </c>
      <c r="F61">
        <f>INDEX('Draft Engine'!$J$85:$J$154,$N61)</f>
        <v>-59.5</v>
      </c>
      <c r="G61">
        <f>INDEX('Draft Engine'!$N$85:$N$154,$N61)</f>
        <v>36.9985</v>
      </c>
      <c r="H61">
        <f>INDEX('Draft Engine'!$Q$85:$Q$154,$N61)</f>
        <v>183</v>
      </c>
      <c r="I61">
        <f>INDEX('Draft Engine'!$R$85:$R$154,$N61)</f>
        <v>233.1</v>
      </c>
      <c r="J61">
        <f>INDEX('Draft Engine'!$S$85:$S$154,$N61)</f>
        <v>50.099999999999994</v>
      </c>
      <c r="K61" t="str">
        <f>INDEX('Draft Engine'!$T$85:$T$154,$N61)</f>
        <v>C</v>
      </c>
      <c r="L61" t="str">
        <f>INDEX('LIVE SOURCE'!$H$85:$H$154,$N61)</f>
        <v>Late-round bench upside; role growth is required for weekly relevance.</v>
      </c>
      <c r="M61" t="str">
        <f>INDEX('LIVE SOURCE'!$J$85:$J$154,$N61)</f>
        <v>Target competition, quarterback efficiency and touchdown regression are the main downside paths.</v>
      </c>
      <c r="N61" s="6">
        <f>MATCH($A61,'Draft Engine'!$F$85:$F$154,0)</f>
        <v>60</v>
      </c>
    </row>
    <row r="62" spans="1:14" x14ac:dyDescent="0.25">
      <c r="A62">
        <f>60</f>
        <v>60</v>
      </c>
      <c r="B62" t="str">
        <f>INDEX('Draft Engine'!$B$85:$B$154,$N62)</f>
        <v>Jalen McMillan</v>
      </c>
      <c r="C62" s="4">
        <f>INDEX('Draft Engine'!$E$85:$E$154,$N62)</f>
        <v>58.8</v>
      </c>
      <c r="D62" t="str">
        <f t="shared" si="1"/>
        <v>TIER 7</v>
      </c>
      <c r="E62">
        <f>INDEX('Draft Engine'!$G$85:$G$154,$N62)</f>
        <v>177</v>
      </c>
      <c r="F62">
        <f>INDEX('Draft Engine'!$J$85:$J$154,$N62)</f>
        <v>-62.3</v>
      </c>
      <c r="G62">
        <f>INDEX('Draft Engine'!$N$85:$N$154,$N62)</f>
        <v>36.126000000000005</v>
      </c>
      <c r="H62">
        <f>INDEX('Draft Engine'!$Q$85:$Q$154,$N62)</f>
        <v>185</v>
      </c>
      <c r="I62">
        <f>INDEX('Draft Engine'!$R$85:$R$154,$N62)</f>
        <v>237</v>
      </c>
      <c r="J62">
        <f>INDEX('Draft Engine'!$S$85:$S$154,$N62)</f>
        <v>52</v>
      </c>
      <c r="K62" t="str">
        <f>INDEX('Draft Engine'!$T$85:$T$154,$N62)</f>
        <v>C</v>
      </c>
      <c r="L62" t="str">
        <f>INDEX('LIVE SOURCE'!$H$85:$H$154,$N62)</f>
        <v>Late-round bench upside; role growth is required for weekly relevance.</v>
      </c>
      <c r="M62" t="str">
        <f>INDEX('LIVE SOURCE'!$J$85:$J$154,$N62)</f>
        <v>Evidence is thinner than for established veterans, so camp, depth-chart and role news can move the grade materially.</v>
      </c>
      <c r="N62" s="6">
        <f>MATCH($A62,'Draft Engine'!$F$85:$F$154,0)</f>
        <v>61</v>
      </c>
    </row>
    <row r="63" spans="1:14" x14ac:dyDescent="0.25">
      <c r="A63">
        <f>61</f>
        <v>61</v>
      </c>
      <c r="B63" t="str">
        <f>INDEX('Draft Engine'!$B$85:$B$154,$N63)</f>
        <v>Adonai Mitchell</v>
      </c>
      <c r="C63" s="4">
        <f>INDEX('Draft Engine'!$E$85:$E$154,$N63)</f>
        <v>58.13</v>
      </c>
      <c r="D63" t="str">
        <f t="shared" si="1"/>
        <v>TIER 7</v>
      </c>
      <c r="E63">
        <f>INDEX('Draft Engine'!$G$85:$G$154,$N63)</f>
        <v>174.1</v>
      </c>
      <c r="F63">
        <f>INDEX('Draft Engine'!$J$85:$J$154,$N63)</f>
        <v>-65.2</v>
      </c>
      <c r="G63">
        <f>INDEX('Draft Engine'!$N$85:$N$154,$N63)</f>
        <v>35.235500000000002</v>
      </c>
      <c r="H63">
        <f>INDEX('Draft Engine'!$Q$85:$Q$154,$N63)</f>
        <v>187</v>
      </c>
      <c r="I63">
        <f>INDEX('Draft Engine'!$R$85:$R$154,$N63)</f>
        <v>240.9</v>
      </c>
      <c r="J63">
        <f>INDEX('Draft Engine'!$S$85:$S$154,$N63)</f>
        <v>53.900000000000006</v>
      </c>
      <c r="K63" t="str">
        <f>INDEX('Draft Engine'!$T$85:$T$154,$N63)</f>
        <v>C</v>
      </c>
      <c r="L63" t="str">
        <f>INDEX('LIVE SOURCE'!$H$85:$H$154,$N63)</f>
        <v>Late-round bench upside; role growth is required for weekly relevance.</v>
      </c>
      <c r="M63" t="str">
        <f>INDEX('LIVE SOURCE'!$J$85:$J$154,$N63)</f>
        <v>Evidence is thinner than for established veterans, so camp, depth-chart and role news can move the grade materially.</v>
      </c>
      <c r="N63" s="6">
        <f>MATCH($A63,'Draft Engine'!$F$85:$F$154,0)</f>
        <v>62</v>
      </c>
    </row>
    <row r="64" spans="1:14" x14ac:dyDescent="0.25">
      <c r="A64">
        <f>62</f>
        <v>62</v>
      </c>
      <c r="B64" t="str">
        <f>INDEX('Draft Engine'!$B$85:$B$154,$N64)</f>
        <v>Isaac TeSlaa</v>
      </c>
      <c r="C64" s="4">
        <f>INDEX('Draft Engine'!$E$85:$E$154,$N64)</f>
        <v>57.46</v>
      </c>
      <c r="D64" t="str">
        <f t="shared" si="1"/>
        <v>TIER 7</v>
      </c>
      <c r="E64">
        <f>INDEX('Draft Engine'!$G$85:$G$154,$N64)</f>
        <v>171.3</v>
      </c>
      <c r="F64">
        <f>INDEX('Draft Engine'!$J$85:$J$154,$N64)</f>
        <v>-68</v>
      </c>
      <c r="G64">
        <f>INDEX('Draft Engine'!$N$85:$N$154,$N64)</f>
        <v>34.363</v>
      </c>
      <c r="H64">
        <f>INDEX('Draft Engine'!$Q$85:$Q$154,$N64)</f>
        <v>188</v>
      </c>
      <c r="I64">
        <f>INDEX('Draft Engine'!$R$85:$R$154,$N64)</f>
        <v>244.8</v>
      </c>
      <c r="J64">
        <f>INDEX('Draft Engine'!$S$85:$S$154,$N64)</f>
        <v>56.800000000000011</v>
      </c>
      <c r="K64" t="str">
        <f>INDEX('Draft Engine'!$T$85:$T$154,$N64)</f>
        <v>C</v>
      </c>
      <c r="L64" t="str">
        <f>INDEX('LIVE SOURCE'!$H$85:$H$154,$N64)</f>
        <v>Late-round bench upside; role growth is required for weekly relevance.</v>
      </c>
      <c r="M64" t="str">
        <f>INDEX('LIVE SOURCE'!$J$85:$J$154,$N64)</f>
        <v>Target competition, quarterback efficiency and touchdown regression are the main downside paths.</v>
      </c>
      <c r="N64" s="6">
        <f>MATCH($A64,'Draft Engine'!$F$85:$F$154,0)</f>
        <v>63</v>
      </c>
    </row>
    <row r="65" spans="1:14" x14ac:dyDescent="0.25">
      <c r="A65">
        <f>63</f>
        <v>63</v>
      </c>
      <c r="B65" t="str">
        <f>INDEX('Draft Engine'!$B$85:$B$154,$N65)</f>
        <v>Denzel Boston</v>
      </c>
      <c r="C65" s="4">
        <f>INDEX('Draft Engine'!$E$85:$E$154,$N65)</f>
        <v>56.79</v>
      </c>
      <c r="D65" t="str">
        <f t="shared" si="1"/>
        <v>TIER 7</v>
      </c>
      <c r="E65">
        <f>INDEX('Draft Engine'!$G$85:$G$154,$N65)</f>
        <v>168.5</v>
      </c>
      <c r="F65">
        <f>INDEX('Draft Engine'!$J$85:$J$154,$N65)</f>
        <v>-70.8</v>
      </c>
      <c r="G65">
        <f>INDEX('Draft Engine'!$N$85:$N$154,$N65)</f>
        <v>33.490500000000004</v>
      </c>
      <c r="H65">
        <f>INDEX('Draft Engine'!$Q$85:$Q$154,$N65)</f>
        <v>189</v>
      </c>
      <c r="I65">
        <f>INDEX('Draft Engine'!$R$85:$R$154,$N65)</f>
        <v>248.7</v>
      </c>
      <c r="J65">
        <f>INDEX('Draft Engine'!$S$85:$S$154,$N65)</f>
        <v>59.699999999999989</v>
      </c>
      <c r="K65" t="str">
        <f>INDEX('Draft Engine'!$T$85:$T$154,$N65)</f>
        <v>C</v>
      </c>
      <c r="L65" t="str">
        <f>INDEX('LIVE SOURCE'!$H$85:$H$154,$N65)</f>
        <v>Late-round bench upside; role growth is required for weekly relevance.</v>
      </c>
      <c r="M65" t="str">
        <f>INDEX('LIVE SOURCE'!$J$85:$J$154,$N65)</f>
        <v>NFL translation and exact weekly role are the main variables; preseason first-team usage can move this rating quickly.</v>
      </c>
      <c r="N65" s="6">
        <f>MATCH($A65,'Draft Engine'!$F$85:$F$154,0)</f>
        <v>64</v>
      </c>
    </row>
    <row r="66" spans="1:14" x14ac:dyDescent="0.25">
      <c r="A66">
        <f>64</f>
        <v>64</v>
      </c>
      <c r="B66" t="str">
        <f>INDEX('Draft Engine'!$B$85:$B$154,$N66)</f>
        <v>Tre Tucker</v>
      </c>
      <c r="C66" s="4">
        <f>INDEX('Draft Engine'!$E$85:$E$154,$N66)</f>
        <v>56.12</v>
      </c>
      <c r="D66" t="str">
        <f t="shared" si="1"/>
        <v>TIER 7</v>
      </c>
      <c r="E66">
        <f>INDEX('Draft Engine'!$G$85:$G$154,$N66)</f>
        <v>165.7</v>
      </c>
      <c r="F66">
        <f>INDEX('Draft Engine'!$J$85:$J$154,$N66)</f>
        <v>-73.599999999999994</v>
      </c>
      <c r="G66">
        <f>INDEX('Draft Engine'!$N$85:$N$154,$N66)</f>
        <v>32.618000000000002</v>
      </c>
      <c r="H66">
        <f>INDEX('Draft Engine'!$Q$85:$Q$154,$N66)</f>
        <v>191</v>
      </c>
      <c r="I66">
        <f>INDEX('Draft Engine'!$R$85:$R$154,$N66)</f>
        <v>252.6</v>
      </c>
      <c r="J66">
        <f>INDEX('Draft Engine'!$S$85:$S$154,$N66)</f>
        <v>61.599999999999994</v>
      </c>
      <c r="K66" t="str">
        <f>INDEX('Draft Engine'!$T$85:$T$154,$N66)</f>
        <v>C</v>
      </c>
      <c r="L66" t="str">
        <f>INDEX('LIVE SOURCE'!$H$85:$H$154,$N66)</f>
        <v>Late-round bench upside; role growth is required for weekly relevance.</v>
      </c>
      <c r="M66" t="str">
        <f>INDEX('LIVE SOURCE'!$J$85:$J$154,$N66)</f>
        <v>Target competition, quarterback efficiency and touchdown regression are the main downside paths.</v>
      </c>
      <c r="N66" s="6">
        <f>MATCH($A66,'Draft Engine'!$F$85:$F$154,0)</f>
        <v>65</v>
      </c>
    </row>
    <row r="67" spans="1:14" x14ac:dyDescent="0.25">
      <c r="A67">
        <f>65</f>
        <v>65</v>
      </c>
      <c r="B67" t="str">
        <f>INDEX('Draft Engine'!$B$85:$B$154,$N67)</f>
        <v>Antonio Williams</v>
      </c>
      <c r="C67" s="4">
        <f>INDEX('Draft Engine'!$E$85:$E$154,$N67)</f>
        <v>55.45</v>
      </c>
      <c r="D67" t="str">
        <f t="shared" ref="D67:D72" si="2">IF($C67&gt;=95,"ELITE",IF($C67&gt;=90,"TIER 1",IF($C67&gt;=85,"TIER 2",IF($C67&gt;=80,"TIER 3",IF($C67&gt;=75,"TIER 4",IF($C67&gt;=70,"TIER 5",IF($C67&gt;=65,"TIER 6","TIER 7")))))))</f>
        <v>TIER 7</v>
      </c>
      <c r="E67">
        <f>INDEX('Draft Engine'!$G$85:$G$154,$N67)</f>
        <v>162.9</v>
      </c>
      <c r="F67">
        <f>INDEX('Draft Engine'!$J$85:$J$154,$N67)</f>
        <v>-76.400000000000006</v>
      </c>
      <c r="G67">
        <f>INDEX('Draft Engine'!$N$85:$N$154,$N67)</f>
        <v>31.7455</v>
      </c>
      <c r="H67">
        <f>INDEX('Draft Engine'!$Q$85:$Q$154,$N67)</f>
        <v>192</v>
      </c>
      <c r="I67">
        <f>INDEX('Draft Engine'!$R$85:$R$154,$N67)</f>
        <v>256.5</v>
      </c>
      <c r="J67">
        <f>INDEX('Draft Engine'!$S$85:$S$154,$N67)</f>
        <v>64.5</v>
      </c>
      <c r="K67" t="str">
        <f>INDEX('Draft Engine'!$T$85:$T$154,$N67)</f>
        <v>C</v>
      </c>
      <c r="L67" t="str">
        <f>INDEX('LIVE SOURCE'!$H$85:$H$154,$N67)</f>
        <v>Late-round bench upside; role growth is required for weekly relevance.</v>
      </c>
      <c r="M67" t="str">
        <f>INDEX('LIVE SOURCE'!$J$85:$J$154,$N67)</f>
        <v>Evidence is thinner than for established veterans, so camp, depth-chart and role news can move the grade materially.</v>
      </c>
      <c r="N67" s="6">
        <f>MATCH($A67,'Draft Engine'!$F$85:$F$154,0)</f>
        <v>66</v>
      </c>
    </row>
    <row r="68" spans="1:14" x14ac:dyDescent="0.25">
      <c r="A68">
        <f>66</f>
        <v>66</v>
      </c>
      <c r="B68" t="str">
        <f>INDEX('Draft Engine'!$B$85:$B$154,$N68)</f>
        <v>Travis Hunter</v>
      </c>
      <c r="C68" s="4">
        <f>INDEX('Draft Engine'!$E$85:$E$154,$N68)</f>
        <v>54.78</v>
      </c>
      <c r="D68" t="str">
        <f t="shared" si="2"/>
        <v>TIER 7</v>
      </c>
      <c r="E68">
        <f>INDEX('Draft Engine'!$G$85:$G$154,$N68)</f>
        <v>160.1</v>
      </c>
      <c r="F68">
        <f>INDEX('Draft Engine'!$J$85:$J$154,$N68)</f>
        <v>-79.2</v>
      </c>
      <c r="G68">
        <f>INDEX('Draft Engine'!$N$85:$N$154,$N68)</f>
        <v>30.873000000000001</v>
      </c>
      <c r="H68">
        <f>INDEX('Draft Engine'!$Q$85:$Q$154,$N68)</f>
        <v>194</v>
      </c>
      <c r="I68">
        <f>INDEX('Draft Engine'!$R$85:$R$154,$N68)</f>
        <v>260.39999999999998</v>
      </c>
      <c r="J68">
        <f>INDEX('Draft Engine'!$S$85:$S$154,$N68)</f>
        <v>66.399999999999977</v>
      </c>
      <c r="K68" t="str">
        <f>INDEX('Draft Engine'!$T$85:$T$154,$N68)</f>
        <v>C</v>
      </c>
      <c r="L68" t="str">
        <f>INDEX('LIVE SOURCE'!$H$85:$H$154,$N68)</f>
        <v>Late-round bench upside; role growth is required for weekly relevance.</v>
      </c>
      <c r="M68" t="str">
        <f>INDEX('LIVE SOURCE'!$J$85:$J$154,$N68)</f>
        <v>Evidence is thinner than for established veterans, so camp, depth-chart and role news can move the grade materially.</v>
      </c>
      <c r="N68" s="6">
        <f>MATCH($A68,'Draft Engine'!$F$85:$F$154,0)</f>
        <v>67</v>
      </c>
    </row>
    <row r="69" spans="1:14" x14ac:dyDescent="0.25">
      <c r="A69">
        <f>67</f>
        <v>67</v>
      </c>
      <c r="B69" t="str">
        <f>INDEX('Draft Engine'!$B$85:$B$154,$N69)</f>
        <v>Ryan Flournoy</v>
      </c>
      <c r="C69" s="4">
        <f>INDEX('Draft Engine'!$E$85:$E$154,$N69)</f>
        <v>54.11</v>
      </c>
      <c r="D69" t="str">
        <f t="shared" si="2"/>
        <v>TIER 7</v>
      </c>
      <c r="E69">
        <f>INDEX('Draft Engine'!$G$85:$G$154,$N69)</f>
        <v>157.30000000000001</v>
      </c>
      <c r="F69">
        <f>INDEX('Draft Engine'!$J$85:$J$154,$N69)</f>
        <v>-82</v>
      </c>
      <c r="G69">
        <f>INDEX('Draft Engine'!$N$85:$N$154,$N69)</f>
        <v>30.000500000000002</v>
      </c>
      <c r="H69">
        <f>INDEX('Draft Engine'!$Q$85:$Q$154,$N69)</f>
        <v>196</v>
      </c>
      <c r="I69">
        <f>INDEX('Draft Engine'!$R$85:$R$154,$N69)</f>
        <v>264.3</v>
      </c>
      <c r="J69">
        <f>INDEX('Draft Engine'!$S$85:$S$154,$N69)</f>
        <v>68.300000000000011</v>
      </c>
      <c r="K69" t="str">
        <f>INDEX('Draft Engine'!$T$85:$T$154,$N69)</f>
        <v>C</v>
      </c>
      <c r="L69" t="str">
        <f>INDEX('LIVE SOURCE'!$H$85:$H$154,$N69)</f>
        <v>Late-round bench upside; role growth is required for weekly relevance.</v>
      </c>
      <c r="M69" t="str">
        <f>INDEX('LIVE SOURCE'!$J$85:$J$154,$N69)</f>
        <v>Target competition, quarterback efficiency and touchdown regression are the main downside paths.</v>
      </c>
      <c r="N69" s="6">
        <f>MATCH($A69,'Draft Engine'!$F$85:$F$154,0)</f>
        <v>68</v>
      </c>
    </row>
    <row r="70" spans="1:14" x14ac:dyDescent="0.25">
      <c r="A70">
        <f>68</f>
        <v>68</v>
      </c>
      <c r="B70" t="str">
        <f>INDEX('Draft Engine'!$B$85:$B$154,$N70)</f>
        <v>Jauan Jennings</v>
      </c>
      <c r="C70" s="4">
        <f>INDEX('Draft Engine'!$E$85:$E$154,$N70)</f>
        <v>53.44</v>
      </c>
      <c r="D70" t="str">
        <f t="shared" si="2"/>
        <v>TIER 7</v>
      </c>
      <c r="E70">
        <f>INDEX('Draft Engine'!$G$85:$G$154,$N70)</f>
        <v>154.4</v>
      </c>
      <c r="F70">
        <f>INDEX('Draft Engine'!$J$85:$J$154,$N70)</f>
        <v>-84.9</v>
      </c>
      <c r="G70">
        <f>INDEX('Draft Engine'!$N$85:$N$154,$N70)</f>
        <v>29.391999999999999</v>
      </c>
      <c r="H70">
        <f>INDEX('Draft Engine'!$Q$85:$Q$154,$N70)</f>
        <v>197</v>
      </c>
      <c r="I70">
        <f>INDEX('Draft Engine'!$R$85:$R$154,$N70)</f>
        <v>268.2</v>
      </c>
      <c r="J70">
        <f>INDEX('Draft Engine'!$S$85:$S$154,$N70)</f>
        <v>71.199999999999989</v>
      </c>
      <c r="K70" t="str">
        <f>INDEX('Draft Engine'!$T$85:$T$154,$N70)</f>
        <v>C</v>
      </c>
      <c r="L70" t="str">
        <f>INDEX('LIVE SOURCE'!$H$85:$H$154,$N70)</f>
        <v>Late-round bench upside; role growth is required for weekly relevance.</v>
      </c>
      <c r="M70" t="str">
        <f>INDEX('LIVE SOURCE'!$J$85:$J$154,$N70)</f>
        <v>Target competition, quarterback efficiency and touchdown regression are the main downside paths.</v>
      </c>
      <c r="N70" s="6">
        <f>MATCH($A70,'Draft Engine'!$F$85:$F$154,0)</f>
        <v>69</v>
      </c>
    </row>
    <row r="71" spans="1:14" x14ac:dyDescent="0.25">
      <c r="A71">
        <f>69</f>
        <v>69</v>
      </c>
      <c r="B71" t="str">
        <f>INDEX('Draft Engine'!$B$85:$B$154,$N71)</f>
        <v>Darnell Mooney</v>
      </c>
      <c r="C71" s="4">
        <f>INDEX('Draft Engine'!$E$85:$E$154,$N71)</f>
        <v>52.77</v>
      </c>
      <c r="D71" t="str">
        <f t="shared" si="2"/>
        <v>TIER 7</v>
      </c>
      <c r="E71">
        <f>INDEX('Draft Engine'!$G$85:$G$154,$N71)</f>
        <v>151.6</v>
      </c>
      <c r="F71">
        <f>INDEX('Draft Engine'!$J$85:$J$154,$N71)</f>
        <v>-87.7</v>
      </c>
      <c r="G71">
        <f>INDEX('Draft Engine'!$N$85:$N$154,$N71)</f>
        <v>29.023500000000006</v>
      </c>
      <c r="H71">
        <f>INDEX('Draft Engine'!$Q$85:$Q$154,$N71)</f>
        <v>198</v>
      </c>
      <c r="I71">
        <f>INDEX('Draft Engine'!$R$85:$R$154,$N71)</f>
        <v>272.10000000000002</v>
      </c>
      <c r="J71">
        <f>INDEX('Draft Engine'!$S$85:$S$154,$N71)</f>
        <v>74.100000000000023</v>
      </c>
      <c r="K71" t="str">
        <f>INDEX('Draft Engine'!$T$85:$T$154,$N71)</f>
        <v>C</v>
      </c>
      <c r="L71" t="str">
        <f>INDEX('LIVE SOURCE'!$H$85:$H$154,$N71)</f>
        <v>Late-round bench upside; role growth is required for weekly relevance.</v>
      </c>
      <c r="M71" t="str">
        <f>INDEX('LIVE SOURCE'!$J$85:$J$154,$N71)</f>
        <v>Evidence is thinner than for established veterans, so camp, depth-chart and role news can move the grade materially.</v>
      </c>
      <c r="N71" s="6">
        <f>MATCH($A71,'Draft Engine'!$F$85:$F$154,0)</f>
        <v>70</v>
      </c>
    </row>
    <row r="72" spans="1:14" x14ac:dyDescent="0.25">
      <c r="A72">
        <f>70</f>
        <v>70</v>
      </c>
      <c r="B72" t="str">
        <f>INDEX('Draft Engine'!$B$85:$B$154,$N72)</f>
        <v>Ricky Pearsall</v>
      </c>
      <c r="C72" s="4">
        <f>INDEX('Draft Engine'!$E$85:$E$154,$N72)</f>
        <v>40</v>
      </c>
      <c r="D72" t="str">
        <f t="shared" si="2"/>
        <v>TIER 7</v>
      </c>
      <c r="E72">
        <f>INDEX('Draft Engine'!$G$85:$G$154,$N72)</f>
        <v>98</v>
      </c>
      <c r="F72">
        <f>INDEX('Draft Engine'!$J$85:$J$154,$N72)</f>
        <v>-141.30000000000001</v>
      </c>
      <c r="G72">
        <f>INDEX('Draft Engine'!$N$85:$N$154,$N72)</f>
        <v>22</v>
      </c>
      <c r="H72">
        <f>INDEX('Draft Engine'!$Q$85:$Q$154,$N72)</f>
        <v>199</v>
      </c>
      <c r="I72">
        <f>INDEX('Draft Engine'!$R$85:$R$154,$N72)</f>
        <v>174.6</v>
      </c>
      <c r="J72">
        <f>INDEX('Draft Engine'!$S$85:$S$154,$N72)</f>
        <v>-24.400000000000006</v>
      </c>
      <c r="K72" t="str">
        <f>INDEX('Draft Engine'!$T$85:$T$154,$N72)</f>
        <v>C</v>
      </c>
      <c r="L72" t="str">
        <f>INDEX('LIVE SOURCE'!$H$85:$H$154,$N72)</f>
        <v>FLEX/bench receiver; needs target growth or efficiency spikes.</v>
      </c>
      <c r="M72" t="str">
        <f>INDEX('LIVE SOURCE'!$J$85:$J$154,$N72)</f>
        <v>Evidence is thinner than for established veterans, so camp, depth-chart and role news can move the grade materially.</v>
      </c>
      <c r="N72" s="6">
        <f>MATCH($A72,'Draft Engine'!$F$85:$F$154,0)</f>
        <v>45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A9D18E"/>
  </sheetPr>
  <dimension ref="A1:N29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8" customWidth="1"/>
    <col min="2" max="2" width="22" customWidth="1"/>
    <col min="3" max="3" width="10" customWidth="1"/>
    <col min="4" max="4" width="9" customWidth="1"/>
    <col min="5" max="5" width="10" customWidth="1"/>
    <col min="6" max="6" width="8" customWidth="1"/>
    <col min="7" max="8" width="11" customWidth="1"/>
    <col min="9" max="9" width="10" customWidth="1"/>
    <col min="10" max="10" width="9" customWidth="1"/>
    <col min="11" max="11" width="10" customWidth="1"/>
    <col min="12" max="12" width="55" customWidth="1"/>
    <col min="13" max="13" width="50" customWidth="1"/>
    <col min="14" max="14" width="6" customWidth="1"/>
  </cols>
  <sheetData>
    <row r="1" spans="1:14" ht="18.75" x14ac:dyDescent="0.3">
      <c r="A1" s="1" t="s">
        <v>581</v>
      </c>
    </row>
    <row r="2" spans="1:14" ht="27.95" customHeight="1" x14ac:dyDescent="0.25">
      <c r="A2" s="3" t="s">
        <v>4</v>
      </c>
      <c r="B2" s="3" t="s">
        <v>64</v>
      </c>
      <c r="C2" s="3" t="s">
        <v>6</v>
      </c>
      <c r="D2" s="3" t="s">
        <v>7</v>
      </c>
      <c r="E2" s="3" t="s">
        <v>571</v>
      </c>
      <c r="F2" s="3" t="s">
        <v>572</v>
      </c>
      <c r="G2" s="3" t="s">
        <v>8</v>
      </c>
      <c r="H2" s="3" t="s">
        <v>578</v>
      </c>
      <c r="I2" s="3" t="s">
        <v>9</v>
      </c>
      <c r="J2" s="3" t="s">
        <v>10</v>
      </c>
      <c r="K2" s="3" t="s">
        <v>77</v>
      </c>
      <c r="L2" s="3" t="s">
        <v>13</v>
      </c>
      <c r="M2" s="3" t="s">
        <v>80</v>
      </c>
      <c r="N2" s="3" t="s">
        <v>14</v>
      </c>
    </row>
    <row r="3" spans="1:14" x14ac:dyDescent="0.25">
      <c r="A3">
        <f>1</f>
        <v>1</v>
      </c>
      <c r="B3" t="str">
        <f>INDEX('Draft Engine'!$B$155:$B$181,$N3)</f>
        <v>Trey McBride</v>
      </c>
      <c r="C3" s="4">
        <f>INDEX('Draft Engine'!$E$155:$E$181,$N3)</f>
        <v>97.737099999999998</v>
      </c>
      <c r="D3" t="str">
        <f t="shared" ref="D3:D29" si="0">IF($C3&gt;=95,"ELITE",IF($C3&gt;=90,"TIER 1",IF($C3&gt;=85,"TIER 2",IF($C3&gt;=80,"TIER 3",IF($C3&gt;=75,"TIER 4",IF($C3&gt;=70,"TIER 5",IF($C3&gt;=65,"TIER 6","TIER 7")))))))</f>
        <v>ELITE</v>
      </c>
      <c r="E3">
        <f>INDEX('Draft Engine'!$G$155:$G$181,$N3)</f>
        <v>242.1</v>
      </c>
      <c r="F3">
        <f>INDEX('Draft Engine'!$J$155:$J$181,$N3)</f>
        <v>62.4</v>
      </c>
      <c r="G3">
        <f>INDEX('Draft Engine'!$N$155:$N$181,$N3)</f>
        <v>93.487404999999995</v>
      </c>
      <c r="H3">
        <f>INDEX('Draft Engine'!$Q$155:$Q$181,$N3)</f>
        <v>10</v>
      </c>
      <c r="I3">
        <f>INDEX('Draft Engine'!$R$155:$R$181,$N3)</f>
        <v>17</v>
      </c>
      <c r="J3">
        <f>INDEX('Draft Engine'!$S$155:$S$181,$N3)</f>
        <v>7</v>
      </c>
      <c r="K3" t="str">
        <f>INDEX('Draft Engine'!$T$155:$T$181,$N3)</f>
        <v>A</v>
      </c>
      <c r="L3" t="str">
        <f>INDEX('LIVE SOURCE'!$H$155:$H$181,$N3)</f>
        <v>Elite difference-making TE; positional advantage is the expectation.</v>
      </c>
      <c r="M3" t="str">
        <f>INDEX('LIVE SOURCE'!$J$155:$J$181,$N3)</f>
        <v>Route share, target volume and touchdown volatility are the main swing factors.</v>
      </c>
      <c r="N3" s="6">
        <f>MATCH($A3,'Draft Engine'!$F$155:$F$181,0)</f>
        <v>1</v>
      </c>
    </row>
    <row r="4" spans="1:14" x14ac:dyDescent="0.25">
      <c r="A4">
        <f>2</f>
        <v>2</v>
      </c>
      <c r="B4" t="str">
        <f>INDEX('Draft Engine'!$B$155:$B$181,$N4)</f>
        <v>Brock Bowers</v>
      </c>
      <c r="C4" s="4">
        <f>INDEX('Draft Engine'!$E$155:$E$181,$N4)</f>
        <v>94.884600000000006</v>
      </c>
      <c r="D4" t="str">
        <f t="shared" si="0"/>
        <v>TIER 1</v>
      </c>
      <c r="E4">
        <f>INDEX('Draft Engine'!$G$155:$G$181,$N4)</f>
        <v>232.1</v>
      </c>
      <c r="F4">
        <f>INDEX('Draft Engine'!$J$155:$J$181,$N4)</f>
        <v>52.4</v>
      </c>
      <c r="G4">
        <f>INDEX('Draft Engine'!$N$155:$N$181,$N4)</f>
        <v>89.426222307692314</v>
      </c>
      <c r="H4">
        <f>INDEX('Draft Engine'!$Q$155:$Q$181,$N4)</f>
        <v>15</v>
      </c>
      <c r="I4">
        <f>INDEX('Draft Engine'!$R$155:$R$181,$N4)</f>
        <v>20</v>
      </c>
      <c r="J4">
        <f>INDEX('Draft Engine'!$S$155:$S$181,$N4)</f>
        <v>5</v>
      </c>
      <c r="K4" t="str">
        <f>INDEX('Draft Engine'!$T$155:$T$181,$N4)</f>
        <v>A</v>
      </c>
      <c r="L4" t="str">
        <f>INDEX('LIVE SOURCE'!$H$155:$H$181,$N4)</f>
        <v>Elite difference-making TE; positional advantage is the expectation.</v>
      </c>
      <c r="M4" t="str">
        <f>INDEX('LIVE SOURCE'!$J$155:$J$181,$N4)</f>
        <v>Route share, target volume and touchdown volatility are the main swing factors.</v>
      </c>
      <c r="N4" s="6">
        <f>MATCH($A4,'Draft Engine'!$F$155:$F$181,0)</f>
        <v>2</v>
      </c>
    </row>
    <row r="5" spans="1:14" x14ac:dyDescent="0.25">
      <c r="A5">
        <f>3</f>
        <v>3</v>
      </c>
      <c r="B5" t="str">
        <f>INDEX('Draft Engine'!$B$155:$B$181,$N5)</f>
        <v>Colston Loveland</v>
      </c>
      <c r="C5" s="4">
        <f>INDEX('Draft Engine'!$E$155:$E$181,$N5)</f>
        <v>88.753100000000003</v>
      </c>
      <c r="D5" t="str">
        <f t="shared" si="0"/>
        <v>TIER 2</v>
      </c>
      <c r="E5">
        <f>INDEX('Draft Engine'!$G$155:$G$181,$N5)</f>
        <v>210.6</v>
      </c>
      <c r="F5">
        <f>INDEX('Draft Engine'!$J$155:$J$181,$N5)</f>
        <v>30.9</v>
      </c>
      <c r="G5">
        <f>INDEX('Draft Engine'!$N$155:$N$181,$N5)</f>
        <v>81.491589615384612</v>
      </c>
      <c r="H5">
        <f>INDEX('Draft Engine'!$Q$155:$Q$181,$N5)</f>
        <v>34</v>
      </c>
      <c r="I5">
        <f>INDEX('Draft Engine'!$R$155:$R$181,$N5)</f>
        <v>35</v>
      </c>
      <c r="J5">
        <f>INDEX('Draft Engine'!$S$155:$S$181,$N5)</f>
        <v>1</v>
      </c>
      <c r="K5" t="str">
        <f>INDEX('Draft Engine'!$T$155:$T$181,$N5)</f>
        <v>A</v>
      </c>
      <c r="L5" t="str">
        <f>INDEX('LIVE SOURCE'!$H$155:$H$181,$N5)</f>
        <v>Elite difference-making TE; positional advantage is the expectation.</v>
      </c>
      <c r="M5" t="str">
        <f>INDEX('LIVE SOURCE'!$J$155:$J$181,$N5)</f>
        <v>Route share, target volume and touchdown volatility are the main swing factors.</v>
      </c>
      <c r="N5" s="6">
        <f>MATCH($A5,'Draft Engine'!$F$155:$F$181,0)</f>
        <v>3</v>
      </c>
    </row>
    <row r="6" spans="1:14" x14ac:dyDescent="0.25">
      <c r="A6">
        <f>4</f>
        <v>4</v>
      </c>
      <c r="B6" t="str">
        <f>INDEX('Draft Engine'!$B$155:$B$181,$N6)</f>
        <v>Tyler Warren</v>
      </c>
      <c r="C6" s="4">
        <f>INDEX('Draft Engine'!$E$155:$E$181,$N6)</f>
        <v>87.202399999999997</v>
      </c>
      <c r="D6" t="str">
        <f t="shared" si="0"/>
        <v>TIER 2</v>
      </c>
      <c r="E6">
        <f>INDEX('Draft Engine'!$G$155:$G$181,$N6)</f>
        <v>205.2</v>
      </c>
      <c r="F6">
        <f>INDEX('Draft Engine'!$J$155:$J$181,$N6)</f>
        <v>25.5</v>
      </c>
      <c r="G6">
        <f>INDEX('Draft Engine'!$N$155:$N$181,$N6)</f>
        <v>78.974396923076924</v>
      </c>
      <c r="H6">
        <f>INDEX('Draft Engine'!$Q$155:$Q$181,$N6)</f>
        <v>41</v>
      </c>
      <c r="I6">
        <f>INDEX('Draft Engine'!$R$155:$R$181,$N6)</f>
        <v>44</v>
      </c>
      <c r="J6">
        <f>INDEX('Draft Engine'!$S$155:$S$181,$N6)</f>
        <v>3</v>
      </c>
      <c r="K6" t="str">
        <f>INDEX('Draft Engine'!$T$155:$T$181,$N6)</f>
        <v>A</v>
      </c>
      <c r="L6" t="str">
        <f>INDEX('LIVE SOURCE'!$H$155:$H$181,$N6)</f>
        <v>Every-week TE1 with real top-5 upside.</v>
      </c>
      <c r="M6" t="str">
        <f>INDEX('LIVE SOURCE'!$J$155:$J$181,$N6)</f>
        <v>Route share, target volume and touchdown volatility are the main swing factors.</v>
      </c>
      <c r="N6" s="6">
        <f>MATCH($A6,'Draft Engine'!$F$155:$F$181,0)</f>
        <v>4</v>
      </c>
    </row>
    <row r="7" spans="1:14" x14ac:dyDescent="0.25">
      <c r="A7">
        <f>5</f>
        <v>5</v>
      </c>
      <c r="B7" t="str">
        <f>INDEX('Draft Engine'!$B$155:$B$181,$N7)</f>
        <v>George Kittle</v>
      </c>
      <c r="C7" s="4">
        <f>INDEX('Draft Engine'!$E$155:$E$181,$N7)</f>
        <v>86.266400000000004</v>
      </c>
      <c r="D7" t="str">
        <f t="shared" si="0"/>
        <v>TIER 2</v>
      </c>
      <c r="E7">
        <f>INDEX('Draft Engine'!$G$155:$G$181,$N7)</f>
        <v>201.9</v>
      </c>
      <c r="F7">
        <f>INDEX('Draft Engine'!$J$155:$J$181,$N7)</f>
        <v>22.2</v>
      </c>
      <c r="G7">
        <f>INDEX('Draft Engine'!$N$155:$N$181,$N7)</f>
        <v>77.173289230769228</v>
      </c>
      <c r="H7">
        <f>INDEX('Draft Engine'!$Q$155:$Q$181,$N7)</f>
        <v>45</v>
      </c>
      <c r="I7">
        <f>INDEX('Draft Engine'!$R$155:$R$181,$N7)</f>
        <v>53</v>
      </c>
      <c r="J7">
        <f>INDEX('Draft Engine'!$S$155:$S$181,$N7)</f>
        <v>8</v>
      </c>
      <c r="K7" t="str">
        <f>INDEX('Draft Engine'!$T$155:$T$181,$N7)</f>
        <v>B</v>
      </c>
      <c r="L7" t="str">
        <f>INDEX('LIVE SOURCE'!$H$155:$H$181,$N7)</f>
        <v>Every-week TE1 with real top-5 upside.</v>
      </c>
      <c r="M7" t="str">
        <f>INDEX('LIVE SOURCE'!$J$155:$J$181,$N7)</f>
        <v>Route share, target volume and touchdown volatility are the main swing factors.</v>
      </c>
      <c r="N7" s="6">
        <f>MATCH($A7,'Draft Engine'!$F$155:$F$181,0)</f>
        <v>5</v>
      </c>
    </row>
    <row r="8" spans="1:14" x14ac:dyDescent="0.25">
      <c r="A8">
        <f>6</f>
        <v>6</v>
      </c>
      <c r="B8" t="str">
        <f>INDEX('Draft Engine'!$B$155:$B$181,$N8)</f>
        <v>Kyle Pitts Sr.</v>
      </c>
      <c r="C8" s="4">
        <f>INDEX('Draft Engine'!$E$155:$E$181,$N8)</f>
        <v>85.304500000000004</v>
      </c>
      <c r="D8" t="str">
        <f t="shared" si="0"/>
        <v>TIER 2</v>
      </c>
      <c r="E8">
        <f>INDEX('Draft Engine'!$G$155:$G$181,$N8)</f>
        <v>198.6</v>
      </c>
      <c r="F8">
        <f>INDEX('Draft Engine'!$J$155:$J$181,$N8)</f>
        <v>18.899999999999999</v>
      </c>
      <c r="G8">
        <f>INDEX('Draft Engine'!$N$155:$N$181,$N8)</f>
        <v>75.35793653846153</v>
      </c>
      <c r="H8">
        <f>INDEX('Draft Engine'!$Q$155:$Q$181,$N8)</f>
        <v>50</v>
      </c>
      <c r="I8">
        <f>INDEX('Draft Engine'!$R$155:$R$181,$N8)</f>
        <v>62</v>
      </c>
      <c r="J8">
        <f>INDEX('Draft Engine'!$S$155:$S$181,$N8)</f>
        <v>12</v>
      </c>
      <c r="K8" t="str">
        <f>INDEX('Draft Engine'!$T$155:$T$181,$N8)</f>
        <v>A</v>
      </c>
      <c r="L8" t="str">
        <f>INDEX('LIVE SOURCE'!$H$155:$H$181,$N8)</f>
        <v>Every-week TE1 with real top-5 upside.</v>
      </c>
      <c r="M8" t="str">
        <f>INDEX('LIVE SOURCE'!$J$155:$J$181,$N8)</f>
        <v>Route share, target volume and touchdown volatility are the main swing factors.</v>
      </c>
      <c r="N8" s="6">
        <f>MATCH($A8,'Draft Engine'!$F$155:$F$181,0)</f>
        <v>6</v>
      </c>
    </row>
    <row r="9" spans="1:14" x14ac:dyDescent="0.25">
      <c r="A9">
        <f>7</f>
        <v>7</v>
      </c>
      <c r="B9" t="str">
        <f>INDEX('Draft Engine'!$B$155:$B$181,$N9)</f>
        <v>Harold Fannin Jr.</v>
      </c>
      <c r="C9" s="4">
        <f>INDEX('Draft Engine'!$E$155:$E$181,$N9)</f>
        <v>84.377700000000004</v>
      </c>
      <c r="D9" t="str">
        <f t="shared" si="0"/>
        <v>TIER 3</v>
      </c>
      <c r="E9">
        <f>INDEX('Draft Engine'!$G$155:$G$181,$N9)</f>
        <v>195.3</v>
      </c>
      <c r="F9">
        <f>INDEX('Draft Engine'!$J$155:$J$181,$N9)</f>
        <v>15.6</v>
      </c>
      <c r="G9">
        <f>INDEX('Draft Engine'!$N$155:$N$181,$N9)</f>
        <v>73.561888846153849</v>
      </c>
      <c r="H9">
        <f>INDEX('Draft Engine'!$Q$155:$Q$181,$N9)</f>
        <v>55</v>
      </c>
      <c r="I9">
        <f>INDEX('Draft Engine'!$R$155:$R$181,$N9)</f>
        <v>71</v>
      </c>
      <c r="J9">
        <f>INDEX('Draft Engine'!$S$155:$S$181,$N9)</f>
        <v>16</v>
      </c>
      <c r="K9" t="str">
        <f>INDEX('Draft Engine'!$T$155:$T$181,$N9)</f>
        <v>A</v>
      </c>
      <c r="L9" t="str">
        <f>INDEX('LIVE SOURCE'!$H$155:$H$181,$N9)</f>
        <v>Every-week TE1 with real top-5 upside.</v>
      </c>
      <c r="M9" t="str">
        <f>INDEX('LIVE SOURCE'!$J$155:$J$181,$N9)</f>
        <v>Route share, target volume and touchdown volatility are the main swing factors.</v>
      </c>
      <c r="N9" s="6">
        <f>MATCH($A9,'Draft Engine'!$F$155:$F$181,0)</f>
        <v>7</v>
      </c>
    </row>
    <row r="10" spans="1:14" x14ac:dyDescent="0.25">
      <c r="A10">
        <f>8</f>
        <v>8</v>
      </c>
      <c r="B10" t="str">
        <f>INDEX('Draft Engine'!$B$155:$B$181,$N10)</f>
        <v>Jake Ferguson</v>
      </c>
      <c r="C10" s="4">
        <f>INDEX('Draft Engine'!$E$155:$E$181,$N10)</f>
        <v>84.072999999999993</v>
      </c>
      <c r="D10" t="str">
        <f t="shared" si="0"/>
        <v>TIER 3</v>
      </c>
      <c r="E10">
        <f>INDEX('Draft Engine'!$G$155:$G$181,$N10)</f>
        <v>194.3</v>
      </c>
      <c r="F10">
        <f>INDEX('Draft Engine'!$J$155:$J$181,$N10)</f>
        <v>14.6</v>
      </c>
      <c r="G10">
        <f>INDEX('Draft Engine'!$N$155:$N$181,$N10)</f>
        <v>72.521996153846146</v>
      </c>
      <c r="H10">
        <f>INDEX('Draft Engine'!$Q$155:$Q$181,$N10)</f>
        <v>58</v>
      </c>
      <c r="I10">
        <f>INDEX('Draft Engine'!$R$155:$R$181,$N10)</f>
        <v>80</v>
      </c>
      <c r="J10">
        <f>INDEX('Draft Engine'!$S$155:$S$181,$N10)</f>
        <v>22</v>
      </c>
      <c r="K10" t="str">
        <f>INDEX('Draft Engine'!$T$155:$T$181,$N10)</f>
        <v>A</v>
      </c>
      <c r="L10" t="str">
        <f>INDEX('LIVE SOURCE'!$H$155:$H$181,$N10)</f>
        <v>Every-week TE1 with real top-5 upside.</v>
      </c>
      <c r="M10" t="str">
        <f>INDEX('LIVE SOURCE'!$J$155:$J$181,$N10)</f>
        <v>Route share, target volume and touchdown volatility are the main swing factors.</v>
      </c>
      <c r="N10" s="6">
        <f>MATCH($A10,'Draft Engine'!$F$155:$F$181,0)</f>
        <v>8</v>
      </c>
    </row>
    <row r="11" spans="1:14" x14ac:dyDescent="0.25">
      <c r="A11">
        <f>9</f>
        <v>9</v>
      </c>
      <c r="B11" t="str">
        <f>INDEX('Draft Engine'!$B$155:$B$181,$N11)</f>
        <v>Tucker Kraft</v>
      </c>
      <c r="C11" s="4">
        <f>INDEX('Draft Engine'!$E$155:$E$181,$N11)</f>
        <v>83.808599999999998</v>
      </c>
      <c r="D11" t="str">
        <f t="shared" si="0"/>
        <v>TIER 3</v>
      </c>
      <c r="E11">
        <f>INDEX('Draft Engine'!$G$155:$G$181,$N11)</f>
        <v>193.3</v>
      </c>
      <c r="F11">
        <f>INDEX('Draft Engine'!$J$155:$J$181,$N11)</f>
        <v>13.6</v>
      </c>
      <c r="G11">
        <f>INDEX('Draft Engine'!$N$155:$N$181,$N11)</f>
        <v>71.504268461538473</v>
      </c>
      <c r="H11">
        <f>INDEX('Draft Engine'!$Q$155:$Q$181,$N11)</f>
        <v>60</v>
      </c>
      <c r="I11">
        <f>INDEX('Draft Engine'!$R$155:$R$181,$N11)</f>
        <v>89</v>
      </c>
      <c r="J11">
        <f>INDEX('Draft Engine'!$S$155:$S$181,$N11)</f>
        <v>29</v>
      </c>
      <c r="K11" t="str">
        <f>INDEX('Draft Engine'!$T$155:$T$181,$N11)</f>
        <v>B</v>
      </c>
      <c r="L11" t="str">
        <f>INDEX('LIVE SOURCE'!$H$155:$H$181,$N11)</f>
        <v>Low-end TE1; startable but replacement options remain close.</v>
      </c>
      <c r="M11" t="str">
        <f>INDEX('LIVE SOURCE'!$J$155:$J$181,$N11)</f>
        <v>Availability/sample risk is elevated after only 8 games; talent is not being punished as heavily as durability.</v>
      </c>
      <c r="N11" s="6">
        <f>MATCH($A11,'Draft Engine'!$F$155:$F$181,0)</f>
        <v>9</v>
      </c>
    </row>
    <row r="12" spans="1:14" x14ac:dyDescent="0.25">
      <c r="A12">
        <f>10</f>
        <v>10</v>
      </c>
      <c r="B12" t="str">
        <f>INDEX('Draft Engine'!$B$155:$B$181,$N12)</f>
        <v>Sam LaPorta</v>
      </c>
      <c r="C12" s="4">
        <f>INDEX('Draft Engine'!$E$155:$E$181,$N12)</f>
        <v>82.865300000000005</v>
      </c>
      <c r="D12" t="str">
        <f t="shared" si="0"/>
        <v>TIER 3</v>
      </c>
      <c r="E12">
        <f>INDEX('Draft Engine'!$G$155:$G$181,$N12)</f>
        <v>190</v>
      </c>
      <c r="F12">
        <f>INDEX('Draft Engine'!$J$155:$J$181,$N12)</f>
        <v>10.3</v>
      </c>
      <c r="G12">
        <f>INDEX('Draft Engine'!$N$155:$N$181,$N12)</f>
        <v>69.699145769230782</v>
      </c>
      <c r="H12">
        <f>INDEX('Draft Engine'!$Q$155:$Q$181,$N12)</f>
        <v>66</v>
      </c>
      <c r="I12">
        <f>INDEX('Draft Engine'!$R$155:$R$181,$N12)</f>
        <v>98</v>
      </c>
      <c r="J12">
        <f>INDEX('Draft Engine'!$S$155:$S$181,$N12)</f>
        <v>32</v>
      </c>
      <c r="K12" t="str">
        <f>INDEX('Draft Engine'!$T$155:$T$181,$N12)</f>
        <v>B</v>
      </c>
      <c r="L12" t="str">
        <f>INDEX('LIVE SOURCE'!$H$155:$H$181,$N12)</f>
        <v>Low-end TE1; startable but replacement options remain close.</v>
      </c>
      <c r="M12" t="str">
        <f>INDEX('LIVE SOURCE'!$J$155:$J$181,$N12)</f>
        <v>Availability/sample risk is elevated after only 9 games; talent is not being punished as heavily as durability.</v>
      </c>
      <c r="N12" s="6">
        <f>MATCH($A12,'Draft Engine'!$F$155:$F$181,0)</f>
        <v>10</v>
      </c>
    </row>
    <row r="13" spans="1:14" x14ac:dyDescent="0.25">
      <c r="A13">
        <f>11</f>
        <v>11</v>
      </c>
      <c r="B13" t="str">
        <f>INDEX('Draft Engine'!$B$155:$B$181,$N13)</f>
        <v>Dalton Kincaid</v>
      </c>
      <c r="C13" s="4">
        <f>INDEX('Draft Engine'!$E$155:$E$181,$N13)</f>
        <v>81.914100000000005</v>
      </c>
      <c r="D13" t="str">
        <f t="shared" si="0"/>
        <v>TIER 3</v>
      </c>
      <c r="E13">
        <f>INDEX('Draft Engine'!$G$155:$G$181,$N13)</f>
        <v>186.7</v>
      </c>
      <c r="F13">
        <f>INDEX('Draft Engine'!$J$155:$J$181,$N13)</f>
        <v>7</v>
      </c>
      <c r="G13">
        <f>INDEX('Draft Engine'!$N$155:$N$181,$N13)</f>
        <v>67.88967807692309</v>
      </c>
      <c r="H13">
        <f>INDEX('Draft Engine'!$Q$155:$Q$181,$N13)</f>
        <v>69</v>
      </c>
      <c r="I13">
        <f>INDEX('Draft Engine'!$R$155:$R$181,$N13)</f>
        <v>107</v>
      </c>
      <c r="J13">
        <f>INDEX('Draft Engine'!$S$155:$S$181,$N13)</f>
        <v>38</v>
      </c>
      <c r="K13" t="str">
        <f>INDEX('Draft Engine'!$T$155:$T$181,$N13)</f>
        <v>A</v>
      </c>
      <c r="L13" t="str">
        <f>INDEX('LIVE SOURCE'!$H$155:$H$181,$N13)</f>
        <v>Low-end TE1; startable but replacement options remain close.</v>
      </c>
      <c r="M13" t="str">
        <f>INDEX('LIVE SOURCE'!$J$155:$J$181,$N13)</f>
        <v>Route share, target volume and touchdown volatility are the main swing factors.</v>
      </c>
      <c r="N13" s="6">
        <f>MATCH($A13,'Draft Engine'!$F$155:$F$181,0)</f>
        <v>11</v>
      </c>
    </row>
    <row r="14" spans="1:14" x14ac:dyDescent="0.25">
      <c r="A14">
        <f>12</f>
        <v>12</v>
      </c>
      <c r="B14" t="str">
        <f>INDEX('Draft Engine'!$B$155:$B$181,$N14)</f>
        <v>Travis Kelce</v>
      </c>
      <c r="C14" s="4">
        <f>INDEX('Draft Engine'!$E$155:$E$181,$N14)</f>
        <v>81.747799999999998</v>
      </c>
      <c r="D14" t="str">
        <f t="shared" si="0"/>
        <v>TIER 3</v>
      </c>
      <c r="E14">
        <f>INDEX('Draft Engine'!$G$155:$G$181,$N14)</f>
        <v>186.1</v>
      </c>
      <c r="F14">
        <f>INDEX('Draft Engine'!$J$155:$J$181,$N14)</f>
        <v>6.4</v>
      </c>
      <c r="G14">
        <f>INDEX('Draft Engine'!$N$155:$N$181,$N14)</f>
        <v>66.997905384615393</v>
      </c>
      <c r="H14">
        <f>INDEX('Draft Engine'!$Q$155:$Q$181,$N14)</f>
        <v>74</v>
      </c>
      <c r="I14">
        <f>INDEX('Draft Engine'!$R$155:$R$181,$N14)</f>
        <v>116</v>
      </c>
      <c r="J14">
        <f>INDEX('Draft Engine'!$S$155:$S$181,$N14)</f>
        <v>42</v>
      </c>
      <c r="K14" t="str">
        <f>INDEX('Draft Engine'!$T$155:$T$181,$N14)</f>
        <v>A</v>
      </c>
      <c r="L14" t="str">
        <f>INDEX('LIVE SOURCE'!$H$155:$H$181,$N14)</f>
        <v>Low-end TE1; startable but replacement options remain close.</v>
      </c>
      <c r="M14" t="str">
        <f>INDEX('LIVE SOURCE'!$J$155:$J$181,$N14)</f>
        <v>Route share, target volume and touchdown volatility are the main swing factors.</v>
      </c>
      <c r="N14" s="6">
        <f>MATCH($A14,'Draft Engine'!$F$155:$F$181,0)</f>
        <v>12</v>
      </c>
    </row>
    <row r="15" spans="1:14" x14ac:dyDescent="0.25">
      <c r="A15">
        <f>13</f>
        <v>13</v>
      </c>
      <c r="B15" t="str">
        <f>INDEX('Draft Engine'!$B$155:$B$181,$N15)</f>
        <v>Dallas Goedert</v>
      </c>
      <c r="C15" s="4">
        <f>INDEX('Draft Engine'!$E$155:$E$181,$N15)</f>
        <v>79.918099999999995</v>
      </c>
      <c r="D15" t="str">
        <f t="shared" si="0"/>
        <v>TIER 4</v>
      </c>
      <c r="E15">
        <f>INDEX('Draft Engine'!$G$155:$G$181,$N15)</f>
        <v>179.7</v>
      </c>
      <c r="F15">
        <f>INDEX('Draft Engine'!$J$155:$J$181,$N15)</f>
        <v>0</v>
      </c>
      <c r="G15">
        <f>INDEX('Draft Engine'!$N$155:$N$181,$N15)</f>
        <v>64.147262692307692</v>
      </c>
      <c r="H15">
        <f>INDEX('Draft Engine'!$Q$155:$Q$181,$N15)</f>
        <v>83</v>
      </c>
      <c r="I15">
        <f>INDEX('Draft Engine'!$R$155:$R$181,$N15)</f>
        <v>125</v>
      </c>
      <c r="J15">
        <f>INDEX('Draft Engine'!$S$155:$S$181,$N15)</f>
        <v>42</v>
      </c>
      <c r="K15" t="str">
        <f>INDEX('Draft Engine'!$T$155:$T$181,$N15)</f>
        <v>A</v>
      </c>
      <c r="L15" t="str">
        <f>INDEX('LIVE SOURCE'!$H$155:$H$181,$N15)</f>
        <v>Streaming/TE2 range; touchdown and route volume drive usefulness.</v>
      </c>
      <c r="M15" t="str">
        <f>INDEX('LIVE SOURCE'!$J$155:$J$181,$N15)</f>
        <v>Route share, target volume and touchdown volatility are the main swing factors.</v>
      </c>
      <c r="N15" s="6">
        <f>MATCH($A15,'Draft Engine'!$F$155:$F$181,0)</f>
        <v>13</v>
      </c>
    </row>
    <row r="16" spans="1:14" x14ac:dyDescent="0.25">
      <c r="A16">
        <f>14</f>
        <v>14</v>
      </c>
      <c r="B16" t="str">
        <f>INDEX('Draft Engine'!$B$155:$B$181,$N16)</f>
        <v>Mark Andrews</v>
      </c>
      <c r="C16" s="4">
        <f>INDEX('Draft Engine'!$E$155:$E$181,$N16)</f>
        <v>79.065399999999997</v>
      </c>
      <c r="D16" t="str">
        <f t="shared" si="0"/>
        <v>TIER 4</v>
      </c>
      <c r="E16">
        <f>INDEX('Draft Engine'!$G$155:$G$181,$N16)</f>
        <v>176.7</v>
      </c>
      <c r="F16">
        <f>INDEX('Draft Engine'!$J$155:$J$181,$N16)</f>
        <v>-3</v>
      </c>
      <c r="G16">
        <f>INDEX('Draft Engine'!$N$155:$N$181,$N16)</f>
        <v>62.445970000000003</v>
      </c>
      <c r="H16">
        <f>INDEX('Draft Engine'!$Q$155:$Q$181,$N16)</f>
        <v>89</v>
      </c>
      <c r="I16">
        <f>INDEX('Draft Engine'!$R$155:$R$181,$N16)</f>
        <v>134</v>
      </c>
      <c r="J16">
        <f>INDEX('Draft Engine'!$S$155:$S$181,$N16)</f>
        <v>45</v>
      </c>
      <c r="K16" t="str">
        <f>INDEX('Draft Engine'!$T$155:$T$181,$N16)</f>
        <v>A</v>
      </c>
      <c r="L16" t="str">
        <f>INDEX('LIVE SOURCE'!$H$155:$H$181,$N16)</f>
        <v>Streaming/TE2 range; touchdown and route volume drive usefulness.</v>
      </c>
      <c r="M16" t="str">
        <f>INDEX('LIVE SOURCE'!$J$155:$J$181,$N16)</f>
        <v>Route share, target volume and touchdown volatility are the main swing factors.</v>
      </c>
      <c r="N16" s="6">
        <f>MATCH($A16,'Draft Engine'!$F$155:$F$181,0)</f>
        <v>14</v>
      </c>
    </row>
    <row r="17" spans="1:14" x14ac:dyDescent="0.25">
      <c r="A17">
        <f>15</f>
        <v>15</v>
      </c>
      <c r="B17" t="str">
        <f>INDEX('Draft Engine'!$B$155:$B$181,$N17)</f>
        <v>Isaiah Likely</v>
      </c>
      <c r="C17" s="4">
        <f>INDEX('Draft Engine'!$E$155:$E$181,$N17)</f>
        <v>78.579499999999996</v>
      </c>
      <c r="D17" t="str">
        <f t="shared" si="0"/>
        <v>TIER 4</v>
      </c>
      <c r="E17">
        <f>INDEX('Draft Engine'!$G$155:$G$181,$N17)</f>
        <v>175</v>
      </c>
      <c r="F17">
        <f>INDEX('Draft Engine'!$J$155:$J$181,$N17)</f>
        <v>-4.7</v>
      </c>
      <c r="G17">
        <f>INDEX('Draft Engine'!$N$155:$N$181,$N17)</f>
        <v>61.180417307692309</v>
      </c>
      <c r="H17">
        <f>INDEX('Draft Engine'!$Q$155:$Q$181,$N17)</f>
        <v>94</v>
      </c>
      <c r="I17">
        <f>INDEX('Draft Engine'!$R$155:$R$181,$N17)</f>
        <v>143</v>
      </c>
      <c r="J17">
        <f>INDEX('Draft Engine'!$S$155:$S$181,$N17)</f>
        <v>49</v>
      </c>
      <c r="K17" t="str">
        <f>INDEX('Draft Engine'!$T$155:$T$181,$N17)</f>
        <v>A</v>
      </c>
      <c r="L17" t="str">
        <f>INDEX('LIVE SOURCE'!$H$155:$H$181,$N17)</f>
        <v>Streaming/TE2 range; touchdown and route volume drive usefulness.</v>
      </c>
      <c r="M17" t="str">
        <f>INDEX('LIVE SOURCE'!$J$155:$J$181,$N17)</f>
        <v>Route share, target volume and touchdown volatility are the main swing factors.</v>
      </c>
      <c r="N17" s="6">
        <f>MATCH($A17,'Draft Engine'!$F$155:$F$181,0)</f>
        <v>15</v>
      </c>
    </row>
    <row r="18" spans="1:14" x14ac:dyDescent="0.25">
      <c r="A18">
        <f>16</f>
        <v>16</v>
      </c>
      <c r="B18" t="str">
        <f>INDEX('Draft Engine'!$B$155:$B$181,$N18)</f>
        <v>Juwan Johnson</v>
      </c>
      <c r="C18" s="4">
        <f>INDEX('Draft Engine'!$E$155:$E$181,$N18)</f>
        <v>78.320300000000003</v>
      </c>
      <c r="D18" t="str">
        <f t="shared" si="0"/>
        <v>TIER 4</v>
      </c>
      <c r="E18">
        <f>INDEX('Draft Engine'!$G$155:$G$181,$N18)</f>
        <v>174.1</v>
      </c>
      <c r="F18">
        <f>INDEX('Draft Engine'!$J$155:$J$181,$N18)</f>
        <v>-5.6</v>
      </c>
      <c r="G18">
        <f>INDEX('Draft Engine'!$N$155:$N$181,$N18)</f>
        <v>60.183549615384614</v>
      </c>
      <c r="H18">
        <f>INDEX('Draft Engine'!$Q$155:$Q$181,$N18)</f>
        <v>97</v>
      </c>
      <c r="I18">
        <f>INDEX('Draft Engine'!$R$155:$R$181,$N18)</f>
        <v>152</v>
      </c>
      <c r="J18">
        <f>INDEX('Draft Engine'!$S$155:$S$181,$N18)</f>
        <v>55</v>
      </c>
      <c r="K18" t="str">
        <f>INDEX('Draft Engine'!$T$155:$T$181,$N18)</f>
        <v>A</v>
      </c>
      <c r="L18" t="str">
        <f>INDEX('LIVE SOURCE'!$H$155:$H$181,$N18)</f>
        <v>Streaming/TE2 range; touchdown and route volume drive usefulness.</v>
      </c>
      <c r="M18" t="str">
        <f>INDEX('LIVE SOURCE'!$J$155:$J$181,$N18)</f>
        <v>Route share, target volume and touchdown volatility are the main swing factors.</v>
      </c>
      <c r="N18" s="6">
        <f>MATCH($A18,'Draft Engine'!$F$155:$F$181,0)</f>
        <v>16</v>
      </c>
    </row>
    <row r="19" spans="1:14" x14ac:dyDescent="0.25">
      <c r="A19">
        <f>17</f>
        <v>17</v>
      </c>
      <c r="B19" t="str">
        <f>INDEX('Draft Engine'!$B$155:$B$181,$N19)</f>
        <v>Hunter Henry</v>
      </c>
      <c r="C19" s="4">
        <f>INDEX('Draft Engine'!$E$155:$E$181,$N19)</f>
        <v>76.252600000000001</v>
      </c>
      <c r="D19" t="str">
        <f t="shared" si="0"/>
        <v>TIER 4</v>
      </c>
      <c r="E19">
        <f>INDEX('Draft Engine'!$G$155:$G$181,$N19)</f>
        <v>166.9</v>
      </c>
      <c r="F19">
        <f>INDEX('Draft Engine'!$J$155:$J$181,$N19)</f>
        <v>-12.8</v>
      </c>
      <c r="G19">
        <f>INDEX('Draft Engine'!$N$155:$N$181,$N19)</f>
        <v>57.058006923076931</v>
      </c>
      <c r="H19">
        <f>INDEX('Draft Engine'!$Q$155:$Q$181,$N19)</f>
        <v>105</v>
      </c>
      <c r="I19">
        <f>INDEX('Draft Engine'!$R$155:$R$181,$N19)</f>
        <v>161</v>
      </c>
      <c r="J19">
        <f>INDEX('Draft Engine'!$S$155:$S$181,$N19)</f>
        <v>56</v>
      </c>
      <c r="K19" t="str">
        <f>INDEX('Draft Engine'!$T$155:$T$181,$N19)</f>
        <v>A</v>
      </c>
      <c r="L19" t="str">
        <f>INDEX('LIVE SOURCE'!$H$155:$H$181,$N19)</f>
        <v>Streaming/TE2 range; touchdown and route volume drive usefulness.</v>
      </c>
      <c r="M19" t="str">
        <f>INDEX('LIVE SOURCE'!$J$155:$J$181,$N19)</f>
        <v>Route share, target volume and touchdown volatility are the main swing factors.</v>
      </c>
      <c r="N19" s="6">
        <f>MATCH($A19,'Draft Engine'!$F$155:$F$181,0)</f>
        <v>17</v>
      </c>
    </row>
    <row r="20" spans="1:14" x14ac:dyDescent="0.25">
      <c r="A20">
        <f>18</f>
        <v>18</v>
      </c>
      <c r="B20" t="str">
        <f>INDEX('Draft Engine'!$B$155:$B$181,$N20)</f>
        <v>Brenton Strange</v>
      </c>
      <c r="C20" s="4">
        <f>INDEX('Draft Engine'!$E$155:$E$181,$N20)</f>
        <v>76.0321</v>
      </c>
      <c r="D20" t="str">
        <f t="shared" si="0"/>
        <v>TIER 4</v>
      </c>
      <c r="E20">
        <f>INDEX('Draft Engine'!$G$155:$G$181,$N20)</f>
        <v>166.1</v>
      </c>
      <c r="F20">
        <f>INDEX('Draft Engine'!$J$155:$J$181,$N20)</f>
        <v>-13.6</v>
      </c>
      <c r="G20">
        <f>INDEX('Draft Engine'!$N$155:$N$181,$N20)</f>
        <v>56.100424230769235</v>
      </c>
      <c r="H20">
        <f>INDEX('Draft Engine'!$Q$155:$Q$181,$N20)</f>
        <v>107</v>
      </c>
      <c r="I20">
        <f>INDEX('Draft Engine'!$R$155:$R$181,$N20)</f>
        <v>170</v>
      </c>
      <c r="J20">
        <f>INDEX('Draft Engine'!$S$155:$S$181,$N20)</f>
        <v>63</v>
      </c>
      <c r="K20" t="str">
        <f>INDEX('Draft Engine'!$T$155:$T$181,$N20)</f>
        <v>A</v>
      </c>
      <c r="L20" t="str">
        <f>INDEX('LIVE SOURCE'!$H$155:$H$181,$N20)</f>
        <v>Streaming/TE2 range; touchdown and route volume drive usefulness.</v>
      </c>
      <c r="M20" t="str">
        <f>INDEX('LIVE SOURCE'!$J$155:$J$181,$N20)</f>
        <v>Route share, target volume and touchdown volatility are the main swing factors.</v>
      </c>
      <c r="N20" s="6">
        <f>MATCH($A20,'Draft Engine'!$F$155:$F$181,0)</f>
        <v>18</v>
      </c>
    </row>
    <row r="21" spans="1:14" x14ac:dyDescent="0.25">
      <c r="A21">
        <f>19</f>
        <v>19</v>
      </c>
      <c r="B21" t="str">
        <f>INDEX('Draft Engine'!$B$155:$B$181,$N21)</f>
        <v>Chig Okonkwo</v>
      </c>
      <c r="C21" s="4">
        <f>INDEX('Draft Engine'!$E$155:$E$181,$N21)</f>
        <v>75.513199999999998</v>
      </c>
      <c r="D21" t="str">
        <f t="shared" si="0"/>
        <v>TIER 4</v>
      </c>
      <c r="E21">
        <f>INDEX('Draft Engine'!$G$155:$G$181,$N21)</f>
        <v>164.3</v>
      </c>
      <c r="F21">
        <f>INDEX('Draft Engine'!$J$155:$J$181,$N21)</f>
        <v>-15.4</v>
      </c>
      <c r="G21">
        <f>INDEX('Draft Engine'!$N$155:$N$181,$N21)</f>
        <v>54.798721538461542</v>
      </c>
      <c r="H21">
        <f>INDEX('Draft Engine'!$Q$155:$Q$181,$N21)</f>
        <v>111</v>
      </c>
      <c r="I21">
        <f>INDEX('Draft Engine'!$R$155:$R$181,$N21)</f>
        <v>179</v>
      </c>
      <c r="J21">
        <f>INDEX('Draft Engine'!$S$155:$S$181,$N21)</f>
        <v>68</v>
      </c>
      <c r="K21" t="str">
        <f>INDEX('Draft Engine'!$T$155:$T$181,$N21)</f>
        <v>A</v>
      </c>
      <c r="L21" t="str">
        <f>INDEX('LIVE SOURCE'!$H$155:$H$181,$N21)</f>
        <v>Deep TE stash; needs a larger route/target role to matter in 10-team leagues.</v>
      </c>
      <c r="M21" t="str">
        <f>INDEX('LIVE SOURCE'!$J$155:$J$181,$N21)</f>
        <v>Route share, target volume and touchdown volatility are the main swing factors.</v>
      </c>
      <c r="N21" s="6">
        <f>MATCH($A21,'Draft Engine'!$F$155:$F$181,0)</f>
        <v>19</v>
      </c>
    </row>
    <row r="22" spans="1:14" x14ac:dyDescent="0.25">
      <c r="A22">
        <f>20</f>
        <v>20</v>
      </c>
      <c r="B22" t="str">
        <f>INDEX('Draft Engine'!$B$155:$B$181,$N22)</f>
        <v>Kenyon Sadiq</v>
      </c>
      <c r="C22" s="4">
        <f>INDEX('Draft Engine'!$E$155:$E$181,$N22)</f>
        <v>74.093800000000002</v>
      </c>
      <c r="D22" t="str">
        <f t="shared" si="0"/>
        <v>TIER 5</v>
      </c>
      <c r="E22">
        <f>INDEX('Draft Engine'!$G$155:$G$181,$N22)</f>
        <v>159.30000000000001</v>
      </c>
      <c r="F22">
        <f>INDEX('Draft Engine'!$J$155:$J$181,$N22)</f>
        <v>-20.399999999999999</v>
      </c>
      <c r="G22">
        <f>INDEX('Draft Engine'!$N$155:$N$181,$N22)</f>
        <v>52.425743846153857</v>
      </c>
      <c r="H22">
        <f>INDEX('Draft Engine'!$Q$155:$Q$181,$N22)</f>
        <v>120</v>
      </c>
      <c r="I22">
        <f>INDEX('Draft Engine'!$R$155:$R$181,$N22)</f>
        <v>188</v>
      </c>
      <c r="J22">
        <f>INDEX('Draft Engine'!$S$155:$S$181,$N22)</f>
        <v>68</v>
      </c>
      <c r="K22" t="str">
        <f>INDEX('Draft Engine'!$T$155:$T$181,$N22)</f>
        <v>B</v>
      </c>
      <c r="L22" t="str">
        <f>INDEX('LIVE SOURCE'!$H$155:$H$181,$N22)</f>
        <v>Deep TE stash; needs a larger route/target role to matter in 10-team leagues.</v>
      </c>
      <c r="M22" t="str">
        <f>INDEX('LIVE SOURCE'!$J$155:$J$181,$N22)</f>
        <v>NFL translation and exact weekly role are the main variables; preseason first-team usage can move this rating quickly.</v>
      </c>
      <c r="N22" s="6">
        <f>MATCH($A22,'Draft Engine'!$F$155:$F$181,0)</f>
        <v>20</v>
      </c>
    </row>
    <row r="23" spans="1:14" x14ac:dyDescent="0.25">
      <c r="A23">
        <f>21</f>
        <v>21</v>
      </c>
      <c r="B23" t="str">
        <f>INDEX('Draft Engine'!$B$155:$B$181,$N23)</f>
        <v>T.J. Hockenson</v>
      </c>
      <c r="C23" s="4">
        <f>INDEX('Draft Engine'!$E$155:$E$181,$N23)</f>
        <v>73.852699999999999</v>
      </c>
      <c r="D23" t="str">
        <f t="shared" si="0"/>
        <v>TIER 5</v>
      </c>
      <c r="E23">
        <f>INDEX('Draft Engine'!$G$155:$G$181,$N23)</f>
        <v>158.5</v>
      </c>
      <c r="F23">
        <f>INDEX('Draft Engine'!$J$155:$J$181,$N23)</f>
        <v>-21.2</v>
      </c>
      <c r="G23">
        <f>INDEX('Draft Engine'!$N$155:$N$181,$N23)</f>
        <v>51.802985</v>
      </c>
      <c r="H23">
        <f>INDEX('Draft Engine'!$Q$155:$Q$181,$N23)</f>
        <v>121</v>
      </c>
      <c r="I23">
        <f>INDEX('Draft Engine'!$R$155:$R$181,$N23)</f>
        <v>197</v>
      </c>
      <c r="J23">
        <f>INDEX('Draft Engine'!$S$155:$S$181,$N23)</f>
        <v>76</v>
      </c>
      <c r="K23" t="str">
        <f>INDEX('Draft Engine'!$T$155:$T$181,$N23)</f>
        <v>A</v>
      </c>
      <c r="L23" t="str">
        <f>INDEX('LIVE SOURCE'!$H$155:$H$181,$N23)</f>
        <v>Deep TE stash; needs a larger route/target role to matter in 10-team leagues.</v>
      </c>
      <c r="M23" t="str">
        <f>INDEX('LIVE SOURCE'!$J$155:$J$181,$N23)</f>
        <v>Route share, target volume and touchdown volatility are the main swing factors.</v>
      </c>
      <c r="N23" s="6">
        <f>MATCH($A23,'Draft Engine'!$F$155:$F$181,0)</f>
        <v>21</v>
      </c>
    </row>
    <row r="24" spans="1:14" x14ac:dyDescent="0.25">
      <c r="A24">
        <f>22</f>
        <v>22</v>
      </c>
      <c r="B24" t="str">
        <f>INDEX('Draft Engine'!$B$155:$B$181,$N24)</f>
        <v>Dalton Schultz</v>
      </c>
      <c r="C24" s="4">
        <f>INDEX('Draft Engine'!$E$155:$E$181,$N24)</f>
        <v>73.279499999999999</v>
      </c>
      <c r="D24" t="str">
        <f t="shared" si="0"/>
        <v>TIER 5</v>
      </c>
      <c r="E24">
        <f>INDEX('Draft Engine'!$G$155:$G$181,$N24)</f>
        <v>156.5</v>
      </c>
      <c r="F24">
        <f>INDEX('Draft Engine'!$J$155:$J$181,$N24)</f>
        <v>-23.2</v>
      </c>
      <c r="G24">
        <f>INDEX('Draft Engine'!$N$155:$N$181,$N24)</f>
        <v>51.127724999999998</v>
      </c>
      <c r="H24">
        <f>INDEX('Draft Engine'!$Q$155:$Q$181,$N24)</f>
        <v>124</v>
      </c>
      <c r="I24">
        <f>INDEX('Draft Engine'!$R$155:$R$181,$N24)</f>
        <v>206</v>
      </c>
      <c r="J24">
        <f>INDEX('Draft Engine'!$S$155:$S$181,$N24)</f>
        <v>82</v>
      </c>
      <c r="K24" t="str">
        <f>INDEX('Draft Engine'!$T$155:$T$181,$N24)</f>
        <v>A</v>
      </c>
      <c r="L24" t="str">
        <f>INDEX('LIVE SOURCE'!$H$155:$H$181,$N24)</f>
        <v>Deep TE stash; needs a larger route/target role to matter in 10-team leagues.</v>
      </c>
      <c r="M24" t="str">
        <f>INDEX('LIVE SOURCE'!$J$155:$J$181,$N24)</f>
        <v>Route share, target volume and touchdown volatility are the main swing factors.</v>
      </c>
      <c r="N24" s="6">
        <f>MATCH($A24,'Draft Engine'!$F$155:$F$181,0)</f>
        <v>22</v>
      </c>
    </row>
    <row r="25" spans="1:14" x14ac:dyDescent="0.25">
      <c r="A25">
        <f>23</f>
        <v>23</v>
      </c>
      <c r="B25" t="str">
        <f>INDEX('Draft Engine'!$B$155:$B$181,$N25)</f>
        <v>Oronde Gadsden II</v>
      </c>
      <c r="C25" s="4">
        <f>INDEX('Draft Engine'!$E$155:$E$181,$N25)</f>
        <v>72.513800000000003</v>
      </c>
      <c r="D25" t="str">
        <f t="shared" si="0"/>
        <v>TIER 5</v>
      </c>
      <c r="E25">
        <f>INDEX('Draft Engine'!$G$155:$G$181,$N25)</f>
        <v>153.80000000000001</v>
      </c>
      <c r="F25">
        <f>INDEX('Draft Engine'!$J$155:$J$181,$N25)</f>
        <v>-25.9</v>
      </c>
      <c r="G25">
        <f>INDEX('Draft Engine'!$N$155:$N$181,$N25)</f>
        <v>50.220590000000009</v>
      </c>
      <c r="H25">
        <f>INDEX('Draft Engine'!$Q$155:$Q$181,$N25)</f>
        <v>126</v>
      </c>
      <c r="I25">
        <f>INDEX('Draft Engine'!$R$155:$R$181,$N25)</f>
        <v>215</v>
      </c>
      <c r="J25">
        <f>INDEX('Draft Engine'!$S$155:$S$181,$N25)</f>
        <v>89</v>
      </c>
      <c r="K25" t="str">
        <f>INDEX('Draft Engine'!$T$155:$T$181,$N25)</f>
        <v>A</v>
      </c>
      <c r="L25" t="str">
        <f>INDEX('LIVE SOURCE'!$H$155:$H$181,$N25)</f>
        <v>Deep TE stash; needs a larger route/target role to matter in 10-team leagues.</v>
      </c>
      <c r="M25" t="str">
        <f>INDEX('LIVE SOURCE'!$J$155:$J$181,$N25)</f>
        <v>Route share, target volume and touchdown volatility are the main swing factors.</v>
      </c>
      <c r="N25" s="6">
        <f>MATCH($A25,'Draft Engine'!$F$155:$F$181,0)</f>
        <v>23</v>
      </c>
    </row>
    <row r="26" spans="1:14" x14ac:dyDescent="0.25">
      <c r="A26">
        <f>24</f>
        <v>24</v>
      </c>
      <c r="B26" t="str">
        <f>INDEX('Draft Engine'!$B$155:$B$181,$N26)</f>
        <v>AJ Barner</v>
      </c>
      <c r="C26" s="4">
        <f>INDEX('Draft Engine'!$E$155:$E$181,$N26)</f>
        <v>70.124499999999998</v>
      </c>
      <c r="D26" t="str">
        <f t="shared" si="0"/>
        <v>TIER 5</v>
      </c>
      <c r="E26">
        <f>INDEX('Draft Engine'!$G$155:$G$181,$N26)</f>
        <v>145.4</v>
      </c>
      <c r="F26">
        <f>INDEX('Draft Engine'!$J$155:$J$181,$N26)</f>
        <v>-34.299999999999997</v>
      </c>
      <c r="G26">
        <f>INDEX('Draft Engine'!$N$155:$N$181,$N26)</f>
        <v>47.394475</v>
      </c>
      <c r="H26">
        <f>INDEX('Draft Engine'!$Q$155:$Q$181,$N26)</f>
        <v>155</v>
      </c>
      <c r="I26">
        <f>INDEX('Draft Engine'!$R$155:$R$181,$N26)</f>
        <v>224</v>
      </c>
      <c r="J26">
        <f>INDEX('Draft Engine'!$S$155:$S$181,$N26)</f>
        <v>69</v>
      </c>
      <c r="K26" t="str">
        <f>INDEX('Draft Engine'!$T$155:$T$181,$N26)</f>
        <v>A</v>
      </c>
      <c r="L26" t="str">
        <f>INDEX('LIVE SOURCE'!$H$155:$H$181,$N26)</f>
        <v>Deep TE stash; needs a larger route/target role to matter in 10-team leagues.</v>
      </c>
      <c r="M26" t="str">
        <f>INDEX('LIVE SOURCE'!$J$155:$J$181,$N26)</f>
        <v>Route share, target volume and touchdown volatility are the main swing factors.</v>
      </c>
      <c r="N26" s="6">
        <f>MATCH($A26,'Draft Engine'!$F$155:$F$181,0)</f>
        <v>24</v>
      </c>
    </row>
    <row r="27" spans="1:14" x14ac:dyDescent="0.25">
      <c r="A27">
        <f>25</f>
        <v>25</v>
      </c>
      <c r="B27" t="str">
        <f>INDEX('Draft Engine'!$B$155:$B$181,$N27)</f>
        <v>Cade Otton</v>
      </c>
      <c r="C27" s="4">
        <f>INDEX('Draft Engine'!$E$155:$E$181,$N27)</f>
        <v>66.649000000000001</v>
      </c>
      <c r="D27" t="str">
        <f t="shared" si="0"/>
        <v>TIER 6</v>
      </c>
      <c r="E27">
        <f>INDEX('Draft Engine'!$G$155:$G$181,$N27)</f>
        <v>133.30000000000001</v>
      </c>
      <c r="F27">
        <f>INDEX('Draft Engine'!$J$155:$J$181,$N27)</f>
        <v>-46.4</v>
      </c>
      <c r="G27">
        <f>INDEX('Draft Engine'!$N$155:$N$181,$N27)</f>
        <v>43.304950000000005</v>
      </c>
      <c r="H27">
        <f>INDEX('Draft Engine'!$Q$155:$Q$181,$N27)</f>
        <v>164</v>
      </c>
      <c r="I27">
        <f>INDEX('Draft Engine'!$R$155:$R$181,$N27)</f>
        <v>233</v>
      </c>
      <c r="J27">
        <f>INDEX('Draft Engine'!$S$155:$S$181,$N27)</f>
        <v>69</v>
      </c>
      <c r="K27" t="str">
        <f>INDEX('Draft Engine'!$T$155:$T$181,$N27)</f>
        <v>A</v>
      </c>
      <c r="L27" t="str">
        <f>INDEX('LIVE SOURCE'!$H$155:$H$181,$N27)</f>
        <v>Deep TE stash; needs a larger route/target role to matter in 10-team leagues.</v>
      </c>
      <c r="M27" t="str">
        <f>INDEX('LIVE SOURCE'!$J$155:$J$181,$N27)</f>
        <v>Route share, target volume and touchdown volatility are the main swing factors.</v>
      </c>
      <c r="N27" s="6">
        <f>MATCH($A27,'Draft Engine'!$F$155:$F$181,0)</f>
        <v>25</v>
      </c>
    </row>
    <row r="28" spans="1:14" x14ac:dyDescent="0.25">
      <c r="A28">
        <f>26</f>
        <v>26</v>
      </c>
      <c r="B28" t="str">
        <f>INDEX('Draft Engine'!$B$155:$B$181,$N28)</f>
        <v>Gunnar Helm</v>
      </c>
      <c r="C28" s="4">
        <f>INDEX('Draft Engine'!$E$155:$E$181,$N28)</f>
        <v>66.622299999999996</v>
      </c>
      <c r="D28" t="str">
        <f t="shared" si="0"/>
        <v>TIER 6</v>
      </c>
      <c r="E28">
        <f>INDEX('Draft Engine'!$G$155:$G$181,$N28)</f>
        <v>133.19999999999999</v>
      </c>
      <c r="F28">
        <f>INDEX('Draft Engine'!$J$155:$J$181,$N28)</f>
        <v>-46.5</v>
      </c>
      <c r="G28">
        <f>INDEX('Draft Engine'!$N$155:$N$181,$N28)</f>
        <v>43.272265000000004</v>
      </c>
      <c r="H28">
        <f>INDEX('Draft Engine'!$Q$155:$Q$181,$N28)</f>
        <v>165</v>
      </c>
      <c r="I28">
        <f>INDEX('Draft Engine'!$R$155:$R$181,$N28)</f>
        <v>242</v>
      </c>
      <c r="J28">
        <f>INDEX('Draft Engine'!$S$155:$S$181,$N28)</f>
        <v>77</v>
      </c>
      <c r="K28" t="str">
        <f>INDEX('Draft Engine'!$T$155:$T$181,$N28)</f>
        <v>A</v>
      </c>
      <c r="L28" t="str">
        <f>INDEX('LIVE SOURCE'!$H$155:$H$181,$N28)</f>
        <v>Deep TE stash; needs a larger route/target role to matter in 10-team leagues.</v>
      </c>
      <c r="M28" t="str">
        <f>INDEX('LIVE SOURCE'!$J$155:$J$181,$N28)</f>
        <v>Route share, target volume and touchdown volatility are the main swing factors.</v>
      </c>
      <c r="N28" s="6">
        <f>MATCH($A28,'Draft Engine'!$F$155:$F$181,0)</f>
        <v>26</v>
      </c>
    </row>
    <row r="29" spans="1:14" x14ac:dyDescent="0.25">
      <c r="A29">
        <f>27</f>
        <v>27</v>
      </c>
      <c r="B29" t="str">
        <f>INDEX('Draft Engine'!$B$155:$B$181,$N29)</f>
        <v>Terrance Ferguson</v>
      </c>
      <c r="C29" s="4">
        <f>INDEX('Draft Engine'!$E$155:$E$181,$N29)</f>
        <v>64.362099999999998</v>
      </c>
      <c r="D29" t="str">
        <f t="shared" si="0"/>
        <v>TIER 7</v>
      </c>
      <c r="E29">
        <f>INDEX('Draft Engine'!$G$155:$G$181,$N29)</f>
        <v>125.3</v>
      </c>
      <c r="F29">
        <f>INDEX('Draft Engine'!$J$155:$J$181,$N29)</f>
        <v>-54.4</v>
      </c>
      <c r="G29">
        <f>INDEX('Draft Engine'!$N$155:$N$181,$N29)</f>
        <v>40.607154999999999</v>
      </c>
      <c r="H29">
        <f>INDEX('Draft Engine'!$Q$155:$Q$181,$N29)</f>
        <v>174</v>
      </c>
      <c r="I29">
        <f>INDEX('Draft Engine'!$R$155:$R$181,$N29)</f>
        <v>251</v>
      </c>
      <c r="J29">
        <f>INDEX('Draft Engine'!$S$155:$S$181,$N29)</f>
        <v>77</v>
      </c>
      <c r="K29" t="str">
        <f>INDEX('Draft Engine'!$T$155:$T$181,$N29)</f>
        <v>A</v>
      </c>
      <c r="L29" t="str">
        <f>INDEX('LIVE SOURCE'!$H$155:$H$181,$N29)</f>
        <v>Deep TE stash; needs a larger route/target role to matter in 10-team leagues.</v>
      </c>
      <c r="M29" t="str">
        <f>INDEX('LIVE SOURCE'!$J$155:$J$181,$N29)</f>
        <v>Route share, target volume and touchdown volatility are the main swing factors.</v>
      </c>
      <c r="N29" s="6">
        <f>MATCH($A29,'Draft Engine'!$F$155:$F$181,0)</f>
        <v>27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A9D18E"/>
  </sheetPr>
  <dimension ref="A1:O14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8" customWidth="1"/>
    <col min="2" max="2" width="22" customWidth="1"/>
    <col min="3" max="3" width="6" customWidth="1"/>
    <col min="4" max="4" width="10" customWidth="1"/>
    <col min="5" max="5" width="9" customWidth="1"/>
    <col min="6" max="6" width="10" customWidth="1"/>
    <col min="7" max="7" width="8" customWidth="1"/>
    <col min="8" max="9" width="11" customWidth="1"/>
    <col min="10" max="10" width="10" customWidth="1"/>
    <col min="11" max="11" width="9" customWidth="1"/>
    <col min="12" max="12" width="10" customWidth="1"/>
    <col min="13" max="13" width="55" customWidth="1"/>
    <col min="14" max="14" width="50" customWidth="1"/>
    <col min="15" max="15" width="6" customWidth="1"/>
  </cols>
  <sheetData>
    <row r="1" spans="1:15" ht="18.75" x14ac:dyDescent="0.3">
      <c r="A1" s="1" t="s">
        <v>582</v>
      </c>
    </row>
    <row r="2" spans="1:15" ht="27.95" customHeight="1" x14ac:dyDescent="0.25">
      <c r="A2" s="3" t="s">
        <v>4</v>
      </c>
      <c r="B2" s="3" t="s">
        <v>64</v>
      </c>
      <c r="C2" s="3" t="s">
        <v>76</v>
      </c>
      <c r="D2" s="3" t="s">
        <v>6</v>
      </c>
      <c r="E2" s="3" t="s">
        <v>7</v>
      </c>
      <c r="F2" s="3" t="s">
        <v>571</v>
      </c>
      <c r="G2" s="3" t="s">
        <v>572</v>
      </c>
      <c r="H2" s="3" t="s">
        <v>8</v>
      </c>
      <c r="I2" s="3" t="s">
        <v>578</v>
      </c>
      <c r="J2" s="3" t="s">
        <v>9</v>
      </c>
      <c r="K2" s="3" t="s">
        <v>10</v>
      </c>
      <c r="L2" s="3" t="s">
        <v>77</v>
      </c>
      <c r="M2" s="3" t="s">
        <v>13</v>
      </c>
      <c r="N2" s="3" t="s">
        <v>80</v>
      </c>
      <c r="O2" s="3" t="s">
        <v>14</v>
      </c>
    </row>
    <row r="3" spans="1:15" x14ac:dyDescent="0.25">
      <c r="A3">
        <f>1</f>
        <v>1</v>
      </c>
      <c r="B3" t="str">
        <f>INDEX('Draft Engine'!$B$182:$B$193,$O3)</f>
        <v>Brandon Aubrey</v>
      </c>
      <c r="C3" t="str">
        <f>INDEX('LIVE SOURCE'!$C$182:$C$193,$O3)</f>
        <v>DAL</v>
      </c>
      <c r="D3" s="4">
        <f>INDEX('Draft Engine'!$E$182:$E$193,$O3)</f>
        <v>94</v>
      </c>
      <c r="E3" t="str">
        <f t="shared" ref="E3:E14" si="0">IF($D3&gt;=95,"ELITE",IF($D3&gt;=90,"TIER 1",IF($D3&gt;=85,"TIER 2",IF($D3&gt;=80,"TIER 3",IF($D3&gt;=75,"TIER 4",IF($D3&gt;=70,"TIER 5",IF($D3&gt;=65,"TIER 6","TIER 7")))))))</f>
        <v>TIER 1</v>
      </c>
      <c r="F3">
        <f>INDEX('Draft Engine'!$G$182:$G$193,$O3)</f>
        <v>148</v>
      </c>
      <c r="G3">
        <f>INDEX('Draft Engine'!$J$182:$J$193,$O3)</f>
        <v>39.6</v>
      </c>
      <c r="H3">
        <f>INDEX('Draft Engine'!$N$182:$N$193,$O3)</f>
        <v>64.078000000000003</v>
      </c>
      <c r="I3">
        <f>INDEX('Draft Engine'!$Q$182:$Q$193,$O3)</f>
        <v>141</v>
      </c>
      <c r="J3">
        <f>INDEX('Draft Engine'!$R$182:$R$193,$O3)</f>
        <v>155</v>
      </c>
      <c r="K3">
        <f>INDEX('Draft Engine'!$S$182:$S$193,$O3)</f>
        <v>14</v>
      </c>
      <c r="L3" t="str">
        <f>INDEX('Draft Engine'!$T$182:$T$193,$O3)</f>
        <v>B</v>
      </c>
      <c r="M3" t="str">
        <f>INDEX('LIVE SOURCE'!$H$182:$H$193,$O3)</f>
        <v>Top-tier kicker option, but still a final-round target.</v>
      </c>
      <c r="N3" t="str">
        <f>INDEX('LIVE SOURCE'!$J$182:$J$193,$O3)</f>
        <v>Kicker scoring is volatile and replaceable on waivers; do not pay meaningful draft capital.</v>
      </c>
      <c r="O3" s="6">
        <f>MATCH($A3,'Draft Engine'!$F$182:$F$193,0)</f>
        <v>1</v>
      </c>
    </row>
    <row r="4" spans="1:15" x14ac:dyDescent="0.25">
      <c r="A4">
        <f>2</f>
        <v>2</v>
      </c>
      <c r="B4" t="str">
        <f>INDEX('Draft Engine'!$B$182:$B$193,$O4)</f>
        <v>Ka'imi Fairbairn</v>
      </c>
      <c r="C4" t="str">
        <f>INDEX('LIVE SOURCE'!$C$182:$C$193,$O4)</f>
        <v>HOU</v>
      </c>
      <c r="D4" s="4">
        <f>INDEX('Draft Engine'!$E$182:$E$193,$O4)</f>
        <v>91.8</v>
      </c>
      <c r="E4" t="str">
        <f t="shared" si="0"/>
        <v>TIER 1</v>
      </c>
      <c r="F4">
        <f>INDEX('Draft Engine'!$G$182:$G$193,$O4)</f>
        <v>143.6</v>
      </c>
      <c r="G4">
        <f>INDEX('Draft Engine'!$J$182:$J$193,$O4)</f>
        <v>35.200000000000003</v>
      </c>
      <c r="H4">
        <f>INDEX('Draft Engine'!$N$182:$N$193,$O4)</f>
        <v>61.52600000000001</v>
      </c>
      <c r="I4">
        <f>INDEX('Draft Engine'!$Q$182:$Q$193,$O4)</f>
        <v>142</v>
      </c>
      <c r="J4">
        <f>INDEX('Draft Engine'!$R$182:$R$193,$O4)</f>
        <v>160</v>
      </c>
      <c r="K4">
        <f>INDEX('Draft Engine'!$S$182:$S$193,$O4)</f>
        <v>18</v>
      </c>
      <c r="L4" t="str">
        <f>INDEX('Draft Engine'!$T$182:$T$193,$O4)</f>
        <v>B</v>
      </c>
      <c r="M4" t="str">
        <f>INDEX('LIVE SOURCE'!$H$182:$H$193,$O4)</f>
        <v>Top-tier kicker option, but still a final-round target.</v>
      </c>
      <c r="N4" t="str">
        <f>INDEX('LIVE SOURCE'!$J$182:$J$193,$O4)</f>
        <v>Kicker scoring is volatile and replaceable on waivers; do not pay meaningful draft capital.</v>
      </c>
      <c r="O4" s="6">
        <f>MATCH($A4,'Draft Engine'!$F$182:$F$193,0)</f>
        <v>2</v>
      </c>
    </row>
    <row r="5" spans="1:15" x14ac:dyDescent="0.25">
      <c r="A5">
        <f>3</f>
        <v>3</v>
      </c>
      <c r="B5" t="str">
        <f>INDEX('Draft Engine'!$B$182:$B$193,$O5)</f>
        <v>Cameron Dicker</v>
      </c>
      <c r="C5" t="str">
        <f>INDEX('LIVE SOURCE'!$C$182:$C$193,$O5)</f>
        <v>LAC</v>
      </c>
      <c r="D5" s="4">
        <f>INDEX('Draft Engine'!$E$182:$E$193,$O5)</f>
        <v>89.6</v>
      </c>
      <c r="E5" t="str">
        <f t="shared" si="0"/>
        <v>TIER 2</v>
      </c>
      <c r="F5">
        <f>INDEX('Draft Engine'!$G$182:$G$193,$O5)</f>
        <v>139.19999999999999</v>
      </c>
      <c r="G5">
        <f>INDEX('Draft Engine'!$J$182:$J$193,$O5)</f>
        <v>30.8</v>
      </c>
      <c r="H5">
        <f>INDEX('Draft Engine'!$N$182:$N$193,$O5)</f>
        <v>58.974000000000004</v>
      </c>
      <c r="I5">
        <f>INDEX('Draft Engine'!$Q$182:$Q$193,$O5)</f>
        <v>143</v>
      </c>
      <c r="J5">
        <f>INDEX('Draft Engine'!$R$182:$R$193,$O5)</f>
        <v>165</v>
      </c>
      <c r="K5">
        <f>INDEX('Draft Engine'!$S$182:$S$193,$O5)</f>
        <v>22</v>
      </c>
      <c r="L5" t="str">
        <f>INDEX('Draft Engine'!$T$182:$T$193,$O5)</f>
        <v>B</v>
      </c>
      <c r="M5" t="str">
        <f>INDEX('LIVE SOURCE'!$H$182:$H$193,$O5)</f>
        <v>Top-tier kicker option, but still a final-round target.</v>
      </c>
      <c r="N5" t="str">
        <f>INDEX('LIVE SOURCE'!$J$182:$J$193,$O5)</f>
        <v>Kicker scoring is volatile and replaceable on waivers; do not pay meaningful draft capital.</v>
      </c>
      <c r="O5" s="6">
        <f>MATCH($A5,'Draft Engine'!$F$182:$F$193,0)</f>
        <v>3</v>
      </c>
    </row>
    <row r="6" spans="1:15" x14ac:dyDescent="0.25">
      <c r="A6">
        <f>4</f>
        <v>4</v>
      </c>
      <c r="B6" t="str">
        <f>INDEX('Draft Engine'!$B$182:$B$193,$O6)</f>
        <v>Jason Myers</v>
      </c>
      <c r="C6" t="str">
        <f>INDEX('LIVE SOURCE'!$C$182:$C$193,$O6)</f>
        <v>SEA</v>
      </c>
      <c r="D6" s="4">
        <f>INDEX('Draft Engine'!$E$182:$E$193,$O6)</f>
        <v>87.4</v>
      </c>
      <c r="E6" t="str">
        <f t="shared" si="0"/>
        <v>TIER 2</v>
      </c>
      <c r="F6">
        <f>INDEX('Draft Engine'!$G$182:$G$193,$O6)</f>
        <v>134.80000000000001</v>
      </c>
      <c r="G6">
        <f>INDEX('Draft Engine'!$J$182:$J$193,$O6)</f>
        <v>26.4</v>
      </c>
      <c r="H6">
        <f>INDEX('Draft Engine'!$N$182:$N$193,$O6)</f>
        <v>56.421999999999997</v>
      </c>
      <c r="I6">
        <f>INDEX('Draft Engine'!$Q$182:$Q$193,$O6)</f>
        <v>144</v>
      </c>
      <c r="J6">
        <f>INDEX('Draft Engine'!$R$182:$R$193,$O6)</f>
        <v>170</v>
      </c>
      <c r="K6">
        <f>INDEX('Draft Engine'!$S$182:$S$193,$O6)</f>
        <v>26</v>
      </c>
      <c r="L6" t="str">
        <f>INDEX('Draft Engine'!$T$182:$T$193,$O6)</f>
        <v>B</v>
      </c>
      <c r="M6" t="str">
        <f>INDEX('LIVE SOURCE'!$H$182:$H$193,$O6)</f>
        <v>Top-tier kicker option, but still a final-round target.</v>
      </c>
      <c r="N6" t="str">
        <f>INDEX('LIVE SOURCE'!$J$182:$J$193,$O6)</f>
        <v>Kicker scoring is volatile and replaceable on waivers; do not pay meaningful draft capital.</v>
      </c>
      <c r="O6" s="6">
        <f>MATCH($A6,'Draft Engine'!$F$182:$F$193,0)</f>
        <v>4</v>
      </c>
    </row>
    <row r="7" spans="1:15" x14ac:dyDescent="0.25">
      <c r="A7">
        <f>5</f>
        <v>5</v>
      </c>
      <c r="B7" t="str">
        <f>INDEX('Draft Engine'!$B$182:$B$193,$O7)</f>
        <v>Cam Little</v>
      </c>
      <c r="C7" t="str">
        <f>INDEX('LIVE SOURCE'!$C$182:$C$193,$O7)</f>
        <v>JAC</v>
      </c>
      <c r="D7" s="4">
        <f>INDEX('Draft Engine'!$E$182:$E$193,$O7)</f>
        <v>85.2</v>
      </c>
      <c r="E7" t="str">
        <f t="shared" si="0"/>
        <v>TIER 2</v>
      </c>
      <c r="F7">
        <f>INDEX('Draft Engine'!$G$182:$G$193,$O7)</f>
        <v>130.4</v>
      </c>
      <c r="G7">
        <f>INDEX('Draft Engine'!$J$182:$J$193,$O7)</f>
        <v>22</v>
      </c>
      <c r="H7">
        <f>INDEX('Draft Engine'!$N$182:$N$193,$O7)</f>
        <v>53.870000000000005</v>
      </c>
      <c r="I7">
        <f>INDEX('Draft Engine'!$Q$182:$Q$193,$O7)</f>
        <v>145</v>
      </c>
      <c r="J7">
        <f>INDEX('Draft Engine'!$R$182:$R$193,$O7)</f>
        <v>175</v>
      </c>
      <c r="K7">
        <f>INDEX('Draft Engine'!$S$182:$S$193,$O7)</f>
        <v>30</v>
      </c>
      <c r="L7" t="str">
        <f>INDEX('Draft Engine'!$T$182:$T$193,$O7)</f>
        <v>B</v>
      </c>
      <c r="M7" t="str">
        <f>INDEX('LIVE SOURCE'!$H$182:$H$193,$O7)</f>
        <v>Top-tier kicker option, but still a final-round target.</v>
      </c>
      <c r="N7" t="str">
        <f>INDEX('LIVE SOURCE'!$J$182:$J$193,$O7)</f>
        <v>Kicker scoring is volatile and replaceable on waivers; do not pay meaningful draft capital.</v>
      </c>
      <c r="O7" s="6">
        <f>MATCH($A7,'Draft Engine'!$F$182:$F$193,0)</f>
        <v>5</v>
      </c>
    </row>
    <row r="8" spans="1:15" x14ac:dyDescent="0.25">
      <c r="A8">
        <f>6</f>
        <v>6</v>
      </c>
      <c r="B8" t="str">
        <f>INDEX('Draft Engine'!$B$182:$B$193,$O8)</f>
        <v>Eddy Pineiro</v>
      </c>
      <c r="C8" t="str">
        <f>INDEX('LIVE SOURCE'!$C$182:$C$193,$O8)</f>
        <v>SF</v>
      </c>
      <c r="D8" s="4">
        <f>INDEX('Draft Engine'!$E$182:$E$193,$O8)</f>
        <v>83</v>
      </c>
      <c r="E8" t="str">
        <f t="shared" si="0"/>
        <v>TIER 3</v>
      </c>
      <c r="F8">
        <f>INDEX('Draft Engine'!$G$182:$G$193,$O8)</f>
        <v>126</v>
      </c>
      <c r="G8">
        <f>INDEX('Draft Engine'!$J$182:$J$193,$O8)</f>
        <v>17.600000000000001</v>
      </c>
      <c r="H8">
        <f>INDEX('Draft Engine'!$N$182:$N$193,$O8)</f>
        <v>51.318000000000012</v>
      </c>
      <c r="I8">
        <f>INDEX('Draft Engine'!$Q$182:$Q$193,$O8)</f>
        <v>146</v>
      </c>
      <c r="J8">
        <f>INDEX('Draft Engine'!$R$182:$R$193,$O8)</f>
        <v>180</v>
      </c>
      <c r="K8">
        <f>INDEX('Draft Engine'!$S$182:$S$193,$O8)</f>
        <v>34</v>
      </c>
      <c r="L8" t="str">
        <f>INDEX('Draft Engine'!$T$182:$T$193,$O8)</f>
        <v>B</v>
      </c>
      <c r="M8" t="str">
        <f>INDEX('LIVE SOURCE'!$H$182:$H$193,$O8)</f>
        <v>Late-round kicker; treat as replaceable unless scoring strongly rewards distance.</v>
      </c>
      <c r="N8" t="str">
        <f>INDEX('LIVE SOURCE'!$J$182:$J$193,$O8)</f>
        <v>Kicker scoring is volatile and replaceable on waivers; do not pay meaningful draft capital.</v>
      </c>
      <c r="O8" s="6">
        <f>MATCH($A8,'Draft Engine'!$F$182:$F$193,0)</f>
        <v>6</v>
      </c>
    </row>
    <row r="9" spans="1:15" x14ac:dyDescent="0.25">
      <c r="A9">
        <f>7</f>
        <v>7</v>
      </c>
      <c r="B9" t="str">
        <f>INDEX('Draft Engine'!$B$182:$B$193,$O9)</f>
        <v>Tyler Loop</v>
      </c>
      <c r="C9" t="str">
        <f>INDEX('LIVE SOURCE'!$C$182:$C$193,$O9)</f>
        <v>BAL</v>
      </c>
      <c r="D9" s="4">
        <f>INDEX('Draft Engine'!$E$182:$E$193,$O9)</f>
        <v>80.8</v>
      </c>
      <c r="E9" t="str">
        <f t="shared" si="0"/>
        <v>TIER 3</v>
      </c>
      <c r="F9">
        <f>INDEX('Draft Engine'!$G$182:$G$193,$O9)</f>
        <v>121.6</v>
      </c>
      <c r="G9">
        <f>INDEX('Draft Engine'!$J$182:$J$193,$O9)</f>
        <v>13.2</v>
      </c>
      <c r="H9">
        <f>INDEX('Draft Engine'!$N$182:$N$193,$O9)</f>
        <v>48.766000000000005</v>
      </c>
      <c r="I9">
        <f>INDEX('Draft Engine'!$Q$182:$Q$193,$O9)</f>
        <v>147</v>
      </c>
      <c r="J9">
        <f>INDEX('Draft Engine'!$R$182:$R$193,$O9)</f>
        <v>185</v>
      </c>
      <c r="K9">
        <f>INDEX('Draft Engine'!$S$182:$S$193,$O9)</f>
        <v>38</v>
      </c>
      <c r="L9" t="str">
        <f>INDEX('Draft Engine'!$T$182:$T$193,$O9)</f>
        <v>B</v>
      </c>
      <c r="M9" t="str">
        <f>INDEX('LIVE SOURCE'!$H$182:$H$193,$O9)</f>
        <v>Late-round kicker; treat as replaceable unless scoring strongly rewards distance.</v>
      </c>
      <c r="N9" t="str">
        <f>INDEX('LIVE SOURCE'!$J$182:$J$193,$O9)</f>
        <v>Kicker scoring is volatile and replaceable on waivers; do not pay meaningful draft capital.</v>
      </c>
      <c r="O9" s="6">
        <f>MATCH($A9,'Draft Engine'!$F$182:$F$193,0)</f>
        <v>7</v>
      </c>
    </row>
    <row r="10" spans="1:15" x14ac:dyDescent="0.25">
      <c r="A10">
        <f>8</f>
        <v>8</v>
      </c>
      <c r="B10" t="str">
        <f>INDEX('Draft Engine'!$B$182:$B$193,$O10)</f>
        <v>Harrison Mevis</v>
      </c>
      <c r="C10" t="str">
        <f>INDEX('LIVE SOURCE'!$C$182:$C$193,$O10)</f>
        <v>LAR</v>
      </c>
      <c r="D10" s="4">
        <f>INDEX('Draft Engine'!$E$182:$E$193,$O10)</f>
        <v>78.599999999999994</v>
      </c>
      <c r="E10" t="str">
        <f t="shared" si="0"/>
        <v>TIER 4</v>
      </c>
      <c r="F10">
        <f>INDEX('Draft Engine'!$G$182:$G$193,$O10)</f>
        <v>117.2</v>
      </c>
      <c r="G10">
        <f>INDEX('Draft Engine'!$J$182:$J$193,$O10)</f>
        <v>8.8000000000000007</v>
      </c>
      <c r="H10">
        <f>INDEX('Draft Engine'!$N$182:$N$193,$O10)</f>
        <v>46.213999999999999</v>
      </c>
      <c r="I10">
        <f>INDEX('Draft Engine'!$Q$182:$Q$193,$O10)</f>
        <v>148</v>
      </c>
      <c r="J10">
        <f>INDEX('Draft Engine'!$R$182:$R$193,$O10)</f>
        <v>190</v>
      </c>
      <c r="K10">
        <f>INDEX('Draft Engine'!$S$182:$S$193,$O10)</f>
        <v>42</v>
      </c>
      <c r="L10" t="str">
        <f>INDEX('Draft Engine'!$T$182:$T$193,$O10)</f>
        <v>B</v>
      </c>
      <c r="M10" t="str">
        <f>INDEX('LIVE SOURCE'!$H$182:$H$193,$O10)</f>
        <v>Late-round kicker; treat as replaceable unless scoring strongly rewards distance.</v>
      </c>
      <c r="N10" t="str">
        <f>INDEX('LIVE SOURCE'!$J$182:$J$193,$O10)</f>
        <v>Kicker scoring is volatile and replaceable on waivers; do not pay meaningful draft capital.</v>
      </c>
      <c r="O10" s="6">
        <f>MATCH($A10,'Draft Engine'!$F$182:$F$193,0)</f>
        <v>8</v>
      </c>
    </row>
    <row r="11" spans="1:15" x14ac:dyDescent="0.25">
      <c r="A11">
        <f>9</f>
        <v>9</v>
      </c>
      <c r="B11" t="str">
        <f>INDEX('Draft Engine'!$B$182:$B$193,$O11)</f>
        <v>Chase McLaughlin</v>
      </c>
      <c r="C11" t="str">
        <f>INDEX('LIVE SOURCE'!$C$182:$C$193,$O11)</f>
        <v>TB</v>
      </c>
      <c r="D11" s="4">
        <f>INDEX('Draft Engine'!$E$182:$E$193,$O11)</f>
        <v>76.400000000000006</v>
      </c>
      <c r="E11" t="str">
        <f t="shared" si="0"/>
        <v>TIER 4</v>
      </c>
      <c r="F11">
        <f>INDEX('Draft Engine'!$G$182:$G$193,$O11)</f>
        <v>112.8</v>
      </c>
      <c r="G11">
        <f>INDEX('Draft Engine'!$J$182:$J$193,$O11)</f>
        <v>4.4000000000000004</v>
      </c>
      <c r="H11">
        <f>INDEX('Draft Engine'!$N$182:$N$193,$O11)</f>
        <v>43.662000000000006</v>
      </c>
      <c r="I11">
        <f>INDEX('Draft Engine'!$Q$182:$Q$193,$O11)</f>
        <v>149</v>
      </c>
      <c r="J11">
        <f>INDEX('Draft Engine'!$R$182:$R$193,$O11)</f>
        <v>195</v>
      </c>
      <c r="K11">
        <f>INDEX('Draft Engine'!$S$182:$S$193,$O11)</f>
        <v>46</v>
      </c>
      <c r="L11" t="str">
        <f>INDEX('Draft Engine'!$T$182:$T$193,$O11)</f>
        <v>B</v>
      </c>
      <c r="M11" t="str">
        <f>INDEX('LIVE SOURCE'!$H$182:$H$193,$O11)</f>
        <v>Late-round kicker; treat as replaceable unless scoring strongly rewards distance.</v>
      </c>
      <c r="N11" t="str">
        <f>INDEX('LIVE SOURCE'!$J$182:$J$193,$O11)</f>
        <v>Kicker scoring is volatile and replaceable on waivers; do not pay meaningful draft capital.</v>
      </c>
      <c r="O11" s="6">
        <f>MATCH($A11,'Draft Engine'!$F$182:$F$193,0)</f>
        <v>9</v>
      </c>
    </row>
    <row r="12" spans="1:15" x14ac:dyDescent="0.25">
      <c r="A12">
        <f>10</f>
        <v>10</v>
      </c>
      <c r="B12" t="str">
        <f>INDEX('Draft Engine'!$B$182:$B$193,$O12)</f>
        <v>Cairo Santos</v>
      </c>
      <c r="C12" t="str">
        <f>INDEX('LIVE SOURCE'!$C$182:$C$193,$O12)</f>
        <v>CHI</v>
      </c>
      <c r="D12" s="4">
        <f>INDEX('Draft Engine'!$E$182:$E$193,$O12)</f>
        <v>74.2</v>
      </c>
      <c r="E12" t="str">
        <f t="shared" si="0"/>
        <v>TIER 5</v>
      </c>
      <c r="F12">
        <f>INDEX('Draft Engine'!$G$182:$G$193,$O12)</f>
        <v>108.4</v>
      </c>
      <c r="G12">
        <f>INDEX('Draft Engine'!$J$182:$J$193,$O12)</f>
        <v>0</v>
      </c>
      <c r="H12">
        <f>INDEX('Draft Engine'!$N$182:$N$193,$O12)</f>
        <v>41.11</v>
      </c>
      <c r="I12">
        <f>INDEX('Draft Engine'!$Q$182:$Q$193,$O12)</f>
        <v>150</v>
      </c>
      <c r="J12">
        <f>INDEX('Draft Engine'!$R$182:$R$193,$O12)</f>
        <v>200</v>
      </c>
      <c r="K12">
        <f>INDEX('Draft Engine'!$S$182:$S$193,$O12)</f>
        <v>50</v>
      </c>
      <c r="L12" t="str">
        <f>INDEX('Draft Engine'!$T$182:$T$193,$O12)</f>
        <v>B</v>
      </c>
      <c r="M12" t="str">
        <f>INDEX('LIVE SOURCE'!$H$182:$H$193,$O12)</f>
        <v>Late-round kicker; treat as replaceable unless scoring strongly rewards distance.</v>
      </c>
      <c r="N12" t="str">
        <f>INDEX('LIVE SOURCE'!$J$182:$J$193,$O12)</f>
        <v>Kicker scoring is volatile and replaceable on waivers; do not pay meaningful draft capital.</v>
      </c>
      <c r="O12" s="6">
        <f>MATCH($A12,'Draft Engine'!$F$182:$F$193,0)</f>
        <v>10</v>
      </c>
    </row>
    <row r="13" spans="1:15" x14ac:dyDescent="0.25">
      <c r="A13">
        <f>11</f>
        <v>11</v>
      </c>
      <c r="B13" t="str">
        <f>INDEX('Draft Engine'!$B$182:$B$193,$O13)</f>
        <v>Andy Borregales</v>
      </c>
      <c r="C13" t="str">
        <f>INDEX('LIVE SOURCE'!$C$182:$C$193,$O13)</f>
        <v>NE</v>
      </c>
      <c r="D13" s="4">
        <f>INDEX('Draft Engine'!$E$182:$E$193,$O13)</f>
        <v>72</v>
      </c>
      <c r="E13" t="str">
        <f t="shared" si="0"/>
        <v>TIER 5</v>
      </c>
      <c r="F13">
        <f>INDEX('Draft Engine'!$G$182:$G$193,$O13)</f>
        <v>104</v>
      </c>
      <c r="G13">
        <f>INDEX('Draft Engine'!$J$182:$J$193,$O13)</f>
        <v>-4.4000000000000004</v>
      </c>
      <c r="H13">
        <f>INDEX('Draft Engine'!$N$182:$N$193,$O13)</f>
        <v>38.558</v>
      </c>
      <c r="I13">
        <f>INDEX('Draft Engine'!$Q$182:$Q$193,$O13)</f>
        <v>222</v>
      </c>
      <c r="J13">
        <f>INDEX('Draft Engine'!$R$182:$R$193,$O13)</f>
        <v>205</v>
      </c>
      <c r="K13">
        <f>INDEX('Draft Engine'!$S$182:$S$193,$O13)</f>
        <v>-17</v>
      </c>
      <c r="L13" t="str">
        <f>INDEX('Draft Engine'!$T$182:$T$193,$O13)</f>
        <v>B</v>
      </c>
      <c r="M13" t="str">
        <f>INDEX('LIVE SOURCE'!$H$182:$H$193,$O13)</f>
        <v>Late-round kicker; treat as replaceable unless scoring strongly rewards distance.</v>
      </c>
      <c r="N13" t="str">
        <f>INDEX('LIVE SOURCE'!$J$182:$J$193,$O13)</f>
        <v>Kicker scoring is volatile and replaceable on waivers; do not pay meaningful draft capital.</v>
      </c>
      <c r="O13" s="6">
        <f>MATCH($A13,'Draft Engine'!$F$182:$F$193,0)</f>
        <v>11</v>
      </c>
    </row>
    <row r="14" spans="1:15" x14ac:dyDescent="0.25">
      <c r="A14">
        <f>12</f>
        <v>12</v>
      </c>
      <c r="B14" t="str">
        <f>INDEX('Draft Engine'!$B$182:$B$193,$O14)</f>
        <v>Evan McPherson</v>
      </c>
      <c r="C14" t="str">
        <f>INDEX('LIVE SOURCE'!$C$182:$C$193,$O14)</f>
        <v>CIN</v>
      </c>
      <c r="D14" s="4">
        <f>INDEX('Draft Engine'!$E$182:$E$193,$O14)</f>
        <v>69.8</v>
      </c>
      <c r="E14" t="str">
        <f t="shared" si="0"/>
        <v>TIER 6</v>
      </c>
      <c r="F14">
        <f>INDEX('Draft Engine'!$G$182:$G$193,$O14)</f>
        <v>99.6</v>
      </c>
      <c r="G14">
        <f>INDEX('Draft Engine'!$J$182:$J$193,$O14)</f>
        <v>-8.8000000000000007</v>
      </c>
      <c r="H14">
        <f>INDEX('Draft Engine'!$N$182:$N$193,$O14)</f>
        <v>36.006</v>
      </c>
      <c r="I14">
        <f>INDEX('Draft Engine'!$Q$182:$Q$193,$O14)</f>
        <v>223</v>
      </c>
      <c r="J14">
        <f>INDEX('Draft Engine'!$R$182:$R$193,$O14)</f>
        <v>210</v>
      </c>
      <c r="K14">
        <f>INDEX('Draft Engine'!$S$182:$S$193,$O14)</f>
        <v>-13</v>
      </c>
      <c r="L14" t="str">
        <f>INDEX('Draft Engine'!$T$182:$T$193,$O14)</f>
        <v>B</v>
      </c>
      <c r="M14" t="str">
        <f>INDEX('LIVE SOURCE'!$H$182:$H$193,$O14)</f>
        <v>Late-round kicker; treat as replaceable unless scoring strongly rewards distance.</v>
      </c>
      <c r="N14" t="str">
        <f>INDEX('LIVE SOURCE'!$J$182:$J$193,$O14)</f>
        <v>Kicker scoring is volatile and replaceable on waivers; do not pay meaningful draft capital.</v>
      </c>
      <c r="O14" s="6">
        <f>MATCH($A14,'Draft Engine'!$F$182:$F$193,0)</f>
        <v>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A9D18E"/>
  </sheetPr>
  <dimension ref="A1:O34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8" customWidth="1"/>
    <col min="2" max="2" width="22" customWidth="1"/>
    <col min="3" max="3" width="6" customWidth="1"/>
    <col min="4" max="4" width="10" customWidth="1"/>
    <col min="5" max="5" width="9" customWidth="1"/>
    <col min="6" max="6" width="10" customWidth="1"/>
    <col min="7" max="7" width="8" customWidth="1"/>
    <col min="8" max="9" width="11" customWidth="1"/>
    <col min="10" max="10" width="10" customWidth="1"/>
    <col min="11" max="11" width="9" customWidth="1"/>
    <col min="12" max="12" width="10" customWidth="1"/>
    <col min="13" max="13" width="55" customWidth="1"/>
    <col min="14" max="14" width="50" customWidth="1"/>
    <col min="15" max="15" width="6" customWidth="1"/>
  </cols>
  <sheetData>
    <row r="1" spans="1:15" ht="18.75" x14ac:dyDescent="0.3">
      <c r="A1" s="1" t="s">
        <v>583</v>
      </c>
    </row>
    <row r="2" spans="1:15" ht="27.95" customHeight="1" x14ac:dyDescent="0.25">
      <c r="A2" s="3" t="s">
        <v>4</v>
      </c>
      <c r="B2" s="3" t="s">
        <v>584</v>
      </c>
      <c r="C2" s="3" t="s">
        <v>76</v>
      </c>
      <c r="D2" s="3" t="s">
        <v>6</v>
      </c>
      <c r="E2" s="3" t="s">
        <v>7</v>
      </c>
      <c r="F2" s="3" t="s">
        <v>571</v>
      </c>
      <c r="G2" s="3" t="s">
        <v>572</v>
      </c>
      <c r="H2" s="3" t="s">
        <v>8</v>
      </c>
      <c r="I2" s="3" t="s">
        <v>578</v>
      </c>
      <c r="J2" s="3" t="s">
        <v>9</v>
      </c>
      <c r="K2" s="3" t="s">
        <v>10</v>
      </c>
      <c r="L2" s="3" t="s">
        <v>77</v>
      </c>
      <c r="M2" s="3" t="s">
        <v>13</v>
      </c>
      <c r="N2" s="3" t="s">
        <v>80</v>
      </c>
      <c r="O2" s="3" t="s">
        <v>14</v>
      </c>
    </row>
    <row r="3" spans="1:15" x14ac:dyDescent="0.25">
      <c r="A3">
        <f>1</f>
        <v>1</v>
      </c>
      <c r="B3" t="str">
        <f>INDEX('Draft Engine'!$B$194:$B$225,$O3)</f>
        <v>Houston Texans</v>
      </c>
      <c r="C3" t="str">
        <f>INDEX('LIVE SOURCE'!$C$194:$C$225,$O3)</f>
        <v>HOU</v>
      </c>
      <c r="D3" s="4">
        <f>INDEX('Draft Engine'!$E$194:$E$225,$O3)</f>
        <v>93</v>
      </c>
      <c r="E3" t="str">
        <f t="shared" ref="E3:E34" si="0">IF($D3&gt;=95,"ELITE",IF($D3&gt;=90,"TIER 1",IF($D3&gt;=85,"TIER 2",IF($D3&gt;=80,"TIER 3",IF($D3&gt;=75,"TIER 4",IF($D3&gt;=70,"TIER 5",IF($D3&gt;=65,"TIER 6","TIER 7")))))))</f>
        <v>TIER 1</v>
      </c>
      <c r="F3">
        <f>INDEX('Draft Engine'!$G$194:$G$225,$O3)</f>
        <v>117.4</v>
      </c>
      <c r="G3">
        <f>INDEX('Draft Engine'!$J$194:$J$225,$O3)</f>
        <v>17.8</v>
      </c>
      <c r="H3">
        <f>INDEX('Draft Engine'!$N$194:$N$225,$O3)</f>
        <v>56.854000000000013</v>
      </c>
      <c r="I3">
        <f>INDEX('Draft Engine'!$Q$194:$Q$225,$O3)</f>
        <v>131</v>
      </c>
      <c r="J3">
        <f>INDEX('Draft Engine'!$R$194:$R$225,$O3)</f>
        <v>160</v>
      </c>
      <c r="K3">
        <f>INDEX('Draft Engine'!$S$194:$S$225,$O3)</f>
        <v>29</v>
      </c>
      <c r="L3" t="str">
        <f>INDEX('Draft Engine'!$T$194:$T$225,$O3)</f>
        <v>B</v>
      </c>
      <c r="M3" t="str">
        <f>INDEX('LIVE SOURCE'!$H$194:$H$225,$O3)</f>
        <v>Elite DST target if available in the final rounds; otherwise streaming remains viable.</v>
      </c>
      <c r="N3" t="str">
        <f>INDEX('LIVE SOURCE'!$J$194:$J$225,$O3)</f>
        <v>DST scoring is highly opponent- and turnover-dependent, making season-long rank fragile.</v>
      </c>
      <c r="O3" s="6">
        <f>MATCH($A3,'Draft Engine'!$F$194:$F$225,0)</f>
        <v>1</v>
      </c>
    </row>
    <row r="4" spans="1:15" x14ac:dyDescent="0.25">
      <c r="A4">
        <f>2</f>
        <v>2</v>
      </c>
      <c r="B4" t="str">
        <f>INDEX('Draft Engine'!$B$194:$B$225,$O4)</f>
        <v>Denver Broncos</v>
      </c>
      <c r="C4" t="str">
        <f>INDEX('LIVE SOURCE'!$C$194:$C$225,$O4)</f>
        <v>DEN</v>
      </c>
      <c r="D4" s="4">
        <f>INDEX('Draft Engine'!$E$194:$E$225,$O4)</f>
        <v>91.9</v>
      </c>
      <c r="E4" t="str">
        <f t="shared" si="0"/>
        <v>TIER 1</v>
      </c>
      <c r="F4">
        <f>INDEX('Draft Engine'!$G$194:$G$225,$O4)</f>
        <v>115.4</v>
      </c>
      <c r="G4">
        <f>INDEX('Draft Engine'!$J$194:$J$225,$O4)</f>
        <v>15.8</v>
      </c>
      <c r="H4">
        <f>INDEX('Draft Engine'!$N$194:$N$225,$O4)</f>
        <v>55.38900000000001</v>
      </c>
      <c r="I4">
        <f>INDEX('Draft Engine'!$Q$194:$Q$225,$O4)</f>
        <v>132</v>
      </c>
      <c r="J4">
        <f>INDEX('Draft Engine'!$R$194:$R$225,$O4)</f>
        <v>164</v>
      </c>
      <c r="K4">
        <f>INDEX('Draft Engine'!$S$194:$S$225,$O4)</f>
        <v>32</v>
      </c>
      <c r="L4" t="str">
        <f>INDEX('Draft Engine'!$T$194:$T$225,$O4)</f>
        <v>B</v>
      </c>
      <c r="M4" t="str">
        <f>INDEX('LIVE SOURCE'!$H$194:$H$225,$O4)</f>
        <v>Elite DST target if available in the final rounds; otherwise streaming remains viable.</v>
      </c>
      <c r="N4" t="str">
        <f>INDEX('LIVE SOURCE'!$J$194:$J$225,$O4)</f>
        <v>DST scoring is highly opponent- and turnover-dependent, making season-long rank fragile.</v>
      </c>
      <c r="O4" s="6">
        <f>MATCH($A4,'Draft Engine'!$F$194:$F$225,0)</f>
        <v>2</v>
      </c>
    </row>
    <row r="5" spans="1:15" x14ac:dyDescent="0.25">
      <c r="A5">
        <f>3</f>
        <v>3</v>
      </c>
      <c r="B5" t="str">
        <f>INDEX('Draft Engine'!$B$194:$B$225,$O5)</f>
        <v>Seattle Seahawks</v>
      </c>
      <c r="C5" t="str">
        <f>INDEX('LIVE SOURCE'!$C$194:$C$225,$O5)</f>
        <v>SEA</v>
      </c>
      <c r="D5" s="4">
        <f>INDEX('Draft Engine'!$E$194:$E$225,$O5)</f>
        <v>90.8</v>
      </c>
      <c r="E5" t="str">
        <f t="shared" si="0"/>
        <v>TIER 1</v>
      </c>
      <c r="F5">
        <f>INDEX('Draft Engine'!$G$194:$G$225,$O5)</f>
        <v>113.4</v>
      </c>
      <c r="G5">
        <f>INDEX('Draft Engine'!$J$194:$J$225,$O5)</f>
        <v>13.8</v>
      </c>
      <c r="H5">
        <f>INDEX('Draft Engine'!$N$194:$N$225,$O5)</f>
        <v>53.924000000000007</v>
      </c>
      <c r="I5">
        <f>INDEX('Draft Engine'!$Q$194:$Q$225,$O5)</f>
        <v>133</v>
      </c>
      <c r="J5">
        <f>INDEX('Draft Engine'!$R$194:$R$225,$O5)</f>
        <v>168</v>
      </c>
      <c r="K5">
        <f>INDEX('Draft Engine'!$S$194:$S$225,$O5)</f>
        <v>35</v>
      </c>
      <c r="L5" t="str">
        <f>INDEX('Draft Engine'!$T$194:$T$225,$O5)</f>
        <v>B</v>
      </c>
      <c r="M5" t="str">
        <f>INDEX('LIVE SOURCE'!$H$194:$H$225,$O5)</f>
        <v>Elite DST target if available in the final rounds; otherwise streaming remains viable.</v>
      </c>
      <c r="N5" t="str">
        <f>INDEX('LIVE SOURCE'!$J$194:$J$225,$O5)</f>
        <v>DST scoring is highly opponent- and turnover-dependent, making season-long rank fragile.</v>
      </c>
      <c r="O5" s="6">
        <f>MATCH($A5,'Draft Engine'!$F$194:$F$225,0)</f>
        <v>3</v>
      </c>
    </row>
    <row r="6" spans="1:15" x14ac:dyDescent="0.25">
      <c r="A6">
        <f>4</f>
        <v>4</v>
      </c>
      <c r="B6" t="str">
        <f>INDEX('Draft Engine'!$B$194:$B$225,$O6)</f>
        <v>Los Angeles Rams</v>
      </c>
      <c r="C6" t="str">
        <f>INDEX('LIVE SOURCE'!$C$194:$C$225,$O6)</f>
        <v>LAR</v>
      </c>
      <c r="D6" s="4">
        <f>INDEX('Draft Engine'!$E$194:$E$225,$O6)</f>
        <v>89.7</v>
      </c>
      <c r="E6" t="str">
        <f t="shared" si="0"/>
        <v>TIER 2</v>
      </c>
      <c r="F6">
        <f>INDEX('Draft Engine'!$G$194:$G$225,$O6)</f>
        <v>111.5</v>
      </c>
      <c r="G6">
        <f>INDEX('Draft Engine'!$J$194:$J$225,$O6)</f>
        <v>11.9</v>
      </c>
      <c r="H6">
        <f>INDEX('Draft Engine'!$N$194:$N$225,$O6)</f>
        <v>52.477000000000004</v>
      </c>
      <c r="I6">
        <f>INDEX('Draft Engine'!$Q$194:$Q$225,$O6)</f>
        <v>134</v>
      </c>
      <c r="J6">
        <f>INDEX('Draft Engine'!$R$194:$R$225,$O6)</f>
        <v>172</v>
      </c>
      <c r="K6">
        <f>INDEX('Draft Engine'!$S$194:$S$225,$O6)</f>
        <v>38</v>
      </c>
      <c r="L6" t="str">
        <f>INDEX('Draft Engine'!$T$194:$T$225,$O6)</f>
        <v>B</v>
      </c>
      <c r="M6" t="str">
        <f>INDEX('LIVE SOURCE'!$H$194:$H$225,$O6)</f>
        <v>Elite DST target if available in the final rounds; otherwise streaming remains viable.</v>
      </c>
      <c r="N6" t="str">
        <f>INDEX('LIVE SOURCE'!$J$194:$J$225,$O6)</f>
        <v>DST scoring is highly opponent- and turnover-dependent, making season-long rank fragile.</v>
      </c>
      <c r="O6" s="6">
        <f>MATCH($A6,'Draft Engine'!$F$194:$F$225,0)</f>
        <v>4</v>
      </c>
    </row>
    <row r="7" spans="1:15" x14ac:dyDescent="0.25">
      <c r="A7">
        <f>5</f>
        <v>5</v>
      </c>
      <c r="B7" t="str">
        <f>INDEX('Draft Engine'!$B$194:$B$225,$O7)</f>
        <v>Philadelphia Eagles</v>
      </c>
      <c r="C7" t="str">
        <f>INDEX('LIVE SOURCE'!$C$194:$C$225,$O7)</f>
        <v>PHI</v>
      </c>
      <c r="D7" s="4">
        <f>INDEX('Draft Engine'!$E$194:$E$225,$O7)</f>
        <v>88.6</v>
      </c>
      <c r="E7" t="str">
        <f t="shared" si="0"/>
        <v>TIER 2</v>
      </c>
      <c r="F7">
        <f>INDEX('Draft Engine'!$G$194:$G$225,$O7)</f>
        <v>109.5</v>
      </c>
      <c r="G7">
        <f>INDEX('Draft Engine'!$J$194:$J$225,$O7)</f>
        <v>9.9</v>
      </c>
      <c r="H7">
        <f>INDEX('Draft Engine'!$N$194:$N$225,$O7)</f>
        <v>51.012</v>
      </c>
      <c r="I7">
        <f>INDEX('Draft Engine'!$Q$194:$Q$225,$O7)</f>
        <v>135</v>
      </c>
      <c r="J7">
        <f>INDEX('Draft Engine'!$R$194:$R$225,$O7)</f>
        <v>176</v>
      </c>
      <c r="K7">
        <f>INDEX('Draft Engine'!$S$194:$S$225,$O7)</f>
        <v>41</v>
      </c>
      <c r="L7" t="str">
        <f>INDEX('Draft Engine'!$T$194:$T$225,$O7)</f>
        <v>B</v>
      </c>
      <c r="M7" t="str">
        <f>INDEX('LIVE SOURCE'!$H$194:$H$225,$O7)</f>
        <v>Elite DST target if available in the final rounds; otherwise streaming remains viable.</v>
      </c>
      <c r="N7" t="str">
        <f>INDEX('LIVE SOURCE'!$J$194:$J$225,$O7)</f>
        <v>DST scoring is highly opponent- and turnover-dependent, making season-long rank fragile.</v>
      </c>
      <c r="O7" s="6">
        <f>MATCH($A7,'Draft Engine'!$F$194:$F$225,0)</f>
        <v>5</v>
      </c>
    </row>
    <row r="8" spans="1:15" x14ac:dyDescent="0.25">
      <c r="A8">
        <f>6</f>
        <v>6</v>
      </c>
      <c r="B8" t="str">
        <f>INDEX('Draft Engine'!$B$194:$B$225,$O8)</f>
        <v>Minnesota Vikings</v>
      </c>
      <c r="C8" t="str">
        <f>INDEX('LIVE SOURCE'!$C$194:$C$225,$O8)</f>
        <v>MIN</v>
      </c>
      <c r="D8" s="4">
        <f>INDEX('Draft Engine'!$E$194:$E$225,$O8)</f>
        <v>87.5</v>
      </c>
      <c r="E8" t="str">
        <f t="shared" si="0"/>
        <v>TIER 2</v>
      </c>
      <c r="F8">
        <f>INDEX('Draft Engine'!$G$194:$G$225,$O8)</f>
        <v>107.5</v>
      </c>
      <c r="G8">
        <f>INDEX('Draft Engine'!$J$194:$J$225,$O8)</f>
        <v>7.9</v>
      </c>
      <c r="H8">
        <f>INDEX('Draft Engine'!$N$194:$N$225,$O8)</f>
        <v>49.547000000000011</v>
      </c>
      <c r="I8">
        <f>INDEX('Draft Engine'!$Q$194:$Q$225,$O8)</f>
        <v>136</v>
      </c>
      <c r="J8">
        <f>INDEX('Draft Engine'!$R$194:$R$225,$O8)</f>
        <v>180</v>
      </c>
      <c r="K8">
        <f>INDEX('Draft Engine'!$S$194:$S$225,$O8)</f>
        <v>44</v>
      </c>
      <c r="L8" t="str">
        <f>INDEX('Draft Engine'!$T$194:$T$225,$O8)</f>
        <v>B</v>
      </c>
      <c r="M8" t="str">
        <f>INDEX('LIVE SOURCE'!$H$194:$H$225,$O8)</f>
        <v>Streaming/late-round defense; matchup matters more than preseason rank.</v>
      </c>
      <c r="N8" t="str">
        <f>INDEX('LIVE SOURCE'!$J$194:$J$225,$O8)</f>
        <v>DST scoring is highly opponent- and turnover-dependent, making season-long rank fragile.</v>
      </c>
      <c r="O8" s="6">
        <f>MATCH($A8,'Draft Engine'!$F$194:$F$225,0)</f>
        <v>6</v>
      </c>
    </row>
    <row r="9" spans="1:15" x14ac:dyDescent="0.25">
      <c r="A9">
        <f>7</f>
        <v>7</v>
      </c>
      <c r="B9" t="str">
        <f>INDEX('Draft Engine'!$B$194:$B$225,$O9)</f>
        <v>New England Patriots</v>
      </c>
      <c r="C9" t="str">
        <f>INDEX('LIVE SOURCE'!$C$194:$C$225,$O9)</f>
        <v>NE</v>
      </c>
      <c r="D9" s="4">
        <f>INDEX('Draft Engine'!$E$194:$E$225,$O9)</f>
        <v>86.4</v>
      </c>
      <c r="E9" t="str">
        <f t="shared" si="0"/>
        <v>TIER 2</v>
      </c>
      <c r="F9">
        <f>INDEX('Draft Engine'!$G$194:$G$225,$O9)</f>
        <v>105.5</v>
      </c>
      <c r="G9">
        <f>INDEX('Draft Engine'!$J$194:$J$225,$O9)</f>
        <v>5.9</v>
      </c>
      <c r="H9">
        <f>INDEX('Draft Engine'!$N$194:$N$225,$O9)</f>
        <v>48.082000000000008</v>
      </c>
      <c r="I9">
        <f>INDEX('Draft Engine'!$Q$194:$Q$225,$O9)</f>
        <v>137</v>
      </c>
      <c r="J9">
        <f>INDEX('Draft Engine'!$R$194:$R$225,$O9)</f>
        <v>184</v>
      </c>
      <c r="K9">
        <f>INDEX('Draft Engine'!$S$194:$S$225,$O9)</f>
        <v>47</v>
      </c>
      <c r="L9" t="str">
        <f>INDEX('Draft Engine'!$T$194:$T$225,$O9)</f>
        <v>B</v>
      </c>
      <c r="M9" t="str">
        <f>INDEX('LIVE SOURCE'!$H$194:$H$225,$O9)</f>
        <v>Streaming/late-round defense; matchup matters more than preseason rank.</v>
      </c>
      <c r="N9" t="str">
        <f>INDEX('LIVE SOURCE'!$J$194:$J$225,$O9)</f>
        <v>DST scoring is highly opponent- and turnover-dependent, making season-long rank fragile.</v>
      </c>
      <c r="O9" s="6">
        <f>MATCH($A9,'Draft Engine'!$F$194:$F$225,0)</f>
        <v>7</v>
      </c>
    </row>
    <row r="10" spans="1:15" x14ac:dyDescent="0.25">
      <c r="A10">
        <f>8</f>
        <v>8</v>
      </c>
      <c r="B10" t="str">
        <f>INDEX('Draft Engine'!$B$194:$B$225,$O10)</f>
        <v>Jacksonville Jaguars</v>
      </c>
      <c r="C10" t="str">
        <f>INDEX('LIVE SOURCE'!$C$194:$C$225,$O10)</f>
        <v>JAC</v>
      </c>
      <c r="D10" s="4">
        <f>INDEX('Draft Engine'!$E$194:$E$225,$O10)</f>
        <v>85.3</v>
      </c>
      <c r="E10" t="str">
        <f t="shared" si="0"/>
        <v>TIER 2</v>
      </c>
      <c r="F10">
        <f>INDEX('Draft Engine'!$G$194:$G$225,$O10)</f>
        <v>103.5</v>
      </c>
      <c r="G10">
        <f>INDEX('Draft Engine'!$J$194:$J$225,$O10)</f>
        <v>3.9</v>
      </c>
      <c r="H10">
        <f>INDEX('Draft Engine'!$N$194:$N$225,$O10)</f>
        <v>46.61699999999999</v>
      </c>
      <c r="I10">
        <f>INDEX('Draft Engine'!$Q$194:$Q$225,$O10)</f>
        <v>138</v>
      </c>
      <c r="J10">
        <f>INDEX('Draft Engine'!$R$194:$R$225,$O10)</f>
        <v>188</v>
      </c>
      <c r="K10">
        <f>INDEX('Draft Engine'!$S$194:$S$225,$O10)</f>
        <v>50</v>
      </c>
      <c r="L10" t="str">
        <f>INDEX('Draft Engine'!$T$194:$T$225,$O10)</f>
        <v>B</v>
      </c>
      <c r="M10" t="str">
        <f>INDEX('LIVE SOURCE'!$H$194:$H$225,$O10)</f>
        <v>Streaming/late-round defense; matchup matters more than preseason rank.</v>
      </c>
      <c r="N10" t="str">
        <f>INDEX('LIVE SOURCE'!$J$194:$J$225,$O10)</f>
        <v>DST scoring is highly opponent- and turnover-dependent, making season-long rank fragile.</v>
      </c>
      <c r="O10" s="6">
        <f>MATCH($A10,'Draft Engine'!$F$194:$F$225,0)</f>
        <v>8</v>
      </c>
    </row>
    <row r="11" spans="1:15" x14ac:dyDescent="0.25">
      <c r="A11">
        <f>9</f>
        <v>9</v>
      </c>
      <c r="B11" t="str">
        <f>INDEX('Draft Engine'!$B$194:$B$225,$O11)</f>
        <v>Pittsburgh Steelers</v>
      </c>
      <c r="C11" t="str">
        <f>INDEX('LIVE SOURCE'!$C$194:$C$225,$O11)</f>
        <v>PIT</v>
      </c>
      <c r="D11" s="4">
        <f>INDEX('Draft Engine'!$E$194:$E$225,$O11)</f>
        <v>84.2</v>
      </c>
      <c r="E11" t="str">
        <f t="shared" si="0"/>
        <v>TIER 3</v>
      </c>
      <c r="F11">
        <f>INDEX('Draft Engine'!$G$194:$G$225,$O11)</f>
        <v>101.6</v>
      </c>
      <c r="G11">
        <f>INDEX('Draft Engine'!$J$194:$J$225,$O11)</f>
        <v>2</v>
      </c>
      <c r="H11">
        <f>INDEX('Draft Engine'!$N$194:$N$225,$O11)</f>
        <v>45.17</v>
      </c>
      <c r="I11">
        <f>INDEX('Draft Engine'!$Q$194:$Q$225,$O11)</f>
        <v>139</v>
      </c>
      <c r="J11">
        <f>INDEX('Draft Engine'!$R$194:$R$225,$O11)</f>
        <v>192</v>
      </c>
      <c r="K11">
        <f>INDEX('Draft Engine'!$S$194:$S$225,$O11)</f>
        <v>53</v>
      </c>
      <c r="L11" t="str">
        <f>INDEX('Draft Engine'!$T$194:$T$225,$O11)</f>
        <v>B</v>
      </c>
      <c r="M11" t="str">
        <f>INDEX('LIVE SOURCE'!$H$194:$H$225,$O11)</f>
        <v>Streaming/late-round defense; matchup matters more than preseason rank.</v>
      </c>
      <c r="N11" t="str">
        <f>INDEX('LIVE SOURCE'!$J$194:$J$225,$O11)</f>
        <v>DST scoring is highly opponent- and turnover-dependent, making season-long rank fragile.</v>
      </c>
      <c r="O11" s="6">
        <f>MATCH($A11,'Draft Engine'!$F$194:$F$225,0)</f>
        <v>9</v>
      </c>
    </row>
    <row r="12" spans="1:15" x14ac:dyDescent="0.25">
      <c r="A12">
        <f>10</f>
        <v>10</v>
      </c>
      <c r="B12" t="str">
        <f>INDEX('Draft Engine'!$B$194:$B$225,$O12)</f>
        <v>Los Angeles Chargers</v>
      </c>
      <c r="C12" t="str">
        <f>INDEX('LIVE SOURCE'!$C$194:$C$225,$O12)</f>
        <v>LAC</v>
      </c>
      <c r="D12" s="4">
        <f>INDEX('Draft Engine'!$E$194:$E$225,$O12)</f>
        <v>83.1</v>
      </c>
      <c r="E12" t="str">
        <f t="shared" si="0"/>
        <v>TIER 3</v>
      </c>
      <c r="F12">
        <f>INDEX('Draft Engine'!$G$194:$G$225,$O12)</f>
        <v>99.6</v>
      </c>
      <c r="G12">
        <f>INDEX('Draft Engine'!$J$194:$J$225,$O12)</f>
        <v>0</v>
      </c>
      <c r="H12">
        <f>INDEX('Draft Engine'!$N$194:$N$225,$O12)</f>
        <v>43.704999999999998</v>
      </c>
      <c r="I12">
        <f>INDEX('Draft Engine'!$Q$194:$Q$225,$O12)</f>
        <v>140</v>
      </c>
      <c r="J12">
        <f>INDEX('Draft Engine'!$R$194:$R$225,$O12)</f>
        <v>196</v>
      </c>
      <c r="K12">
        <f>INDEX('Draft Engine'!$S$194:$S$225,$O12)</f>
        <v>56</v>
      </c>
      <c r="L12" t="str">
        <f>INDEX('Draft Engine'!$T$194:$T$225,$O12)</f>
        <v>B</v>
      </c>
      <c r="M12" t="str">
        <f>INDEX('LIVE SOURCE'!$H$194:$H$225,$O12)</f>
        <v>Streaming/late-round defense; matchup matters more than preseason rank.</v>
      </c>
      <c r="N12" t="str">
        <f>INDEX('LIVE SOURCE'!$J$194:$J$225,$O12)</f>
        <v>DST scoring is highly opponent- and turnover-dependent, making season-long rank fragile.</v>
      </c>
      <c r="O12" s="6">
        <f>MATCH($A12,'Draft Engine'!$F$194:$F$225,0)</f>
        <v>10</v>
      </c>
    </row>
    <row r="13" spans="1:15" x14ac:dyDescent="0.25">
      <c r="A13">
        <f>11</f>
        <v>11</v>
      </c>
      <c r="B13" t="str">
        <f>INDEX('Draft Engine'!$B$194:$B$225,$O13)</f>
        <v>Baltimore Ravens</v>
      </c>
      <c r="C13" t="str">
        <f>INDEX('LIVE SOURCE'!$C$194:$C$225,$O13)</f>
        <v>BAL</v>
      </c>
      <c r="D13" s="4">
        <f>INDEX('Draft Engine'!$E$194:$E$225,$O13)</f>
        <v>82</v>
      </c>
      <c r="E13" t="str">
        <f t="shared" si="0"/>
        <v>TIER 3</v>
      </c>
      <c r="F13">
        <f>INDEX('Draft Engine'!$G$194:$G$225,$O13)</f>
        <v>97.6</v>
      </c>
      <c r="G13">
        <f>INDEX('Draft Engine'!$J$194:$J$225,$O13)</f>
        <v>-2</v>
      </c>
      <c r="H13">
        <f>INDEX('Draft Engine'!$N$194:$N$225,$O13)</f>
        <v>42.24</v>
      </c>
      <c r="I13">
        <f>INDEX('Draft Engine'!$Q$194:$Q$225,$O13)</f>
        <v>200</v>
      </c>
      <c r="J13">
        <f>INDEX('Draft Engine'!$R$194:$R$225,$O13)</f>
        <v>200</v>
      </c>
      <c r="K13">
        <f>INDEX('Draft Engine'!$S$194:$S$225,$O13)</f>
        <v>0</v>
      </c>
      <c r="L13" t="str">
        <f>INDEX('Draft Engine'!$T$194:$T$225,$O13)</f>
        <v>B</v>
      </c>
      <c r="M13" t="str">
        <f>INDEX('LIVE SOURCE'!$H$194:$H$225,$O13)</f>
        <v>Streaming/late-round defense; matchup matters more than preseason rank.</v>
      </c>
      <c r="N13" t="str">
        <f>INDEX('LIVE SOURCE'!$J$194:$J$225,$O13)</f>
        <v>DST scoring is highly opponent- and turnover-dependent, making season-long rank fragile.</v>
      </c>
      <c r="O13" s="6">
        <f>MATCH($A13,'Draft Engine'!$F$194:$F$225,0)</f>
        <v>11</v>
      </c>
    </row>
    <row r="14" spans="1:15" x14ac:dyDescent="0.25">
      <c r="A14">
        <f>12</f>
        <v>12</v>
      </c>
      <c r="B14" t="str">
        <f>INDEX('Draft Engine'!$B$194:$B$225,$O14)</f>
        <v>Green Bay Packers</v>
      </c>
      <c r="C14" t="str">
        <f>INDEX('LIVE SOURCE'!$C$194:$C$225,$O14)</f>
        <v>GB</v>
      </c>
      <c r="D14" s="4">
        <f>INDEX('Draft Engine'!$E$194:$E$225,$O14)</f>
        <v>80.900000000000006</v>
      </c>
      <c r="E14" t="str">
        <f t="shared" si="0"/>
        <v>TIER 3</v>
      </c>
      <c r="F14">
        <f>INDEX('Draft Engine'!$G$194:$G$225,$O14)</f>
        <v>95.6</v>
      </c>
      <c r="G14">
        <f>INDEX('Draft Engine'!$J$194:$J$225,$O14)</f>
        <v>-4</v>
      </c>
      <c r="H14">
        <f>INDEX('Draft Engine'!$N$194:$N$225,$O14)</f>
        <v>40.775000000000006</v>
      </c>
      <c r="I14">
        <f>INDEX('Draft Engine'!$Q$194:$Q$225,$O14)</f>
        <v>201</v>
      </c>
      <c r="J14">
        <f>INDEX('Draft Engine'!$R$194:$R$225,$O14)</f>
        <v>204</v>
      </c>
      <c r="K14">
        <f>INDEX('Draft Engine'!$S$194:$S$225,$O14)</f>
        <v>3</v>
      </c>
      <c r="L14" t="str">
        <f>INDEX('Draft Engine'!$T$194:$T$225,$O14)</f>
        <v>B</v>
      </c>
      <c r="M14" t="str">
        <f>INDEX('LIVE SOURCE'!$H$194:$H$225,$O14)</f>
        <v>Streaming/late-round defense; matchup matters more than preseason rank.</v>
      </c>
      <c r="N14" t="str">
        <f>INDEX('LIVE SOURCE'!$J$194:$J$225,$O14)</f>
        <v>DST scoring is highly opponent- and turnover-dependent, making season-long rank fragile.</v>
      </c>
      <c r="O14" s="6">
        <f>MATCH($A14,'Draft Engine'!$F$194:$F$225,0)</f>
        <v>12</v>
      </c>
    </row>
    <row r="15" spans="1:15" x14ac:dyDescent="0.25">
      <c r="A15">
        <f>13</f>
        <v>13</v>
      </c>
      <c r="B15" t="str">
        <f>INDEX('Draft Engine'!$B$194:$B$225,$O15)</f>
        <v>Detroit Lions</v>
      </c>
      <c r="C15" t="str">
        <f>INDEX('LIVE SOURCE'!$C$194:$C$225,$O15)</f>
        <v>DET</v>
      </c>
      <c r="D15" s="4">
        <f>INDEX('Draft Engine'!$E$194:$E$225,$O15)</f>
        <v>79.8</v>
      </c>
      <c r="E15" t="str">
        <f t="shared" si="0"/>
        <v>TIER 4</v>
      </c>
      <c r="F15">
        <f>INDEX('Draft Engine'!$G$194:$G$225,$O15)</f>
        <v>93.6</v>
      </c>
      <c r="G15">
        <f>INDEX('Draft Engine'!$J$194:$J$225,$O15)</f>
        <v>-6</v>
      </c>
      <c r="H15">
        <f>INDEX('Draft Engine'!$N$194:$N$225,$O15)</f>
        <v>39.31</v>
      </c>
      <c r="I15">
        <f>INDEX('Draft Engine'!$Q$194:$Q$225,$O15)</f>
        <v>202</v>
      </c>
      <c r="J15">
        <f>INDEX('Draft Engine'!$R$194:$R$225,$O15)</f>
        <v>208</v>
      </c>
      <c r="K15">
        <f>INDEX('Draft Engine'!$S$194:$S$225,$O15)</f>
        <v>6</v>
      </c>
      <c r="L15" t="str">
        <f>INDEX('Draft Engine'!$T$194:$T$225,$O15)</f>
        <v>B</v>
      </c>
      <c r="M15" t="str">
        <f>INDEX('LIVE SOURCE'!$H$194:$H$225,$O15)</f>
        <v>Streaming/late-round defense; matchup matters more than preseason rank.</v>
      </c>
      <c r="N15" t="str">
        <f>INDEX('LIVE SOURCE'!$J$194:$J$225,$O15)</f>
        <v>DST scoring is highly opponent- and turnover-dependent, making season-long rank fragile.</v>
      </c>
      <c r="O15" s="6">
        <f>MATCH($A15,'Draft Engine'!$F$194:$F$225,0)</f>
        <v>13</v>
      </c>
    </row>
    <row r="16" spans="1:15" x14ac:dyDescent="0.25">
      <c r="A16">
        <f>14</f>
        <v>14</v>
      </c>
      <c r="B16" t="str">
        <f>INDEX('Draft Engine'!$B$194:$B$225,$O16)</f>
        <v>Buffalo Bills</v>
      </c>
      <c r="C16" t="str">
        <f>INDEX('LIVE SOURCE'!$C$194:$C$225,$O16)</f>
        <v>BUF</v>
      </c>
      <c r="D16" s="4">
        <f>INDEX('Draft Engine'!$E$194:$E$225,$O16)</f>
        <v>78.7</v>
      </c>
      <c r="E16" t="str">
        <f t="shared" si="0"/>
        <v>TIER 4</v>
      </c>
      <c r="F16">
        <f>INDEX('Draft Engine'!$G$194:$G$225,$O16)</f>
        <v>91.7</v>
      </c>
      <c r="G16">
        <f>INDEX('Draft Engine'!$J$194:$J$225,$O16)</f>
        <v>-7.9</v>
      </c>
      <c r="H16">
        <f>INDEX('Draft Engine'!$N$194:$N$225,$O16)</f>
        <v>37.863</v>
      </c>
      <c r="I16">
        <f>INDEX('Draft Engine'!$Q$194:$Q$225,$O16)</f>
        <v>203</v>
      </c>
      <c r="J16">
        <f>INDEX('Draft Engine'!$R$194:$R$225,$O16)</f>
        <v>212</v>
      </c>
      <c r="K16">
        <f>INDEX('Draft Engine'!$S$194:$S$225,$O16)</f>
        <v>9</v>
      </c>
      <c r="L16" t="str">
        <f>INDEX('Draft Engine'!$T$194:$T$225,$O16)</f>
        <v>B</v>
      </c>
      <c r="M16" t="str">
        <f>INDEX('LIVE SOURCE'!$H$194:$H$225,$O16)</f>
        <v>Streaming/late-round defense; matchup matters more than preseason rank.</v>
      </c>
      <c r="N16" t="str">
        <f>INDEX('LIVE SOURCE'!$J$194:$J$225,$O16)</f>
        <v>DST scoring is highly opponent- and turnover-dependent, making season-long rank fragile.</v>
      </c>
      <c r="O16" s="6">
        <f>MATCH($A16,'Draft Engine'!$F$194:$F$225,0)</f>
        <v>14</v>
      </c>
    </row>
    <row r="17" spans="1:15" x14ac:dyDescent="0.25">
      <c r="A17">
        <f>15</f>
        <v>15</v>
      </c>
      <c r="B17" t="str">
        <f>INDEX('Draft Engine'!$B$194:$B$225,$O17)</f>
        <v>Kansas City Chiefs</v>
      </c>
      <c r="C17" t="str">
        <f>INDEX('LIVE SOURCE'!$C$194:$C$225,$O17)</f>
        <v>KC</v>
      </c>
      <c r="D17" s="4">
        <f>INDEX('Draft Engine'!$E$194:$E$225,$O17)</f>
        <v>77.599999999999994</v>
      </c>
      <c r="E17" t="str">
        <f t="shared" si="0"/>
        <v>TIER 4</v>
      </c>
      <c r="F17">
        <f>INDEX('Draft Engine'!$G$194:$G$225,$O17)</f>
        <v>89.7</v>
      </c>
      <c r="G17">
        <f>INDEX('Draft Engine'!$J$194:$J$225,$O17)</f>
        <v>-9.9</v>
      </c>
      <c r="H17">
        <f>INDEX('Draft Engine'!$N$194:$N$225,$O17)</f>
        <v>36.397999999999996</v>
      </c>
      <c r="I17">
        <f>INDEX('Draft Engine'!$Q$194:$Q$225,$O17)</f>
        <v>204</v>
      </c>
      <c r="J17">
        <f>INDEX('Draft Engine'!$R$194:$R$225,$O17)</f>
        <v>216</v>
      </c>
      <c r="K17">
        <f>INDEX('Draft Engine'!$S$194:$S$225,$O17)</f>
        <v>12</v>
      </c>
      <c r="L17" t="str">
        <f>INDEX('Draft Engine'!$T$194:$T$225,$O17)</f>
        <v>B</v>
      </c>
      <c r="M17" t="str">
        <f>INDEX('LIVE SOURCE'!$H$194:$H$225,$O17)</f>
        <v>Streaming/late-round defense; matchup matters more than preseason rank.</v>
      </c>
      <c r="N17" t="str">
        <f>INDEX('LIVE SOURCE'!$J$194:$J$225,$O17)</f>
        <v>DST scoring is highly opponent- and turnover-dependent, making season-long rank fragile.</v>
      </c>
      <c r="O17" s="6">
        <f>MATCH($A17,'Draft Engine'!$F$194:$F$225,0)</f>
        <v>15</v>
      </c>
    </row>
    <row r="18" spans="1:15" x14ac:dyDescent="0.25">
      <c r="A18">
        <f>16</f>
        <v>16</v>
      </c>
      <c r="B18" t="str">
        <f>INDEX('Draft Engine'!$B$194:$B$225,$O18)</f>
        <v>Cleveland Browns</v>
      </c>
      <c r="C18" t="str">
        <f>INDEX('LIVE SOURCE'!$C$194:$C$225,$O18)</f>
        <v>CLE</v>
      </c>
      <c r="D18" s="4">
        <f>INDEX('Draft Engine'!$E$194:$E$225,$O18)</f>
        <v>76.5</v>
      </c>
      <c r="E18" t="str">
        <f t="shared" si="0"/>
        <v>TIER 4</v>
      </c>
      <c r="F18">
        <f>INDEX('Draft Engine'!$G$194:$G$225,$O18)</f>
        <v>87.7</v>
      </c>
      <c r="G18">
        <f>INDEX('Draft Engine'!$J$194:$J$225,$O18)</f>
        <v>-11.9</v>
      </c>
      <c r="H18">
        <f>INDEX('Draft Engine'!$N$194:$N$225,$O18)</f>
        <v>34.933</v>
      </c>
      <c r="I18">
        <f>INDEX('Draft Engine'!$Q$194:$Q$225,$O18)</f>
        <v>205</v>
      </c>
      <c r="J18">
        <f>INDEX('Draft Engine'!$R$194:$R$225,$O18)</f>
        <v>220</v>
      </c>
      <c r="K18">
        <f>INDEX('Draft Engine'!$S$194:$S$225,$O18)</f>
        <v>15</v>
      </c>
      <c r="L18" t="str">
        <f>INDEX('Draft Engine'!$T$194:$T$225,$O18)</f>
        <v>B</v>
      </c>
      <c r="M18" t="str">
        <f>INDEX('LIVE SOURCE'!$H$194:$H$225,$O18)</f>
        <v>Streaming/late-round defense; matchup matters more than preseason rank.</v>
      </c>
      <c r="N18" t="str">
        <f>INDEX('LIVE SOURCE'!$J$194:$J$225,$O18)</f>
        <v>DST scoring is highly opponent- and turnover-dependent, making season-long rank fragile.</v>
      </c>
      <c r="O18" s="6">
        <f>MATCH($A18,'Draft Engine'!$F$194:$F$225,0)</f>
        <v>16</v>
      </c>
    </row>
    <row r="19" spans="1:15" x14ac:dyDescent="0.25">
      <c r="A19">
        <f>17</f>
        <v>17</v>
      </c>
      <c r="B19" t="str">
        <f>INDEX('Draft Engine'!$B$194:$B$225,$O19)</f>
        <v>San Francisco 49ers</v>
      </c>
      <c r="C19" t="str">
        <f>INDEX('LIVE SOURCE'!$C$194:$C$225,$O19)</f>
        <v>SF</v>
      </c>
      <c r="D19" s="4">
        <f>INDEX('Draft Engine'!$E$194:$E$225,$O19)</f>
        <v>75.400000000000006</v>
      </c>
      <c r="E19" t="str">
        <f t="shared" si="0"/>
        <v>TIER 4</v>
      </c>
      <c r="F19">
        <f>INDEX('Draft Engine'!$G$194:$G$225,$O19)</f>
        <v>85.7</v>
      </c>
      <c r="G19">
        <f>INDEX('Draft Engine'!$J$194:$J$225,$O19)</f>
        <v>-13.9</v>
      </c>
      <c r="H19">
        <f>INDEX('Draft Engine'!$N$194:$N$225,$O19)</f>
        <v>33.968000000000004</v>
      </c>
      <c r="I19">
        <f>INDEX('Draft Engine'!$Q$194:$Q$225,$O19)</f>
        <v>206</v>
      </c>
      <c r="J19">
        <f>INDEX('Draft Engine'!$R$194:$R$225,$O19)</f>
        <v>224</v>
      </c>
      <c r="K19">
        <f>INDEX('Draft Engine'!$S$194:$S$225,$O19)</f>
        <v>18</v>
      </c>
      <c r="L19" t="str">
        <f>INDEX('Draft Engine'!$T$194:$T$225,$O19)</f>
        <v>B</v>
      </c>
      <c r="M19" t="str">
        <f>INDEX('LIVE SOURCE'!$H$194:$H$225,$O19)</f>
        <v>Streaming/late-round defense; matchup matters more than preseason rank.</v>
      </c>
      <c r="N19" t="str">
        <f>INDEX('LIVE SOURCE'!$J$194:$J$225,$O19)</f>
        <v>DST scoring is highly opponent- and turnover-dependent, making season-long rank fragile.</v>
      </c>
      <c r="O19" s="6">
        <f>MATCH($A19,'Draft Engine'!$F$194:$F$225,0)</f>
        <v>17</v>
      </c>
    </row>
    <row r="20" spans="1:15" x14ac:dyDescent="0.25">
      <c r="A20">
        <f>18</f>
        <v>18</v>
      </c>
      <c r="B20" t="str">
        <f>INDEX('Draft Engine'!$B$194:$B$225,$O20)</f>
        <v>New Orleans Saints</v>
      </c>
      <c r="C20" t="str">
        <f>INDEX('LIVE SOURCE'!$C$194:$C$225,$O20)</f>
        <v>NO</v>
      </c>
      <c r="D20" s="4">
        <f>INDEX('Draft Engine'!$E$194:$E$225,$O20)</f>
        <v>74.3</v>
      </c>
      <c r="E20" t="str">
        <f t="shared" si="0"/>
        <v>TIER 5</v>
      </c>
      <c r="F20">
        <f>INDEX('Draft Engine'!$G$194:$G$225,$O20)</f>
        <v>83.7</v>
      </c>
      <c r="G20">
        <f>INDEX('Draft Engine'!$J$194:$J$225,$O20)</f>
        <v>-15.9</v>
      </c>
      <c r="H20">
        <f>INDEX('Draft Engine'!$N$194:$N$225,$O20)</f>
        <v>33.003</v>
      </c>
      <c r="I20">
        <f>INDEX('Draft Engine'!$Q$194:$Q$225,$O20)</f>
        <v>207</v>
      </c>
      <c r="J20">
        <f>INDEX('Draft Engine'!$R$194:$R$225,$O20)</f>
        <v>228</v>
      </c>
      <c r="K20">
        <f>INDEX('Draft Engine'!$S$194:$S$225,$O20)</f>
        <v>21</v>
      </c>
      <c r="L20" t="str">
        <f>INDEX('Draft Engine'!$T$194:$T$225,$O20)</f>
        <v>B</v>
      </c>
      <c r="M20" t="str">
        <f>INDEX('LIVE SOURCE'!$H$194:$H$225,$O20)</f>
        <v>Streaming/late-round defense; matchup matters more than preseason rank.</v>
      </c>
      <c r="N20" t="str">
        <f>INDEX('LIVE SOURCE'!$J$194:$J$225,$O20)</f>
        <v>DST scoring is highly opponent- and turnover-dependent, making season-long rank fragile.</v>
      </c>
      <c r="O20" s="6">
        <f>MATCH($A20,'Draft Engine'!$F$194:$F$225,0)</f>
        <v>18</v>
      </c>
    </row>
    <row r="21" spans="1:15" x14ac:dyDescent="0.25">
      <c r="A21">
        <f>19</f>
        <v>19</v>
      </c>
      <c r="B21" t="str">
        <f>INDEX('Draft Engine'!$B$194:$B$225,$O21)</f>
        <v>Atlanta Falcons</v>
      </c>
      <c r="C21" t="str">
        <f>INDEX('LIVE SOURCE'!$C$194:$C$225,$O21)</f>
        <v>ATL</v>
      </c>
      <c r="D21" s="4">
        <f>INDEX('Draft Engine'!$E$194:$E$225,$O21)</f>
        <v>73.2</v>
      </c>
      <c r="E21" t="str">
        <f t="shared" si="0"/>
        <v>TIER 5</v>
      </c>
      <c r="F21">
        <f>INDEX('Draft Engine'!$G$194:$G$225,$O21)</f>
        <v>81.8</v>
      </c>
      <c r="G21">
        <f>INDEX('Draft Engine'!$J$194:$J$225,$O21)</f>
        <v>-17.8</v>
      </c>
      <c r="H21">
        <f>INDEX('Draft Engine'!$N$194:$N$225,$O21)</f>
        <v>32.056000000000004</v>
      </c>
      <c r="I21">
        <f>INDEX('Draft Engine'!$Q$194:$Q$225,$O21)</f>
        <v>208</v>
      </c>
      <c r="J21">
        <f>INDEX('Draft Engine'!$R$194:$R$225,$O21)</f>
        <v>232</v>
      </c>
      <c r="K21">
        <f>INDEX('Draft Engine'!$S$194:$S$225,$O21)</f>
        <v>24</v>
      </c>
      <c r="L21" t="str">
        <f>INDEX('Draft Engine'!$T$194:$T$225,$O21)</f>
        <v>B</v>
      </c>
      <c r="M21" t="str">
        <f>INDEX('LIVE SOURCE'!$H$194:$H$225,$O21)</f>
        <v>Streaming/late-round defense; matchup matters more than preseason rank.</v>
      </c>
      <c r="N21" t="str">
        <f>INDEX('LIVE SOURCE'!$J$194:$J$225,$O21)</f>
        <v>DST scoring is highly opponent- and turnover-dependent, making season-long rank fragile.</v>
      </c>
      <c r="O21" s="6">
        <f>MATCH($A21,'Draft Engine'!$F$194:$F$225,0)</f>
        <v>19</v>
      </c>
    </row>
    <row r="22" spans="1:15" x14ac:dyDescent="0.25">
      <c r="A22">
        <f>20</f>
        <v>20</v>
      </c>
      <c r="B22" t="str">
        <f>INDEX('Draft Engine'!$B$194:$B$225,$O22)</f>
        <v>Chicago Bears</v>
      </c>
      <c r="C22" t="str">
        <f>INDEX('LIVE SOURCE'!$C$194:$C$225,$O22)</f>
        <v>CHI</v>
      </c>
      <c r="D22" s="4">
        <f>INDEX('Draft Engine'!$E$194:$E$225,$O22)</f>
        <v>72.099999999999994</v>
      </c>
      <c r="E22" t="str">
        <f t="shared" si="0"/>
        <v>TIER 5</v>
      </c>
      <c r="F22">
        <f>INDEX('Draft Engine'!$G$194:$G$225,$O22)</f>
        <v>79.8</v>
      </c>
      <c r="G22">
        <f>INDEX('Draft Engine'!$J$194:$J$225,$O22)</f>
        <v>-19.8</v>
      </c>
      <c r="H22">
        <f>INDEX('Draft Engine'!$N$194:$N$225,$O22)</f>
        <v>31.091000000000001</v>
      </c>
      <c r="I22">
        <f>INDEX('Draft Engine'!$Q$194:$Q$225,$O22)</f>
        <v>209</v>
      </c>
      <c r="J22">
        <f>INDEX('Draft Engine'!$R$194:$R$225,$O22)</f>
        <v>236</v>
      </c>
      <c r="K22">
        <f>INDEX('Draft Engine'!$S$194:$S$225,$O22)</f>
        <v>27</v>
      </c>
      <c r="L22" t="str">
        <f>INDEX('Draft Engine'!$T$194:$T$225,$O22)</f>
        <v>B</v>
      </c>
      <c r="M22" t="str">
        <f>INDEX('LIVE SOURCE'!$H$194:$H$225,$O22)</f>
        <v>Streaming/late-round defense; matchup matters more than preseason rank.</v>
      </c>
      <c r="N22" t="str">
        <f>INDEX('LIVE SOURCE'!$J$194:$J$225,$O22)</f>
        <v>DST scoring is highly opponent- and turnover-dependent, making season-long rank fragile.</v>
      </c>
      <c r="O22" s="6">
        <f>MATCH($A22,'Draft Engine'!$F$194:$F$225,0)</f>
        <v>20</v>
      </c>
    </row>
    <row r="23" spans="1:15" x14ac:dyDescent="0.25">
      <c r="A23">
        <f>21</f>
        <v>21</v>
      </c>
      <c r="B23" t="str">
        <f>INDEX('Draft Engine'!$B$194:$B$225,$O23)</f>
        <v>Indianapolis Colts</v>
      </c>
      <c r="C23" t="str">
        <f>INDEX('LIVE SOURCE'!$C$194:$C$225,$O23)</f>
        <v>IND</v>
      </c>
      <c r="D23" s="4">
        <f>INDEX('Draft Engine'!$E$194:$E$225,$O23)</f>
        <v>71</v>
      </c>
      <c r="E23" t="str">
        <f t="shared" si="0"/>
        <v>TIER 5</v>
      </c>
      <c r="F23">
        <f>INDEX('Draft Engine'!$G$194:$G$225,$O23)</f>
        <v>77.8</v>
      </c>
      <c r="G23">
        <f>INDEX('Draft Engine'!$J$194:$J$225,$O23)</f>
        <v>-21.8</v>
      </c>
      <c r="H23">
        <f>INDEX('Draft Engine'!$N$194:$N$225,$O23)</f>
        <v>30.126000000000005</v>
      </c>
      <c r="I23">
        <f>INDEX('Draft Engine'!$Q$194:$Q$225,$O23)</f>
        <v>210</v>
      </c>
      <c r="J23">
        <f>INDEX('Draft Engine'!$R$194:$R$225,$O23)</f>
        <v>240</v>
      </c>
      <c r="K23">
        <f>INDEX('Draft Engine'!$S$194:$S$225,$O23)</f>
        <v>30</v>
      </c>
      <c r="L23" t="str">
        <f>INDEX('Draft Engine'!$T$194:$T$225,$O23)</f>
        <v>B</v>
      </c>
      <c r="M23" t="str">
        <f>INDEX('LIVE SOURCE'!$H$194:$H$225,$O23)</f>
        <v>Streaming/late-round defense; matchup matters more than preseason rank.</v>
      </c>
      <c r="N23" t="str">
        <f>INDEX('LIVE SOURCE'!$J$194:$J$225,$O23)</f>
        <v>DST scoring is highly opponent- and turnover-dependent, making season-long rank fragile.</v>
      </c>
      <c r="O23" s="6">
        <f>MATCH($A23,'Draft Engine'!$F$194:$F$225,0)</f>
        <v>21</v>
      </c>
    </row>
    <row r="24" spans="1:15" x14ac:dyDescent="0.25">
      <c r="A24">
        <f>22</f>
        <v>22</v>
      </c>
      <c r="B24" t="str">
        <f>INDEX('Draft Engine'!$B$194:$B$225,$O24)</f>
        <v>New York Giants</v>
      </c>
      <c r="C24" t="str">
        <f>INDEX('LIVE SOURCE'!$C$194:$C$225,$O24)</f>
        <v>NYG</v>
      </c>
      <c r="D24" s="4">
        <f>INDEX('Draft Engine'!$E$194:$E$225,$O24)</f>
        <v>69.900000000000006</v>
      </c>
      <c r="E24" t="str">
        <f t="shared" si="0"/>
        <v>TIER 6</v>
      </c>
      <c r="F24">
        <f>INDEX('Draft Engine'!$G$194:$G$225,$O24)</f>
        <v>75.8</v>
      </c>
      <c r="G24">
        <f>INDEX('Draft Engine'!$J$194:$J$225,$O24)</f>
        <v>-23.8</v>
      </c>
      <c r="H24">
        <f>INDEX('Draft Engine'!$N$194:$N$225,$O24)</f>
        <v>29.161000000000008</v>
      </c>
      <c r="I24">
        <f>INDEX('Draft Engine'!$Q$194:$Q$225,$O24)</f>
        <v>211</v>
      </c>
      <c r="J24">
        <f>INDEX('Draft Engine'!$R$194:$R$225,$O24)</f>
        <v>244</v>
      </c>
      <c r="K24">
        <f>INDEX('Draft Engine'!$S$194:$S$225,$O24)</f>
        <v>33</v>
      </c>
      <c r="L24" t="str">
        <f>INDEX('Draft Engine'!$T$194:$T$225,$O24)</f>
        <v>B</v>
      </c>
      <c r="M24" t="str">
        <f>INDEX('LIVE SOURCE'!$H$194:$H$225,$O24)</f>
        <v>Streaming/late-round defense; matchup matters more than preseason rank.</v>
      </c>
      <c r="N24" t="str">
        <f>INDEX('LIVE SOURCE'!$J$194:$J$225,$O24)</f>
        <v>DST scoring is highly opponent- and turnover-dependent, making season-long rank fragile.</v>
      </c>
      <c r="O24" s="6">
        <f>MATCH($A24,'Draft Engine'!$F$194:$F$225,0)</f>
        <v>22</v>
      </c>
    </row>
    <row r="25" spans="1:15" x14ac:dyDescent="0.25">
      <c r="A25">
        <f>23</f>
        <v>23</v>
      </c>
      <c r="B25" t="str">
        <f>INDEX('Draft Engine'!$B$194:$B$225,$O25)</f>
        <v>Tampa Bay Buccaneers</v>
      </c>
      <c r="C25" t="str">
        <f>INDEX('LIVE SOURCE'!$C$194:$C$225,$O25)</f>
        <v>TB</v>
      </c>
      <c r="D25" s="4">
        <f>INDEX('Draft Engine'!$E$194:$E$225,$O25)</f>
        <v>68.8</v>
      </c>
      <c r="E25" t="str">
        <f t="shared" si="0"/>
        <v>TIER 6</v>
      </c>
      <c r="F25">
        <f>INDEX('Draft Engine'!$G$194:$G$225,$O25)</f>
        <v>73.8</v>
      </c>
      <c r="G25">
        <f>INDEX('Draft Engine'!$J$194:$J$225,$O25)</f>
        <v>-25.8</v>
      </c>
      <c r="H25">
        <f>INDEX('Draft Engine'!$N$194:$N$225,$O25)</f>
        <v>28.195999999999998</v>
      </c>
      <c r="I25">
        <f>INDEX('Draft Engine'!$Q$194:$Q$225,$O25)</f>
        <v>212</v>
      </c>
      <c r="J25">
        <f>INDEX('Draft Engine'!$R$194:$R$225,$O25)</f>
        <v>248</v>
      </c>
      <c r="K25">
        <f>INDEX('Draft Engine'!$S$194:$S$225,$O25)</f>
        <v>36</v>
      </c>
      <c r="L25" t="str">
        <f>INDEX('Draft Engine'!$T$194:$T$225,$O25)</f>
        <v>B</v>
      </c>
      <c r="M25" t="str">
        <f>INDEX('LIVE SOURCE'!$H$194:$H$225,$O25)</f>
        <v>Streaming/late-round defense; matchup matters more than preseason rank.</v>
      </c>
      <c r="N25" t="str">
        <f>INDEX('LIVE SOURCE'!$J$194:$J$225,$O25)</f>
        <v>DST scoring is highly opponent- and turnover-dependent, making season-long rank fragile.</v>
      </c>
      <c r="O25" s="6">
        <f>MATCH($A25,'Draft Engine'!$F$194:$F$225,0)</f>
        <v>23</v>
      </c>
    </row>
    <row r="26" spans="1:15" x14ac:dyDescent="0.25">
      <c r="A26">
        <f>24</f>
        <v>24</v>
      </c>
      <c r="B26" t="str">
        <f>INDEX('Draft Engine'!$B$194:$B$225,$O26)</f>
        <v>Dallas Cowboys</v>
      </c>
      <c r="C26" t="str">
        <f>INDEX('LIVE SOURCE'!$C$194:$C$225,$O26)</f>
        <v>DAL</v>
      </c>
      <c r="D26" s="4">
        <f>INDEX('Draft Engine'!$E$194:$E$225,$O26)</f>
        <v>67.7</v>
      </c>
      <c r="E26" t="str">
        <f t="shared" si="0"/>
        <v>TIER 6</v>
      </c>
      <c r="F26">
        <f>INDEX('Draft Engine'!$G$194:$G$225,$O26)</f>
        <v>71.900000000000006</v>
      </c>
      <c r="G26">
        <f>INDEX('Draft Engine'!$J$194:$J$225,$O26)</f>
        <v>-27.7</v>
      </c>
      <c r="H26">
        <f>INDEX('Draft Engine'!$N$194:$N$225,$O26)</f>
        <v>27.249000000000009</v>
      </c>
      <c r="I26">
        <f>INDEX('Draft Engine'!$Q$194:$Q$225,$O26)</f>
        <v>213</v>
      </c>
      <c r="J26">
        <f>INDEX('Draft Engine'!$R$194:$R$225,$O26)</f>
        <v>252</v>
      </c>
      <c r="K26">
        <f>INDEX('Draft Engine'!$S$194:$S$225,$O26)</f>
        <v>39</v>
      </c>
      <c r="L26" t="str">
        <f>INDEX('Draft Engine'!$T$194:$T$225,$O26)</f>
        <v>B</v>
      </c>
      <c r="M26" t="str">
        <f>INDEX('LIVE SOURCE'!$H$194:$H$225,$O26)</f>
        <v>Streaming/late-round defense; matchup matters more than preseason rank.</v>
      </c>
      <c r="N26" t="str">
        <f>INDEX('LIVE SOURCE'!$J$194:$J$225,$O26)</f>
        <v>DST scoring is highly opponent- and turnover-dependent, making season-long rank fragile.</v>
      </c>
      <c r="O26" s="6">
        <f>MATCH($A26,'Draft Engine'!$F$194:$F$225,0)</f>
        <v>24</v>
      </c>
    </row>
    <row r="27" spans="1:15" x14ac:dyDescent="0.25">
      <c r="A27">
        <f>25</f>
        <v>25</v>
      </c>
      <c r="B27" t="str">
        <f>INDEX('Draft Engine'!$B$194:$B$225,$O27)</f>
        <v>Carolina Panthers</v>
      </c>
      <c r="C27" t="str">
        <f>INDEX('LIVE SOURCE'!$C$194:$C$225,$O27)</f>
        <v>CAR</v>
      </c>
      <c r="D27" s="4">
        <f>INDEX('Draft Engine'!$E$194:$E$225,$O27)</f>
        <v>66.599999999999994</v>
      </c>
      <c r="E27" t="str">
        <f t="shared" si="0"/>
        <v>TIER 6</v>
      </c>
      <c r="F27">
        <f>INDEX('Draft Engine'!$G$194:$G$225,$O27)</f>
        <v>69.900000000000006</v>
      </c>
      <c r="G27">
        <f>INDEX('Draft Engine'!$J$194:$J$225,$O27)</f>
        <v>-29.7</v>
      </c>
      <c r="H27">
        <f>INDEX('Draft Engine'!$N$194:$N$225,$O27)</f>
        <v>26.284000000000006</v>
      </c>
      <c r="I27">
        <f>INDEX('Draft Engine'!$Q$194:$Q$225,$O27)</f>
        <v>214</v>
      </c>
      <c r="J27">
        <f>INDEX('Draft Engine'!$R$194:$R$225,$O27)</f>
        <v>256</v>
      </c>
      <c r="K27">
        <f>INDEX('Draft Engine'!$S$194:$S$225,$O27)</f>
        <v>42</v>
      </c>
      <c r="L27" t="str">
        <f>INDEX('Draft Engine'!$T$194:$T$225,$O27)</f>
        <v>B</v>
      </c>
      <c r="M27" t="str">
        <f>INDEX('LIVE SOURCE'!$H$194:$H$225,$O27)</f>
        <v>Streaming/late-round defense; matchup matters more than preseason rank.</v>
      </c>
      <c r="N27" t="str">
        <f>INDEX('LIVE SOURCE'!$J$194:$J$225,$O27)</f>
        <v>DST scoring is highly opponent- and turnover-dependent, making season-long rank fragile.</v>
      </c>
      <c r="O27" s="6">
        <f>MATCH($A27,'Draft Engine'!$F$194:$F$225,0)</f>
        <v>25</v>
      </c>
    </row>
    <row r="28" spans="1:15" x14ac:dyDescent="0.25">
      <c r="A28">
        <f>26</f>
        <v>26</v>
      </c>
      <c r="B28" t="str">
        <f>INDEX('Draft Engine'!$B$194:$B$225,$O28)</f>
        <v>Tennessee Titans</v>
      </c>
      <c r="C28" t="str">
        <f>INDEX('LIVE SOURCE'!$C$194:$C$225,$O28)</f>
        <v>TEN</v>
      </c>
      <c r="D28" s="4">
        <f>INDEX('Draft Engine'!$E$194:$E$225,$O28)</f>
        <v>65.5</v>
      </c>
      <c r="E28" t="str">
        <f t="shared" si="0"/>
        <v>TIER 6</v>
      </c>
      <c r="F28">
        <f>INDEX('Draft Engine'!$G$194:$G$225,$O28)</f>
        <v>67.900000000000006</v>
      </c>
      <c r="G28">
        <f>INDEX('Draft Engine'!$J$194:$J$225,$O28)</f>
        <v>-31.7</v>
      </c>
      <c r="H28">
        <f>INDEX('Draft Engine'!$N$194:$N$225,$O28)</f>
        <v>25.319000000000003</v>
      </c>
      <c r="I28">
        <f>INDEX('Draft Engine'!$Q$194:$Q$225,$O28)</f>
        <v>215</v>
      </c>
      <c r="J28">
        <f>INDEX('Draft Engine'!$R$194:$R$225,$O28)</f>
        <v>260</v>
      </c>
      <c r="K28">
        <f>INDEX('Draft Engine'!$S$194:$S$225,$O28)</f>
        <v>45</v>
      </c>
      <c r="L28" t="str">
        <f>INDEX('Draft Engine'!$T$194:$T$225,$O28)</f>
        <v>B</v>
      </c>
      <c r="M28" t="str">
        <f>INDEX('LIVE SOURCE'!$H$194:$H$225,$O28)</f>
        <v>Streaming/late-round defense; matchup matters more than preseason rank.</v>
      </c>
      <c r="N28" t="str">
        <f>INDEX('LIVE SOURCE'!$J$194:$J$225,$O28)</f>
        <v>DST scoring is highly opponent- and turnover-dependent, making season-long rank fragile.</v>
      </c>
      <c r="O28" s="6">
        <f>MATCH($A28,'Draft Engine'!$F$194:$F$225,0)</f>
        <v>26</v>
      </c>
    </row>
    <row r="29" spans="1:15" x14ac:dyDescent="0.25">
      <c r="A29">
        <f>27</f>
        <v>27</v>
      </c>
      <c r="B29" t="str">
        <f>INDEX('Draft Engine'!$B$194:$B$225,$O29)</f>
        <v>Miami Dolphins</v>
      </c>
      <c r="C29" t="str">
        <f>INDEX('LIVE SOURCE'!$C$194:$C$225,$O29)</f>
        <v>MIA</v>
      </c>
      <c r="D29" s="4">
        <f>INDEX('Draft Engine'!$E$194:$E$225,$O29)</f>
        <v>64.400000000000006</v>
      </c>
      <c r="E29" t="str">
        <f t="shared" si="0"/>
        <v>TIER 7</v>
      </c>
      <c r="F29">
        <f>INDEX('Draft Engine'!$G$194:$G$225,$O29)</f>
        <v>65.900000000000006</v>
      </c>
      <c r="G29">
        <f>INDEX('Draft Engine'!$J$194:$J$225,$O29)</f>
        <v>-33.700000000000003</v>
      </c>
      <c r="H29">
        <f>INDEX('Draft Engine'!$N$194:$N$225,$O29)</f>
        <v>24.354000000000006</v>
      </c>
      <c r="I29">
        <f>INDEX('Draft Engine'!$Q$194:$Q$225,$O29)</f>
        <v>216</v>
      </c>
      <c r="J29">
        <f>INDEX('Draft Engine'!$R$194:$R$225,$O29)</f>
        <v>264</v>
      </c>
      <c r="K29">
        <f>INDEX('Draft Engine'!$S$194:$S$225,$O29)</f>
        <v>48</v>
      </c>
      <c r="L29" t="str">
        <f>INDEX('Draft Engine'!$T$194:$T$225,$O29)</f>
        <v>B</v>
      </c>
      <c r="M29" t="str">
        <f>INDEX('LIVE SOURCE'!$H$194:$H$225,$O29)</f>
        <v>Streaming/late-round defense; matchup matters more than preseason rank.</v>
      </c>
      <c r="N29" t="str">
        <f>INDEX('LIVE SOURCE'!$J$194:$J$225,$O29)</f>
        <v>DST scoring is highly opponent- and turnover-dependent, making season-long rank fragile.</v>
      </c>
      <c r="O29" s="6">
        <f>MATCH($A29,'Draft Engine'!$F$194:$F$225,0)</f>
        <v>27</v>
      </c>
    </row>
    <row r="30" spans="1:15" x14ac:dyDescent="0.25">
      <c r="A30">
        <f>28</f>
        <v>28</v>
      </c>
      <c r="B30" t="str">
        <f>INDEX('Draft Engine'!$B$194:$B$225,$O30)</f>
        <v>Washington Commanders</v>
      </c>
      <c r="C30" t="str">
        <f>INDEX('LIVE SOURCE'!$C$194:$C$225,$O30)</f>
        <v>WAS</v>
      </c>
      <c r="D30" s="4">
        <f>INDEX('Draft Engine'!$E$194:$E$225,$O30)</f>
        <v>63.3</v>
      </c>
      <c r="E30" t="str">
        <f t="shared" si="0"/>
        <v>TIER 7</v>
      </c>
      <c r="F30">
        <f>INDEX('Draft Engine'!$G$194:$G$225,$O30)</f>
        <v>63.9</v>
      </c>
      <c r="G30">
        <f>INDEX('Draft Engine'!$J$194:$J$225,$O30)</f>
        <v>-35.700000000000003</v>
      </c>
      <c r="H30">
        <f>INDEX('Draft Engine'!$N$194:$N$225,$O30)</f>
        <v>23.388999999999996</v>
      </c>
      <c r="I30">
        <f>INDEX('Draft Engine'!$Q$194:$Q$225,$O30)</f>
        <v>217</v>
      </c>
      <c r="J30">
        <f>INDEX('Draft Engine'!$R$194:$R$225,$O30)</f>
        <v>268</v>
      </c>
      <c r="K30">
        <f>INDEX('Draft Engine'!$S$194:$S$225,$O30)</f>
        <v>51</v>
      </c>
      <c r="L30" t="str">
        <f>INDEX('Draft Engine'!$T$194:$T$225,$O30)</f>
        <v>B</v>
      </c>
      <c r="M30" t="str">
        <f>INDEX('LIVE SOURCE'!$H$194:$H$225,$O30)</f>
        <v>Streaming/late-round defense; matchup matters more than preseason rank.</v>
      </c>
      <c r="N30" t="str">
        <f>INDEX('LIVE SOURCE'!$J$194:$J$225,$O30)</f>
        <v>DST scoring is highly opponent- and turnover-dependent, making season-long rank fragile.</v>
      </c>
      <c r="O30" s="6">
        <f>MATCH($A30,'Draft Engine'!$F$194:$F$225,0)</f>
        <v>28</v>
      </c>
    </row>
    <row r="31" spans="1:15" x14ac:dyDescent="0.25">
      <c r="A31">
        <f>29</f>
        <v>29</v>
      </c>
      <c r="B31" t="str">
        <f>INDEX('Draft Engine'!$B$194:$B$225,$O31)</f>
        <v>New York Jets</v>
      </c>
      <c r="C31" t="str">
        <f>INDEX('LIVE SOURCE'!$C$194:$C$225,$O31)</f>
        <v>NYJ</v>
      </c>
      <c r="D31" s="4">
        <f>INDEX('Draft Engine'!$E$194:$E$225,$O31)</f>
        <v>62.2</v>
      </c>
      <c r="E31" t="str">
        <f t="shared" si="0"/>
        <v>TIER 7</v>
      </c>
      <c r="F31">
        <f>INDEX('Draft Engine'!$G$194:$G$225,$O31)</f>
        <v>62</v>
      </c>
      <c r="G31">
        <f>INDEX('Draft Engine'!$J$194:$J$225,$O31)</f>
        <v>-37.6</v>
      </c>
      <c r="H31">
        <f>INDEX('Draft Engine'!$N$194:$N$225,$O31)</f>
        <v>22.442</v>
      </c>
      <c r="I31">
        <f>INDEX('Draft Engine'!$Q$194:$Q$225,$O31)</f>
        <v>218</v>
      </c>
      <c r="J31">
        <f>INDEX('Draft Engine'!$R$194:$R$225,$O31)</f>
        <v>272</v>
      </c>
      <c r="K31">
        <f>INDEX('Draft Engine'!$S$194:$S$225,$O31)</f>
        <v>54</v>
      </c>
      <c r="L31" t="str">
        <f>INDEX('Draft Engine'!$T$194:$T$225,$O31)</f>
        <v>B</v>
      </c>
      <c r="M31" t="str">
        <f>INDEX('LIVE SOURCE'!$H$194:$H$225,$O31)</f>
        <v>Streaming/late-round defense; matchup matters more than preseason rank.</v>
      </c>
      <c r="N31" t="str">
        <f>INDEX('LIVE SOURCE'!$J$194:$J$225,$O31)</f>
        <v>DST scoring is highly opponent- and turnover-dependent, making season-long rank fragile.</v>
      </c>
      <c r="O31" s="6">
        <f>MATCH($A31,'Draft Engine'!$F$194:$F$225,0)</f>
        <v>29</v>
      </c>
    </row>
    <row r="32" spans="1:15" x14ac:dyDescent="0.25">
      <c r="A32">
        <f>30</f>
        <v>30</v>
      </c>
      <c r="B32" t="str">
        <f>INDEX('Draft Engine'!$B$194:$B$225,$O32)</f>
        <v>Arizona Cardinals</v>
      </c>
      <c r="C32" t="str">
        <f>INDEX('LIVE SOURCE'!$C$194:$C$225,$O32)</f>
        <v>ARI</v>
      </c>
      <c r="D32" s="4">
        <f>INDEX('Draft Engine'!$E$194:$E$225,$O32)</f>
        <v>61.1</v>
      </c>
      <c r="E32" t="str">
        <f t="shared" si="0"/>
        <v>TIER 7</v>
      </c>
      <c r="F32">
        <f>INDEX('Draft Engine'!$G$194:$G$225,$O32)</f>
        <v>60</v>
      </c>
      <c r="G32">
        <f>INDEX('Draft Engine'!$J$194:$J$225,$O32)</f>
        <v>-39.6</v>
      </c>
      <c r="H32">
        <f>INDEX('Draft Engine'!$N$194:$N$225,$O32)</f>
        <v>21.477000000000004</v>
      </c>
      <c r="I32">
        <f>INDEX('Draft Engine'!$Q$194:$Q$225,$O32)</f>
        <v>219</v>
      </c>
      <c r="J32">
        <f>INDEX('Draft Engine'!$R$194:$R$225,$O32)</f>
        <v>276</v>
      </c>
      <c r="K32">
        <f>INDEX('Draft Engine'!$S$194:$S$225,$O32)</f>
        <v>57</v>
      </c>
      <c r="L32" t="str">
        <f>INDEX('Draft Engine'!$T$194:$T$225,$O32)</f>
        <v>B</v>
      </c>
      <c r="M32" t="str">
        <f>INDEX('LIVE SOURCE'!$H$194:$H$225,$O32)</f>
        <v>Streaming/late-round defense; matchup matters more than preseason rank.</v>
      </c>
      <c r="N32" t="str">
        <f>INDEX('LIVE SOURCE'!$J$194:$J$225,$O32)</f>
        <v>DST scoring is highly opponent- and turnover-dependent, making season-long rank fragile.</v>
      </c>
      <c r="O32" s="6">
        <f>MATCH($A32,'Draft Engine'!$F$194:$F$225,0)</f>
        <v>30</v>
      </c>
    </row>
    <row r="33" spans="1:15" x14ac:dyDescent="0.25">
      <c r="A33">
        <f>31</f>
        <v>31</v>
      </c>
      <c r="B33" t="str">
        <f>INDEX('Draft Engine'!$B$194:$B$225,$O33)</f>
        <v>Cincinnati Bengals</v>
      </c>
      <c r="C33" t="str">
        <f>INDEX('LIVE SOURCE'!$C$194:$C$225,$O33)</f>
        <v>CIN</v>
      </c>
      <c r="D33" s="4">
        <f>INDEX('Draft Engine'!$E$194:$E$225,$O33)</f>
        <v>60</v>
      </c>
      <c r="E33" t="str">
        <f t="shared" si="0"/>
        <v>TIER 7</v>
      </c>
      <c r="F33">
        <f>INDEX('Draft Engine'!$G$194:$G$225,$O33)</f>
        <v>58</v>
      </c>
      <c r="G33">
        <f>INDEX('Draft Engine'!$J$194:$J$225,$O33)</f>
        <v>-41.6</v>
      </c>
      <c r="H33">
        <f>INDEX('Draft Engine'!$N$194:$N$225,$O33)</f>
        <v>20.512</v>
      </c>
      <c r="I33">
        <f>INDEX('Draft Engine'!$Q$194:$Q$225,$O33)</f>
        <v>220</v>
      </c>
      <c r="J33">
        <f>INDEX('Draft Engine'!$R$194:$R$225,$O33)</f>
        <v>280</v>
      </c>
      <c r="K33">
        <f>INDEX('Draft Engine'!$S$194:$S$225,$O33)</f>
        <v>60</v>
      </c>
      <c r="L33" t="str">
        <f>INDEX('Draft Engine'!$T$194:$T$225,$O33)</f>
        <v>B</v>
      </c>
      <c r="M33" t="str">
        <f>INDEX('LIVE SOURCE'!$H$194:$H$225,$O33)</f>
        <v>Streaming/late-round defense; matchup matters more than preseason rank.</v>
      </c>
      <c r="N33" t="str">
        <f>INDEX('LIVE SOURCE'!$J$194:$J$225,$O33)</f>
        <v>DST scoring is highly opponent- and turnover-dependent, making season-long rank fragile.</v>
      </c>
      <c r="O33" s="6">
        <f>MATCH($A33,'Draft Engine'!$F$194:$F$225,0)</f>
        <v>31</v>
      </c>
    </row>
    <row r="34" spans="1:15" x14ac:dyDescent="0.25">
      <c r="A34">
        <f>32</f>
        <v>32</v>
      </c>
      <c r="B34" t="str">
        <f>INDEX('Draft Engine'!$B$194:$B$225,$O34)</f>
        <v>Las Vegas Raiders</v>
      </c>
      <c r="C34" t="str">
        <f>INDEX('LIVE SOURCE'!$C$194:$C$225,$O34)</f>
        <v>LV</v>
      </c>
      <c r="D34" s="4">
        <f>INDEX('Draft Engine'!$E$194:$E$225,$O34)</f>
        <v>58.9</v>
      </c>
      <c r="E34" t="str">
        <f t="shared" si="0"/>
        <v>TIER 7</v>
      </c>
      <c r="F34">
        <f>INDEX('Draft Engine'!$G$194:$G$225,$O34)</f>
        <v>56</v>
      </c>
      <c r="G34">
        <f>INDEX('Draft Engine'!$J$194:$J$225,$O34)</f>
        <v>-43.6</v>
      </c>
      <c r="H34">
        <f>INDEX('Draft Engine'!$N$194:$N$225,$O34)</f>
        <v>19.547000000000004</v>
      </c>
      <c r="I34">
        <f>INDEX('Draft Engine'!$Q$194:$Q$225,$O34)</f>
        <v>221</v>
      </c>
      <c r="J34">
        <f>INDEX('Draft Engine'!$R$194:$R$225,$O34)</f>
        <v>284</v>
      </c>
      <c r="K34">
        <f>INDEX('Draft Engine'!$S$194:$S$225,$O34)</f>
        <v>63</v>
      </c>
      <c r="L34" t="str">
        <f>INDEX('Draft Engine'!$T$194:$T$225,$O34)</f>
        <v>B</v>
      </c>
      <c r="M34" t="str">
        <f>INDEX('LIVE SOURCE'!$H$194:$H$225,$O34)</f>
        <v>Streaming/late-round defense; matchup matters more than preseason rank.</v>
      </c>
      <c r="N34" t="str">
        <f>INDEX('LIVE SOURCE'!$J$194:$J$225,$O34)</f>
        <v>DST scoring is highly opponent- and turnover-dependent, making season-long rank fragile.</v>
      </c>
      <c r="O34" s="6">
        <f>MATCH($A34,'Draft Engine'!$F$194:$F$225,0)</f>
        <v>32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70AD47"/>
  </sheetPr>
  <dimension ref="A1:Z225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6" customWidth="1"/>
    <col min="2" max="2" width="22" customWidth="1"/>
    <col min="3" max="3" width="10" customWidth="1"/>
    <col min="4" max="4" width="9" customWidth="1"/>
    <col min="5" max="5" width="11" customWidth="1"/>
    <col min="6" max="6" width="8" customWidth="1"/>
    <col min="7" max="7" width="10" customWidth="1"/>
    <col min="8" max="8" width="9" customWidth="1"/>
    <col min="9" max="9" width="10" customWidth="1"/>
    <col min="10" max="10" width="8" customWidth="1"/>
    <col min="11" max="11" width="10" customWidth="1"/>
    <col min="12" max="12" width="9" customWidth="1"/>
    <col min="13" max="13" width="8" customWidth="1"/>
    <col min="14" max="14" width="11" customWidth="1"/>
    <col min="15" max="16" width="8" customWidth="1"/>
    <col min="17" max="18" width="10" customWidth="1"/>
    <col min="19" max="19" width="9" customWidth="1"/>
    <col min="20" max="20" width="10" customWidth="1"/>
    <col min="21" max="23" width="8" customWidth="1"/>
    <col min="24" max="24" width="22" customWidth="1"/>
    <col min="25" max="25" width="11" customWidth="1"/>
    <col min="26" max="26" width="9" customWidth="1"/>
  </cols>
  <sheetData>
    <row r="1" spans="1:26" ht="18.75" x14ac:dyDescent="0.3">
      <c r="A1" s="1" t="s">
        <v>585</v>
      </c>
    </row>
    <row r="2" spans="1:26" ht="27.95" customHeight="1" x14ac:dyDescent="0.25">
      <c r="A2" s="3" t="s">
        <v>3</v>
      </c>
      <c r="B2" s="3" t="s">
        <v>64</v>
      </c>
      <c r="C2" s="3" t="s">
        <v>65</v>
      </c>
      <c r="D2" s="3" t="s">
        <v>586</v>
      </c>
      <c r="E2" s="3" t="s">
        <v>587</v>
      </c>
      <c r="F2" s="3" t="s">
        <v>4</v>
      </c>
      <c r="G2" s="3" t="s">
        <v>571</v>
      </c>
      <c r="H2" s="3" t="s">
        <v>588</v>
      </c>
      <c r="I2" s="3" t="s">
        <v>589</v>
      </c>
      <c r="J2" s="3" t="s">
        <v>572</v>
      </c>
      <c r="K2" s="3" t="s">
        <v>590</v>
      </c>
      <c r="L2" s="3" t="s">
        <v>574</v>
      </c>
      <c r="M2" s="3" t="s">
        <v>591</v>
      </c>
      <c r="N2" s="3" t="s">
        <v>8</v>
      </c>
      <c r="O2" s="3" t="s">
        <v>592</v>
      </c>
      <c r="P2" s="3" t="s">
        <v>593</v>
      </c>
      <c r="Q2" s="3" t="s">
        <v>578</v>
      </c>
      <c r="R2" s="3" t="s">
        <v>9</v>
      </c>
      <c r="S2" s="3" t="s">
        <v>10</v>
      </c>
      <c r="T2" s="3" t="s">
        <v>77</v>
      </c>
      <c r="U2" s="3" t="s">
        <v>575</v>
      </c>
      <c r="V2" s="3" t="s">
        <v>594</v>
      </c>
      <c r="W2" s="3" t="s">
        <v>576</v>
      </c>
      <c r="X2" s="3" t="s">
        <v>78</v>
      </c>
      <c r="Y2" s="3" t="s">
        <v>595</v>
      </c>
      <c r="Z2" s="3" t="s">
        <v>12</v>
      </c>
    </row>
    <row r="3" spans="1:26" x14ac:dyDescent="0.25">
      <c r="A3" t="str">
        <f>'LIVE SOURCE'!A3</f>
        <v>QB</v>
      </c>
      <c r="B3" t="str">
        <f>'LIVE SOURCE'!B3</f>
        <v>Josh Allen</v>
      </c>
      <c r="C3" s="4">
        <f>'LIVE SOURCE'!D3</f>
        <v>97.309899999999999</v>
      </c>
      <c r="D3" s="4">
        <f>'Manual Adjustments'!G3</f>
        <v>0</v>
      </c>
      <c r="E3" s="4">
        <f t="shared" ref="E3:E66" si="0">MAX(40,MIN(100,C3+D3))</f>
        <v>97.309899999999999</v>
      </c>
      <c r="F3">
        <f>COUNTIFS($A$3:$A$225,A3,$E$3:$E$225,"&gt;"&amp;E3)+COUNTIFS($A$3:A3,A3,$E$3:E3,E3)</f>
        <v>1</v>
      </c>
      <c r="G3" s="4">
        <f>ROUND(INDEX('League Config'!$K$4:$K$9,MATCH(A3,'League Config'!$E$4:$E$9,0))*E3+INDEX('League Config'!$L$4:$L$9,MATCH(A3,'League Config'!$E$4:$E$9,0)),1)</f>
        <v>407.9</v>
      </c>
      <c r="H3">
        <f>INDEX('League Config'!$H$4:$H$9,MATCH(A3,'League Config'!$E$4:$E$9,0))</f>
        <v>13</v>
      </c>
      <c r="I3" s="4">
        <f>INDEX('League Config'!$I$4:$I$9,MATCH(A3,'League Config'!$E$4:$E$9,0))</f>
        <v>351.1</v>
      </c>
      <c r="J3" s="4">
        <f t="shared" ref="J3:J66" si="1">ROUND(G3-I3,1)</f>
        <v>56.8</v>
      </c>
      <c r="K3" s="4">
        <f t="shared" ref="K3:K66" si="2">MAX(0,MIN(100,50+J3*0.6))</f>
        <v>84.08</v>
      </c>
      <c r="L3" s="4">
        <f>MIN(100,MAX(0,(1-(F3-1)/(H3*1.5))*100*INDEX('League Config'!$J$4:$J$9,MATCH(A3,'League Config'!$E$4:$E$9,0))))</f>
        <v>100</v>
      </c>
      <c r="M3">
        <f>IF(A3="K",'League Config'!$B$14,IF(A3="DST",'League Config'!$B$15,IF(A3="QB",'League Config'!$B$16,0)))</f>
        <v>3</v>
      </c>
      <c r="N3" s="4">
        <f t="shared" ref="N3:N66" si="3">MIN(100,MAX(0,0.55*E3+0.3*K3+0.15*L3-M3))</f>
        <v>90.744444999999999</v>
      </c>
      <c r="O3" s="9">
        <f t="shared" ref="O3:O66" si="4">IF(OR(A3="K",A3="DST"),"",N3)</f>
        <v>90.744444999999999</v>
      </c>
      <c r="P3" s="6">
        <f>IF(O3="","",COUNTIF($O$3:$O$225,"&gt;"&amp;O3)+COUNTIF($O$3:O3,O3))</f>
        <v>12</v>
      </c>
      <c r="Q3">
        <f t="shared" ref="Q3:Q66" si="5">IF(A3="DST",IF(F3&lt;=GateSize,DstStart-1+F3,NSkill+2*GateSize+F3-GateSize),IF(A3="K",IF(F3&lt;=GateSize,KStart-1+F3,NSkill+GateSize+NDst+F3-GateSize),IF(P3&lt;=DstStart-1,P3,P3+2*GateSize)))</f>
        <v>12</v>
      </c>
      <c r="R3" s="4">
        <f>'LIVE SOURCE'!E3</f>
        <v>23</v>
      </c>
      <c r="S3" s="4">
        <f t="shared" ref="S3:S66" si="6">R3-Q3</f>
        <v>11</v>
      </c>
      <c r="T3" t="str">
        <f>'LIVE SOURCE'!F3</f>
        <v>A</v>
      </c>
      <c r="U3" s="4">
        <f t="shared" ref="U3:U66" si="7">MAX(40,E3-IF(T3="A",6,IF(T3="B",9,12)))</f>
        <v>91.309899999999999</v>
      </c>
      <c r="V3" s="4">
        <f t="shared" ref="V3:V66" si="8">E3</f>
        <v>97.309899999999999</v>
      </c>
      <c r="W3" s="4">
        <f t="shared" ref="W3:W66" si="9">MIN(100,E3+IF(T3="A",6,IF(T3="B",9,12)))</f>
        <v>100</v>
      </c>
      <c r="X3" t="str">
        <f>'LIVE SOURCE'!G3</f>
        <v>RATE-ADJUSTED VETERAN</v>
      </c>
      <c r="Y3" t="str">
        <f>IF(INDEX('Draft Board'!$J$3:$J$225,Q3)="","Available",INDEX('Draft Board'!$J$3:$J$225,Q3))</f>
        <v>Available</v>
      </c>
      <c r="Z3">
        <f t="shared" ref="Z3:Z66" si="10">IF(Y3&lt;&gt;"Available","",1+COUNTIFS($Y$3:$Y$225,"Available",$Q$3:$Q$225,"&lt;"&amp;Q3))</f>
        <v>12</v>
      </c>
    </row>
    <row r="4" spans="1:26" x14ac:dyDescent="0.25">
      <c r="A4" t="str">
        <f>'LIVE SOURCE'!A4</f>
        <v>QB</v>
      </c>
      <c r="B4" t="str">
        <f>'LIVE SOURCE'!B4</f>
        <v>Caleb Williams</v>
      </c>
      <c r="C4" s="4">
        <f>'LIVE SOURCE'!D4</f>
        <v>92.192700000000002</v>
      </c>
      <c r="D4" s="4">
        <f>'Manual Adjustments'!G4</f>
        <v>0</v>
      </c>
      <c r="E4" s="4">
        <f t="shared" si="0"/>
        <v>92.192700000000002</v>
      </c>
      <c r="F4">
        <f>COUNTIFS($A$3:$A$225,A4,$E$3:$E$225,"&gt;"&amp;E4)+COUNTIFS($A$3:A4,A4,$E$3:E4,E4)</f>
        <v>2</v>
      </c>
      <c r="G4" s="4">
        <f>ROUND(INDEX('League Config'!$K$4:$K$9,MATCH(A4,'League Config'!$E$4:$E$9,0))*E4+INDEX('League Config'!$L$4:$L$9,MATCH(A4,'League Config'!$E$4:$E$9,0)),1)</f>
        <v>384.9</v>
      </c>
      <c r="H4">
        <f>INDEX('League Config'!$H$4:$H$9,MATCH(A4,'League Config'!$E$4:$E$9,0))</f>
        <v>13</v>
      </c>
      <c r="I4" s="4">
        <f>INDEX('League Config'!$I$4:$I$9,MATCH(A4,'League Config'!$E$4:$E$9,0))</f>
        <v>351.1</v>
      </c>
      <c r="J4" s="4">
        <f t="shared" si="1"/>
        <v>33.799999999999997</v>
      </c>
      <c r="K4" s="4">
        <f t="shared" si="2"/>
        <v>70.28</v>
      </c>
      <c r="L4" s="4">
        <f>MIN(100,MAX(0,(1-(F4-1)/(H4*1.5))*100*INDEX('League Config'!$J$4:$J$9,MATCH(A4,'League Config'!$E$4:$E$9,0))))</f>
        <v>94.871794871794862</v>
      </c>
      <c r="M4">
        <f>IF(A4="K",'League Config'!$B$14,IF(A4="DST",'League Config'!$B$15,IF(A4="QB",'League Config'!$B$16,0)))</f>
        <v>3</v>
      </c>
      <c r="N4" s="4">
        <f t="shared" si="3"/>
        <v>83.020754230769228</v>
      </c>
      <c r="O4" s="9">
        <f t="shared" si="4"/>
        <v>83.020754230769228</v>
      </c>
      <c r="P4" s="6">
        <f>IF(O4="","",COUNTIF($O$3:$O$225,"&gt;"&amp;O4)+COUNTIF($O$3:O4,O4))</f>
        <v>30</v>
      </c>
      <c r="Q4">
        <f t="shared" si="5"/>
        <v>30</v>
      </c>
      <c r="R4" s="4">
        <f>'LIVE SOURCE'!E4</f>
        <v>30</v>
      </c>
      <c r="S4" s="4">
        <f t="shared" si="6"/>
        <v>0</v>
      </c>
      <c r="T4" t="str">
        <f>'LIVE SOURCE'!F4</f>
        <v>A</v>
      </c>
      <c r="U4" s="4">
        <f t="shared" si="7"/>
        <v>86.192700000000002</v>
      </c>
      <c r="V4" s="4">
        <f t="shared" si="8"/>
        <v>92.192700000000002</v>
      </c>
      <c r="W4" s="4">
        <f t="shared" si="9"/>
        <v>98.192700000000002</v>
      </c>
      <c r="X4" t="str">
        <f>'LIVE SOURCE'!G4</f>
        <v>RATE-ADJUSTED VETERAN</v>
      </c>
      <c r="Y4" t="str">
        <f>IF(INDEX('Draft Board'!$J$3:$J$225,Q4)="","Available",INDEX('Draft Board'!$J$3:$J$225,Q4))</f>
        <v>Available</v>
      </c>
      <c r="Z4">
        <f t="shared" si="10"/>
        <v>30</v>
      </c>
    </row>
    <row r="5" spans="1:26" x14ac:dyDescent="0.25">
      <c r="A5" t="str">
        <f>'LIVE SOURCE'!A5</f>
        <v>QB</v>
      </c>
      <c r="B5" t="str">
        <f>'LIVE SOURCE'!B5</f>
        <v>Drake Maye</v>
      </c>
      <c r="C5" s="4">
        <f>'LIVE SOURCE'!D5</f>
        <v>91.043000000000006</v>
      </c>
      <c r="D5" s="4">
        <f>'Manual Adjustments'!G5</f>
        <v>0</v>
      </c>
      <c r="E5" s="4">
        <f t="shared" si="0"/>
        <v>91.043000000000006</v>
      </c>
      <c r="F5">
        <f>COUNTIFS($A$3:$A$225,A5,$E$3:$E$225,"&gt;"&amp;E5)+COUNTIFS($A$3:A5,A5,$E$3:E5,E5)</f>
        <v>3</v>
      </c>
      <c r="G5" s="4">
        <f>ROUND(INDEX('League Config'!$K$4:$K$9,MATCH(A5,'League Config'!$E$4:$E$9,0))*E5+INDEX('League Config'!$L$4:$L$9,MATCH(A5,'League Config'!$E$4:$E$9,0)),1)</f>
        <v>379.7</v>
      </c>
      <c r="H5">
        <f>INDEX('League Config'!$H$4:$H$9,MATCH(A5,'League Config'!$E$4:$E$9,0))</f>
        <v>13</v>
      </c>
      <c r="I5" s="4">
        <f>INDEX('League Config'!$I$4:$I$9,MATCH(A5,'League Config'!$E$4:$E$9,0))</f>
        <v>351.1</v>
      </c>
      <c r="J5" s="4">
        <f t="shared" si="1"/>
        <v>28.6</v>
      </c>
      <c r="K5" s="4">
        <f t="shared" si="2"/>
        <v>67.16</v>
      </c>
      <c r="L5" s="4">
        <f>MIN(100,MAX(0,(1-(F5-1)/(H5*1.5))*100*INDEX('League Config'!$J$4:$J$9,MATCH(A5,'League Config'!$E$4:$E$9,0))))</f>
        <v>89.743589743589752</v>
      </c>
      <c r="M5">
        <f>IF(A5="K",'League Config'!$B$14,IF(A5="DST",'League Config'!$B$15,IF(A5="QB",'League Config'!$B$16,0)))</f>
        <v>3</v>
      </c>
      <c r="N5" s="4">
        <f t="shared" si="3"/>
        <v>80.683188461538478</v>
      </c>
      <c r="O5" s="9">
        <f t="shared" si="4"/>
        <v>80.683188461538478</v>
      </c>
      <c r="P5" s="6">
        <f>IF(O5="","",COUNTIF($O$3:$O$225,"&gt;"&amp;O5)+COUNTIF($O$3:O5,O5))</f>
        <v>37</v>
      </c>
      <c r="Q5">
        <f t="shared" si="5"/>
        <v>37</v>
      </c>
      <c r="R5" s="4">
        <f>'LIVE SOURCE'!E5</f>
        <v>38</v>
      </c>
      <c r="S5" s="4">
        <f t="shared" si="6"/>
        <v>1</v>
      </c>
      <c r="T5" t="str">
        <f>'LIVE SOURCE'!F5</f>
        <v>A</v>
      </c>
      <c r="U5" s="4">
        <f t="shared" si="7"/>
        <v>85.043000000000006</v>
      </c>
      <c r="V5" s="4">
        <f t="shared" si="8"/>
        <v>91.043000000000006</v>
      </c>
      <c r="W5" s="4">
        <f t="shared" si="9"/>
        <v>97.043000000000006</v>
      </c>
      <c r="X5" t="str">
        <f>'LIVE SOURCE'!G5</f>
        <v>RATE-ADJUSTED VETERAN</v>
      </c>
      <c r="Y5" t="str">
        <f>IF(INDEX('Draft Board'!$J$3:$J$225,Q5)="","Available",INDEX('Draft Board'!$J$3:$J$225,Q5))</f>
        <v>Available</v>
      </c>
      <c r="Z5">
        <f t="shared" si="10"/>
        <v>37</v>
      </c>
    </row>
    <row r="6" spans="1:26" x14ac:dyDescent="0.25">
      <c r="A6" t="str">
        <f>'LIVE SOURCE'!A6</f>
        <v>QB</v>
      </c>
      <c r="B6" t="str">
        <f>'LIVE SOURCE'!B6</f>
        <v>Justin Herbert</v>
      </c>
      <c r="C6" s="4">
        <f>'LIVE SOURCE'!D6</f>
        <v>90.116900000000001</v>
      </c>
      <c r="D6" s="4">
        <f>'Manual Adjustments'!G6</f>
        <v>0</v>
      </c>
      <c r="E6" s="4">
        <f t="shared" si="0"/>
        <v>90.116900000000001</v>
      </c>
      <c r="F6">
        <f>COUNTIFS($A$3:$A$225,A6,$E$3:$E$225,"&gt;"&amp;E6)+COUNTIFS($A$3:A6,A6,$E$3:E6,E6)</f>
        <v>4</v>
      </c>
      <c r="G6" s="4">
        <f>ROUND(INDEX('League Config'!$K$4:$K$9,MATCH(A6,'League Config'!$E$4:$E$9,0))*E6+INDEX('League Config'!$L$4:$L$9,MATCH(A6,'League Config'!$E$4:$E$9,0)),1)</f>
        <v>375.5</v>
      </c>
      <c r="H6">
        <f>INDEX('League Config'!$H$4:$H$9,MATCH(A6,'League Config'!$E$4:$E$9,0))</f>
        <v>13</v>
      </c>
      <c r="I6" s="4">
        <f>INDEX('League Config'!$I$4:$I$9,MATCH(A6,'League Config'!$E$4:$E$9,0))</f>
        <v>351.1</v>
      </c>
      <c r="J6" s="4">
        <f t="shared" si="1"/>
        <v>24.4</v>
      </c>
      <c r="K6" s="4">
        <f t="shared" si="2"/>
        <v>64.64</v>
      </c>
      <c r="L6" s="4">
        <f>MIN(100,MAX(0,(1-(F6-1)/(H6*1.5))*100*INDEX('League Config'!$J$4:$J$9,MATCH(A6,'League Config'!$E$4:$E$9,0))))</f>
        <v>84.615384615384613</v>
      </c>
      <c r="M6">
        <f>IF(A6="K",'League Config'!$B$14,IF(A6="DST",'League Config'!$B$15,IF(A6="QB",'League Config'!$B$16,0)))</f>
        <v>3</v>
      </c>
      <c r="N6" s="4">
        <f t="shared" si="3"/>
        <v>78.648602692307691</v>
      </c>
      <c r="O6" s="9">
        <f t="shared" si="4"/>
        <v>78.648602692307691</v>
      </c>
      <c r="P6" s="6">
        <f>IF(O6="","",COUNTIF($O$3:$O$225,"&gt;"&amp;O6)+COUNTIF($O$3:O6,O6))</f>
        <v>42</v>
      </c>
      <c r="Q6">
        <f t="shared" si="5"/>
        <v>42</v>
      </c>
      <c r="R6" s="4">
        <f>'LIVE SOURCE'!E6</f>
        <v>46</v>
      </c>
      <c r="S6" s="4">
        <f t="shared" si="6"/>
        <v>4</v>
      </c>
      <c r="T6" t="str">
        <f>'LIVE SOURCE'!F6</f>
        <v>A</v>
      </c>
      <c r="U6" s="4">
        <f t="shared" si="7"/>
        <v>84.116900000000001</v>
      </c>
      <c r="V6" s="4">
        <f t="shared" si="8"/>
        <v>90.116900000000001</v>
      </c>
      <c r="W6" s="4">
        <f t="shared" si="9"/>
        <v>96.116900000000001</v>
      </c>
      <c r="X6" t="str">
        <f>'LIVE SOURCE'!G6</f>
        <v>RATE-ADJUSTED VETERAN</v>
      </c>
      <c r="Y6" t="str">
        <f>IF(INDEX('Draft Board'!$J$3:$J$225,Q6)="","Available",INDEX('Draft Board'!$J$3:$J$225,Q6))</f>
        <v>Available</v>
      </c>
      <c r="Z6">
        <f t="shared" si="10"/>
        <v>42</v>
      </c>
    </row>
    <row r="7" spans="1:26" x14ac:dyDescent="0.25">
      <c r="A7" t="str">
        <f>'LIVE SOURCE'!A7</f>
        <v>QB</v>
      </c>
      <c r="B7" t="str">
        <f>'LIVE SOURCE'!B7</f>
        <v>Lamar Jackson</v>
      </c>
      <c r="C7" s="4">
        <f>'LIVE SOURCE'!D7</f>
        <v>88.711200000000005</v>
      </c>
      <c r="D7" s="4">
        <f>'Manual Adjustments'!G7</f>
        <v>0</v>
      </c>
      <c r="E7" s="4">
        <f t="shared" si="0"/>
        <v>88.711200000000005</v>
      </c>
      <c r="F7">
        <f>COUNTIFS($A$3:$A$225,A7,$E$3:$E$225,"&gt;"&amp;E7)+COUNTIFS($A$3:A7,A7,$E$3:E7,E7)</f>
        <v>5</v>
      </c>
      <c r="G7" s="4">
        <f>ROUND(INDEX('League Config'!$K$4:$K$9,MATCH(A7,'League Config'!$E$4:$E$9,0))*E7+INDEX('League Config'!$L$4:$L$9,MATCH(A7,'League Config'!$E$4:$E$9,0)),1)</f>
        <v>369.2</v>
      </c>
      <c r="H7">
        <f>INDEX('League Config'!$H$4:$H$9,MATCH(A7,'League Config'!$E$4:$E$9,0))</f>
        <v>13</v>
      </c>
      <c r="I7" s="4">
        <f>INDEX('League Config'!$I$4:$I$9,MATCH(A7,'League Config'!$E$4:$E$9,0))</f>
        <v>351.1</v>
      </c>
      <c r="J7" s="4">
        <f t="shared" si="1"/>
        <v>18.100000000000001</v>
      </c>
      <c r="K7" s="4">
        <f t="shared" si="2"/>
        <v>60.86</v>
      </c>
      <c r="L7" s="4">
        <f>MIN(100,MAX(0,(1-(F7-1)/(H7*1.5))*100*INDEX('League Config'!$J$4:$J$9,MATCH(A7,'League Config'!$E$4:$E$9,0))))</f>
        <v>79.487179487179489</v>
      </c>
      <c r="M7">
        <f>IF(A7="K",'League Config'!$B$14,IF(A7="DST",'League Config'!$B$15,IF(A7="QB",'League Config'!$B$16,0)))</f>
        <v>3</v>
      </c>
      <c r="N7" s="4">
        <f t="shared" si="3"/>
        <v>75.97223692307692</v>
      </c>
      <c r="O7" s="9">
        <f t="shared" si="4"/>
        <v>75.97223692307692</v>
      </c>
      <c r="P7" s="6">
        <f>IF(O7="","",COUNTIF($O$3:$O$225,"&gt;"&amp;O7)+COUNTIF($O$3:O7,O7))</f>
        <v>49</v>
      </c>
      <c r="Q7">
        <f t="shared" si="5"/>
        <v>49</v>
      </c>
      <c r="R7" s="4">
        <f>'LIVE SOURCE'!E7</f>
        <v>54</v>
      </c>
      <c r="S7" s="4">
        <f t="shared" si="6"/>
        <v>5</v>
      </c>
      <c r="T7" t="str">
        <f>'LIVE SOURCE'!F7</f>
        <v>A</v>
      </c>
      <c r="U7" s="4">
        <f t="shared" si="7"/>
        <v>82.711200000000005</v>
      </c>
      <c r="V7" s="4">
        <f t="shared" si="8"/>
        <v>88.711200000000005</v>
      </c>
      <c r="W7" s="4">
        <f t="shared" si="9"/>
        <v>94.711200000000005</v>
      </c>
      <c r="X7" t="str">
        <f>'LIVE SOURCE'!G7</f>
        <v>RATE-ADJUSTED VETERAN</v>
      </c>
      <c r="Y7" t="str">
        <f>IF(INDEX('Draft Board'!$J$3:$J$225,Q7)="","Available",INDEX('Draft Board'!$J$3:$J$225,Q7))</f>
        <v>Available</v>
      </c>
      <c r="Z7">
        <f t="shared" si="10"/>
        <v>49</v>
      </c>
    </row>
    <row r="8" spans="1:26" x14ac:dyDescent="0.25">
      <c r="A8" t="str">
        <f>'LIVE SOURCE'!A8</f>
        <v>QB</v>
      </c>
      <c r="B8" t="str">
        <f>'LIVE SOURCE'!B8</f>
        <v>Jalen Hurts</v>
      </c>
      <c r="C8" s="4">
        <f>'LIVE SOURCE'!D8</f>
        <v>88.4499</v>
      </c>
      <c r="D8" s="4">
        <f>'Manual Adjustments'!G8</f>
        <v>0</v>
      </c>
      <c r="E8" s="4">
        <f t="shared" si="0"/>
        <v>88.4499</v>
      </c>
      <c r="F8">
        <f>COUNTIFS($A$3:$A$225,A8,$E$3:$E$225,"&gt;"&amp;E8)+COUNTIFS($A$3:A8,A8,$E$3:E8,E8)</f>
        <v>6</v>
      </c>
      <c r="G8" s="4">
        <f>ROUND(INDEX('League Config'!$K$4:$K$9,MATCH(A8,'League Config'!$E$4:$E$9,0))*E8+INDEX('League Config'!$L$4:$L$9,MATCH(A8,'League Config'!$E$4:$E$9,0)),1)</f>
        <v>368</v>
      </c>
      <c r="H8">
        <f>INDEX('League Config'!$H$4:$H$9,MATCH(A8,'League Config'!$E$4:$E$9,0))</f>
        <v>13</v>
      </c>
      <c r="I8" s="4">
        <f>INDEX('League Config'!$I$4:$I$9,MATCH(A8,'League Config'!$E$4:$E$9,0))</f>
        <v>351.1</v>
      </c>
      <c r="J8" s="4">
        <f t="shared" si="1"/>
        <v>16.899999999999999</v>
      </c>
      <c r="K8" s="4">
        <f t="shared" si="2"/>
        <v>60.14</v>
      </c>
      <c r="L8" s="4">
        <f>MIN(100,MAX(0,(1-(F8-1)/(H8*1.5))*100*INDEX('League Config'!$J$4:$J$9,MATCH(A8,'League Config'!$E$4:$E$9,0))))</f>
        <v>74.358974358974365</v>
      </c>
      <c r="M8">
        <f>IF(A8="K",'League Config'!$B$14,IF(A8="DST",'League Config'!$B$15,IF(A8="QB",'League Config'!$B$16,0)))</f>
        <v>3</v>
      </c>
      <c r="N8" s="4">
        <f t="shared" si="3"/>
        <v>74.843291153846167</v>
      </c>
      <c r="O8" s="9">
        <f t="shared" si="4"/>
        <v>74.843291153846167</v>
      </c>
      <c r="P8" s="6">
        <f>IF(O8="","",COUNTIF($O$3:$O$225,"&gt;"&amp;O8)+COUNTIF($O$3:O8,O8))</f>
        <v>52</v>
      </c>
      <c r="Q8">
        <f t="shared" si="5"/>
        <v>52</v>
      </c>
      <c r="R8" s="4">
        <f>'LIVE SOURCE'!E8</f>
        <v>62</v>
      </c>
      <c r="S8" s="4">
        <f t="shared" si="6"/>
        <v>10</v>
      </c>
      <c r="T8" t="str">
        <f>'LIVE SOURCE'!F8</f>
        <v>A</v>
      </c>
      <c r="U8" s="4">
        <f t="shared" si="7"/>
        <v>82.4499</v>
      </c>
      <c r="V8" s="4">
        <f t="shared" si="8"/>
        <v>88.4499</v>
      </c>
      <c r="W8" s="4">
        <f t="shared" si="9"/>
        <v>94.4499</v>
      </c>
      <c r="X8" t="str">
        <f>'LIVE SOURCE'!G8</f>
        <v>RATE-ADJUSTED VETERAN</v>
      </c>
      <c r="Y8" t="str">
        <f>IF(INDEX('Draft Board'!$J$3:$J$225,Q8)="","Available",INDEX('Draft Board'!$J$3:$J$225,Q8))</f>
        <v>Available</v>
      </c>
      <c r="Z8">
        <f t="shared" si="10"/>
        <v>52</v>
      </c>
    </row>
    <row r="9" spans="1:26" x14ac:dyDescent="0.25">
      <c r="A9" t="str">
        <f>'LIVE SOURCE'!A9</f>
        <v>QB</v>
      </c>
      <c r="B9" t="str">
        <f>'LIVE SOURCE'!B9</f>
        <v>Patrick Mahomes II</v>
      </c>
      <c r="C9" s="4">
        <f>'LIVE SOURCE'!D9</f>
        <v>87.006299999999996</v>
      </c>
      <c r="D9" s="4">
        <f>'Manual Adjustments'!G9</f>
        <v>0</v>
      </c>
      <c r="E9" s="4">
        <f t="shared" si="0"/>
        <v>87.006299999999996</v>
      </c>
      <c r="F9">
        <f>COUNTIFS($A$3:$A$225,A9,$E$3:$E$225,"&gt;"&amp;E9)+COUNTIFS($A$3:A9,A9,$E$3:E9,E9)</f>
        <v>7</v>
      </c>
      <c r="G9" s="4">
        <f>ROUND(INDEX('League Config'!$K$4:$K$9,MATCH(A9,'League Config'!$E$4:$E$9,0))*E9+INDEX('League Config'!$L$4:$L$9,MATCH(A9,'League Config'!$E$4:$E$9,0)),1)</f>
        <v>361.5</v>
      </c>
      <c r="H9">
        <f>INDEX('League Config'!$H$4:$H$9,MATCH(A9,'League Config'!$E$4:$E$9,0))</f>
        <v>13</v>
      </c>
      <c r="I9" s="4">
        <f>INDEX('League Config'!$I$4:$I$9,MATCH(A9,'League Config'!$E$4:$E$9,0))</f>
        <v>351.1</v>
      </c>
      <c r="J9" s="4">
        <f t="shared" si="1"/>
        <v>10.4</v>
      </c>
      <c r="K9" s="4">
        <f t="shared" si="2"/>
        <v>56.24</v>
      </c>
      <c r="L9" s="4">
        <f>MIN(100,MAX(0,(1-(F9-1)/(H9*1.5))*100*INDEX('League Config'!$J$4:$J$9,MATCH(A9,'League Config'!$E$4:$E$9,0))))</f>
        <v>69.230769230769226</v>
      </c>
      <c r="M9">
        <f>IF(A9="K",'League Config'!$B$14,IF(A9="DST",'League Config'!$B$15,IF(A9="QB",'League Config'!$B$16,0)))</f>
        <v>3</v>
      </c>
      <c r="N9" s="4">
        <f t="shared" si="3"/>
        <v>72.110080384615387</v>
      </c>
      <c r="O9" s="9">
        <f t="shared" si="4"/>
        <v>72.110080384615387</v>
      </c>
      <c r="P9" s="6">
        <f>IF(O9="","",COUNTIF($O$3:$O$225,"&gt;"&amp;O9)+COUNTIF($O$3:O9,O9))</f>
        <v>59</v>
      </c>
      <c r="Q9">
        <f t="shared" si="5"/>
        <v>59</v>
      </c>
      <c r="R9" s="4">
        <f>'LIVE SOURCE'!E9</f>
        <v>70</v>
      </c>
      <c r="S9" s="4">
        <f t="shared" si="6"/>
        <v>11</v>
      </c>
      <c r="T9" t="str">
        <f>'LIVE SOURCE'!F9</f>
        <v>A</v>
      </c>
      <c r="U9" s="4">
        <f t="shared" si="7"/>
        <v>81.006299999999996</v>
      </c>
      <c r="V9" s="4">
        <f t="shared" si="8"/>
        <v>87.006299999999996</v>
      </c>
      <c r="W9" s="4">
        <f t="shared" si="9"/>
        <v>93.006299999999996</v>
      </c>
      <c r="X9" t="str">
        <f>'LIVE SOURCE'!G9</f>
        <v>RATE-ADJUSTED VETERAN</v>
      </c>
      <c r="Y9" t="str">
        <f>IF(INDEX('Draft Board'!$J$3:$J$225,Q9)="","Available",INDEX('Draft Board'!$J$3:$J$225,Q9))</f>
        <v>Available</v>
      </c>
      <c r="Z9">
        <f t="shared" si="10"/>
        <v>59</v>
      </c>
    </row>
    <row r="10" spans="1:26" x14ac:dyDescent="0.25">
      <c r="A10" t="str">
        <f>'LIVE SOURCE'!A10</f>
        <v>QB</v>
      </c>
      <c r="B10" t="str">
        <f>'LIVE SOURCE'!B10</f>
        <v>Jayden Daniels</v>
      </c>
      <c r="C10" s="4">
        <f>'LIVE SOURCE'!D10</f>
        <v>86.700299999999999</v>
      </c>
      <c r="D10" s="4">
        <f>'Manual Adjustments'!G10</f>
        <v>0</v>
      </c>
      <c r="E10" s="4">
        <f t="shared" si="0"/>
        <v>86.700299999999999</v>
      </c>
      <c r="F10">
        <f>COUNTIFS($A$3:$A$225,A10,$E$3:$E$225,"&gt;"&amp;E10)+COUNTIFS($A$3:A10,A10,$E$3:E10,E10)</f>
        <v>8</v>
      </c>
      <c r="G10" s="4">
        <f>ROUND(INDEX('League Config'!$K$4:$K$9,MATCH(A10,'League Config'!$E$4:$E$9,0))*E10+INDEX('League Config'!$L$4:$L$9,MATCH(A10,'League Config'!$E$4:$E$9,0)),1)</f>
        <v>360.2</v>
      </c>
      <c r="H10">
        <f>INDEX('League Config'!$H$4:$H$9,MATCH(A10,'League Config'!$E$4:$E$9,0))</f>
        <v>13</v>
      </c>
      <c r="I10" s="4">
        <f>INDEX('League Config'!$I$4:$I$9,MATCH(A10,'League Config'!$E$4:$E$9,0))</f>
        <v>351.1</v>
      </c>
      <c r="J10" s="4">
        <f t="shared" si="1"/>
        <v>9.1</v>
      </c>
      <c r="K10" s="4">
        <f t="shared" si="2"/>
        <v>55.46</v>
      </c>
      <c r="L10" s="4">
        <f>MIN(100,MAX(0,(1-(F10-1)/(H10*1.5))*100*INDEX('League Config'!$J$4:$J$9,MATCH(A10,'League Config'!$E$4:$E$9,0))))</f>
        <v>64.102564102564102</v>
      </c>
      <c r="M10">
        <f>IF(A10="K",'League Config'!$B$14,IF(A10="DST",'League Config'!$B$15,IF(A10="QB",'League Config'!$B$16,0)))</f>
        <v>3</v>
      </c>
      <c r="N10" s="4">
        <f t="shared" si="3"/>
        <v>70.938549615384616</v>
      </c>
      <c r="O10" s="9">
        <f t="shared" si="4"/>
        <v>70.938549615384616</v>
      </c>
      <c r="P10" s="6">
        <f>IF(O10="","",COUNTIF($O$3:$O$225,"&gt;"&amp;O10)+COUNTIF($O$3:O10,O10))</f>
        <v>62</v>
      </c>
      <c r="Q10">
        <f t="shared" si="5"/>
        <v>62</v>
      </c>
      <c r="R10" s="4">
        <f>'LIVE SOURCE'!E10</f>
        <v>78</v>
      </c>
      <c r="S10" s="4">
        <f t="shared" si="6"/>
        <v>16</v>
      </c>
      <c r="T10" t="str">
        <f>'LIVE SOURCE'!F10</f>
        <v>B</v>
      </c>
      <c r="U10" s="4">
        <f t="shared" si="7"/>
        <v>77.700299999999999</v>
      </c>
      <c r="V10" s="4">
        <f t="shared" si="8"/>
        <v>86.700299999999999</v>
      </c>
      <c r="W10" s="4">
        <f t="shared" si="9"/>
        <v>95.700299999999999</v>
      </c>
      <c r="X10" t="str">
        <f>'LIVE SOURCE'!G10</f>
        <v>RATE-ADJUSTED VETERAN</v>
      </c>
      <c r="Y10" t="str">
        <f>IF(INDEX('Draft Board'!$J$3:$J$225,Q10)="","Available",INDEX('Draft Board'!$J$3:$J$225,Q10))</f>
        <v>Available</v>
      </c>
      <c r="Z10">
        <f t="shared" si="10"/>
        <v>62</v>
      </c>
    </row>
    <row r="11" spans="1:26" x14ac:dyDescent="0.25">
      <c r="A11" t="str">
        <f>'LIVE SOURCE'!A11</f>
        <v>QB</v>
      </c>
      <c r="B11" t="str">
        <f>'LIVE SOURCE'!B11</f>
        <v>Joe Burrow</v>
      </c>
      <c r="C11" s="4">
        <f>'LIVE SOURCE'!D11</f>
        <v>85.591300000000004</v>
      </c>
      <c r="D11" s="4">
        <f>'Manual Adjustments'!G11</f>
        <v>0</v>
      </c>
      <c r="E11" s="4">
        <f t="shared" si="0"/>
        <v>85.591300000000004</v>
      </c>
      <c r="F11">
        <f>COUNTIFS($A$3:$A$225,A11,$E$3:$E$225,"&gt;"&amp;E11)+COUNTIFS($A$3:A11,A11,$E$3:E11,E11)</f>
        <v>9</v>
      </c>
      <c r="G11" s="4">
        <f>ROUND(INDEX('League Config'!$K$4:$K$9,MATCH(A11,'League Config'!$E$4:$E$9,0))*E11+INDEX('League Config'!$L$4:$L$9,MATCH(A11,'League Config'!$E$4:$E$9,0)),1)</f>
        <v>355.2</v>
      </c>
      <c r="H11">
        <f>INDEX('League Config'!$H$4:$H$9,MATCH(A11,'League Config'!$E$4:$E$9,0))</f>
        <v>13</v>
      </c>
      <c r="I11" s="4">
        <f>INDEX('League Config'!$I$4:$I$9,MATCH(A11,'League Config'!$E$4:$E$9,0))</f>
        <v>351.1</v>
      </c>
      <c r="J11" s="4">
        <f t="shared" si="1"/>
        <v>4.0999999999999996</v>
      </c>
      <c r="K11" s="4">
        <f t="shared" si="2"/>
        <v>52.46</v>
      </c>
      <c r="L11" s="4">
        <f>MIN(100,MAX(0,(1-(F11-1)/(H11*1.5))*100*INDEX('League Config'!$J$4:$J$9,MATCH(A11,'League Config'!$E$4:$E$9,0))))</f>
        <v>58.974358974358978</v>
      </c>
      <c r="M11">
        <f>IF(A11="K",'League Config'!$B$14,IF(A11="DST",'League Config'!$B$15,IF(A11="QB",'League Config'!$B$16,0)))</f>
        <v>3</v>
      </c>
      <c r="N11" s="4">
        <f t="shared" si="3"/>
        <v>68.659368846153853</v>
      </c>
      <c r="O11" s="9">
        <f t="shared" si="4"/>
        <v>68.659368846153853</v>
      </c>
      <c r="P11" s="6">
        <f>IF(O11="","",COUNTIF($O$3:$O$225,"&gt;"&amp;O11)+COUNTIF($O$3:O11,O11))</f>
        <v>67</v>
      </c>
      <c r="Q11">
        <f t="shared" si="5"/>
        <v>67</v>
      </c>
      <c r="R11" s="4">
        <f>'LIVE SOURCE'!E11</f>
        <v>86</v>
      </c>
      <c r="S11" s="4">
        <f t="shared" si="6"/>
        <v>19</v>
      </c>
      <c r="T11" t="str">
        <f>'LIVE SOURCE'!F11</f>
        <v>B</v>
      </c>
      <c r="U11" s="4">
        <f t="shared" si="7"/>
        <v>76.591300000000004</v>
      </c>
      <c r="V11" s="4">
        <f t="shared" si="8"/>
        <v>85.591300000000004</v>
      </c>
      <c r="W11" s="4">
        <f t="shared" si="9"/>
        <v>94.591300000000004</v>
      </c>
      <c r="X11" t="str">
        <f>'LIVE SOURCE'!G11</f>
        <v>RATE-ADJUSTED VETERAN</v>
      </c>
      <c r="Y11" t="str">
        <f>IF(INDEX('Draft Board'!$J$3:$J$225,Q11)="","Available",INDEX('Draft Board'!$J$3:$J$225,Q11))</f>
        <v>Available</v>
      </c>
      <c r="Z11">
        <f t="shared" si="10"/>
        <v>67</v>
      </c>
    </row>
    <row r="12" spans="1:26" x14ac:dyDescent="0.25">
      <c r="A12" t="str">
        <f>'LIVE SOURCE'!A12</f>
        <v>QB</v>
      </c>
      <c r="B12" t="str">
        <f>'LIVE SOURCE'!B12</f>
        <v>Matthew Stafford</v>
      </c>
      <c r="C12" s="4">
        <f>'LIVE SOURCE'!D12</f>
        <v>85.419700000000006</v>
      </c>
      <c r="D12" s="4">
        <f>'Manual Adjustments'!G12</f>
        <v>0</v>
      </c>
      <c r="E12" s="4">
        <f t="shared" si="0"/>
        <v>85.419700000000006</v>
      </c>
      <c r="F12">
        <f>COUNTIFS($A$3:$A$225,A12,$E$3:$E$225,"&gt;"&amp;E12)+COUNTIFS($A$3:A12,A12,$E$3:E12,E12)</f>
        <v>10</v>
      </c>
      <c r="G12" s="4">
        <f>ROUND(INDEX('League Config'!$K$4:$K$9,MATCH(A12,'League Config'!$E$4:$E$9,0))*E12+INDEX('League Config'!$L$4:$L$9,MATCH(A12,'League Config'!$E$4:$E$9,0)),1)</f>
        <v>354.4</v>
      </c>
      <c r="H12">
        <f>INDEX('League Config'!$H$4:$H$9,MATCH(A12,'League Config'!$E$4:$E$9,0))</f>
        <v>13</v>
      </c>
      <c r="I12" s="4">
        <f>INDEX('League Config'!$I$4:$I$9,MATCH(A12,'League Config'!$E$4:$E$9,0))</f>
        <v>351.1</v>
      </c>
      <c r="J12" s="4">
        <f t="shared" si="1"/>
        <v>3.3</v>
      </c>
      <c r="K12" s="4">
        <f t="shared" si="2"/>
        <v>51.98</v>
      </c>
      <c r="L12" s="4">
        <f>MIN(100,MAX(0,(1-(F12-1)/(H12*1.5))*100*INDEX('League Config'!$J$4:$J$9,MATCH(A12,'League Config'!$E$4:$E$9,0))))</f>
        <v>53.846153846153847</v>
      </c>
      <c r="M12">
        <f>IF(A12="K",'League Config'!$B$14,IF(A12="DST",'League Config'!$B$15,IF(A12="QB",'League Config'!$B$16,0)))</f>
        <v>3</v>
      </c>
      <c r="N12" s="4">
        <f t="shared" si="3"/>
        <v>67.651758076923088</v>
      </c>
      <c r="O12" s="9">
        <f t="shared" si="4"/>
        <v>67.651758076923088</v>
      </c>
      <c r="P12" s="6">
        <f>IF(O12="","",COUNTIF($O$3:$O$225,"&gt;"&amp;O12)+COUNTIF($O$3:O12,O12))</f>
        <v>71</v>
      </c>
      <c r="Q12">
        <f t="shared" si="5"/>
        <v>71</v>
      </c>
      <c r="R12" s="4">
        <f>'LIVE SOURCE'!E12</f>
        <v>94</v>
      </c>
      <c r="S12" s="4">
        <f t="shared" si="6"/>
        <v>23</v>
      </c>
      <c r="T12" t="str">
        <f>'LIVE SOURCE'!F12</f>
        <v>A</v>
      </c>
      <c r="U12" s="4">
        <f t="shared" si="7"/>
        <v>79.419700000000006</v>
      </c>
      <c r="V12" s="4">
        <f t="shared" si="8"/>
        <v>85.419700000000006</v>
      </c>
      <c r="W12" s="4">
        <f t="shared" si="9"/>
        <v>91.419700000000006</v>
      </c>
      <c r="X12" t="str">
        <f>'LIVE SOURCE'!G12</f>
        <v>RATE-ADJUSTED VETERAN</v>
      </c>
      <c r="Y12" t="str">
        <f>IF(INDEX('Draft Board'!$J$3:$J$225,Q12)="","Available",INDEX('Draft Board'!$J$3:$J$225,Q12))</f>
        <v>Available</v>
      </c>
      <c r="Z12">
        <f t="shared" si="10"/>
        <v>71</v>
      </c>
    </row>
    <row r="13" spans="1:26" x14ac:dyDescent="0.25">
      <c r="A13" t="str">
        <f>'LIVE SOURCE'!A13</f>
        <v>QB</v>
      </c>
      <c r="B13" t="str">
        <f>'LIVE SOURCE'!B13</f>
        <v>Bo Nix</v>
      </c>
      <c r="C13" s="4">
        <f>'LIVE SOURCE'!D13</f>
        <v>85.248500000000007</v>
      </c>
      <c r="D13" s="4">
        <f>'Manual Adjustments'!G13</f>
        <v>0</v>
      </c>
      <c r="E13" s="4">
        <f t="shared" si="0"/>
        <v>85.248500000000007</v>
      </c>
      <c r="F13">
        <f>COUNTIFS($A$3:$A$225,A13,$E$3:$E$225,"&gt;"&amp;E13)+COUNTIFS($A$3:A13,A13,$E$3:E13,E13)</f>
        <v>11</v>
      </c>
      <c r="G13" s="4">
        <f>ROUND(INDEX('League Config'!$K$4:$K$9,MATCH(A13,'League Config'!$E$4:$E$9,0))*E13+INDEX('League Config'!$L$4:$L$9,MATCH(A13,'League Config'!$E$4:$E$9,0)),1)</f>
        <v>353.6</v>
      </c>
      <c r="H13">
        <f>INDEX('League Config'!$H$4:$H$9,MATCH(A13,'League Config'!$E$4:$E$9,0))</f>
        <v>13</v>
      </c>
      <c r="I13" s="4">
        <f>INDEX('League Config'!$I$4:$I$9,MATCH(A13,'League Config'!$E$4:$E$9,0))</f>
        <v>351.1</v>
      </c>
      <c r="J13" s="4">
        <f t="shared" si="1"/>
        <v>2.5</v>
      </c>
      <c r="K13" s="4">
        <f t="shared" si="2"/>
        <v>51.5</v>
      </c>
      <c r="L13" s="4">
        <f>MIN(100,MAX(0,(1-(F13-1)/(H13*1.5))*100*INDEX('League Config'!$J$4:$J$9,MATCH(A13,'League Config'!$E$4:$E$9,0))))</f>
        <v>48.717948717948723</v>
      </c>
      <c r="M13">
        <f>IF(A13="K",'League Config'!$B$14,IF(A13="DST",'League Config'!$B$15,IF(A13="QB",'League Config'!$B$16,0)))</f>
        <v>3</v>
      </c>
      <c r="N13" s="4">
        <f t="shared" si="3"/>
        <v>66.64436730769232</v>
      </c>
      <c r="O13" s="9">
        <f t="shared" si="4"/>
        <v>66.64436730769232</v>
      </c>
      <c r="P13" s="6">
        <f>IF(O13="","",COUNTIF($O$3:$O$225,"&gt;"&amp;O13)+COUNTIF($O$3:O13,O13))</f>
        <v>75</v>
      </c>
      <c r="Q13">
        <f t="shared" si="5"/>
        <v>75</v>
      </c>
      <c r="R13" s="4">
        <f>'LIVE SOURCE'!E13</f>
        <v>102</v>
      </c>
      <c r="S13" s="4">
        <f t="shared" si="6"/>
        <v>27</v>
      </c>
      <c r="T13" t="str">
        <f>'LIVE SOURCE'!F13</f>
        <v>A</v>
      </c>
      <c r="U13" s="4">
        <f t="shared" si="7"/>
        <v>79.248500000000007</v>
      </c>
      <c r="V13" s="4">
        <f t="shared" si="8"/>
        <v>85.248500000000007</v>
      </c>
      <c r="W13" s="4">
        <f t="shared" si="9"/>
        <v>91.248500000000007</v>
      </c>
      <c r="X13" t="str">
        <f>'LIVE SOURCE'!G13</f>
        <v>RATE-ADJUSTED VETERAN</v>
      </c>
      <c r="Y13" t="str">
        <f>IF(INDEX('Draft Board'!$J$3:$J$225,Q13)="","Available",INDEX('Draft Board'!$J$3:$J$225,Q13))</f>
        <v>Available</v>
      </c>
      <c r="Z13">
        <f t="shared" si="10"/>
        <v>75</v>
      </c>
    </row>
    <row r="14" spans="1:26" x14ac:dyDescent="0.25">
      <c r="A14" t="str">
        <f>'LIVE SOURCE'!A14</f>
        <v>QB</v>
      </c>
      <c r="B14" t="str">
        <f>'LIVE SOURCE'!B14</f>
        <v>Dak Prescott</v>
      </c>
      <c r="C14" s="4">
        <f>'LIVE SOURCE'!D14</f>
        <v>85.115600000000001</v>
      </c>
      <c r="D14" s="4">
        <f>'Manual Adjustments'!G14</f>
        <v>0</v>
      </c>
      <c r="E14" s="4">
        <f t="shared" si="0"/>
        <v>85.115600000000001</v>
      </c>
      <c r="F14">
        <f>COUNTIFS($A$3:$A$225,A14,$E$3:$E$225,"&gt;"&amp;E14)+COUNTIFS($A$3:A14,A14,$E$3:E14,E14)</f>
        <v>12</v>
      </c>
      <c r="G14" s="4">
        <f>ROUND(INDEX('League Config'!$K$4:$K$9,MATCH(A14,'League Config'!$E$4:$E$9,0))*E14+INDEX('League Config'!$L$4:$L$9,MATCH(A14,'League Config'!$E$4:$E$9,0)),1)</f>
        <v>353</v>
      </c>
      <c r="H14">
        <f>INDEX('League Config'!$H$4:$H$9,MATCH(A14,'League Config'!$E$4:$E$9,0))</f>
        <v>13</v>
      </c>
      <c r="I14" s="4">
        <f>INDEX('League Config'!$I$4:$I$9,MATCH(A14,'League Config'!$E$4:$E$9,0))</f>
        <v>351.1</v>
      </c>
      <c r="J14" s="4">
        <f t="shared" si="1"/>
        <v>1.9</v>
      </c>
      <c r="K14" s="4">
        <f t="shared" si="2"/>
        <v>51.14</v>
      </c>
      <c r="L14" s="4">
        <f>MIN(100,MAX(0,(1-(F14-1)/(H14*1.5))*100*INDEX('League Config'!$J$4:$J$9,MATCH(A14,'League Config'!$E$4:$E$9,0))))</f>
        <v>43.589743589743591</v>
      </c>
      <c r="M14">
        <f>IF(A14="K",'League Config'!$B$14,IF(A14="DST",'League Config'!$B$15,IF(A14="QB",'League Config'!$B$16,0)))</f>
        <v>3</v>
      </c>
      <c r="N14" s="4">
        <f t="shared" si="3"/>
        <v>65.694041538461533</v>
      </c>
      <c r="O14" s="9">
        <f t="shared" si="4"/>
        <v>65.694041538461533</v>
      </c>
      <c r="P14" s="6">
        <f>IF(O14="","",COUNTIF($O$3:$O$225,"&gt;"&amp;O14)+COUNTIF($O$3:O14,O14))</f>
        <v>78</v>
      </c>
      <c r="Q14">
        <f t="shared" si="5"/>
        <v>78</v>
      </c>
      <c r="R14" s="4">
        <f>'LIVE SOURCE'!E14</f>
        <v>110</v>
      </c>
      <c r="S14" s="4">
        <f t="shared" si="6"/>
        <v>32</v>
      </c>
      <c r="T14" t="str">
        <f>'LIVE SOURCE'!F14</f>
        <v>A</v>
      </c>
      <c r="U14" s="4">
        <f t="shared" si="7"/>
        <v>79.115600000000001</v>
      </c>
      <c r="V14" s="4">
        <f t="shared" si="8"/>
        <v>85.115600000000001</v>
      </c>
      <c r="W14" s="4">
        <f t="shared" si="9"/>
        <v>91.115600000000001</v>
      </c>
      <c r="X14" t="str">
        <f>'LIVE SOURCE'!G14</f>
        <v>RATE-ADJUSTED VETERAN</v>
      </c>
      <c r="Y14" t="str">
        <f>IF(INDEX('Draft Board'!$J$3:$J$225,Q14)="","Available",INDEX('Draft Board'!$J$3:$J$225,Q14))</f>
        <v>Available</v>
      </c>
      <c r="Z14">
        <f t="shared" si="10"/>
        <v>78</v>
      </c>
    </row>
    <row r="15" spans="1:26" x14ac:dyDescent="0.25">
      <c r="A15" t="str">
        <f>'LIVE SOURCE'!A15</f>
        <v>QB</v>
      </c>
      <c r="B15" t="str">
        <f>'LIVE SOURCE'!B15</f>
        <v>Trevor Lawrence</v>
      </c>
      <c r="C15" s="4">
        <f>'LIVE SOURCE'!D15</f>
        <v>84.692099999999996</v>
      </c>
      <c r="D15" s="4">
        <f>'Manual Adjustments'!G15</f>
        <v>0</v>
      </c>
      <c r="E15" s="4">
        <f t="shared" si="0"/>
        <v>84.692099999999996</v>
      </c>
      <c r="F15">
        <f>COUNTIFS($A$3:$A$225,A15,$E$3:$E$225,"&gt;"&amp;E15)+COUNTIFS($A$3:A15,A15,$E$3:E15,E15)</f>
        <v>13</v>
      </c>
      <c r="G15" s="4">
        <f>ROUND(INDEX('League Config'!$K$4:$K$9,MATCH(A15,'League Config'!$E$4:$E$9,0))*E15+INDEX('League Config'!$L$4:$L$9,MATCH(A15,'League Config'!$E$4:$E$9,0)),1)</f>
        <v>351.1</v>
      </c>
      <c r="H15">
        <f>INDEX('League Config'!$H$4:$H$9,MATCH(A15,'League Config'!$E$4:$E$9,0))</f>
        <v>13</v>
      </c>
      <c r="I15" s="4">
        <f>INDEX('League Config'!$I$4:$I$9,MATCH(A15,'League Config'!$E$4:$E$9,0))</f>
        <v>351.1</v>
      </c>
      <c r="J15" s="4">
        <f t="shared" si="1"/>
        <v>0</v>
      </c>
      <c r="K15" s="4">
        <f t="shared" si="2"/>
        <v>50</v>
      </c>
      <c r="L15" s="4">
        <f>MIN(100,MAX(0,(1-(F15-1)/(H15*1.5))*100*INDEX('League Config'!$J$4:$J$9,MATCH(A15,'League Config'!$E$4:$E$9,0))))</f>
        <v>38.46153846153846</v>
      </c>
      <c r="M15">
        <f>IF(A15="K",'League Config'!$B$14,IF(A15="DST",'League Config'!$B$15,IF(A15="QB",'League Config'!$B$16,0)))</f>
        <v>3</v>
      </c>
      <c r="N15" s="4">
        <f t="shared" si="3"/>
        <v>64.349885769230767</v>
      </c>
      <c r="O15" s="9">
        <f t="shared" si="4"/>
        <v>64.349885769230767</v>
      </c>
      <c r="P15" s="6">
        <f>IF(O15="","",COUNTIF($O$3:$O$225,"&gt;"&amp;O15)+COUNTIF($O$3:O15,O15))</f>
        <v>82</v>
      </c>
      <c r="Q15">
        <f t="shared" si="5"/>
        <v>82</v>
      </c>
      <c r="R15" s="4">
        <f>'LIVE SOURCE'!E15</f>
        <v>118</v>
      </c>
      <c r="S15" s="4">
        <f t="shared" si="6"/>
        <v>36</v>
      </c>
      <c r="T15" t="str">
        <f>'LIVE SOURCE'!F15</f>
        <v>A</v>
      </c>
      <c r="U15" s="4">
        <f t="shared" si="7"/>
        <v>78.692099999999996</v>
      </c>
      <c r="V15" s="4">
        <f t="shared" si="8"/>
        <v>84.692099999999996</v>
      </c>
      <c r="W15" s="4">
        <f t="shared" si="9"/>
        <v>90.692099999999996</v>
      </c>
      <c r="X15" t="str">
        <f>'LIVE SOURCE'!G15</f>
        <v>RATE-ADJUSTED VETERAN</v>
      </c>
      <c r="Y15" t="str">
        <f>IF(INDEX('Draft Board'!$J$3:$J$225,Q15)="","Available",INDEX('Draft Board'!$J$3:$J$225,Q15))</f>
        <v>Available</v>
      </c>
      <c r="Z15">
        <f t="shared" si="10"/>
        <v>82</v>
      </c>
    </row>
    <row r="16" spans="1:26" x14ac:dyDescent="0.25">
      <c r="A16" t="str">
        <f>'LIVE SOURCE'!A16</f>
        <v>QB</v>
      </c>
      <c r="B16" t="str">
        <f>'LIVE SOURCE'!B16</f>
        <v>Brock Purdy</v>
      </c>
      <c r="C16" s="4">
        <f>'LIVE SOURCE'!D16</f>
        <v>83.8386</v>
      </c>
      <c r="D16" s="4">
        <f>'Manual Adjustments'!G16</f>
        <v>0</v>
      </c>
      <c r="E16" s="4">
        <f t="shared" si="0"/>
        <v>83.8386</v>
      </c>
      <c r="F16">
        <f>COUNTIFS($A$3:$A$225,A16,$E$3:$E$225,"&gt;"&amp;E16)+COUNTIFS($A$3:A16,A16,$E$3:E16,E16)</f>
        <v>14</v>
      </c>
      <c r="G16" s="4">
        <f>ROUND(INDEX('League Config'!$K$4:$K$9,MATCH(A16,'League Config'!$E$4:$E$9,0))*E16+INDEX('League Config'!$L$4:$L$9,MATCH(A16,'League Config'!$E$4:$E$9,0)),1)</f>
        <v>347.3</v>
      </c>
      <c r="H16">
        <f>INDEX('League Config'!$H$4:$H$9,MATCH(A16,'League Config'!$E$4:$E$9,0))</f>
        <v>13</v>
      </c>
      <c r="I16" s="4">
        <f>INDEX('League Config'!$I$4:$I$9,MATCH(A16,'League Config'!$E$4:$E$9,0))</f>
        <v>351.1</v>
      </c>
      <c r="J16" s="4">
        <f t="shared" si="1"/>
        <v>-3.8</v>
      </c>
      <c r="K16" s="4">
        <f t="shared" si="2"/>
        <v>47.72</v>
      </c>
      <c r="L16" s="4">
        <f>MIN(100,MAX(0,(1-(F16-1)/(H16*1.5))*100*INDEX('League Config'!$J$4:$J$9,MATCH(A16,'League Config'!$E$4:$E$9,0))))</f>
        <v>33.333333333333336</v>
      </c>
      <c r="M16">
        <f>IF(A16="K",'League Config'!$B$14,IF(A16="DST",'League Config'!$B$15,IF(A16="QB",'League Config'!$B$16,0)))</f>
        <v>3</v>
      </c>
      <c r="N16" s="4">
        <f t="shared" si="3"/>
        <v>62.427230000000009</v>
      </c>
      <c r="O16" s="9">
        <f t="shared" si="4"/>
        <v>62.427230000000009</v>
      </c>
      <c r="P16" s="6">
        <f>IF(O16="","",COUNTIF($O$3:$O$225,"&gt;"&amp;O16)+COUNTIF($O$3:O16,O16))</f>
        <v>90</v>
      </c>
      <c r="Q16">
        <f t="shared" si="5"/>
        <v>90</v>
      </c>
      <c r="R16" s="4">
        <f>'LIVE SOURCE'!E16</f>
        <v>126</v>
      </c>
      <c r="S16" s="4">
        <f t="shared" si="6"/>
        <v>36</v>
      </c>
      <c r="T16" t="str">
        <f>'LIVE SOURCE'!F16</f>
        <v>B</v>
      </c>
      <c r="U16" s="4">
        <f t="shared" si="7"/>
        <v>74.8386</v>
      </c>
      <c r="V16" s="4">
        <f t="shared" si="8"/>
        <v>83.8386</v>
      </c>
      <c r="W16" s="4">
        <f t="shared" si="9"/>
        <v>92.8386</v>
      </c>
      <c r="X16" t="str">
        <f>'LIVE SOURCE'!G16</f>
        <v>RATE-ADJUSTED VETERAN</v>
      </c>
      <c r="Y16" t="str">
        <f>IF(INDEX('Draft Board'!$J$3:$J$225,Q16)="","Available",INDEX('Draft Board'!$J$3:$J$225,Q16))</f>
        <v>Available</v>
      </c>
      <c r="Z16">
        <f t="shared" si="10"/>
        <v>90</v>
      </c>
    </row>
    <row r="17" spans="1:26" x14ac:dyDescent="0.25">
      <c r="A17" t="str">
        <f>'LIVE SOURCE'!A17</f>
        <v>QB</v>
      </c>
      <c r="B17" t="str">
        <f>'LIVE SOURCE'!B17</f>
        <v>Jaxson Dart</v>
      </c>
      <c r="C17" s="4">
        <f>'LIVE SOURCE'!D17</f>
        <v>83.060699999999997</v>
      </c>
      <c r="D17" s="4">
        <f>'Manual Adjustments'!G17</f>
        <v>0</v>
      </c>
      <c r="E17" s="4">
        <f t="shared" si="0"/>
        <v>83.060699999999997</v>
      </c>
      <c r="F17">
        <f>COUNTIFS($A$3:$A$225,A17,$E$3:$E$225,"&gt;"&amp;E17)+COUNTIFS($A$3:A17,A17,$E$3:E17,E17)</f>
        <v>15</v>
      </c>
      <c r="G17" s="4">
        <f>ROUND(INDEX('League Config'!$K$4:$K$9,MATCH(A17,'League Config'!$E$4:$E$9,0))*E17+INDEX('League Config'!$L$4:$L$9,MATCH(A17,'League Config'!$E$4:$E$9,0)),1)</f>
        <v>343.8</v>
      </c>
      <c r="H17">
        <f>INDEX('League Config'!$H$4:$H$9,MATCH(A17,'League Config'!$E$4:$E$9,0))</f>
        <v>13</v>
      </c>
      <c r="I17" s="4">
        <f>INDEX('League Config'!$I$4:$I$9,MATCH(A17,'League Config'!$E$4:$E$9,0))</f>
        <v>351.1</v>
      </c>
      <c r="J17" s="4">
        <f t="shared" si="1"/>
        <v>-7.3</v>
      </c>
      <c r="K17" s="4">
        <f t="shared" si="2"/>
        <v>45.62</v>
      </c>
      <c r="L17" s="4">
        <f>MIN(100,MAX(0,(1-(F17-1)/(H17*1.5))*100*INDEX('League Config'!$J$4:$J$9,MATCH(A17,'League Config'!$E$4:$E$9,0))))</f>
        <v>28.205128205128204</v>
      </c>
      <c r="M17">
        <f>IF(A17="K",'League Config'!$B$14,IF(A17="DST",'League Config'!$B$15,IF(A17="QB",'League Config'!$B$16,0)))</f>
        <v>3</v>
      </c>
      <c r="N17" s="4">
        <f t="shared" si="3"/>
        <v>60.600154230769235</v>
      </c>
      <c r="O17" s="9">
        <f t="shared" si="4"/>
        <v>60.600154230769235</v>
      </c>
      <c r="P17" s="6">
        <f>IF(O17="","",COUNTIF($O$3:$O$225,"&gt;"&amp;O17)+COUNTIF($O$3:O17,O17))</f>
        <v>96</v>
      </c>
      <c r="Q17">
        <f t="shared" si="5"/>
        <v>96</v>
      </c>
      <c r="R17" s="4">
        <f>'LIVE SOURCE'!E17</f>
        <v>134</v>
      </c>
      <c r="S17" s="4">
        <f t="shared" si="6"/>
        <v>38</v>
      </c>
      <c r="T17" t="str">
        <f>'LIVE SOURCE'!F17</f>
        <v>A</v>
      </c>
      <c r="U17" s="4">
        <f t="shared" si="7"/>
        <v>77.060699999999997</v>
      </c>
      <c r="V17" s="4">
        <f t="shared" si="8"/>
        <v>83.060699999999997</v>
      </c>
      <c r="W17" s="4">
        <f t="shared" si="9"/>
        <v>89.060699999999997</v>
      </c>
      <c r="X17" t="str">
        <f>'LIVE SOURCE'!G17</f>
        <v>RATE-ADJUSTED VETERAN</v>
      </c>
      <c r="Y17" t="str">
        <f>IF(INDEX('Draft Board'!$J$3:$J$225,Q17)="","Available",INDEX('Draft Board'!$J$3:$J$225,Q17))</f>
        <v>Available</v>
      </c>
      <c r="Z17">
        <f t="shared" si="10"/>
        <v>96</v>
      </c>
    </row>
    <row r="18" spans="1:26" x14ac:dyDescent="0.25">
      <c r="A18" t="str">
        <f>'LIVE SOURCE'!A18</f>
        <v>QB</v>
      </c>
      <c r="B18" t="str">
        <f>'LIVE SOURCE'!B18</f>
        <v>Jared Goff</v>
      </c>
      <c r="C18" s="4">
        <f>'LIVE SOURCE'!D18</f>
        <v>82.642499999999998</v>
      </c>
      <c r="D18" s="4">
        <f>'Manual Adjustments'!G18</f>
        <v>0</v>
      </c>
      <c r="E18" s="4">
        <f t="shared" si="0"/>
        <v>82.642499999999998</v>
      </c>
      <c r="F18">
        <f>COUNTIFS($A$3:$A$225,A18,$E$3:$E$225,"&gt;"&amp;E18)+COUNTIFS($A$3:A18,A18,$E$3:E18,E18)</f>
        <v>16</v>
      </c>
      <c r="G18" s="4">
        <f>ROUND(INDEX('League Config'!$K$4:$K$9,MATCH(A18,'League Config'!$E$4:$E$9,0))*E18+INDEX('League Config'!$L$4:$L$9,MATCH(A18,'League Config'!$E$4:$E$9,0)),1)</f>
        <v>341.9</v>
      </c>
      <c r="H18">
        <f>INDEX('League Config'!$H$4:$H$9,MATCH(A18,'League Config'!$E$4:$E$9,0))</f>
        <v>13</v>
      </c>
      <c r="I18" s="4">
        <f>INDEX('League Config'!$I$4:$I$9,MATCH(A18,'League Config'!$E$4:$E$9,0))</f>
        <v>351.1</v>
      </c>
      <c r="J18" s="4">
        <f t="shared" si="1"/>
        <v>-9.1999999999999993</v>
      </c>
      <c r="K18" s="4">
        <f t="shared" si="2"/>
        <v>44.480000000000004</v>
      </c>
      <c r="L18" s="4">
        <f>MIN(100,MAX(0,(1-(F18-1)/(H18*1.5))*100*INDEX('League Config'!$J$4:$J$9,MATCH(A18,'League Config'!$E$4:$E$9,0))))</f>
        <v>23.076923076923073</v>
      </c>
      <c r="M18">
        <f>IF(A18="K",'League Config'!$B$14,IF(A18="DST",'League Config'!$B$15,IF(A18="QB",'League Config'!$B$16,0)))</f>
        <v>3</v>
      </c>
      <c r="N18" s="4">
        <f t="shared" si="3"/>
        <v>59.258913461538462</v>
      </c>
      <c r="O18" s="9">
        <f t="shared" si="4"/>
        <v>59.258913461538462</v>
      </c>
      <c r="P18" s="6">
        <f>IF(O18="","",COUNTIF($O$3:$O$225,"&gt;"&amp;O18)+COUNTIF($O$3:O18,O18))</f>
        <v>99</v>
      </c>
      <c r="Q18">
        <f t="shared" si="5"/>
        <v>99</v>
      </c>
      <c r="R18" s="4">
        <f>'LIVE SOURCE'!E18</f>
        <v>142</v>
      </c>
      <c r="S18" s="4">
        <f t="shared" si="6"/>
        <v>43</v>
      </c>
      <c r="T18" t="str">
        <f>'LIVE SOURCE'!F18</f>
        <v>A</v>
      </c>
      <c r="U18" s="4">
        <f t="shared" si="7"/>
        <v>76.642499999999998</v>
      </c>
      <c r="V18" s="4">
        <f t="shared" si="8"/>
        <v>82.642499999999998</v>
      </c>
      <c r="W18" s="4">
        <f t="shared" si="9"/>
        <v>88.642499999999998</v>
      </c>
      <c r="X18" t="str">
        <f>'LIVE SOURCE'!G18</f>
        <v>RATE-ADJUSTED VETERAN</v>
      </c>
      <c r="Y18" t="str">
        <f>IF(INDEX('Draft Board'!$J$3:$J$225,Q18)="","Available",INDEX('Draft Board'!$J$3:$J$225,Q18))</f>
        <v>Available</v>
      </c>
      <c r="Z18">
        <f t="shared" si="10"/>
        <v>99</v>
      </c>
    </row>
    <row r="19" spans="1:26" x14ac:dyDescent="0.25">
      <c r="A19" t="str">
        <f>'LIVE SOURCE'!A19</f>
        <v>QB</v>
      </c>
      <c r="B19" t="str">
        <f>'LIVE SOURCE'!B19</f>
        <v>Kyler Murray</v>
      </c>
      <c r="C19" s="4">
        <f>'LIVE SOURCE'!D19</f>
        <v>80.710099999999997</v>
      </c>
      <c r="D19" s="4">
        <f>'Manual Adjustments'!G19</f>
        <v>0</v>
      </c>
      <c r="E19" s="4">
        <f t="shared" si="0"/>
        <v>80.710099999999997</v>
      </c>
      <c r="F19">
        <f>COUNTIFS($A$3:$A$225,A19,$E$3:$E$225,"&gt;"&amp;E19)+COUNTIFS($A$3:A19,A19,$E$3:E19,E19)</f>
        <v>17</v>
      </c>
      <c r="G19" s="4">
        <f>ROUND(INDEX('League Config'!$K$4:$K$9,MATCH(A19,'League Config'!$E$4:$E$9,0))*E19+INDEX('League Config'!$L$4:$L$9,MATCH(A19,'League Config'!$E$4:$E$9,0)),1)</f>
        <v>333.2</v>
      </c>
      <c r="H19">
        <f>INDEX('League Config'!$H$4:$H$9,MATCH(A19,'League Config'!$E$4:$E$9,0))</f>
        <v>13</v>
      </c>
      <c r="I19" s="4">
        <f>INDEX('League Config'!$I$4:$I$9,MATCH(A19,'League Config'!$E$4:$E$9,0))</f>
        <v>351.1</v>
      </c>
      <c r="J19" s="4">
        <f t="shared" si="1"/>
        <v>-17.899999999999999</v>
      </c>
      <c r="K19" s="4">
        <f t="shared" si="2"/>
        <v>39.260000000000005</v>
      </c>
      <c r="L19" s="4">
        <f>MIN(100,MAX(0,(1-(F19-1)/(H19*1.5))*100*INDEX('League Config'!$J$4:$J$9,MATCH(A19,'League Config'!$E$4:$E$9,0))))</f>
        <v>17.948717948717952</v>
      </c>
      <c r="M19">
        <f>IF(A19="K",'League Config'!$B$14,IF(A19="DST",'League Config'!$B$15,IF(A19="QB",'League Config'!$B$16,0)))</f>
        <v>3</v>
      </c>
      <c r="N19" s="4">
        <f t="shared" si="3"/>
        <v>55.860862692307691</v>
      </c>
      <c r="O19" s="9">
        <f t="shared" si="4"/>
        <v>55.860862692307691</v>
      </c>
      <c r="P19" s="6">
        <f>IF(O19="","",COUNTIF($O$3:$O$225,"&gt;"&amp;O19)+COUNTIF($O$3:O19,O19))</f>
        <v>109</v>
      </c>
      <c r="Q19">
        <f t="shared" si="5"/>
        <v>109</v>
      </c>
      <c r="R19" s="4">
        <f>'LIVE SOURCE'!E19</f>
        <v>150</v>
      </c>
      <c r="S19" s="4">
        <f t="shared" si="6"/>
        <v>41</v>
      </c>
      <c r="T19" t="str">
        <f>'LIVE SOURCE'!F19</f>
        <v>B</v>
      </c>
      <c r="U19" s="4">
        <f t="shared" si="7"/>
        <v>71.710099999999997</v>
      </c>
      <c r="V19" s="4">
        <f t="shared" si="8"/>
        <v>80.710099999999997</v>
      </c>
      <c r="W19" s="4">
        <f t="shared" si="9"/>
        <v>89.710099999999997</v>
      </c>
      <c r="X19" t="str">
        <f>'LIVE SOURCE'!G19</f>
        <v>RATE-ADJUSTED VETERAN</v>
      </c>
      <c r="Y19" t="str">
        <f>IF(INDEX('Draft Board'!$J$3:$J$225,Q19)="","Available",INDEX('Draft Board'!$J$3:$J$225,Q19))</f>
        <v>Available</v>
      </c>
      <c r="Z19">
        <f t="shared" si="10"/>
        <v>109</v>
      </c>
    </row>
    <row r="20" spans="1:26" x14ac:dyDescent="0.25">
      <c r="A20" t="str">
        <f>'LIVE SOURCE'!A20</f>
        <v>QB</v>
      </c>
      <c r="B20" t="str">
        <f>'LIVE SOURCE'!B20</f>
        <v>Jordan Love</v>
      </c>
      <c r="C20" s="4">
        <f>'LIVE SOURCE'!D20</f>
        <v>80.040800000000004</v>
      </c>
      <c r="D20" s="4">
        <f>'Manual Adjustments'!G20</f>
        <v>0</v>
      </c>
      <c r="E20" s="4">
        <f t="shared" si="0"/>
        <v>80.040800000000004</v>
      </c>
      <c r="F20">
        <f>COUNTIFS($A$3:$A$225,A20,$E$3:$E$225,"&gt;"&amp;E20)+COUNTIFS($A$3:A20,A20,$E$3:E20,E20)</f>
        <v>18</v>
      </c>
      <c r="G20" s="4">
        <f>ROUND(INDEX('League Config'!$K$4:$K$9,MATCH(A20,'League Config'!$E$4:$E$9,0))*E20+INDEX('League Config'!$L$4:$L$9,MATCH(A20,'League Config'!$E$4:$E$9,0)),1)</f>
        <v>330.2</v>
      </c>
      <c r="H20">
        <f>INDEX('League Config'!$H$4:$H$9,MATCH(A20,'League Config'!$E$4:$E$9,0))</f>
        <v>13</v>
      </c>
      <c r="I20" s="4">
        <f>INDEX('League Config'!$I$4:$I$9,MATCH(A20,'League Config'!$E$4:$E$9,0))</f>
        <v>351.1</v>
      </c>
      <c r="J20" s="4">
        <f t="shared" si="1"/>
        <v>-20.9</v>
      </c>
      <c r="K20" s="4">
        <f t="shared" si="2"/>
        <v>37.46</v>
      </c>
      <c r="L20" s="4">
        <f>MIN(100,MAX(0,(1-(F20-1)/(H20*1.5))*100*INDEX('League Config'!$J$4:$J$9,MATCH(A20,'League Config'!$E$4:$E$9,0))))</f>
        <v>12.820512820512819</v>
      </c>
      <c r="M20">
        <f>IF(A20="K",'League Config'!$B$14,IF(A20="DST",'League Config'!$B$15,IF(A20="QB",'League Config'!$B$16,0)))</f>
        <v>3</v>
      </c>
      <c r="N20" s="4">
        <f t="shared" si="3"/>
        <v>54.183516923076922</v>
      </c>
      <c r="O20" s="9">
        <f t="shared" si="4"/>
        <v>54.183516923076922</v>
      </c>
      <c r="P20" s="6">
        <f>IF(O20="","",COUNTIF($O$3:$O$225,"&gt;"&amp;O20)+COUNTIF($O$3:O20,O20))</f>
        <v>114</v>
      </c>
      <c r="Q20">
        <f t="shared" si="5"/>
        <v>114</v>
      </c>
      <c r="R20" s="4">
        <f>'LIVE SOURCE'!E20</f>
        <v>158</v>
      </c>
      <c r="S20" s="4">
        <f t="shared" si="6"/>
        <v>44</v>
      </c>
      <c r="T20" t="str">
        <f>'LIVE SOURCE'!F20</f>
        <v>A</v>
      </c>
      <c r="U20" s="4">
        <f t="shared" si="7"/>
        <v>74.040800000000004</v>
      </c>
      <c r="V20" s="4">
        <f t="shared" si="8"/>
        <v>80.040800000000004</v>
      </c>
      <c r="W20" s="4">
        <f t="shared" si="9"/>
        <v>86.040800000000004</v>
      </c>
      <c r="X20" t="str">
        <f>'LIVE SOURCE'!G20</f>
        <v>RATE-ADJUSTED VETERAN</v>
      </c>
      <c r="Y20" t="str">
        <f>IF(INDEX('Draft Board'!$J$3:$J$225,Q20)="","Available",INDEX('Draft Board'!$J$3:$J$225,Q20))</f>
        <v>Available</v>
      </c>
      <c r="Z20">
        <f t="shared" si="10"/>
        <v>114</v>
      </c>
    </row>
    <row r="21" spans="1:26" x14ac:dyDescent="0.25">
      <c r="A21" t="str">
        <f>'LIVE SOURCE'!A21</f>
        <v>QB</v>
      </c>
      <c r="B21" t="str">
        <f>'LIVE SOURCE'!B21</f>
        <v>Baker Mayfield</v>
      </c>
      <c r="C21" s="4">
        <f>'LIVE SOURCE'!D21</f>
        <v>79.825999999999993</v>
      </c>
      <c r="D21" s="4">
        <f>'Manual Adjustments'!G21</f>
        <v>0</v>
      </c>
      <c r="E21" s="4">
        <f t="shared" si="0"/>
        <v>79.825999999999993</v>
      </c>
      <c r="F21">
        <f>COUNTIFS($A$3:$A$225,A21,$E$3:$E$225,"&gt;"&amp;E21)+COUNTIFS($A$3:A21,A21,$E$3:E21,E21)</f>
        <v>19</v>
      </c>
      <c r="G21" s="4">
        <f>ROUND(INDEX('League Config'!$K$4:$K$9,MATCH(A21,'League Config'!$E$4:$E$9,0))*E21+INDEX('League Config'!$L$4:$L$9,MATCH(A21,'League Config'!$E$4:$E$9,0)),1)</f>
        <v>329.2</v>
      </c>
      <c r="H21">
        <f>INDEX('League Config'!$H$4:$H$9,MATCH(A21,'League Config'!$E$4:$E$9,0))</f>
        <v>13</v>
      </c>
      <c r="I21" s="4">
        <f>INDEX('League Config'!$I$4:$I$9,MATCH(A21,'League Config'!$E$4:$E$9,0))</f>
        <v>351.1</v>
      </c>
      <c r="J21" s="4">
        <f t="shared" si="1"/>
        <v>-21.9</v>
      </c>
      <c r="K21" s="4">
        <f t="shared" si="2"/>
        <v>36.86</v>
      </c>
      <c r="L21" s="4">
        <f>MIN(100,MAX(0,(1-(F21-1)/(H21*1.5))*100*INDEX('League Config'!$J$4:$J$9,MATCH(A21,'League Config'!$E$4:$E$9,0))))</f>
        <v>7.6923076923076872</v>
      </c>
      <c r="M21">
        <f>IF(A21="K",'League Config'!$B$14,IF(A21="DST",'League Config'!$B$15,IF(A21="QB",'League Config'!$B$16,0)))</f>
        <v>3</v>
      </c>
      <c r="N21" s="4">
        <f t="shared" si="3"/>
        <v>53.116146153846152</v>
      </c>
      <c r="O21" s="9">
        <f t="shared" si="4"/>
        <v>53.116146153846152</v>
      </c>
      <c r="P21" s="6">
        <f>IF(O21="","",COUNTIF($O$3:$O$225,"&gt;"&amp;O21)+COUNTIF($O$3:O21,O21))</f>
        <v>117</v>
      </c>
      <c r="Q21">
        <f t="shared" si="5"/>
        <v>117</v>
      </c>
      <c r="R21" s="4">
        <f>'LIVE SOURCE'!E21</f>
        <v>166</v>
      </c>
      <c r="S21" s="4">
        <f t="shared" si="6"/>
        <v>49</v>
      </c>
      <c r="T21" t="str">
        <f>'LIVE SOURCE'!F21</f>
        <v>A</v>
      </c>
      <c r="U21" s="4">
        <f t="shared" si="7"/>
        <v>73.825999999999993</v>
      </c>
      <c r="V21" s="4">
        <f t="shared" si="8"/>
        <v>79.825999999999993</v>
      </c>
      <c r="W21" s="4">
        <f t="shared" si="9"/>
        <v>85.825999999999993</v>
      </c>
      <c r="X21" t="str">
        <f>'LIVE SOURCE'!G21</f>
        <v>RATE-ADJUSTED VETERAN</v>
      </c>
      <c r="Y21" t="str">
        <f>IF(INDEX('Draft Board'!$J$3:$J$225,Q21)="","Available",INDEX('Draft Board'!$J$3:$J$225,Q21))</f>
        <v>Available</v>
      </c>
      <c r="Z21">
        <f t="shared" si="10"/>
        <v>117</v>
      </c>
    </row>
    <row r="22" spans="1:26" x14ac:dyDescent="0.25">
      <c r="A22" t="str">
        <f>'LIVE SOURCE'!A22</f>
        <v>QB</v>
      </c>
      <c r="B22" t="str">
        <f>'LIVE SOURCE'!B22</f>
        <v>Tyler Shough</v>
      </c>
      <c r="C22" s="4">
        <f>'LIVE SOURCE'!D22</f>
        <v>77.365600000000001</v>
      </c>
      <c r="D22" s="4">
        <f>'Manual Adjustments'!G22</f>
        <v>0</v>
      </c>
      <c r="E22" s="4">
        <f t="shared" si="0"/>
        <v>77.365600000000001</v>
      </c>
      <c r="F22">
        <f>COUNTIFS($A$3:$A$225,A22,$E$3:$E$225,"&gt;"&amp;E22)+COUNTIFS($A$3:A22,A22,$E$3:E22,E22)</f>
        <v>20</v>
      </c>
      <c r="G22" s="4">
        <f>ROUND(INDEX('League Config'!$K$4:$K$9,MATCH(A22,'League Config'!$E$4:$E$9,0))*E22+INDEX('League Config'!$L$4:$L$9,MATCH(A22,'League Config'!$E$4:$E$9,0)),1)</f>
        <v>318.10000000000002</v>
      </c>
      <c r="H22">
        <f>INDEX('League Config'!$H$4:$H$9,MATCH(A22,'League Config'!$E$4:$E$9,0))</f>
        <v>13</v>
      </c>
      <c r="I22" s="4">
        <f>INDEX('League Config'!$I$4:$I$9,MATCH(A22,'League Config'!$E$4:$E$9,0))</f>
        <v>351.1</v>
      </c>
      <c r="J22" s="4">
        <f t="shared" si="1"/>
        <v>-33</v>
      </c>
      <c r="K22" s="4">
        <f t="shared" si="2"/>
        <v>30.2</v>
      </c>
      <c r="L22" s="4">
        <f>MIN(100,MAX(0,(1-(F22-1)/(H22*1.5))*100*INDEX('League Config'!$J$4:$J$9,MATCH(A22,'League Config'!$E$4:$E$9,0))))</f>
        <v>2.5641025641025661</v>
      </c>
      <c r="M22">
        <f>IF(A22="K",'League Config'!$B$14,IF(A22="DST",'League Config'!$B$15,IF(A22="QB",'League Config'!$B$16,0)))</f>
        <v>3</v>
      </c>
      <c r="N22" s="4">
        <f t="shared" si="3"/>
        <v>48.995695384615388</v>
      </c>
      <c r="O22" s="9">
        <f t="shared" si="4"/>
        <v>48.995695384615388</v>
      </c>
      <c r="P22" s="6">
        <f>IF(O22="","",COUNTIF($O$3:$O$225,"&gt;"&amp;O22)+COUNTIF($O$3:O22,O22))</f>
        <v>129</v>
      </c>
      <c r="Q22">
        <f t="shared" si="5"/>
        <v>129</v>
      </c>
      <c r="R22" s="4">
        <f>'LIVE SOURCE'!E22</f>
        <v>174</v>
      </c>
      <c r="S22" s="4">
        <f t="shared" si="6"/>
        <v>45</v>
      </c>
      <c r="T22" t="str">
        <f>'LIVE SOURCE'!F22</f>
        <v>B</v>
      </c>
      <c r="U22" s="4">
        <f t="shared" si="7"/>
        <v>68.365600000000001</v>
      </c>
      <c r="V22" s="4">
        <f t="shared" si="8"/>
        <v>77.365600000000001</v>
      </c>
      <c r="W22" s="4">
        <f t="shared" si="9"/>
        <v>86.365600000000001</v>
      </c>
      <c r="X22" t="str">
        <f>'LIVE SOURCE'!G22</f>
        <v>RATE-ADJUSTED VETERAN</v>
      </c>
      <c r="Y22" t="str">
        <f>IF(INDEX('Draft Board'!$J$3:$J$225,Q22)="","Available",INDEX('Draft Board'!$J$3:$J$225,Q22))</f>
        <v>Available</v>
      </c>
      <c r="Z22">
        <f t="shared" si="10"/>
        <v>129</v>
      </c>
    </row>
    <row r="23" spans="1:26" x14ac:dyDescent="0.25">
      <c r="A23" t="str">
        <f>'LIVE SOURCE'!A23</f>
        <v>QB</v>
      </c>
      <c r="B23" t="str">
        <f>'LIVE SOURCE'!B23</f>
        <v>C.J. Stroud</v>
      </c>
      <c r="C23" s="4">
        <f>'LIVE SOURCE'!D23</f>
        <v>75.762100000000004</v>
      </c>
      <c r="D23" s="4">
        <f>'Manual Adjustments'!G23</f>
        <v>0</v>
      </c>
      <c r="E23" s="4">
        <f t="shared" si="0"/>
        <v>75.762100000000004</v>
      </c>
      <c r="F23">
        <f>COUNTIFS($A$3:$A$225,A23,$E$3:$E$225,"&gt;"&amp;E23)+COUNTIFS($A$3:A23,A23,$E$3:E23,E23)</f>
        <v>21</v>
      </c>
      <c r="G23" s="4">
        <f>ROUND(INDEX('League Config'!$K$4:$K$9,MATCH(A23,'League Config'!$E$4:$E$9,0))*E23+INDEX('League Config'!$L$4:$L$9,MATCH(A23,'League Config'!$E$4:$E$9,0)),1)</f>
        <v>310.89999999999998</v>
      </c>
      <c r="H23">
        <f>INDEX('League Config'!$H$4:$H$9,MATCH(A23,'League Config'!$E$4:$E$9,0))</f>
        <v>13</v>
      </c>
      <c r="I23" s="4">
        <f>INDEX('League Config'!$I$4:$I$9,MATCH(A23,'League Config'!$E$4:$E$9,0))</f>
        <v>351.1</v>
      </c>
      <c r="J23" s="4">
        <f t="shared" si="1"/>
        <v>-40.200000000000003</v>
      </c>
      <c r="K23" s="4">
        <f t="shared" si="2"/>
        <v>25.88</v>
      </c>
      <c r="L23" s="4">
        <f>MIN(100,MAX(0,(1-(F23-1)/(H23*1.5))*100*INDEX('League Config'!$J$4:$J$9,MATCH(A23,'League Config'!$E$4:$E$9,0))))</f>
        <v>0</v>
      </c>
      <c r="M23">
        <f>IF(A23="K",'League Config'!$B$14,IF(A23="DST",'League Config'!$B$15,IF(A23="QB",'League Config'!$B$16,0)))</f>
        <v>3</v>
      </c>
      <c r="N23" s="4">
        <f t="shared" si="3"/>
        <v>46.433154999999999</v>
      </c>
      <c r="O23" s="9">
        <f t="shared" si="4"/>
        <v>46.433154999999999</v>
      </c>
      <c r="P23" s="6">
        <f>IF(O23="","",COUNTIF($O$3:$O$225,"&gt;"&amp;O23)+COUNTIF($O$3:O23,O23))</f>
        <v>136</v>
      </c>
      <c r="Q23">
        <f t="shared" si="5"/>
        <v>156</v>
      </c>
      <c r="R23" s="4">
        <f>'LIVE SOURCE'!E23</f>
        <v>182</v>
      </c>
      <c r="S23" s="4">
        <f t="shared" si="6"/>
        <v>26</v>
      </c>
      <c r="T23" t="str">
        <f>'LIVE SOURCE'!F23</f>
        <v>A</v>
      </c>
      <c r="U23" s="4">
        <f t="shared" si="7"/>
        <v>69.762100000000004</v>
      </c>
      <c r="V23" s="4">
        <f t="shared" si="8"/>
        <v>75.762100000000004</v>
      </c>
      <c r="W23" s="4">
        <f t="shared" si="9"/>
        <v>81.762100000000004</v>
      </c>
      <c r="X23" t="str">
        <f>'LIVE SOURCE'!G23</f>
        <v>RATE-ADJUSTED VETERAN</v>
      </c>
      <c r="Y23" t="str">
        <f>IF(INDEX('Draft Board'!$J$3:$J$225,Q23)="","Available",INDEX('Draft Board'!$J$3:$J$225,Q23))</f>
        <v>Available</v>
      </c>
      <c r="Z23">
        <f t="shared" si="10"/>
        <v>156</v>
      </c>
    </row>
    <row r="24" spans="1:26" x14ac:dyDescent="0.25">
      <c r="A24" t="str">
        <f>'LIVE SOURCE'!A24</f>
        <v>QB</v>
      </c>
      <c r="B24" t="str">
        <f>'LIVE SOURCE'!B24</f>
        <v>Sam Darnold</v>
      </c>
      <c r="C24" s="4">
        <f>'LIVE SOURCE'!D24</f>
        <v>75.554199999999994</v>
      </c>
      <c r="D24" s="4">
        <f>'Manual Adjustments'!G24</f>
        <v>0</v>
      </c>
      <c r="E24" s="4">
        <f t="shared" si="0"/>
        <v>75.554199999999994</v>
      </c>
      <c r="F24">
        <f>COUNTIFS($A$3:$A$225,A24,$E$3:$E$225,"&gt;"&amp;E24)+COUNTIFS($A$3:A24,A24,$E$3:E24,E24)</f>
        <v>22</v>
      </c>
      <c r="G24" s="4">
        <f>ROUND(INDEX('League Config'!$K$4:$K$9,MATCH(A24,'League Config'!$E$4:$E$9,0))*E24+INDEX('League Config'!$L$4:$L$9,MATCH(A24,'League Config'!$E$4:$E$9,0)),1)</f>
        <v>310</v>
      </c>
      <c r="H24">
        <f>INDEX('League Config'!$H$4:$H$9,MATCH(A24,'League Config'!$E$4:$E$9,0))</f>
        <v>13</v>
      </c>
      <c r="I24" s="4">
        <f>INDEX('League Config'!$I$4:$I$9,MATCH(A24,'League Config'!$E$4:$E$9,0))</f>
        <v>351.1</v>
      </c>
      <c r="J24" s="4">
        <f t="shared" si="1"/>
        <v>-41.1</v>
      </c>
      <c r="K24" s="4">
        <f t="shared" si="2"/>
        <v>25.34</v>
      </c>
      <c r="L24" s="4">
        <f>MIN(100,MAX(0,(1-(F24-1)/(H24*1.5))*100*INDEX('League Config'!$J$4:$J$9,MATCH(A24,'League Config'!$E$4:$E$9,0))))</f>
        <v>0</v>
      </c>
      <c r="M24">
        <f>IF(A24="K",'League Config'!$B$14,IF(A24="DST",'League Config'!$B$15,IF(A24="QB",'League Config'!$B$16,0)))</f>
        <v>3</v>
      </c>
      <c r="N24" s="4">
        <f t="shared" si="3"/>
        <v>46.15681</v>
      </c>
      <c r="O24" s="9">
        <f t="shared" si="4"/>
        <v>46.15681</v>
      </c>
      <c r="P24" s="6">
        <f>IF(O24="","",COUNTIF($O$3:$O$225,"&gt;"&amp;O24)+COUNTIF($O$3:O24,O24))</f>
        <v>138</v>
      </c>
      <c r="Q24">
        <f t="shared" si="5"/>
        <v>158</v>
      </c>
      <c r="R24" s="4">
        <f>'LIVE SOURCE'!E24</f>
        <v>190</v>
      </c>
      <c r="S24" s="4">
        <f t="shared" si="6"/>
        <v>32</v>
      </c>
      <c r="T24" t="str">
        <f>'LIVE SOURCE'!F24</f>
        <v>A</v>
      </c>
      <c r="U24" s="4">
        <f t="shared" si="7"/>
        <v>69.554199999999994</v>
      </c>
      <c r="V24" s="4">
        <f t="shared" si="8"/>
        <v>75.554199999999994</v>
      </c>
      <c r="W24" s="4">
        <f t="shared" si="9"/>
        <v>81.554199999999994</v>
      </c>
      <c r="X24" t="str">
        <f>'LIVE SOURCE'!G24</f>
        <v>RATE-ADJUSTED VETERAN</v>
      </c>
      <c r="Y24" t="str">
        <f>IF(INDEX('Draft Board'!$J$3:$J$225,Q24)="","Available",INDEX('Draft Board'!$J$3:$J$225,Q24))</f>
        <v>Available</v>
      </c>
      <c r="Z24">
        <f t="shared" si="10"/>
        <v>158</v>
      </c>
    </row>
    <row r="25" spans="1:26" x14ac:dyDescent="0.25">
      <c r="A25" t="str">
        <f>'LIVE SOURCE'!A25</f>
        <v>QB</v>
      </c>
      <c r="B25" t="str">
        <f>'LIVE SOURCE'!B25</f>
        <v>Daniel Jones</v>
      </c>
      <c r="C25" s="4">
        <f>'LIVE SOURCE'!D25</f>
        <v>74.790400000000005</v>
      </c>
      <c r="D25" s="4">
        <f>'Manual Adjustments'!G25</f>
        <v>0</v>
      </c>
      <c r="E25" s="4">
        <f t="shared" si="0"/>
        <v>74.790400000000005</v>
      </c>
      <c r="F25">
        <f>COUNTIFS($A$3:$A$225,A25,$E$3:$E$225,"&gt;"&amp;E25)+COUNTIFS($A$3:A25,A25,$E$3:E25,E25)</f>
        <v>23</v>
      </c>
      <c r="G25" s="4">
        <f>ROUND(INDEX('League Config'!$K$4:$K$9,MATCH(A25,'League Config'!$E$4:$E$9,0))*E25+INDEX('League Config'!$L$4:$L$9,MATCH(A25,'League Config'!$E$4:$E$9,0)),1)</f>
        <v>306.60000000000002</v>
      </c>
      <c r="H25">
        <f>INDEX('League Config'!$H$4:$H$9,MATCH(A25,'League Config'!$E$4:$E$9,0))</f>
        <v>13</v>
      </c>
      <c r="I25" s="4">
        <f>INDEX('League Config'!$I$4:$I$9,MATCH(A25,'League Config'!$E$4:$E$9,0))</f>
        <v>351.1</v>
      </c>
      <c r="J25" s="4">
        <f t="shared" si="1"/>
        <v>-44.5</v>
      </c>
      <c r="K25" s="4">
        <f t="shared" si="2"/>
        <v>23.3</v>
      </c>
      <c r="L25" s="4">
        <f>MIN(100,MAX(0,(1-(F25-1)/(H25*1.5))*100*INDEX('League Config'!$J$4:$J$9,MATCH(A25,'League Config'!$E$4:$E$9,0))))</f>
        <v>0</v>
      </c>
      <c r="M25">
        <f>IF(A25="K",'League Config'!$B$14,IF(A25="DST",'League Config'!$B$15,IF(A25="QB",'League Config'!$B$16,0)))</f>
        <v>3</v>
      </c>
      <c r="N25" s="4">
        <f t="shared" si="3"/>
        <v>45.124720000000011</v>
      </c>
      <c r="O25" s="9">
        <f t="shared" si="4"/>
        <v>45.124720000000011</v>
      </c>
      <c r="P25" s="6">
        <f>IF(O25="","",COUNTIF($O$3:$O$225,"&gt;"&amp;O25)+COUNTIF($O$3:O25,O25))</f>
        <v>139</v>
      </c>
      <c r="Q25">
        <f t="shared" si="5"/>
        <v>159</v>
      </c>
      <c r="R25" s="4">
        <f>'LIVE SOURCE'!E25</f>
        <v>198</v>
      </c>
      <c r="S25" s="4">
        <f t="shared" si="6"/>
        <v>39</v>
      </c>
      <c r="T25" t="str">
        <f>'LIVE SOURCE'!F25</f>
        <v>A</v>
      </c>
      <c r="U25" s="4">
        <f t="shared" si="7"/>
        <v>68.790400000000005</v>
      </c>
      <c r="V25" s="4">
        <f t="shared" si="8"/>
        <v>74.790400000000005</v>
      </c>
      <c r="W25" s="4">
        <f t="shared" si="9"/>
        <v>80.790400000000005</v>
      </c>
      <c r="X25" t="str">
        <f>'LIVE SOURCE'!G25</f>
        <v>RATE-ADJUSTED VETERAN</v>
      </c>
      <c r="Y25" t="str">
        <f>IF(INDEX('Draft Board'!$J$3:$J$225,Q25)="","Available",INDEX('Draft Board'!$J$3:$J$225,Q25))</f>
        <v>Available</v>
      </c>
      <c r="Z25">
        <f t="shared" si="10"/>
        <v>159</v>
      </c>
    </row>
    <row r="26" spans="1:26" x14ac:dyDescent="0.25">
      <c r="A26" t="str">
        <f>'LIVE SOURCE'!A26</f>
        <v>QB</v>
      </c>
      <c r="B26" t="str">
        <f>'LIVE SOURCE'!B26</f>
        <v>Malik Willis</v>
      </c>
      <c r="C26" s="4">
        <f>'LIVE SOURCE'!D26</f>
        <v>74.240300000000005</v>
      </c>
      <c r="D26" s="4">
        <f>'Manual Adjustments'!G26</f>
        <v>0</v>
      </c>
      <c r="E26" s="4">
        <f t="shared" si="0"/>
        <v>74.240300000000005</v>
      </c>
      <c r="F26">
        <f>COUNTIFS($A$3:$A$225,A26,$E$3:$E$225,"&gt;"&amp;E26)+COUNTIFS($A$3:A26,A26,$E$3:E26,E26)</f>
        <v>24</v>
      </c>
      <c r="G26" s="4">
        <f>ROUND(INDEX('League Config'!$K$4:$K$9,MATCH(A26,'League Config'!$E$4:$E$9,0))*E26+INDEX('League Config'!$L$4:$L$9,MATCH(A26,'League Config'!$E$4:$E$9,0)),1)</f>
        <v>304.10000000000002</v>
      </c>
      <c r="H26">
        <f>INDEX('League Config'!$H$4:$H$9,MATCH(A26,'League Config'!$E$4:$E$9,0))</f>
        <v>13</v>
      </c>
      <c r="I26" s="4">
        <f>INDEX('League Config'!$I$4:$I$9,MATCH(A26,'League Config'!$E$4:$E$9,0))</f>
        <v>351.1</v>
      </c>
      <c r="J26" s="4">
        <f t="shared" si="1"/>
        <v>-47</v>
      </c>
      <c r="K26" s="4">
        <f t="shared" si="2"/>
        <v>21.8</v>
      </c>
      <c r="L26" s="4">
        <f>MIN(100,MAX(0,(1-(F26-1)/(H26*1.5))*100*INDEX('League Config'!$J$4:$J$9,MATCH(A26,'League Config'!$E$4:$E$9,0))))</f>
        <v>0</v>
      </c>
      <c r="M26">
        <f>IF(A26="K",'League Config'!$B$14,IF(A26="DST",'League Config'!$B$15,IF(A26="QB",'League Config'!$B$16,0)))</f>
        <v>3</v>
      </c>
      <c r="N26" s="4">
        <f t="shared" si="3"/>
        <v>44.372165000000003</v>
      </c>
      <c r="O26" s="9">
        <f t="shared" si="4"/>
        <v>44.372165000000003</v>
      </c>
      <c r="P26" s="6">
        <f>IF(O26="","",COUNTIF($O$3:$O$225,"&gt;"&amp;O26)+COUNTIF($O$3:O26,O26))</f>
        <v>141</v>
      </c>
      <c r="Q26">
        <f t="shared" si="5"/>
        <v>161</v>
      </c>
      <c r="R26" s="4">
        <f>'LIVE SOURCE'!E26</f>
        <v>206</v>
      </c>
      <c r="S26" s="4">
        <f t="shared" si="6"/>
        <v>45</v>
      </c>
      <c r="T26" t="str">
        <f>'LIVE SOURCE'!F26</f>
        <v>B</v>
      </c>
      <c r="U26" s="4">
        <f t="shared" si="7"/>
        <v>65.240300000000005</v>
      </c>
      <c r="V26" s="4">
        <f t="shared" si="8"/>
        <v>74.240300000000005</v>
      </c>
      <c r="W26" s="4">
        <f t="shared" si="9"/>
        <v>83.240300000000005</v>
      </c>
      <c r="X26" t="str">
        <f>'LIVE SOURCE'!G26</f>
        <v>RATE-ADJUSTED VETERAN</v>
      </c>
      <c r="Y26" t="str">
        <f>IF(INDEX('Draft Board'!$J$3:$J$225,Q26)="","Available",INDEX('Draft Board'!$J$3:$J$225,Q26))</f>
        <v>Available</v>
      </c>
      <c r="Z26">
        <f t="shared" si="10"/>
        <v>161</v>
      </c>
    </row>
    <row r="27" spans="1:26" x14ac:dyDescent="0.25">
      <c r="A27" t="str">
        <f>'LIVE SOURCE'!A27</f>
        <v>QB</v>
      </c>
      <c r="B27" t="str">
        <f>'LIVE SOURCE'!B27</f>
        <v>Bryce Young</v>
      </c>
      <c r="C27" s="4">
        <f>'LIVE SOURCE'!D27</f>
        <v>72.797600000000003</v>
      </c>
      <c r="D27" s="4">
        <f>'Manual Adjustments'!G27</f>
        <v>0</v>
      </c>
      <c r="E27" s="4">
        <f t="shared" si="0"/>
        <v>72.797600000000003</v>
      </c>
      <c r="F27">
        <f>COUNTIFS($A$3:$A$225,A27,$E$3:$E$225,"&gt;"&amp;E27)+COUNTIFS($A$3:A27,A27,$E$3:E27,E27)</f>
        <v>25</v>
      </c>
      <c r="G27" s="4">
        <f>ROUND(INDEX('League Config'!$K$4:$K$9,MATCH(A27,'League Config'!$E$4:$E$9,0))*E27+INDEX('League Config'!$L$4:$L$9,MATCH(A27,'League Config'!$E$4:$E$9,0)),1)</f>
        <v>297.60000000000002</v>
      </c>
      <c r="H27">
        <f>INDEX('League Config'!$H$4:$H$9,MATCH(A27,'League Config'!$E$4:$E$9,0))</f>
        <v>13</v>
      </c>
      <c r="I27" s="4">
        <f>INDEX('League Config'!$I$4:$I$9,MATCH(A27,'League Config'!$E$4:$E$9,0))</f>
        <v>351.1</v>
      </c>
      <c r="J27" s="4">
        <f t="shared" si="1"/>
        <v>-53.5</v>
      </c>
      <c r="K27" s="4">
        <f t="shared" si="2"/>
        <v>17.899999999999999</v>
      </c>
      <c r="L27" s="4">
        <f>MIN(100,MAX(0,(1-(F27-1)/(H27*1.5))*100*INDEX('League Config'!$J$4:$J$9,MATCH(A27,'League Config'!$E$4:$E$9,0))))</f>
        <v>0</v>
      </c>
      <c r="M27">
        <f>IF(A27="K",'League Config'!$B$14,IF(A27="DST",'League Config'!$B$15,IF(A27="QB",'League Config'!$B$16,0)))</f>
        <v>3</v>
      </c>
      <c r="N27" s="4">
        <f t="shared" si="3"/>
        <v>42.408680000000004</v>
      </c>
      <c r="O27" s="9">
        <f t="shared" si="4"/>
        <v>42.408680000000004</v>
      </c>
      <c r="P27" s="6">
        <f>IF(O27="","",COUNTIF($O$3:$O$225,"&gt;"&amp;O27)+COUNTIF($O$3:O27,O27))</f>
        <v>148</v>
      </c>
      <c r="Q27">
        <f t="shared" si="5"/>
        <v>168</v>
      </c>
      <c r="R27" s="4">
        <f>'LIVE SOURCE'!E27</f>
        <v>214</v>
      </c>
      <c r="S27" s="4">
        <f t="shared" si="6"/>
        <v>46</v>
      </c>
      <c r="T27" t="str">
        <f>'LIVE SOURCE'!F27</f>
        <v>A</v>
      </c>
      <c r="U27" s="4">
        <f t="shared" si="7"/>
        <v>66.797600000000003</v>
      </c>
      <c r="V27" s="4">
        <f t="shared" si="8"/>
        <v>72.797600000000003</v>
      </c>
      <c r="W27" s="4">
        <f t="shared" si="9"/>
        <v>78.797600000000003</v>
      </c>
      <c r="X27" t="str">
        <f>'LIVE SOURCE'!G27</f>
        <v>RATE-ADJUSTED VETERAN</v>
      </c>
      <c r="Y27" t="str">
        <f>IF(INDEX('Draft Board'!$J$3:$J$225,Q27)="","Available",INDEX('Draft Board'!$J$3:$J$225,Q27))</f>
        <v>Available</v>
      </c>
      <c r="Z27">
        <f t="shared" si="10"/>
        <v>168</v>
      </c>
    </row>
    <row r="28" spans="1:26" x14ac:dyDescent="0.25">
      <c r="A28" t="str">
        <f>'LIVE SOURCE'!A28</f>
        <v>QB</v>
      </c>
      <c r="B28" t="str">
        <f>'LIVE SOURCE'!B28</f>
        <v>Cam Ward</v>
      </c>
      <c r="C28" s="4">
        <f>'LIVE SOURCE'!D28</f>
        <v>72.664599999999993</v>
      </c>
      <c r="D28" s="4">
        <f>'Manual Adjustments'!G28</f>
        <v>0</v>
      </c>
      <c r="E28" s="4">
        <f t="shared" si="0"/>
        <v>72.664599999999993</v>
      </c>
      <c r="F28">
        <f>COUNTIFS($A$3:$A$225,A28,$E$3:$E$225,"&gt;"&amp;E28)+COUNTIFS($A$3:A28,A28,$E$3:E28,E28)</f>
        <v>26</v>
      </c>
      <c r="G28" s="4">
        <f>ROUND(INDEX('League Config'!$K$4:$K$9,MATCH(A28,'League Config'!$E$4:$E$9,0))*E28+INDEX('League Config'!$L$4:$L$9,MATCH(A28,'League Config'!$E$4:$E$9,0)),1)</f>
        <v>297</v>
      </c>
      <c r="H28">
        <f>INDEX('League Config'!$H$4:$H$9,MATCH(A28,'League Config'!$E$4:$E$9,0))</f>
        <v>13</v>
      </c>
      <c r="I28" s="4">
        <f>INDEX('League Config'!$I$4:$I$9,MATCH(A28,'League Config'!$E$4:$E$9,0))</f>
        <v>351.1</v>
      </c>
      <c r="J28" s="4">
        <f t="shared" si="1"/>
        <v>-54.1</v>
      </c>
      <c r="K28" s="4">
        <f t="shared" si="2"/>
        <v>17.54</v>
      </c>
      <c r="L28" s="4">
        <f>MIN(100,MAX(0,(1-(F28-1)/(H28*1.5))*100*INDEX('League Config'!$J$4:$J$9,MATCH(A28,'League Config'!$E$4:$E$9,0))))</f>
        <v>0</v>
      </c>
      <c r="M28">
        <f>IF(A28="K",'League Config'!$B$14,IF(A28="DST",'League Config'!$B$15,IF(A28="QB",'League Config'!$B$16,0)))</f>
        <v>3</v>
      </c>
      <c r="N28" s="4">
        <f t="shared" si="3"/>
        <v>42.227530000000002</v>
      </c>
      <c r="O28" s="9">
        <f t="shared" si="4"/>
        <v>42.227530000000002</v>
      </c>
      <c r="P28" s="6">
        <f>IF(O28="","",COUNTIF($O$3:$O$225,"&gt;"&amp;O28)+COUNTIF($O$3:O28,O28))</f>
        <v>150</v>
      </c>
      <c r="Q28">
        <f t="shared" si="5"/>
        <v>170</v>
      </c>
      <c r="R28" s="4">
        <f>'LIVE SOURCE'!E28</f>
        <v>222</v>
      </c>
      <c r="S28" s="4">
        <f t="shared" si="6"/>
        <v>52</v>
      </c>
      <c r="T28" t="str">
        <f>'LIVE SOURCE'!F28</f>
        <v>A</v>
      </c>
      <c r="U28" s="4">
        <f t="shared" si="7"/>
        <v>66.664599999999993</v>
      </c>
      <c r="V28" s="4">
        <f t="shared" si="8"/>
        <v>72.664599999999993</v>
      </c>
      <c r="W28" s="4">
        <f t="shared" si="9"/>
        <v>78.664599999999993</v>
      </c>
      <c r="X28" t="str">
        <f>'LIVE SOURCE'!G28</f>
        <v>RATE-ADJUSTED VETERAN</v>
      </c>
      <c r="Y28" t="str">
        <f>IF(INDEX('Draft Board'!$J$3:$J$225,Q28)="","Available",INDEX('Draft Board'!$J$3:$J$225,Q28))</f>
        <v>Available</v>
      </c>
      <c r="Z28">
        <f t="shared" si="10"/>
        <v>170</v>
      </c>
    </row>
    <row r="29" spans="1:26" x14ac:dyDescent="0.25">
      <c r="A29" t="str">
        <f>'LIVE SOURCE'!A29</f>
        <v>QB</v>
      </c>
      <c r="B29" t="str">
        <f>'LIVE SOURCE'!B29</f>
        <v>Jacoby Brissett</v>
      </c>
      <c r="C29" s="4">
        <f>'LIVE SOURCE'!D29</f>
        <v>71.333399999999997</v>
      </c>
      <c r="D29" s="4">
        <f>'Manual Adjustments'!G29</f>
        <v>0</v>
      </c>
      <c r="E29" s="4">
        <f t="shared" si="0"/>
        <v>71.333399999999997</v>
      </c>
      <c r="F29">
        <f>COUNTIFS($A$3:$A$225,A29,$E$3:$E$225,"&gt;"&amp;E29)+COUNTIFS($A$3:A29,A29,$E$3:E29,E29)</f>
        <v>27</v>
      </c>
      <c r="G29" s="4">
        <f>ROUND(INDEX('League Config'!$K$4:$K$9,MATCH(A29,'League Config'!$E$4:$E$9,0))*E29+INDEX('League Config'!$L$4:$L$9,MATCH(A29,'League Config'!$E$4:$E$9,0)),1)</f>
        <v>291</v>
      </c>
      <c r="H29">
        <f>INDEX('League Config'!$H$4:$H$9,MATCH(A29,'League Config'!$E$4:$E$9,0))</f>
        <v>13</v>
      </c>
      <c r="I29" s="4">
        <f>INDEX('League Config'!$I$4:$I$9,MATCH(A29,'League Config'!$E$4:$E$9,0))</f>
        <v>351.1</v>
      </c>
      <c r="J29" s="4">
        <f t="shared" si="1"/>
        <v>-60.1</v>
      </c>
      <c r="K29" s="4">
        <f t="shared" si="2"/>
        <v>13.939999999999998</v>
      </c>
      <c r="L29" s="4">
        <f>MIN(100,MAX(0,(1-(F29-1)/(H29*1.5))*100*INDEX('League Config'!$J$4:$J$9,MATCH(A29,'League Config'!$E$4:$E$9,0))))</f>
        <v>0</v>
      </c>
      <c r="M29">
        <f>IF(A29="K",'League Config'!$B$14,IF(A29="DST",'League Config'!$B$15,IF(A29="QB",'League Config'!$B$16,0)))</f>
        <v>3</v>
      </c>
      <c r="N29" s="4">
        <f t="shared" si="3"/>
        <v>40.415370000000003</v>
      </c>
      <c r="O29" s="9">
        <f t="shared" si="4"/>
        <v>40.415370000000003</v>
      </c>
      <c r="P29" s="6">
        <f>IF(O29="","",COUNTIF($O$3:$O$225,"&gt;"&amp;O29)+COUNTIF($O$3:O29,O29))</f>
        <v>156</v>
      </c>
      <c r="Q29">
        <f t="shared" si="5"/>
        <v>176</v>
      </c>
      <c r="R29" s="4">
        <f>'LIVE SOURCE'!E29</f>
        <v>230</v>
      </c>
      <c r="S29" s="4">
        <f t="shared" si="6"/>
        <v>54</v>
      </c>
      <c r="T29" t="str">
        <f>'LIVE SOURCE'!F29</f>
        <v>A</v>
      </c>
      <c r="U29" s="4">
        <f t="shared" si="7"/>
        <v>65.333399999999997</v>
      </c>
      <c r="V29" s="4">
        <f t="shared" si="8"/>
        <v>71.333399999999997</v>
      </c>
      <c r="W29" s="4">
        <f t="shared" si="9"/>
        <v>77.333399999999997</v>
      </c>
      <c r="X29" t="str">
        <f>'LIVE SOURCE'!G29</f>
        <v>RATE-ADJUSTED VETERAN</v>
      </c>
      <c r="Y29" t="str">
        <f>IF(INDEX('Draft Board'!$J$3:$J$225,Q29)="","Available",INDEX('Draft Board'!$J$3:$J$225,Q29))</f>
        <v>Available</v>
      </c>
      <c r="Z29">
        <f t="shared" si="10"/>
        <v>176</v>
      </c>
    </row>
    <row r="30" spans="1:26" x14ac:dyDescent="0.25">
      <c r="A30" t="str">
        <f>'LIVE SOURCE'!A30</f>
        <v>QB</v>
      </c>
      <c r="B30" t="str">
        <f>'LIVE SOURCE'!B30</f>
        <v>Geno Smith</v>
      </c>
      <c r="C30" s="4">
        <f>'LIVE SOURCE'!D30</f>
        <v>71.098600000000005</v>
      </c>
      <c r="D30" s="4">
        <f>'Manual Adjustments'!G30</f>
        <v>0</v>
      </c>
      <c r="E30" s="4">
        <f t="shared" si="0"/>
        <v>71.098600000000005</v>
      </c>
      <c r="F30">
        <f>COUNTIFS($A$3:$A$225,A30,$E$3:$E$225,"&gt;"&amp;E30)+COUNTIFS($A$3:A30,A30,$E$3:E30,E30)</f>
        <v>28</v>
      </c>
      <c r="G30" s="4">
        <f>ROUND(INDEX('League Config'!$K$4:$K$9,MATCH(A30,'League Config'!$E$4:$E$9,0))*E30+INDEX('League Config'!$L$4:$L$9,MATCH(A30,'League Config'!$E$4:$E$9,0)),1)</f>
        <v>289.89999999999998</v>
      </c>
      <c r="H30">
        <f>INDEX('League Config'!$H$4:$H$9,MATCH(A30,'League Config'!$E$4:$E$9,0))</f>
        <v>13</v>
      </c>
      <c r="I30" s="4">
        <f>INDEX('League Config'!$I$4:$I$9,MATCH(A30,'League Config'!$E$4:$E$9,0))</f>
        <v>351.1</v>
      </c>
      <c r="J30" s="4">
        <f t="shared" si="1"/>
        <v>-61.2</v>
      </c>
      <c r="K30" s="4">
        <f t="shared" si="2"/>
        <v>13.280000000000001</v>
      </c>
      <c r="L30" s="4">
        <f>MIN(100,MAX(0,(1-(F30-1)/(H30*1.5))*100*INDEX('League Config'!$J$4:$J$9,MATCH(A30,'League Config'!$E$4:$E$9,0))))</f>
        <v>0</v>
      </c>
      <c r="M30">
        <f>IF(A30="K",'League Config'!$B$14,IF(A30="DST",'League Config'!$B$15,IF(A30="QB",'League Config'!$B$16,0)))</f>
        <v>3</v>
      </c>
      <c r="N30" s="4">
        <f t="shared" si="3"/>
        <v>40.08823000000001</v>
      </c>
      <c r="O30" s="9">
        <f t="shared" si="4"/>
        <v>40.08823000000001</v>
      </c>
      <c r="P30" s="6">
        <f>IF(O30="","",COUNTIF($O$3:$O$225,"&gt;"&amp;O30)+COUNTIF($O$3:O30,O30))</f>
        <v>157</v>
      </c>
      <c r="Q30">
        <f t="shared" si="5"/>
        <v>177</v>
      </c>
      <c r="R30" s="4">
        <f>'LIVE SOURCE'!E30</f>
        <v>238</v>
      </c>
      <c r="S30" s="4">
        <f t="shared" si="6"/>
        <v>61</v>
      </c>
      <c r="T30" t="str">
        <f>'LIVE SOURCE'!F30</f>
        <v>A</v>
      </c>
      <c r="U30" s="4">
        <f t="shared" si="7"/>
        <v>65.098600000000005</v>
      </c>
      <c r="V30" s="4">
        <f t="shared" si="8"/>
        <v>71.098600000000005</v>
      </c>
      <c r="W30" s="4">
        <f t="shared" si="9"/>
        <v>77.098600000000005</v>
      </c>
      <c r="X30" t="str">
        <f>'LIVE SOURCE'!G30</f>
        <v>RATE-ADJUSTED VETERAN</v>
      </c>
      <c r="Y30" t="str">
        <f>IF(INDEX('Draft Board'!$J$3:$J$225,Q30)="","Available",INDEX('Draft Board'!$J$3:$J$225,Q30))</f>
        <v>Available</v>
      </c>
      <c r="Z30">
        <f t="shared" si="10"/>
        <v>177</v>
      </c>
    </row>
    <row r="31" spans="1:26" x14ac:dyDescent="0.25">
      <c r="A31" t="str">
        <f>'LIVE SOURCE'!A31</f>
        <v>QB</v>
      </c>
      <c r="B31" t="str">
        <f>'LIVE SOURCE'!B31</f>
        <v>Aaron Rodgers</v>
      </c>
      <c r="C31" s="4">
        <f>'LIVE SOURCE'!D31</f>
        <v>70.884799999999998</v>
      </c>
      <c r="D31" s="4">
        <f>'Manual Adjustments'!G31</f>
        <v>0</v>
      </c>
      <c r="E31" s="4">
        <f t="shared" si="0"/>
        <v>70.884799999999998</v>
      </c>
      <c r="F31">
        <f>COUNTIFS($A$3:$A$225,A31,$E$3:$E$225,"&gt;"&amp;E31)+COUNTIFS($A$3:A31,A31,$E$3:E31,E31)</f>
        <v>29</v>
      </c>
      <c r="G31" s="4">
        <f>ROUND(INDEX('League Config'!$K$4:$K$9,MATCH(A31,'League Config'!$E$4:$E$9,0))*E31+INDEX('League Config'!$L$4:$L$9,MATCH(A31,'League Config'!$E$4:$E$9,0)),1)</f>
        <v>289</v>
      </c>
      <c r="H31">
        <f>INDEX('League Config'!$H$4:$H$9,MATCH(A31,'League Config'!$E$4:$E$9,0))</f>
        <v>13</v>
      </c>
      <c r="I31" s="4">
        <f>INDEX('League Config'!$I$4:$I$9,MATCH(A31,'League Config'!$E$4:$E$9,0))</f>
        <v>351.1</v>
      </c>
      <c r="J31" s="4">
        <f t="shared" si="1"/>
        <v>-62.1</v>
      </c>
      <c r="K31" s="4">
        <f t="shared" si="2"/>
        <v>12.740000000000002</v>
      </c>
      <c r="L31" s="4">
        <f>MIN(100,MAX(0,(1-(F31-1)/(H31*1.5))*100*INDEX('League Config'!$J$4:$J$9,MATCH(A31,'League Config'!$E$4:$E$9,0))))</f>
        <v>0</v>
      </c>
      <c r="M31">
        <f>IF(A31="K",'League Config'!$B$14,IF(A31="DST",'League Config'!$B$15,IF(A31="QB",'League Config'!$B$16,0)))</f>
        <v>3</v>
      </c>
      <c r="N31" s="4">
        <f t="shared" si="3"/>
        <v>39.808640000000004</v>
      </c>
      <c r="O31" s="9">
        <f t="shared" si="4"/>
        <v>39.808640000000004</v>
      </c>
      <c r="P31" s="6">
        <f>IF(O31="","",COUNTIF($O$3:$O$225,"&gt;"&amp;O31)+COUNTIF($O$3:O31,O31))</f>
        <v>158</v>
      </c>
      <c r="Q31">
        <f t="shared" si="5"/>
        <v>178</v>
      </c>
      <c r="R31" s="4">
        <f>'LIVE SOURCE'!E31</f>
        <v>246</v>
      </c>
      <c r="S31" s="4">
        <f t="shared" si="6"/>
        <v>68</v>
      </c>
      <c r="T31" t="str">
        <f>'LIVE SOURCE'!F31</f>
        <v>A</v>
      </c>
      <c r="U31" s="4">
        <f t="shared" si="7"/>
        <v>64.884799999999998</v>
      </c>
      <c r="V31" s="4">
        <f t="shared" si="8"/>
        <v>70.884799999999998</v>
      </c>
      <c r="W31" s="4">
        <f t="shared" si="9"/>
        <v>76.884799999999998</v>
      </c>
      <c r="X31" t="str">
        <f>'LIVE SOURCE'!G31</f>
        <v>RATE-ADJUSTED VETERAN</v>
      </c>
      <c r="Y31" t="str">
        <f>IF(INDEX('Draft Board'!$J$3:$J$225,Q31)="","Available",INDEX('Draft Board'!$J$3:$J$225,Q31))</f>
        <v>Available</v>
      </c>
      <c r="Z31">
        <f t="shared" si="10"/>
        <v>178</v>
      </c>
    </row>
    <row r="32" spans="1:26" x14ac:dyDescent="0.25">
      <c r="A32" t="str">
        <f>'LIVE SOURCE'!A32</f>
        <v>QB</v>
      </c>
      <c r="B32" t="str">
        <f>'LIVE SOURCE'!B32</f>
        <v>Tua Tagovailoa</v>
      </c>
      <c r="C32" s="4">
        <f>'LIVE SOURCE'!D32</f>
        <v>67.851200000000006</v>
      </c>
      <c r="D32" s="4">
        <f>'Manual Adjustments'!G32</f>
        <v>0</v>
      </c>
      <c r="E32" s="4">
        <f t="shared" si="0"/>
        <v>67.851200000000006</v>
      </c>
      <c r="F32">
        <f>COUNTIFS($A$3:$A$225,A32,$E$3:$E$225,"&gt;"&amp;E32)+COUNTIFS($A$3:A32,A32,$E$3:E32,E32)</f>
        <v>30</v>
      </c>
      <c r="G32" s="4">
        <f>ROUND(INDEX('League Config'!$K$4:$K$9,MATCH(A32,'League Config'!$E$4:$E$9,0))*E32+INDEX('League Config'!$L$4:$L$9,MATCH(A32,'League Config'!$E$4:$E$9,0)),1)</f>
        <v>275.3</v>
      </c>
      <c r="H32">
        <f>INDEX('League Config'!$H$4:$H$9,MATCH(A32,'League Config'!$E$4:$E$9,0))</f>
        <v>13</v>
      </c>
      <c r="I32" s="4">
        <f>INDEX('League Config'!$I$4:$I$9,MATCH(A32,'League Config'!$E$4:$E$9,0))</f>
        <v>351.1</v>
      </c>
      <c r="J32" s="4">
        <f t="shared" si="1"/>
        <v>-75.8</v>
      </c>
      <c r="K32" s="4">
        <f t="shared" si="2"/>
        <v>4.5200000000000031</v>
      </c>
      <c r="L32" s="4">
        <f>MIN(100,MAX(0,(1-(F32-1)/(H32*1.5))*100*INDEX('League Config'!$J$4:$J$9,MATCH(A32,'League Config'!$E$4:$E$9,0))))</f>
        <v>0</v>
      </c>
      <c r="M32">
        <f>IF(A32="K",'League Config'!$B$14,IF(A32="DST",'League Config'!$B$15,IF(A32="QB",'League Config'!$B$16,0)))</f>
        <v>3</v>
      </c>
      <c r="N32" s="4">
        <f t="shared" si="3"/>
        <v>35.674160000000008</v>
      </c>
      <c r="O32" s="9">
        <f t="shared" si="4"/>
        <v>35.674160000000008</v>
      </c>
      <c r="P32" s="6">
        <f>IF(O32="","",COUNTIF($O$3:$O$225,"&gt;"&amp;O32)+COUNTIF($O$3:O32,O32))</f>
        <v>166</v>
      </c>
      <c r="Q32">
        <f t="shared" si="5"/>
        <v>186</v>
      </c>
      <c r="R32" s="4">
        <f>'LIVE SOURCE'!E32</f>
        <v>254</v>
      </c>
      <c r="S32" s="4">
        <f t="shared" si="6"/>
        <v>68</v>
      </c>
      <c r="T32" t="str">
        <f>'LIVE SOURCE'!F32</f>
        <v>A</v>
      </c>
      <c r="U32" s="4">
        <f t="shared" si="7"/>
        <v>61.851200000000006</v>
      </c>
      <c r="V32" s="4">
        <f t="shared" si="8"/>
        <v>67.851200000000006</v>
      </c>
      <c r="W32" s="4">
        <f t="shared" si="9"/>
        <v>73.851200000000006</v>
      </c>
      <c r="X32" t="str">
        <f>'LIVE SOURCE'!G32</f>
        <v>RATE-ADJUSTED VETERAN</v>
      </c>
      <c r="Y32" t="str">
        <f>IF(INDEX('Draft Board'!$J$3:$J$225,Q32)="","Available",INDEX('Draft Board'!$J$3:$J$225,Q32))</f>
        <v>Available</v>
      </c>
      <c r="Z32">
        <f t="shared" si="10"/>
        <v>186</v>
      </c>
    </row>
    <row r="33" spans="1:26" x14ac:dyDescent="0.25">
      <c r="A33" t="str">
        <f>'LIVE SOURCE'!A33</f>
        <v>QB</v>
      </c>
      <c r="B33" t="str">
        <f>'LIVE SOURCE'!B33</f>
        <v>Kirk Cousins</v>
      </c>
      <c r="C33" s="4">
        <f>'LIVE SOURCE'!D33</f>
        <v>65.792900000000003</v>
      </c>
      <c r="D33" s="4">
        <f>'Manual Adjustments'!G33</f>
        <v>0</v>
      </c>
      <c r="E33" s="4">
        <f t="shared" si="0"/>
        <v>65.792900000000003</v>
      </c>
      <c r="F33">
        <f>COUNTIFS($A$3:$A$225,A33,$E$3:$E$225,"&gt;"&amp;E33)+COUNTIFS($A$3:A33,A33,$E$3:E33,E33)</f>
        <v>31</v>
      </c>
      <c r="G33" s="4">
        <f>ROUND(INDEX('League Config'!$K$4:$K$9,MATCH(A33,'League Config'!$E$4:$E$9,0))*E33+INDEX('League Config'!$L$4:$L$9,MATCH(A33,'League Config'!$E$4:$E$9,0)),1)</f>
        <v>266.10000000000002</v>
      </c>
      <c r="H33">
        <f>INDEX('League Config'!$H$4:$H$9,MATCH(A33,'League Config'!$E$4:$E$9,0))</f>
        <v>13</v>
      </c>
      <c r="I33" s="4">
        <f>INDEX('League Config'!$I$4:$I$9,MATCH(A33,'League Config'!$E$4:$E$9,0))</f>
        <v>351.1</v>
      </c>
      <c r="J33" s="4">
        <f t="shared" si="1"/>
        <v>-85</v>
      </c>
      <c r="K33" s="4">
        <f t="shared" si="2"/>
        <v>0</v>
      </c>
      <c r="L33" s="4">
        <f>MIN(100,MAX(0,(1-(F33-1)/(H33*1.5))*100*INDEX('League Config'!$J$4:$J$9,MATCH(A33,'League Config'!$E$4:$E$9,0))))</f>
        <v>0</v>
      </c>
      <c r="M33">
        <f>IF(A33="K",'League Config'!$B$14,IF(A33="DST",'League Config'!$B$15,IF(A33="QB",'League Config'!$B$16,0)))</f>
        <v>3</v>
      </c>
      <c r="N33" s="4">
        <f t="shared" si="3"/>
        <v>33.186095000000002</v>
      </c>
      <c r="O33" s="9">
        <f t="shared" si="4"/>
        <v>33.186095000000002</v>
      </c>
      <c r="P33" s="6">
        <f>IF(O33="","",COUNTIF($O$3:$O$225,"&gt;"&amp;O33)+COUNTIF($O$3:O33,O33))</f>
        <v>170</v>
      </c>
      <c r="Q33">
        <f t="shared" si="5"/>
        <v>190</v>
      </c>
      <c r="R33" s="4">
        <f>'LIVE SOURCE'!E33</f>
        <v>262</v>
      </c>
      <c r="S33" s="4">
        <f t="shared" si="6"/>
        <v>72</v>
      </c>
      <c r="T33" t="str">
        <f>'LIVE SOURCE'!F33</f>
        <v>B</v>
      </c>
      <c r="U33" s="4">
        <f t="shared" si="7"/>
        <v>56.792900000000003</v>
      </c>
      <c r="V33" s="4">
        <f t="shared" si="8"/>
        <v>65.792900000000003</v>
      </c>
      <c r="W33" s="4">
        <f t="shared" si="9"/>
        <v>74.792900000000003</v>
      </c>
      <c r="X33" t="str">
        <f>'LIVE SOURCE'!G33</f>
        <v>RATE-ADJUSTED VETERAN</v>
      </c>
      <c r="Y33" t="str">
        <f>IF(INDEX('Draft Board'!$J$3:$J$225,Q33)="","Available",INDEX('Draft Board'!$J$3:$J$225,Q33))</f>
        <v>Available</v>
      </c>
      <c r="Z33">
        <f t="shared" si="10"/>
        <v>190</v>
      </c>
    </row>
    <row r="34" spans="1:26" x14ac:dyDescent="0.25">
      <c r="A34" t="str">
        <f>'LIVE SOURCE'!A34</f>
        <v>QB</v>
      </c>
      <c r="B34" t="str">
        <f>'LIVE SOURCE'!B34</f>
        <v>Deshaun Watson</v>
      </c>
      <c r="C34" s="4">
        <f>'LIVE SOURCE'!D34</f>
        <v>60.25</v>
      </c>
      <c r="D34" s="4">
        <f>'Manual Adjustments'!G34</f>
        <v>0</v>
      </c>
      <c r="E34" s="4">
        <f t="shared" si="0"/>
        <v>60.25</v>
      </c>
      <c r="F34">
        <f>COUNTIFS($A$3:$A$225,A34,$E$3:$E$225,"&gt;"&amp;E34)+COUNTIFS($A$3:A34,A34,$E$3:E34,E34)</f>
        <v>32</v>
      </c>
      <c r="G34" s="4">
        <f>ROUND(INDEX('League Config'!$K$4:$K$9,MATCH(A34,'League Config'!$E$4:$E$9,0))*E34+INDEX('League Config'!$L$4:$L$9,MATCH(A34,'League Config'!$E$4:$E$9,0)),1)</f>
        <v>241.1</v>
      </c>
      <c r="H34">
        <f>INDEX('League Config'!$H$4:$H$9,MATCH(A34,'League Config'!$E$4:$E$9,0))</f>
        <v>13</v>
      </c>
      <c r="I34" s="4">
        <f>INDEX('League Config'!$I$4:$I$9,MATCH(A34,'League Config'!$E$4:$E$9,0))</f>
        <v>351.1</v>
      </c>
      <c r="J34" s="4">
        <f t="shared" si="1"/>
        <v>-110</v>
      </c>
      <c r="K34" s="4">
        <f t="shared" si="2"/>
        <v>0</v>
      </c>
      <c r="L34" s="4">
        <f>MIN(100,MAX(0,(1-(F34-1)/(H34*1.5))*100*INDEX('League Config'!$J$4:$J$9,MATCH(A34,'League Config'!$E$4:$E$9,0))))</f>
        <v>0</v>
      </c>
      <c r="M34">
        <f>IF(A34="K",'League Config'!$B$14,IF(A34="DST",'League Config'!$B$15,IF(A34="QB",'League Config'!$B$16,0)))</f>
        <v>3</v>
      </c>
      <c r="N34" s="4">
        <f t="shared" si="3"/>
        <v>30.137500000000003</v>
      </c>
      <c r="O34" s="9">
        <f t="shared" si="4"/>
        <v>30.137500000000003</v>
      </c>
      <c r="P34" s="6">
        <f>IF(O34="","",COUNTIF($O$3:$O$225,"&gt;"&amp;O34)+COUNTIF($O$3:O34,O34))</f>
        <v>175</v>
      </c>
      <c r="Q34">
        <f t="shared" si="5"/>
        <v>195</v>
      </c>
      <c r="R34" s="4">
        <f>'LIVE SOURCE'!E34</f>
        <v>270</v>
      </c>
      <c r="S34" s="4">
        <f t="shared" si="6"/>
        <v>75</v>
      </c>
      <c r="T34" t="str">
        <f>'LIVE SOURCE'!F34</f>
        <v>C</v>
      </c>
      <c r="U34" s="4">
        <f t="shared" si="7"/>
        <v>48.25</v>
      </c>
      <c r="V34" s="4">
        <f t="shared" si="8"/>
        <v>60.25</v>
      </c>
      <c r="W34" s="4">
        <f t="shared" si="9"/>
        <v>72.25</v>
      </c>
      <c r="X34" t="str">
        <f>'LIVE SOURCE'!G34</f>
        <v>HISTORY FALLBACK</v>
      </c>
      <c r="Y34" t="str">
        <f>IF(INDEX('Draft Board'!$J$3:$J$225,Q34)="","Available",INDEX('Draft Board'!$J$3:$J$225,Q34))</f>
        <v>Available</v>
      </c>
      <c r="Z34">
        <f t="shared" si="10"/>
        <v>195</v>
      </c>
    </row>
    <row r="35" spans="1:26" x14ac:dyDescent="0.25">
      <c r="A35" t="str">
        <f>'LIVE SOURCE'!A35</f>
        <v>RB</v>
      </c>
      <c r="B35" t="str">
        <f>'LIVE SOURCE'!B35</f>
        <v>Bijan Robinson</v>
      </c>
      <c r="C35" s="4">
        <f>'LIVE SOURCE'!D35</f>
        <v>97.3673</v>
      </c>
      <c r="D35" s="4">
        <f>'Manual Adjustments'!G35</f>
        <v>0</v>
      </c>
      <c r="E35" s="4">
        <f t="shared" si="0"/>
        <v>97.3673</v>
      </c>
      <c r="F35">
        <f>COUNTIFS($A$3:$A$225,A35,$E$3:$E$225,"&gt;"&amp;E35)+COUNTIFS($A$3:A35,A35,$E$3:E35,E35)</f>
        <v>1</v>
      </c>
      <c r="G35" s="4">
        <f>ROUND(INDEX('League Config'!$K$4:$K$9,MATCH(A35,'League Config'!$E$4:$E$9,0))*E35+INDEX('League Config'!$L$4:$L$9,MATCH(A35,'League Config'!$E$4:$E$9,0)),1)</f>
        <v>338.9</v>
      </c>
      <c r="H35">
        <f>INDEX('League Config'!$H$4:$H$9,MATCH(A35,'League Config'!$E$4:$E$9,0))</f>
        <v>32</v>
      </c>
      <c r="I35" s="4">
        <f>INDEX('League Config'!$I$4:$I$9,MATCH(A35,'League Config'!$E$4:$E$9,0))</f>
        <v>239</v>
      </c>
      <c r="J35" s="4">
        <f t="shared" si="1"/>
        <v>99.9</v>
      </c>
      <c r="K35" s="4">
        <f t="shared" si="2"/>
        <v>100</v>
      </c>
      <c r="L35" s="4">
        <f>MIN(100,MAX(0,(1-(F35-1)/(H35*1.5))*100*INDEX('League Config'!$J$4:$J$9,MATCH(A35,'League Config'!$E$4:$E$9,0))))</f>
        <v>100</v>
      </c>
      <c r="M35">
        <f>IF(A35="K",'League Config'!$B$14,IF(A35="DST",'League Config'!$B$15,IF(A35="QB",'League Config'!$B$16,0)))</f>
        <v>0</v>
      </c>
      <c r="N35" s="4">
        <f t="shared" si="3"/>
        <v>98.552015000000011</v>
      </c>
      <c r="O35" s="9">
        <f t="shared" si="4"/>
        <v>98.552015000000011</v>
      </c>
      <c r="P35" s="6">
        <f>IF(O35="","",COUNTIF($O$3:$O$225,"&gt;"&amp;O35)+COUNTIF($O$3:O35,O35))</f>
        <v>2</v>
      </c>
      <c r="Q35">
        <f t="shared" si="5"/>
        <v>2</v>
      </c>
      <c r="R35" s="4">
        <f>'LIVE SOURCE'!E35</f>
        <v>1.8</v>
      </c>
      <c r="S35" s="4">
        <f t="shared" si="6"/>
        <v>-0.19999999999999996</v>
      </c>
      <c r="T35" t="str">
        <f>'LIVE SOURCE'!F35</f>
        <v>A</v>
      </c>
      <c r="U35" s="4">
        <f t="shared" si="7"/>
        <v>91.3673</v>
      </c>
      <c r="V35" s="4">
        <f t="shared" si="8"/>
        <v>97.3673</v>
      </c>
      <c r="W35" s="4">
        <f t="shared" si="9"/>
        <v>100</v>
      </c>
      <c r="X35" t="str">
        <f>'LIVE SOURCE'!G35</f>
        <v>RATE-ADJUSTED VETERAN</v>
      </c>
      <c r="Y35" t="str">
        <f>IF(INDEX('Draft Board'!$J$3:$J$225,Q35)="","Available",INDEX('Draft Board'!$J$3:$J$225,Q35))</f>
        <v>Available</v>
      </c>
      <c r="Z35">
        <f t="shared" si="10"/>
        <v>2</v>
      </c>
    </row>
    <row r="36" spans="1:26" x14ac:dyDescent="0.25">
      <c r="A36" t="str">
        <f>'LIVE SOURCE'!A36</f>
        <v>RB</v>
      </c>
      <c r="B36" t="str">
        <f>'LIVE SOURCE'!B36</f>
        <v>Jahmyr Gibbs</v>
      </c>
      <c r="C36" s="4">
        <f>'LIVE SOURCE'!D36</f>
        <v>96.332300000000004</v>
      </c>
      <c r="D36" s="4">
        <f>'Manual Adjustments'!G36</f>
        <v>0</v>
      </c>
      <c r="E36" s="4">
        <f t="shared" si="0"/>
        <v>96.332300000000004</v>
      </c>
      <c r="F36">
        <f>COUNTIFS($A$3:$A$225,A36,$E$3:$E$225,"&gt;"&amp;E36)+COUNTIFS($A$3:A36,A36,$E$3:E36,E36)</f>
        <v>2</v>
      </c>
      <c r="G36" s="4">
        <f>ROUND(INDEX('League Config'!$K$4:$K$9,MATCH(A36,'League Config'!$E$4:$E$9,0))*E36+INDEX('League Config'!$L$4:$L$9,MATCH(A36,'League Config'!$E$4:$E$9,0)),1)</f>
        <v>334.6</v>
      </c>
      <c r="H36">
        <f>INDEX('League Config'!$H$4:$H$9,MATCH(A36,'League Config'!$E$4:$E$9,0))</f>
        <v>32</v>
      </c>
      <c r="I36" s="4">
        <f>INDEX('League Config'!$I$4:$I$9,MATCH(A36,'League Config'!$E$4:$E$9,0))</f>
        <v>239</v>
      </c>
      <c r="J36" s="4">
        <f t="shared" si="1"/>
        <v>95.6</v>
      </c>
      <c r="K36" s="4">
        <f t="shared" si="2"/>
        <v>100</v>
      </c>
      <c r="L36" s="4">
        <f>MIN(100,MAX(0,(1-(F36-1)/(H36*1.5))*100*INDEX('League Config'!$J$4:$J$9,MATCH(A36,'League Config'!$E$4:$E$9,0))))</f>
        <v>100</v>
      </c>
      <c r="M36">
        <f>IF(A36="K",'League Config'!$B$14,IF(A36="DST",'League Config'!$B$15,IF(A36="QB",'League Config'!$B$16,0)))</f>
        <v>0</v>
      </c>
      <c r="N36" s="4">
        <f t="shared" si="3"/>
        <v>97.982765000000001</v>
      </c>
      <c r="O36" s="9">
        <f t="shared" si="4"/>
        <v>97.982765000000001</v>
      </c>
      <c r="P36" s="6">
        <f>IF(O36="","",COUNTIF($O$3:$O$225,"&gt;"&amp;O36)+COUNTIF($O$3:O36,O36))</f>
        <v>4</v>
      </c>
      <c r="Q36">
        <f t="shared" si="5"/>
        <v>4</v>
      </c>
      <c r="R36" s="4">
        <f>'LIVE SOURCE'!E36</f>
        <v>1.2</v>
      </c>
      <c r="S36" s="4">
        <f t="shared" si="6"/>
        <v>-2.8</v>
      </c>
      <c r="T36" t="str">
        <f>'LIVE SOURCE'!F36</f>
        <v>A</v>
      </c>
      <c r="U36" s="4">
        <f t="shared" si="7"/>
        <v>90.332300000000004</v>
      </c>
      <c r="V36" s="4">
        <f t="shared" si="8"/>
        <v>96.332300000000004</v>
      </c>
      <c r="W36" s="4">
        <f t="shared" si="9"/>
        <v>100</v>
      </c>
      <c r="X36" t="str">
        <f>'LIVE SOURCE'!G36</f>
        <v>RATE-ADJUSTED VETERAN</v>
      </c>
      <c r="Y36" t="str">
        <f>IF(INDEX('Draft Board'!$J$3:$J$225,Q36)="","Available",INDEX('Draft Board'!$J$3:$J$225,Q36))</f>
        <v>Available</v>
      </c>
      <c r="Z36">
        <f t="shared" si="10"/>
        <v>4</v>
      </c>
    </row>
    <row r="37" spans="1:26" x14ac:dyDescent="0.25">
      <c r="A37" t="str">
        <f>'LIVE SOURCE'!A37</f>
        <v>RB</v>
      </c>
      <c r="B37" t="str">
        <f>'LIVE SOURCE'!B37</f>
        <v>Christian McCaffrey</v>
      </c>
      <c r="C37" s="4">
        <f>'LIVE SOURCE'!D37</f>
        <v>94.244699999999995</v>
      </c>
      <c r="D37" s="4">
        <f>'Manual Adjustments'!G37</f>
        <v>0</v>
      </c>
      <c r="E37" s="4">
        <f t="shared" si="0"/>
        <v>94.244699999999995</v>
      </c>
      <c r="F37">
        <f>COUNTIFS($A$3:$A$225,A37,$E$3:$E$225,"&gt;"&amp;E37)+COUNTIFS($A$3:A37,A37,$E$3:E37,E37)</f>
        <v>3</v>
      </c>
      <c r="G37" s="4">
        <f>ROUND(INDEX('League Config'!$K$4:$K$9,MATCH(A37,'League Config'!$E$4:$E$9,0))*E37+INDEX('League Config'!$L$4:$L$9,MATCH(A37,'League Config'!$E$4:$E$9,0)),1)</f>
        <v>325.8</v>
      </c>
      <c r="H37">
        <f>INDEX('League Config'!$H$4:$H$9,MATCH(A37,'League Config'!$E$4:$E$9,0))</f>
        <v>32</v>
      </c>
      <c r="I37" s="4">
        <f>INDEX('League Config'!$I$4:$I$9,MATCH(A37,'League Config'!$E$4:$E$9,0))</f>
        <v>239</v>
      </c>
      <c r="J37" s="4">
        <f t="shared" si="1"/>
        <v>86.8</v>
      </c>
      <c r="K37" s="4">
        <f t="shared" si="2"/>
        <v>100</v>
      </c>
      <c r="L37" s="4">
        <f>MIN(100,MAX(0,(1-(F37-1)/(H37*1.5))*100*INDEX('League Config'!$J$4:$J$9,MATCH(A37,'League Config'!$E$4:$E$9,0))))</f>
        <v>100</v>
      </c>
      <c r="M37">
        <f>IF(A37="K",'League Config'!$B$14,IF(A37="DST",'League Config'!$B$15,IF(A37="QB",'League Config'!$B$16,0)))</f>
        <v>0</v>
      </c>
      <c r="N37" s="4">
        <f t="shared" si="3"/>
        <v>96.834585000000004</v>
      </c>
      <c r="O37" s="9">
        <f t="shared" si="4"/>
        <v>96.834585000000004</v>
      </c>
      <c r="P37" s="6">
        <f>IF(O37="","",COUNTIF($O$3:$O$225,"&gt;"&amp;O37)+COUNTIF($O$3:O37,O37))</f>
        <v>5</v>
      </c>
      <c r="Q37">
        <f t="shared" si="5"/>
        <v>5</v>
      </c>
      <c r="R37" s="4">
        <f>'LIVE SOURCE'!E37</f>
        <v>7</v>
      </c>
      <c r="S37" s="4">
        <f t="shared" si="6"/>
        <v>2</v>
      </c>
      <c r="T37" t="str">
        <f>'LIVE SOURCE'!F37</f>
        <v>A</v>
      </c>
      <c r="U37" s="4">
        <f t="shared" si="7"/>
        <v>88.244699999999995</v>
      </c>
      <c r="V37" s="4">
        <f t="shared" si="8"/>
        <v>94.244699999999995</v>
      </c>
      <c r="W37" s="4">
        <f t="shared" si="9"/>
        <v>100</v>
      </c>
      <c r="X37" t="str">
        <f>'LIVE SOURCE'!G37</f>
        <v>RATE-ADJUSTED VETERAN</v>
      </c>
      <c r="Y37" t="str">
        <f>IF(INDEX('Draft Board'!$J$3:$J$225,Q37)="","Available",INDEX('Draft Board'!$J$3:$J$225,Q37))</f>
        <v>Available</v>
      </c>
      <c r="Z37">
        <f t="shared" si="10"/>
        <v>5</v>
      </c>
    </row>
    <row r="38" spans="1:26" x14ac:dyDescent="0.25">
      <c r="A38" t="str">
        <f>'LIVE SOURCE'!A38</f>
        <v>RB</v>
      </c>
      <c r="B38" t="str">
        <f>'LIVE SOURCE'!B38</f>
        <v>Jonathan Taylor</v>
      </c>
      <c r="C38" s="4">
        <f>'LIVE SOURCE'!D38</f>
        <v>92.147000000000006</v>
      </c>
      <c r="D38" s="4">
        <f>'Manual Adjustments'!G38</f>
        <v>0</v>
      </c>
      <c r="E38" s="4">
        <f t="shared" si="0"/>
        <v>92.147000000000006</v>
      </c>
      <c r="F38">
        <f>COUNTIFS($A$3:$A$225,A38,$E$3:$E$225,"&gt;"&amp;E38)+COUNTIFS($A$3:A38,A38,$E$3:E38,E38)</f>
        <v>4</v>
      </c>
      <c r="G38" s="4">
        <f>ROUND(INDEX('League Config'!$K$4:$K$9,MATCH(A38,'League Config'!$E$4:$E$9,0))*E38+INDEX('League Config'!$L$4:$L$9,MATCH(A38,'League Config'!$E$4:$E$9,0)),1)</f>
        <v>317</v>
      </c>
      <c r="H38">
        <f>INDEX('League Config'!$H$4:$H$9,MATCH(A38,'League Config'!$E$4:$E$9,0))</f>
        <v>32</v>
      </c>
      <c r="I38" s="4">
        <f>INDEX('League Config'!$I$4:$I$9,MATCH(A38,'League Config'!$E$4:$E$9,0))</f>
        <v>239</v>
      </c>
      <c r="J38" s="4">
        <f t="shared" si="1"/>
        <v>78</v>
      </c>
      <c r="K38" s="4">
        <f t="shared" si="2"/>
        <v>96.8</v>
      </c>
      <c r="L38" s="4">
        <f>MIN(100,MAX(0,(1-(F38-1)/(H38*1.5))*100*INDEX('League Config'!$J$4:$J$9,MATCH(A38,'League Config'!$E$4:$E$9,0))))</f>
        <v>100</v>
      </c>
      <c r="M38">
        <f>IF(A38="K",'League Config'!$B$14,IF(A38="DST",'League Config'!$B$15,IF(A38="QB",'League Config'!$B$16,0)))</f>
        <v>0</v>
      </c>
      <c r="N38" s="4">
        <f t="shared" si="3"/>
        <v>94.720850000000013</v>
      </c>
      <c r="O38" s="9">
        <f t="shared" si="4"/>
        <v>94.720850000000013</v>
      </c>
      <c r="P38" s="6">
        <f>IF(O38="","",COUNTIF($O$3:$O$225,"&gt;"&amp;O38)+COUNTIF($O$3:O38,O38))</f>
        <v>8</v>
      </c>
      <c r="Q38">
        <f t="shared" si="5"/>
        <v>8</v>
      </c>
      <c r="R38" s="4">
        <f>'LIVE SOURCE'!E38</f>
        <v>11</v>
      </c>
      <c r="S38" s="4">
        <f t="shared" si="6"/>
        <v>3</v>
      </c>
      <c r="T38" t="str">
        <f>'LIVE SOURCE'!F38</f>
        <v>A</v>
      </c>
      <c r="U38" s="4">
        <f t="shared" si="7"/>
        <v>86.147000000000006</v>
      </c>
      <c r="V38" s="4">
        <f t="shared" si="8"/>
        <v>92.147000000000006</v>
      </c>
      <c r="W38" s="4">
        <f t="shared" si="9"/>
        <v>98.147000000000006</v>
      </c>
      <c r="X38" t="str">
        <f>'LIVE SOURCE'!G38</f>
        <v>RATE-ADJUSTED VETERAN</v>
      </c>
      <c r="Y38" t="str">
        <f>IF(INDEX('Draft Board'!$J$3:$J$225,Q38)="","Available",INDEX('Draft Board'!$J$3:$J$225,Q38))</f>
        <v>Available</v>
      </c>
      <c r="Z38">
        <f t="shared" si="10"/>
        <v>8</v>
      </c>
    </row>
    <row r="39" spans="1:26" x14ac:dyDescent="0.25">
      <c r="A39" t="str">
        <f>'LIVE SOURCE'!A39</f>
        <v>RB</v>
      </c>
      <c r="B39" t="str">
        <f>'LIVE SOURCE'!B39</f>
        <v>Jeremiyah Love</v>
      </c>
      <c r="C39" s="4">
        <f>'LIVE SOURCE'!D39</f>
        <v>90.865899999999996</v>
      </c>
      <c r="D39" s="4">
        <f>'Manual Adjustments'!G39</f>
        <v>0</v>
      </c>
      <c r="E39" s="4">
        <f t="shared" si="0"/>
        <v>90.865899999999996</v>
      </c>
      <c r="F39">
        <f>COUNTIFS($A$3:$A$225,A39,$E$3:$E$225,"&gt;"&amp;E39)+COUNTIFS($A$3:A39,A39,$E$3:E39,E39)</f>
        <v>5</v>
      </c>
      <c r="G39" s="4">
        <f>ROUND(INDEX('League Config'!$K$4:$K$9,MATCH(A39,'League Config'!$E$4:$E$9,0))*E39+INDEX('League Config'!$L$4:$L$9,MATCH(A39,'League Config'!$E$4:$E$9,0)),1)</f>
        <v>311.60000000000002</v>
      </c>
      <c r="H39">
        <f>INDEX('League Config'!$H$4:$H$9,MATCH(A39,'League Config'!$E$4:$E$9,0))</f>
        <v>32</v>
      </c>
      <c r="I39" s="4">
        <f>INDEX('League Config'!$I$4:$I$9,MATCH(A39,'League Config'!$E$4:$E$9,0))</f>
        <v>239</v>
      </c>
      <c r="J39" s="4">
        <f t="shared" si="1"/>
        <v>72.599999999999994</v>
      </c>
      <c r="K39" s="4">
        <f t="shared" si="2"/>
        <v>93.56</v>
      </c>
      <c r="L39" s="4">
        <f>MIN(100,MAX(0,(1-(F39-1)/(H39*1.5))*100*INDEX('League Config'!$J$4:$J$9,MATCH(A39,'League Config'!$E$4:$E$9,0))))</f>
        <v>100</v>
      </c>
      <c r="M39">
        <f>IF(A39="K",'League Config'!$B$14,IF(A39="DST",'League Config'!$B$15,IF(A39="QB",'League Config'!$B$16,0)))</f>
        <v>0</v>
      </c>
      <c r="N39" s="4">
        <f t="shared" si="3"/>
        <v>93.044245000000004</v>
      </c>
      <c r="O39" s="9">
        <f t="shared" si="4"/>
        <v>93.044245000000004</v>
      </c>
      <c r="P39" s="6">
        <f>IF(O39="","",COUNTIF($O$3:$O$225,"&gt;"&amp;O39)+COUNTIF($O$3:O39,O39))</f>
        <v>11</v>
      </c>
      <c r="Q39">
        <f t="shared" si="5"/>
        <v>11</v>
      </c>
      <c r="R39" s="4">
        <f>'LIVE SOURCE'!E39</f>
        <v>18.8</v>
      </c>
      <c r="S39" s="4">
        <f t="shared" si="6"/>
        <v>7.8000000000000007</v>
      </c>
      <c r="T39" t="str">
        <f>'LIVE SOURCE'!F39</f>
        <v>B</v>
      </c>
      <c r="U39" s="4">
        <f t="shared" si="7"/>
        <v>81.865899999999996</v>
      </c>
      <c r="V39" s="4">
        <f t="shared" si="8"/>
        <v>90.865899999999996</v>
      </c>
      <c r="W39" s="4">
        <f t="shared" si="9"/>
        <v>99.865899999999996</v>
      </c>
      <c r="X39" t="str">
        <f>'LIVE SOURCE'!G39</f>
        <v>ROOKIE ENGINE</v>
      </c>
      <c r="Y39" t="str">
        <f>IF(INDEX('Draft Board'!$J$3:$J$225,Q39)="","Available",INDEX('Draft Board'!$J$3:$J$225,Q39))</f>
        <v>Available</v>
      </c>
      <c r="Z39">
        <f t="shared" si="10"/>
        <v>11</v>
      </c>
    </row>
    <row r="40" spans="1:26" x14ac:dyDescent="0.25">
      <c r="A40" t="str">
        <f>'LIVE SOURCE'!A40</f>
        <v>RB</v>
      </c>
      <c r="B40" t="str">
        <f>'LIVE SOURCE'!B40</f>
        <v>Omarion Hampton</v>
      </c>
      <c r="C40" s="4">
        <f>'LIVE SOURCE'!D40</f>
        <v>88.642099999999999</v>
      </c>
      <c r="D40" s="4">
        <f>'Manual Adjustments'!G40</f>
        <v>0</v>
      </c>
      <c r="E40" s="4">
        <f t="shared" si="0"/>
        <v>88.642099999999999</v>
      </c>
      <c r="F40">
        <f>COUNTIFS($A$3:$A$225,A40,$E$3:$E$225,"&gt;"&amp;E40)+COUNTIFS($A$3:A40,A40,$E$3:E40,E40)</f>
        <v>6</v>
      </c>
      <c r="G40" s="4">
        <f>ROUND(INDEX('League Config'!$K$4:$K$9,MATCH(A40,'League Config'!$E$4:$E$9,0))*E40+INDEX('League Config'!$L$4:$L$9,MATCH(A40,'League Config'!$E$4:$E$9,0)),1)</f>
        <v>302.3</v>
      </c>
      <c r="H40">
        <f>INDEX('League Config'!$H$4:$H$9,MATCH(A40,'League Config'!$E$4:$E$9,0))</f>
        <v>32</v>
      </c>
      <c r="I40" s="4">
        <f>INDEX('League Config'!$I$4:$I$9,MATCH(A40,'League Config'!$E$4:$E$9,0))</f>
        <v>239</v>
      </c>
      <c r="J40" s="4">
        <f t="shared" si="1"/>
        <v>63.3</v>
      </c>
      <c r="K40" s="4">
        <f t="shared" si="2"/>
        <v>87.97999999999999</v>
      </c>
      <c r="L40" s="4">
        <f>MIN(100,MAX(0,(1-(F40-1)/(H40*1.5))*100*INDEX('League Config'!$J$4:$J$9,MATCH(A40,'League Config'!$E$4:$E$9,0))))</f>
        <v>100</v>
      </c>
      <c r="M40">
        <f>IF(A40="K",'League Config'!$B$14,IF(A40="DST",'League Config'!$B$15,IF(A40="QB",'League Config'!$B$16,0)))</f>
        <v>0</v>
      </c>
      <c r="N40" s="4">
        <f t="shared" si="3"/>
        <v>90.147154999999998</v>
      </c>
      <c r="O40" s="9">
        <f t="shared" si="4"/>
        <v>90.147154999999998</v>
      </c>
      <c r="P40" s="6">
        <f>IF(O40="","",COUNTIF($O$3:$O$225,"&gt;"&amp;O40)+COUNTIF($O$3:O40,O40))</f>
        <v>14</v>
      </c>
      <c r="Q40">
        <f t="shared" si="5"/>
        <v>14</v>
      </c>
      <c r="R40" s="4">
        <f>'LIVE SOURCE'!E40</f>
        <v>23</v>
      </c>
      <c r="S40" s="4">
        <f t="shared" si="6"/>
        <v>9</v>
      </c>
      <c r="T40" t="str">
        <f>'LIVE SOURCE'!F40</f>
        <v>B</v>
      </c>
      <c r="U40" s="4">
        <f t="shared" si="7"/>
        <v>79.642099999999999</v>
      </c>
      <c r="V40" s="4">
        <f t="shared" si="8"/>
        <v>88.642099999999999</v>
      </c>
      <c r="W40" s="4">
        <f t="shared" si="9"/>
        <v>97.642099999999999</v>
      </c>
      <c r="X40" t="str">
        <f>'LIVE SOURCE'!G40</f>
        <v>RATE-ADJUSTED VETERAN</v>
      </c>
      <c r="Y40" t="str">
        <f>IF(INDEX('Draft Board'!$J$3:$J$225,Q40)="","Available",INDEX('Draft Board'!$J$3:$J$225,Q40))</f>
        <v>Available</v>
      </c>
      <c r="Z40">
        <f t="shared" si="10"/>
        <v>14</v>
      </c>
    </row>
    <row r="41" spans="1:26" x14ac:dyDescent="0.25">
      <c r="A41" t="str">
        <f>'LIVE SOURCE'!A41</f>
        <v>RB</v>
      </c>
      <c r="B41" t="str">
        <f>'LIVE SOURCE'!B41</f>
        <v>De'Von Achane</v>
      </c>
      <c r="C41" s="4">
        <f>'LIVE SOURCE'!D41</f>
        <v>87.944000000000003</v>
      </c>
      <c r="D41" s="4">
        <f>'Manual Adjustments'!G41</f>
        <v>0</v>
      </c>
      <c r="E41" s="4">
        <f t="shared" si="0"/>
        <v>87.944000000000003</v>
      </c>
      <c r="F41">
        <f>COUNTIFS($A$3:$A$225,A41,$E$3:$E$225,"&gt;"&amp;E41)+COUNTIFS($A$3:A41,A41,$E$3:E41,E41)</f>
        <v>7</v>
      </c>
      <c r="G41" s="4">
        <f>ROUND(INDEX('League Config'!$K$4:$K$9,MATCH(A41,'League Config'!$E$4:$E$9,0))*E41+INDEX('League Config'!$L$4:$L$9,MATCH(A41,'League Config'!$E$4:$E$9,0)),1)</f>
        <v>299.39999999999998</v>
      </c>
      <c r="H41">
        <f>INDEX('League Config'!$H$4:$H$9,MATCH(A41,'League Config'!$E$4:$E$9,0))</f>
        <v>32</v>
      </c>
      <c r="I41" s="4">
        <f>INDEX('League Config'!$I$4:$I$9,MATCH(A41,'League Config'!$E$4:$E$9,0))</f>
        <v>239</v>
      </c>
      <c r="J41" s="4">
        <f t="shared" si="1"/>
        <v>60.4</v>
      </c>
      <c r="K41" s="4">
        <f t="shared" si="2"/>
        <v>86.24</v>
      </c>
      <c r="L41" s="4">
        <f>MIN(100,MAX(0,(1-(F41-1)/(H41*1.5))*100*INDEX('League Config'!$J$4:$J$9,MATCH(A41,'League Config'!$E$4:$E$9,0))))</f>
        <v>100</v>
      </c>
      <c r="M41">
        <f>IF(A41="K",'League Config'!$B$14,IF(A41="DST",'League Config'!$B$15,IF(A41="QB",'League Config'!$B$16,0)))</f>
        <v>0</v>
      </c>
      <c r="N41" s="4">
        <f t="shared" si="3"/>
        <v>89.241200000000006</v>
      </c>
      <c r="O41" s="9">
        <f t="shared" si="4"/>
        <v>89.241200000000006</v>
      </c>
      <c r="P41" s="6">
        <f>IF(O41="","",COUNTIF($O$3:$O$225,"&gt;"&amp;O41)+COUNTIF($O$3:O41,O41))</f>
        <v>16</v>
      </c>
      <c r="Q41">
        <f t="shared" si="5"/>
        <v>16</v>
      </c>
      <c r="R41" s="4">
        <f>'LIVE SOURCE'!E41</f>
        <v>18</v>
      </c>
      <c r="S41" s="4">
        <f t="shared" si="6"/>
        <v>2</v>
      </c>
      <c r="T41" t="str">
        <f>'LIVE SOURCE'!F41</f>
        <v>A</v>
      </c>
      <c r="U41" s="4">
        <f t="shared" si="7"/>
        <v>81.944000000000003</v>
      </c>
      <c r="V41" s="4">
        <f t="shared" si="8"/>
        <v>87.944000000000003</v>
      </c>
      <c r="W41" s="4">
        <f t="shared" si="9"/>
        <v>93.944000000000003</v>
      </c>
      <c r="X41" t="str">
        <f>'LIVE SOURCE'!G41</f>
        <v>RATE-ADJUSTED VETERAN</v>
      </c>
      <c r="Y41" t="str">
        <f>IF(INDEX('Draft Board'!$J$3:$J$225,Q41)="","Available",INDEX('Draft Board'!$J$3:$J$225,Q41))</f>
        <v>Available</v>
      </c>
      <c r="Z41">
        <f t="shared" si="10"/>
        <v>16</v>
      </c>
    </row>
    <row r="42" spans="1:26" x14ac:dyDescent="0.25">
      <c r="A42" t="str">
        <f>'LIVE SOURCE'!A42</f>
        <v>RB</v>
      </c>
      <c r="B42" t="str">
        <f>'LIVE SOURCE'!B42</f>
        <v>Kenneth Walker III</v>
      </c>
      <c r="C42" s="4">
        <f>'LIVE SOURCE'!D42</f>
        <v>87.292599999999993</v>
      </c>
      <c r="D42" s="4">
        <f>'Manual Adjustments'!G42</f>
        <v>0</v>
      </c>
      <c r="E42" s="4">
        <f t="shared" si="0"/>
        <v>87.292599999999993</v>
      </c>
      <c r="F42">
        <f>COUNTIFS($A$3:$A$225,A42,$E$3:$E$225,"&gt;"&amp;E42)+COUNTIFS($A$3:A42,A42,$E$3:E42,E42)</f>
        <v>8</v>
      </c>
      <c r="G42" s="4">
        <f>ROUND(INDEX('League Config'!$K$4:$K$9,MATCH(A42,'League Config'!$E$4:$E$9,0))*E42+INDEX('League Config'!$L$4:$L$9,MATCH(A42,'League Config'!$E$4:$E$9,0)),1)</f>
        <v>296.60000000000002</v>
      </c>
      <c r="H42">
        <f>INDEX('League Config'!$H$4:$H$9,MATCH(A42,'League Config'!$E$4:$E$9,0))</f>
        <v>32</v>
      </c>
      <c r="I42" s="4">
        <f>INDEX('League Config'!$I$4:$I$9,MATCH(A42,'League Config'!$E$4:$E$9,0))</f>
        <v>239</v>
      </c>
      <c r="J42" s="4">
        <f t="shared" si="1"/>
        <v>57.6</v>
      </c>
      <c r="K42" s="4">
        <f t="shared" si="2"/>
        <v>84.56</v>
      </c>
      <c r="L42" s="4">
        <f>MIN(100,MAX(0,(1-(F42-1)/(H42*1.5))*100*INDEX('League Config'!$J$4:$J$9,MATCH(A42,'League Config'!$E$4:$E$9,0))))</f>
        <v>98.229166666666643</v>
      </c>
      <c r="M42">
        <f>IF(A42="K",'League Config'!$B$14,IF(A42="DST",'League Config'!$B$15,IF(A42="QB",'League Config'!$B$16,0)))</f>
        <v>0</v>
      </c>
      <c r="N42" s="4">
        <f t="shared" si="3"/>
        <v>88.113304999999997</v>
      </c>
      <c r="O42" s="9">
        <f t="shared" si="4"/>
        <v>88.113304999999997</v>
      </c>
      <c r="P42" s="6">
        <f>IF(O42="","",COUNTIF($O$3:$O$225,"&gt;"&amp;O42)+COUNTIF($O$3:O42,O42))</f>
        <v>17</v>
      </c>
      <c r="Q42">
        <f t="shared" si="5"/>
        <v>17</v>
      </c>
      <c r="R42" s="4">
        <f>'LIVE SOURCE'!E42</f>
        <v>31.4</v>
      </c>
      <c r="S42" s="4">
        <f t="shared" si="6"/>
        <v>14.399999999999999</v>
      </c>
      <c r="T42" t="str">
        <f>'LIVE SOURCE'!F42</f>
        <v>A</v>
      </c>
      <c r="U42" s="4">
        <f t="shared" si="7"/>
        <v>81.292599999999993</v>
      </c>
      <c r="V42" s="4">
        <f t="shared" si="8"/>
        <v>87.292599999999993</v>
      </c>
      <c r="W42" s="4">
        <f t="shared" si="9"/>
        <v>93.292599999999993</v>
      </c>
      <c r="X42" t="str">
        <f>'LIVE SOURCE'!G42</f>
        <v>RATE-ADJUSTED VETERAN</v>
      </c>
      <c r="Y42" t="str">
        <f>IF(INDEX('Draft Board'!$J$3:$J$225,Q42)="","Available",INDEX('Draft Board'!$J$3:$J$225,Q42))</f>
        <v>Available</v>
      </c>
      <c r="Z42">
        <f t="shared" si="10"/>
        <v>17</v>
      </c>
    </row>
    <row r="43" spans="1:26" x14ac:dyDescent="0.25">
      <c r="A43" t="str">
        <f>'LIVE SOURCE'!A43</f>
        <v>RB</v>
      </c>
      <c r="B43" t="str">
        <f>'LIVE SOURCE'!B43</f>
        <v>James Cook III</v>
      </c>
      <c r="C43" s="4">
        <f>'LIVE SOURCE'!D43</f>
        <v>87.058000000000007</v>
      </c>
      <c r="D43" s="4">
        <f>'Manual Adjustments'!G43</f>
        <v>0</v>
      </c>
      <c r="E43" s="4">
        <f t="shared" si="0"/>
        <v>87.058000000000007</v>
      </c>
      <c r="F43">
        <f>COUNTIFS($A$3:$A$225,A43,$E$3:$E$225,"&gt;"&amp;E43)+COUNTIFS($A$3:A43,A43,$E$3:E43,E43)</f>
        <v>9</v>
      </c>
      <c r="G43" s="4">
        <f>ROUND(INDEX('League Config'!$K$4:$K$9,MATCH(A43,'League Config'!$E$4:$E$9,0))*E43+INDEX('League Config'!$L$4:$L$9,MATCH(A43,'League Config'!$E$4:$E$9,0)),1)</f>
        <v>295.60000000000002</v>
      </c>
      <c r="H43">
        <f>INDEX('League Config'!$H$4:$H$9,MATCH(A43,'League Config'!$E$4:$E$9,0))</f>
        <v>32</v>
      </c>
      <c r="I43" s="4">
        <f>INDEX('League Config'!$I$4:$I$9,MATCH(A43,'League Config'!$E$4:$E$9,0))</f>
        <v>239</v>
      </c>
      <c r="J43" s="4">
        <f t="shared" si="1"/>
        <v>56.6</v>
      </c>
      <c r="K43" s="4">
        <f t="shared" si="2"/>
        <v>83.960000000000008</v>
      </c>
      <c r="L43" s="4">
        <f>MIN(100,MAX(0,(1-(F43-1)/(H43*1.5))*100*INDEX('League Config'!$J$4:$J$9,MATCH(A43,'League Config'!$E$4:$E$9,0))))</f>
        <v>95.833333333333343</v>
      </c>
      <c r="M43">
        <f>IF(A43="K",'League Config'!$B$14,IF(A43="DST",'League Config'!$B$15,IF(A43="QB",'League Config'!$B$16,0)))</f>
        <v>0</v>
      </c>
      <c r="N43" s="4">
        <f t="shared" si="3"/>
        <v>87.444900000000018</v>
      </c>
      <c r="O43" s="9">
        <f t="shared" si="4"/>
        <v>87.444900000000018</v>
      </c>
      <c r="P43" s="6">
        <f>IF(O43="","",COUNTIF($O$3:$O$225,"&gt;"&amp;O43)+COUNTIF($O$3:O43,O43))</f>
        <v>20</v>
      </c>
      <c r="Q43">
        <f t="shared" si="5"/>
        <v>20</v>
      </c>
      <c r="R43" s="4">
        <f>'LIVE SOURCE'!E43</f>
        <v>15</v>
      </c>
      <c r="S43" s="4">
        <f t="shared" si="6"/>
        <v>-5</v>
      </c>
      <c r="T43" t="str">
        <f>'LIVE SOURCE'!F43</f>
        <v>A</v>
      </c>
      <c r="U43" s="4">
        <f t="shared" si="7"/>
        <v>81.058000000000007</v>
      </c>
      <c r="V43" s="4">
        <f t="shared" si="8"/>
        <v>87.058000000000007</v>
      </c>
      <c r="W43" s="4">
        <f t="shared" si="9"/>
        <v>93.058000000000007</v>
      </c>
      <c r="X43" t="str">
        <f>'LIVE SOURCE'!G43</f>
        <v>RATE-ADJUSTED VETERAN</v>
      </c>
      <c r="Y43" t="str">
        <f>IF(INDEX('Draft Board'!$J$3:$J$225,Q43)="","Available",INDEX('Draft Board'!$J$3:$J$225,Q43))</f>
        <v>Available</v>
      </c>
      <c r="Z43">
        <f t="shared" si="10"/>
        <v>20</v>
      </c>
    </row>
    <row r="44" spans="1:26" x14ac:dyDescent="0.25">
      <c r="A44" t="str">
        <f>'LIVE SOURCE'!A44</f>
        <v>RB</v>
      </c>
      <c r="B44" t="str">
        <f>'LIVE SOURCE'!B44</f>
        <v>Kyren Williams</v>
      </c>
      <c r="C44" s="4">
        <f>'LIVE SOURCE'!D44</f>
        <v>85.948599999999999</v>
      </c>
      <c r="D44" s="4">
        <f>'Manual Adjustments'!G44</f>
        <v>0</v>
      </c>
      <c r="E44" s="4">
        <f t="shared" si="0"/>
        <v>85.948599999999999</v>
      </c>
      <c r="F44">
        <f>COUNTIFS($A$3:$A$225,A44,$E$3:$E$225,"&gt;"&amp;E44)+COUNTIFS($A$3:A44,A44,$E$3:E44,E44)</f>
        <v>10</v>
      </c>
      <c r="G44" s="4">
        <f>ROUND(INDEX('League Config'!$K$4:$K$9,MATCH(A44,'League Config'!$E$4:$E$9,0))*E44+INDEX('League Config'!$L$4:$L$9,MATCH(A44,'League Config'!$E$4:$E$9,0)),1)</f>
        <v>291</v>
      </c>
      <c r="H44">
        <f>INDEX('League Config'!$H$4:$H$9,MATCH(A44,'League Config'!$E$4:$E$9,0))</f>
        <v>32</v>
      </c>
      <c r="I44" s="4">
        <f>INDEX('League Config'!$I$4:$I$9,MATCH(A44,'League Config'!$E$4:$E$9,0))</f>
        <v>239</v>
      </c>
      <c r="J44" s="4">
        <f t="shared" si="1"/>
        <v>52</v>
      </c>
      <c r="K44" s="4">
        <f t="shared" si="2"/>
        <v>81.2</v>
      </c>
      <c r="L44" s="4">
        <f>MIN(100,MAX(0,(1-(F44-1)/(H44*1.5))*100*INDEX('League Config'!$J$4:$J$9,MATCH(A44,'League Config'!$E$4:$E$9,0))))</f>
        <v>93.437499999999986</v>
      </c>
      <c r="M44">
        <f>IF(A44="K",'League Config'!$B$14,IF(A44="DST",'League Config'!$B$15,IF(A44="QB",'League Config'!$B$16,0)))</f>
        <v>0</v>
      </c>
      <c r="N44" s="4">
        <f t="shared" si="3"/>
        <v>85.647355000000005</v>
      </c>
      <c r="O44" s="9">
        <f t="shared" si="4"/>
        <v>85.647355000000005</v>
      </c>
      <c r="P44" s="6">
        <f>IF(O44="","",COUNTIF($O$3:$O$225,"&gt;"&amp;O44)+COUNTIF($O$3:O44,O44))</f>
        <v>22</v>
      </c>
      <c r="Q44">
        <f t="shared" si="5"/>
        <v>22</v>
      </c>
      <c r="R44" s="4">
        <f>'LIVE SOURCE'!E44</f>
        <v>39.799999999999997</v>
      </c>
      <c r="S44" s="4">
        <f t="shared" si="6"/>
        <v>17.799999999999997</v>
      </c>
      <c r="T44" t="str">
        <f>'LIVE SOURCE'!F44</f>
        <v>A</v>
      </c>
      <c r="U44" s="4">
        <f t="shared" si="7"/>
        <v>79.948599999999999</v>
      </c>
      <c r="V44" s="4">
        <f t="shared" si="8"/>
        <v>85.948599999999999</v>
      </c>
      <c r="W44" s="4">
        <f t="shared" si="9"/>
        <v>91.948599999999999</v>
      </c>
      <c r="X44" t="str">
        <f>'LIVE SOURCE'!G44</f>
        <v>RATE-ADJUSTED VETERAN</v>
      </c>
      <c r="Y44" t="str">
        <f>IF(INDEX('Draft Board'!$J$3:$J$225,Q44)="","Available",INDEX('Draft Board'!$J$3:$J$225,Q44))</f>
        <v>Available</v>
      </c>
      <c r="Z44">
        <f t="shared" si="10"/>
        <v>22</v>
      </c>
    </row>
    <row r="45" spans="1:26" x14ac:dyDescent="0.25">
      <c r="A45" t="str">
        <f>'LIVE SOURCE'!A45</f>
        <v>RB</v>
      </c>
      <c r="B45" t="str">
        <f>'LIVE SOURCE'!B45</f>
        <v>Breece Hall</v>
      </c>
      <c r="C45" s="4">
        <f>'LIVE SOURCE'!D45</f>
        <v>85.895200000000003</v>
      </c>
      <c r="D45" s="4">
        <f>'Manual Adjustments'!G45</f>
        <v>0</v>
      </c>
      <c r="E45" s="4">
        <f t="shared" si="0"/>
        <v>85.895200000000003</v>
      </c>
      <c r="F45">
        <f>COUNTIFS($A$3:$A$225,A45,$E$3:$E$225,"&gt;"&amp;E45)+COUNTIFS($A$3:A45,A45,$E$3:E45,E45)</f>
        <v>11</v>
      </c>
      <c r="G45" s="4">
        <f>ROUND(INDEX('League Config'!$K$4:$K$9,MATCH(A45,'League Config'!$E$4:$E$9,0))*E45+INDEX('League Config'!$L$4:$L$9,MATCH(A45,'League Config'!$E$4:$E$9,0)),1)</f>
        <v>290.8</v>
      </c>
      <c r="H45">
        <f>INDEX('League Config'!$H$4:$H$9,MATCH(A45,'League Config'!$E$4:$E$9,0))</f>
        <v>32</v>
      </c>
      <c r="I45" s="4">
        <f>INDEX('League Config'!$I$4:$I$9,MATCH(A45,'League Config'!$E$4:$E$9,0))</f>
        <v>239</v>
      </c>
      <c r="J45" s="4">
        <f t="shared" si="1"/>
        <v>51.8</v>
      </c>
      <c r="K45" s="4">
        <f t="shared" si="2"/>
        <v>81.08</v>
      </c>
      <c r="L45" s="4">
        <f>MIN(100,MAX(0,(1-(F45-1)/(H45*1.5))*100*INDEX('League Config'!$J$4:$J$9,MATCH(A45,'League Config'!$E$4:$E$9,0))))</f>
        <v>91.041666666666643</v>
      </c>
      <c r="M45">
        <f>IF(A45="K",'League Config'!$B$14,IF(A45="DST",'League Config'!$B$15,IF(A45="QB",'League Config'!$B$16,0)))</f>
        <v>0</v>
      </c>
      <c r="N45" s="4">
        <f t="shared" si="3"/>
        <v>85.222610000000003</v>
      </c>
      <c r="O45" s="9">
        <f t="shared" si="4"/>
        <v>85.222610000000003</v>
      </c>
      <c r="P45" s="6">
        <f>IF(O45="","",COUNTIF($O$3:$O$225,"&gt;"&amp;O45)+COUNTIF($O$3:O45,O45))</f>
        <v>24</v>
      </c>
      <c r="Q45">
        <f t="shared" si="5"/>
        <v>24</v>
      </c>
      <c r="R45" s="4">
        <f>'LIVE SOURCE'!E45</f>
        <v>44</v>
      </c>
      <c r="S45" s="4">
        <f t="shared" si="6"/>
        <v>20</v>
      </c>
      <c r="T45" t="str">
        <f>'LIVE SOURCE'!F45</f>
        <v>A</v>
      </c>
      <c r="U45" s="4">
        <f t="shared" si="7"/>
        <v>79.895200000000003</v>
      </c>
      <c r="V45" s="4">
        <f t="shared" si="8"/>
        <v>85.895200000000003</v>
      </c>
      <c r="W45" s="4">
        <f t="shared" si="9"/>
        <v>91.895200000000003</v>
      </c>
      <c r="X45" t="str">
        <f>'LIVE SOURCE'!G45</f>
        <v>RATE-ADJUSTED VETERAN</v>
      </c>
      <c r="Y45" t="str">
        <f>IF(INDEX('Draft Board'!$J$3:$J$225,Q45)="","Available",INDEX('Draft Board'!$J$3:$J$225,Q45))</f>
        <v>Available</v>
      </c>
      <c r="Z45">
        <f t="shared" si="10"/>
        <v>24</v>
      </c>
    </row>
    <row r="46" spans="1:26" x14ac:dyDescent="0.25">
      <c r="A46" t="str">
        <f>'LIVE SOURCE'!A46</f>
        <v>RB</v>
      </c>
      <c r="B46" t="str">
        <f>'LIVE SOURCE'!B46</f>
        <v>Ashton Jeanty</v>
      </c>
      <c r="C46" s="4">
        <f>'LIVE SOURCE'!D46</f>
        <v>85.843299999999999</v>
      </c>
      <c r="D46" s="4">
        <f>'Manual Adjustments'!G46</f>
        <v>0</v>
      </c>
      <c r="E46" s="4">
        <f t="shared" si="0"/>
        <v>85.843299999999999</v>
      </c>
      <c r="F46">
        <f>COUNTIFS($A$3:$A$225,A46,$E$3:$E$225,"&gt;"&amp;E46)+COUNTIFS($A$3:A46,A46,$E$3:E46,E46)</f>
        <v>12</v>
      </c>
      <c r="G46" s="4">
        <f>ROUND(INDEX('League Config'!$K$4:$K$9,MATCH(A46,'League Config'!$E$4:$E$9,0))*E46+INDEX('League Config'!$L$4:$L$9,MATCH(A46,'League Config'!$E$4:$E$9,0)),1)</f>
        <v>290.5</v>
      </c>
      <c r="H46">
        <f>INDEX('League Config'!$H$4:$H$9,MATCH(A46,'League Config'!$E$4:$E$9,0))</f>
        <v>32</v>
      </c>
      <c r="I46" s="4">
        <f>INDEX('League Config'!$I$4:$I$9,MATCH(A46,'League Config'!$E$4:$E$9,0))</f>
        <v>239</v>
      </c>
      <c r="J46" s="4">
        <f t="shared" si="1"/>
        <v>51.5</v>
      </c>
      <c r="K46" s="4">
        <f t="shared" si="2"/>
        <v>80.900000000000006</v>
      </c>
      <c r="L46" s="4">
        <f>MIN(100,MAX(0,(1-(F46-1)/(H46*1.5))*100*INDEX('League Config'!$J$4:$J$9,MATCH(A46,'League Config'!$E$4:$E$9,0))))</f>
        <v>88.645833333333343</v>
      </c>
      <c r="M46">
        <f>IF(A46="K",'League Config'!$B$14,IF(A46="DST",'League Config'!$B$15,IF(A46="QB",'League Config'!$B$16,0)))</f>
        <v>0</v>
      </c>
      <c r="N46" s="4">
        <f t="shared" si="3"/>
        <v>84.780690000000007</v>
      </c>
      <c r="O46" s="9">
        <f t="shared" si="4"/>
        <v>84.780690000000007</v>
      </c>
      <c r="P46" s="6">
        <f>IF(O46="","",COUNTIF($O$3:$O$225,"&gt;"&amp;O46)+COUNTIF($O$3:O46,O46))</f>
        <v>25</v>
      </c>
      <c r="Q46">
        <f t="shared" si="5"/>
        <v>25</v>
      </c>
      <c r="R46" s="4">
        <f>'LIVE SOURCE'!E46</f>
        <v>13</v>
      </c>
      <c r="S46" s="4">
        <f t="shared" si="6"/>
        <v>-12</v>
      </c>
      <c r="T46" t="str">
        <f>'LIVE SOURCE'!F46</f>
        <v>A</v>
      </c>
      <c r="U46" s="4">
        <f t="shared" si="7"/>
        <v>79.843299999999999</v>
      </c>
      <c r="V46" s="4">
        <f t="shared" si="8"/>
        <v>85.843299999999999</v>
      </c>
      <c r="W46" s="4">
        <f t="shared" si="9"/>
        <v>91.843299999999999</v>
      </c>
      <c r="X46" t="str">
        <f>'LIVE SOURCE'!G46</f>
        <v>RATE-ADJUSTED VETERAN</v>
      </c>
      <c r="Y46" t="str">
        <f>IF(INDEX('Draft Board'!$J$3:$J$225,Q46)="","Available",INDEX('Draft Board'!$J$3:$J$225,Q46))</f>
        <v>Available</v>
      </c>
      <c r="Z46">
        <f t="shared" si="10"/>
        <v>25</v>
      </c>
    </row>
    <row r="47" spans="1:26" x14ac:dyDescent="0.25">
      <c r="A47" t="str">
        <f>'LIVE SOURCE'!A47</f>
        <v>RB</v>
      </c>
      <c r="B47" t="str">
        <f>'LIVE SOURCE'!B47</f>
        <v>Derrick Henry</v>
      </c>
      <c r="C47" s="4">
        <f>'LIVE SOURCE'!D47</f>
        <v>85.667400000000001</v>
      </c>
      <c r="D47" s="4">
        <f>'Manual Adjustments'!G47</f>
        <v>0</v>
      </c>
      <c r="E47" s="4">
        <f t="shared" si="0"/>
        <v>85.667400000000001</v>
      </c>
      <c r="F47">
        <f>COUNTIFS($A$3:$A$225,A47,$E$3:$E$225,"&gt;"&amp;E47)+COUNTIFS($A$3:A47,A47,$E$3:E47,E47)</f>
        <v>13</v>
      </c>
      <c r="G47" s="4">
        <f>ROUND(INDEX('League Config'!$K$4:$K$9,MATCH(A47,'League Config'!$E$4:$E$9,0))*E47+INDEX('League Config'!$L$4:$L$9,MATCH(A47,'League Config'!$E$4:$E$9,0)),1)</f>
        <v>289.8</v>
      </c>
      <c r="H47">
        <f>INDEX('League Config'!$H$4:$H$9,MATCH(A47,'League Config'!$E$4:$E$9,0))</f>
        <v>32</v>
      </c>
      <c r="I47" s="4">
        <f>INDEX('League Config'!$I$4:$I$9,MATCH(A47,'League Config'!$E$4:$E$9,0))</f>
        <v>239</v>
      </c>
      <c r="J47" s="4">
        <f t="shared" si="1"/>
        <v>50.8</v>
      </c>
      <c r="K47" s="4">
        <f t="shared" si="2"/>
        <v>80.47999999999999</v>
      </c>
      <c r="L47" s="4">
        <f>MIN(100,MAX(0,(1-(F47-1)/(H47*1.5))*100*INDEX('League Config'!$J$4:$J$9,MATCH(A47,'League Config'!$E$4:$E$9,0))))</f>
        <v>86.25</v>
      </c>
      <c r="M47">
        <f>IF(A47="K",'League Config'!$B$14,IF(A47="DST",'League Config'!$B$15,IF(A47="QB",'League Config'!$B$16,0)))</f>
        <v>0</v>
      </c>
      <c r="N47" s="4">
        <f t="shared" si="3"/>
        <v>84.198570000000004</v>
      </c>
      <c r="O47" s="9">
        <f t="shared" si="4"/>
        <v>84.198570000000004</v>
      </c>
      <c r="P47" s="6">
        <f>IF(O47="","",COUNTIF($O$3:$O$225,"&gt;"&amp;O47)+COUNTIF($O$3:O47,O47))</f>
        <v>27</v>
      </c>
      <c r="Q47">
        <f t="shared" si="5"/>
        <v>27</v>
      </c>
      <c r="R47" s="4">
        <f>'LIVE SOURCE'!E47</f>
        <v>52.400000000000013</v>
      </c>
      <c r="S47" s="4">
        <f t="shared" si="6"/>
        <v>25.400000000000013</v>
      </c>
      <c r="T47" t="str">
        <f>'LIVE SOURCE'!F47</f>
        <v>A</v>
      </c>
      <c r="U47" s="4">
        <f t="shared" si="7"/>
        <v>79.667400000000001</v>
      </c>
      <c r="V47" s="4">
        <f t="shared" si="8"/>
        <v>85.667400000000001</v>
      </c>
      <c r="W47" s="4">
        <f t="shared" si="9"/>
        <v>91.667400000000001</v>
      </c>
      <c r="X47" t="str">
        <f>'LIVE SOURCE'!G47</f>
        <v>RATE-ADJUSTED VETERAN</v>
      </c>
      <c r="Y47" t="str">
        <f>IF(INDEX('Draft Board'!$J$3:$J$225,Q47)="","Available",INDEX('Draft Board'!$J$3:$J$225,Q47))</f>
        <v>Available</v>
      </c>
      <c r="Z47">
        <f t="shared" si="10"/>
        <v>27</v>
      </c>
    </row>
    <row r="48" spans="1:26" x14ac:dyDescent="0.25">
      <c r="A48" t="str">
        <f>'LIVE SOURCE'!A48</f>
        <v>RB</v>
      </c>
      <c r="B48" t="str">
        <f>'LIVE SOURCE'!B48</f>
        <v>Chase Brown</v>
      </c>
      <c r="C48" s="4">
        <f>'LIVE SOURCE'!D48</f>
        <v>85.664400000000001</v>
      </c>
      <c r="D48" s="4">
        <f>'Manual Adjustments'!G48</f>
        <v>0</v>
      </c>
      <c r="E48" s="4">
        <f t="shared" si="0"/>
        <v>85.664400000000001</v>
      </c>
      <c r="F48">
        <f>COUNTIFS($A$3:$A$225,A48,$E$3:$E$225,"&gt;"&amp;E48)+COUNTIFS($A$3:A48,A48,$E$3:E48,E48)</f>
        <v>14</v>
      </c>
      <c r="G48" s="4">
        <f>ROUND(INDEX('League Config'!$K$4:$K$9,MATCH(A48,'League Config'!$E$4:$E$9,0))*E48+INDEX('League Config'!$L$4:$L$9,MATCH(A48,'League Config'!$E$4:$E$9,0)),1)</f>
        <v>289.8</v>
      </c>
      <c r="H48">
        <f>INDEX('League Config'!$H$4:$H$9,MATCH(A48,'League Config'!$E$4:$E$9,0))</f>
        <v>32</v>
      </c>
      <c r="I48" s="4">
        <f>INDEX('League Config'!$I$4:$I$9,MATCH(A48,'League Config'!$E$4:$E$9,0))</f>
        <v>239</v>
      </c>
      <c r="J48" s="4">
        <f t="shared" si="1"/>
        <v>50.8</v>
      </c>
      <c r="K48" s="4">
        <f t="shared" si="2"/>
        <v>80.47999999999999</v>
      </c>
      <c r="L48" s="4">
        <f>MIN(100,MAX(0,(1-(F48-1)/(H48*1.5))*100*INDEX('League Config'!$J$4:$J$9,MATCH(A48,'League Config'!$E$4:$E$9,0))))</f>
        <v>83.854166666666671</v>
      </c>
      <c r="M48">
        <f>IF(A48="K",'League Config'!$B$14,IF(A48="DST",'League Config'!$B$15,IF(A48="QB",'League Config'!$B$16,0)))</f>
        <v>0</v>
      </c>
      <c r="N48" s="4">
        <f t="shared" si="3"/>
        <v>83.837545000000006</v>
      </c>
      <c r="O48" s="9">
        <f t="shared" si="4"/>
        <v>83.837545000000006</v>
      </c>
      <c r="P48" s="6">
        <f>IF(O48="","",COUNTIF($O$3:$O$225,"&gt;"&amp;O48)+COUNTIF($O$3:O48,O48))</f>
        <v>29</v>
      </c>
      <c r="Q48">
        <f t="shared" si="5"/>
        <v>29</v>
      </c>
      <c r="R48" s="4">
        <f>'LIVE SOURCE'!E48</f>
        <v>21</v>
      </c>
      <c r="S48" s="4">
        <f t="shared" si="6"/>
        <v>-8</v>
      </c>
      <c r="T48" t="str">
        <f>'LIVE SOURCE'!F48</f>
        <v>A</v>
      </c>
      <c r="U48" s="4">
        <f t="shared" si="7"/>
        <v>79.664400000000001</v>
      </c>
      <c r="V48" s="4">
        <f t="shared" si="8"/>
        <v>85.664400000000001</v>
      </c>
      <c r="W48" s="4">
        <f t="shared" si="9"/>
        <v>91.664400000000001</v>
      </c>
      <c r="X48" t="str">
        <f>'LIVE SOURCE'!G48</f>
        <v>RATE-ADJUSTED VETERAN</v>
      </c>
      <c r="Y48" t="str">
        <f>IF(INDEX('Draft Board'!$J$3:$J$225,Q48)="","Available",INDEX('Draft Board'!$J$3:$J$225,Q48))</f>
        <v>Available</v>
      </c>
      <c r="Z48">
        <f t="shared" si="10"/>
        <v>29</v>
      </c>
    </row>
    <row r="49" spans="1:26" x14ac:dyDescent="0.25">
      <c r="A49" t="str">
        <f>'LIVE SOURCE'!A49</f>
        <v>RB</v>
      </c>
      <c r="B49" t="str">
        <f>'LIVE SOURCE'!B49</f>
        <v>Josh Jacobs</v>
      </c>
      <c r="C49" s="4">
        <f>'LIVE SOURCE'!D49</f>
        <v>84.426400000000001</v>
      </c>
      <c r="D49" s="4">
        <f>'Manual Adjustments'!G49</f>
        <v>0</v>
      </c>
      <c r="E49" s="4">
        <f t="shared" si="0"/>
        <v>84.426400000000001</v>
      </c>
      <c r="F49">
        <f>COUNTIFS($A$3:$A$225,A49,$E$3:$E$225,"&gt;"&amp;E49)+COUNTIFS($A$3:A49,A49,$E$3:E49,E49)</f>
        <v>15</v>
      </c>
      <c r="G49" s="4">
        <f>ROUND(INDEX('League Config'!$K$4:$K$9,MATCH(A49,'League Config'!$E$4:$E$9,0))*E49+INDEX('League Config'!$L$4:$L$9,MATCH(A49,'League Config'!$E$4:$E$9,0)),1)</f>
        <v>284.60000000000002</v>
      </c>
      <c r="H49">
        <f>INDEX('League Config'!$H$4:$H$9,MATCH(A49,'League Config'!$E$4:$E$9,0))</f>
        <v>32</v>
      </c>
      <c r="I49" s="4">
        <f>INDEX('League Config'!$I$4:$I$9,MATCH(A49,'League Config'!$E$4:$E$9,0))</f>
        <v>239</v>
      </c>
      <c r="J49" s="4">
        <f t="shared" si="1"/>
        <v>45.6</v>
      </c>
      <c r="K49" s="4">
        <f t="shared" si="2"/>
        <v>77.36</v>
      </c>
      <c r="L49" s="4">
        <f>MIN(100,MAX(0,(1-(F49-1)/(H49*1.5))*100*INDEX('League Config'!$J$4:$J$9,MATCH(A49,'League Config'!$E$4:$E$9,0))))</f>
        <v>81.458333333333329</v>
      </c>
      <c r="M49">
        <f>IF(A49="K",'League Config'!$B$14,IF(A49="DST",'League Config'!$B$15,IF(A49="QB",'League Config'!$B$16,0)))</f>
        <v>0</v>
      </c>
      <c r="N49" s="4">
        <f t="shared" si="3"/>
        <v>81.861270000000005</v>
      </c>
      <c r="O49" s="9">
        <f t="shared" si="4"/>
        <v>81.861270000000005</v>
      </c>
      <c r="P49" s="6">
        <f>IF(O49="","",COUNTIF($O$3:$O$225,"&gt;"&amp;O49)+COUNTIF($O$3:O49,O49))</f>
        <v>33</v>
      </c>
      <c r="Q49">
        <f t="shared" si="5"/>
        <v>33</v>
      </c>
      <c r="R49" s="4">
        <f>'LIVE SOURCE'!E49</f>
        <v>60.8</v>
      </c>
      <c r="S49" s="4">
        <f t="shared" si="6"/>
        <v>27.799999999999997</v>
      </c>
      <c r="T49" t="str">
        <f>'LIVE SOURCE'!F49</f>
        <v>A</v>
      </c>
      <c r="U49" s="4">
        <f t="shared" si="7"/>
        <v>78.426400000000001</v>
      </c>
      <c r="V49" s="4">
        <f t="shared" si="8"/>
        <v>84.426400000000001</v>
      </c>
      <c r="W49" s="4">
        <f t="shared" si="9"/>
        <v>90.426400000000001</v>
      </c>
      <c r="X49" t="str">
        <f>'LIVE SOURCE'!G49</f>
        <v>RATE-ADJUSTED VETERAN</v>
      </c>
      <c r="Y49" t="str">
        <f>IF(INDEX('Draft Board'!$J$3:$J$225,Q49)="","Available",INDEX('Draft Board'!$J$3:$J$225,Q49))</f>
        <v>Available</v>
      </c>
      <c r="Z49">
        <f t="shared" si="10"/>
        <v>33</v>
      </c>
    </row>
    <row r="50" spans="1:26" x14ac:dyDescent="0.25">
      <c r="A50" t="str">
        <f>'LIVE SOURCE'!A50</f>
        <v>RB</v>
      </c>
      <c r="B50" t="str">
        <f>'LIVE SOURCE'!B50</f>
        <v>Saquon Barkley</v>
      </c>
      <c r="C50" s="4">
        <f>'LIVE SOURCE'!D50</f>
        <v>84.034000000000006</v>
      </c>
      <c r="D50" s="4">
        <f>'Manual Adjustments'!G50</f>
        <v>0</v>
      </c>
      <c r="E50" s="4">
        <f t="shared" si="0"/>
        <v>84.034000000000006</v>
      </c>
      <c r="F50">
        <f>COUNTIFS($A$3:$A$225,A50,$E$3:$E$225,"&gt;"&amp;E50)+COUNTIFS($A$3:A50,A50,$E$3:E50,E50)</f>
        <v>16</v>
      </c>
      <c r="G50" s="4">
        <f>ROUND(INDEX('League Config'!$K$4:$K$9,MATCH(A50,'League Config'!$E$4:$E$9,0))*E50+INDEX('League Config'!$L$4:$L$9,MATCH(A50,'League Config'!$E$4:$E$9,0)),1)</f>
        <v>282.89999999999998</v>
      </c>
      <c r="H50">
        <f>INDEX('League Config'!$H$4:$H$9,MATCH(A50,'League Config'!$E$4:$E$9,0))</f>
        <v>32</v>
      </c>
      <c r="I50" s="4">
        <f>INDEX('League Config'!$I$4:$I$9,MATCH(A50,'League Config'!$E$4:$E$9,0))</f>
        <v>239</v>
      </c>
      <c r="J50" s="4">
        <f t="shared" si="1"/>
        <v>43.9</v>
      </c>
      <c r="K50" s="4">
        <f t="shared" si="2"/>
        <v>76.34</v>
      </c>
      <c r="L50" s="4">
        <f>MIN(100,MAX(0,(1-(F50-1)/(H50*1.5))*100*INDEX('League Config'!$J$4:$J$9,MATCH(A50,'League Config'!$E$4:$E$9,0))))</f>
        <v>79.0625</v>
      </c>
      <c r="M50">
        <f>IF(A50="K",'League Config'!$B$14,IF(A50="DST",'League Config'!$B$15,IF(A50="QB",'League Config'!$B$16,0)))</f>
        <v>0</v>
      </c>
      <c r="N50" s="4">
        <f t="shared" si="3"/>
        <v>80.980074999999999</v>
      </c>
      <c r="O50" s="9">
        <f t="shared" si="4"/>
        <v>80.980074999999999</v>
      </c>
      <c r="P50" s="6">
        <f>IF(O50="","",COUNTIF($O$3:$O$225,"&gt;"&amp;O50)+COUNTIF($O$3:O50,O50))</f>
        <v>36</v>
      </c>
      <c r="Q50">
        <f t="shared" si="5"/>
        <v>36</v>
      </c>
      <c r="R50" s="4">
        <f>'LIVE SOURCE'!E50</f>
        <v>65</v>
      </c>
      <c r="S50" s="4">
        <f t="shared" si="6"/>
        <v>29</v>
      </c>
      <c r="T50" t="str">
        <f>'LIVE SOURCE'!F50</f>
        <v>A</v>
      </c>
      <c r="U50" s="4">
        <f t="shared" si="7"/>
        <v>78.034000000000006</v>
      </c>
      <c r="V50" s="4">
        <f t="shared" si="8"/>
        <v>84.034000000000006</v>
      </c>
      <c r="W50" s="4">
        <f t="shared" si="9"/>
        <v>90.034000000000006</v>
      </c>
      <c r="X50" t="str">
        <f>'LIVE SOURCE'!G50</f>
        <v>RATE-ADJUSTED VETERAN</v>
      </c>
      <c r="Y50" t="str">
        <f>IF(INDEX('Draft Board'!$J$3:$J$225,Q50)="","Available",INDEX('Draft Board'!$J$3:$J$225,Q50))</f>
        <v>Available</v>
      </c>
      <c r="Z50">
        <f t="shared" si="10"/>
        <v>36</v>
      </c>
    </row>
    <row r="51" spans="1:26" x14ac:dyDescent="0.25">
      <c r="A51" t="str">
        <f>'LIVE SOURCE'!A51</f>
        <v>RB</v>
      </c>
      <c r="B51" t="str">
        <f>'LIVE SOURCE'!B51</f>
        <v>Javonte Williams</v>
      </c>
      <c r="C51" s="4">
        <f>'LIVE SOURCE'!D51</f>
        <v>83.803200000000004</v>
      </c>
      <c r="D51" s="4">
        <f>'Manual Adjustments'!G51</f>
        <v>0</v>
      </c>
      <c r="E51" s="4">
        <f t="shared" si="0"/>
        <v>83.803200000000004</v>
      </c>
      <c r="F51">
        <f>COUNTIFS($A$3:$A$225,A51,$E$3:$E$225,"&gt;"&amp;E51)+COUNTIFS($A$3:A51,A51,$E$3:E51,E51)</f>
        <v>17</v>
      </c>
      <c r="G51" s="4">
        <f>ROUND(INDEX('League Config'!$K$4:$K$9,MATCH(A51,'League Config'!$E$4:$E$9,0))*E51+INDEX('League Config'!$L$4:$L$9,MATCH(A51,'League Config'!$E$4:$E$9,0)),1)</f>
        <v>282</v>
      </c>
      <c r="H51">
        <f>INDEX('League Config'!$H$4:$H$9,MATCH(A51,'League Config'!$E$4:$E$9,0))</f>
        <v>32</v>
      </c>
      <c r="I51" s="4">
        <f>INDEX('League Config'!$I$4:$I$9,MATCH(A51,'League Config'!$E$4:$E$9,0))</f>
        <v>239</v>
      </c>
      <c r="J51" s="4">
        <f t="shared" si="1"/>
        <v>43</v>
      </c>
      <c r="K51" s="4">
        <f t="shared" si="2"/>
        <v>75.8</v>
      </c>
      <c r="L51" s="4">
        <f>MIN(100,MAX(0,(1-(F51-1)/(H51*1.5))*100*INDEX('League Config'!$J$4:$J$9,MATCH(A51,'League Config'!$E$4:$E$9,0))))</f>
        <v>76.666666666666671</v>
      </c>
      <c r="M51">
        <f>IF(A51="K",'League Config'!$B$14,IF(A51="DST",'League Config'!$B$15,IF(A51="QB",'League Config'!$B$16,0)))</f>
        <v>0</v>
      </c>
      <c r="N51" s="4">
        <f t="shared" si="3"/>
        <v>80.331760000000003</v>
      </c>
      <c r="O51" s="9">
        <f t="shared" si="4"/>
        <v>80.331760000000003</v>
      </c>
      <c r="P51" s="6">
        <f>IF(O51="","",COUNTIF($O$3:$O$225,"&gt;"&amp;O51)+COUNTIF($O$3:O51,O51))</f>
        <v>38</v>
      </c>
      <c r="Q51">
        <f t="shared" si="5"/>
        <v>38</v>
      </c>
      <c r="R51" s="4">
        <f>'LIVE SOURCE'!E51</f>
        <v>69.2</v>
      </c>
      <c r="S51" s="4">
        <f t="shared" si="6"/>
        <v>31.200000000000003</v>
      </c>
      <c r="T51" t="str">
        <f>'LIVE SOURCE'!F51</f>
        <v>A</v>
      </c>
      <c r="U51" s="4">
        <f t="shared" si="7"/>
        <v>77.803200000000004</v>
      </c>
      <c r="V51" s="4">
        <f t="shared" si="8"/>
        <v>83.803200000000004</v>
      </c>
      <c r="W51" s="4">
        <f t="shared" si="9"/>
        <v>89.803200000000004</v>
      </c>
      <c r="X51" t="str">
        <f>'LIVE SOURCE'!G51</f>
        <v>RATE-ADJUSTED VETERAN</v>
      </c>
      <c r="Y51" t="str">
        <f>IF(INDEX('Draft Board'!$J$3:$J$225,Q51)="","Available",INDEX('Draft Board'!$J$3:$J$225,Q51))</f>
        <v>Available</v>
      </c>
      <c r="Z51">
        <f t="shared" si="10"/>
        <v>38</v>
      </c>
    </row>
    <row r="52" spans="1:26" x14ac:dyDescent="0.25">
      <c r="A52" t="str">
        <f>'LIVE SOURCE'!A52</f>
        <v>RB</v>
      </c>
      <c r="B52" t="str">
        <f>'LIVE SOURCE'!B52</f>
        <v>Travis Etienne Jr.</v>
      </c>
      <c r="C52" s="4">
        <f>'LIVE SOURCE'!D52</f>
        <v>83.043599999999998</v>
      </c>
      <c r="D52" s="4">
        <f>'Manual Adjustments'!G52</f>
        <v>0</v>
      </c>
      <c r="E52" s="4">
        <f t="shared" si="0"/>
        <v>83.043599999999998</v>
      </c>
      <c r="F52">
        <f>COUNTIFS($A$3:$A$225,A52,$E$3:$E$225,"&gt;"&amp;E52)+COUNTIFS($A$3:A52,A52,$E$3:E52,E52)</f>
        <v>18</v>
      </c>
      <c r="G52" s="4">
        <f>ROUND(INDEX('League Config'!$K$4:$K$9,MATCH(A52,'League Config'!$E$4:$E$9,0))*E52+INDEX('League Config'!$L$4:$L$9,MATCH(A52,'League Config'!$E$4:$E$9,0)),1)</f>
        <v>278.8</v>
      </c>
      <c r="H52">
        <f>INDEX('League Config'!$H$4:$H$9,MATCH(A52,'League Config'!$E$4:$E$9,0))</f>
        <v>32</v>
      </c>
      <c r="I52" s="4">
        <f>INDEX('League Config'!$I$4:$I$9,MATCH(A52,'League Config'!$E$4:$E$9,0))</f>
        <v>239</v>
      </c>
      <c r="J52" s="4">
        <f t="shared" si="1"/>
        <v>39.799999999999997</v>
      </c>
      <c r="K52" s="4">
        <f t="shared" si="2"/>
        <v>73.88</v>
      </c>
      <c r="L52" s="4">
        <f>MIN(100,MAX(0,(1-(F52-1)/(H52*1.5))*100*INDEX('League Config'!$J$4:$J$9,MATCH(A52,'League Config'!$E$4:$E$9,0))))</f>
        <v>74.270833333333329</v>
      </c>
      <c r="M52">
        <f>IF(A52="K",'League Config'!$B$14,IF(A52="DST",'League Config'!$B$15,IF(A52="QB",'League Config'!$B$16,0)))</f>
        <v>0</v>
      </c>
      <c r="N52" s="4">
        <f t="shared" si="3"/>
        <v>78.978605000000002</v>
      </c>
      <c r="O52" s="9">
        <f t="shared" si="4"/>
        <v>78.978605000000002</v>
      </c>
      <c r="P52" s="6">
        <f>IF(O52="","",COUNTIF($O$3:$O$225,"&gt;"&amp;O52)+COUNTIF($O$3:O52,O52))</f>
        <v>40</v>
      </c>
      <c r="Q52">
        <f t="shared" si="5"/>
        <v>40</v>
      </c>
      <c r="R52" s="4">
        <f>'LIVE SOURCE'!E52</f>
        <v>73.400000000000006</v>
      </c>
      <c r="S52" s="4">
        <f t="shared" si="6"/>
        <v>33.400000000000006</v>
      </c>
      <c r="T52" t="str">
        <f>'LIVE SOURCE'!F52</f>
        <v>A</v>
      </c>
      <c r="U52" s="4">
        <f t="shared" si="7"/>
        <v>77.043599999999998</v>
      </c>
      <c r="V52" s="4">
        <f t="shared" si="8"/>
        <v>83.043599999999998</v>
      </c>
      <c r="W52" s="4">
        <f t="shared" si="9"/>
        <v>89.043599999999998</v>
      </c>
      <c r="X52" t="str">
        <f>'LIVE SOURCE'!G52</f>
        <v>RATE-ADJUSTED VETERAN</v>
      </c>
      <c r="Y52" t="str">
        <f>IF(INDEX('Draft Board'!$J$3:$J$225,Q52)="","Available",INDEX('Draft Board'!$J$3:$J$225,Q52))</f>
        <v>Available</v>
      </c>
      <c r="Z52">
        <f t="shared" si="10"/>
        <v>40</v>
      </c>
    </row>
    <row r="53" spans="1:26" x14ac:dyDescent="0.25">
      <c r="A53" t="str">
        <f>'LIVE SOURCE'!A53</f>
        <v>RB</v>
      </c>
      <c r="B53" t="str">
        <f>'LIVE SOURCE'!B53</f>
        <v>Cam Skattebo</v>
      </c>
      <c r="C53" s="4">
        <f>'LIVE SOURCE'!D53</f>
        <v>81.888400000000004</v>
      </c>
      <c r="D53" s="4">
        <f>'Manual Adjustments'!G53</f>
        <v>0</v>
      </c>
      <c r="E53" s="4">
        <f t="shared" si="0"/>
        <v>81.888400000000004</v>
      </c>
      <c r="F53">
        <f>COUNTIFS($A$3:$A$225,A53,$E$3:$E$225,"&gt;"&amp;E53)+COUNTIFS($A$3:A53,A53,$E$3:E53,E53)</f>
        <v>19</v>
      </c>
      <c r="G53" s="4">
        <f>ROUND(INDEX('League Config'!$K$4:$K$9,MATCH(A53,'League Config'!$E$4:$E$9,0))*E53+INDEX('League Config'!$L$4:$L$9,MATCH(A53,'League Config'!$E$4:$E$9,0)),1)</f>
        <v>273.89999999999998</v>
      </c>
      <c r="H53">
        <f>INDEX('League Config'!$H$4:$H$9,MATCH(A53,'League Config'!$E$4:$E$9,0))</f>
        <v>32</v>
      </c>
      <c r="I53" s="4">
        <f>INDEX('League Config'!$I$4:$I$9,MATCH(A53,'League Config'!$E$4:$E$9,0))</f>
        <v>239</v>
      </c>
      <c r="J53" s="4">
        <f t="shared" si="1"/>
        <v>34.9</v>
      </c>
      <c r="K53" s="4">
        <f t="shared" si="2"/>
        <v>70.94</v>
      </c>
      <c r="L53" s="4">
        <f>MIN(100,MAX(0,(1-(F53-1)/(H53*1.5))*100*INDEX('League Config'!$J$4:$J$9,MATCH(A53,'League Config'!$E$4:$E$9,0))))</f>
        <v>71.875</v>
      </c>
      <c r="M53">
        <f>IF(A53="K",'League Config'!$B$14,IF(A53="DST",'League Config'!$B$15,IF(A53="QB",'League Config'!$B$16,0)))</f>
        <v>0</v>
      </c>
      <c r="N53" s="4">
        <f t="shared" si="3"/>
        <v>77.101870000000005</v>
      </c>
      <c r="O53" s="9">
        <f t="shared" si="4"/>
        <v>77.101870000000005</v>
      </c>
      <c r="P53" s="6">
        <f>IF(O53="","",COUNTIF($O$3:$O$225,"&gt;"&amp;O53)+COUNTIF($O$3:O53,O53))</f>
        <v>46</v>
      </c>
      <c r="Q53">
        <f t="shared" si="5"/>
        <v>46</v>
      </c>
      <c r="R53" s="4">
        <f>'LIVE SOURCE'!E53</f>
        <v>77.600000000000009</v>
      </c>
      <c r="S53" s="4">
        <f t="shared" si="6"/>
        <v>31.600000000000009</v>
      </c>
      <c r="T53" t="str">
        <f>'LIVE SOURCE'!F53</f>
        <v>B</v>
      </c>
      <c r="U53" s="4">
        <f t="shared" si="7"/>
        <v>72.888400000000004</v>
      </c>
      <c r="V53" s="4">
        <f t="shared" si="8"/>
        <v>81.888400000000004</v>
      </c>
      <c r="W53" s="4">
        <f t="shared" si="9"/>
        <v>90.888400000000004</v>
      </c>
      <c r="X53" t="str">
        <f>'LIVE SOURCE'!G53</f>
        <v>RATE-ADJUSTED VETERAN</v>
      </c>
      <c r="Y53" t="str">
        <f>IF(INDEX('Draft Board'!$J$3:$J$225,Q53)="","Available",INDEX('Draft Board'!$J$3:$J$225,Q53))</f>
        <v>Available</v>
      </c>
      <c r="Z53">
        <f t="shared" si="10"/>
        <v>46</v>
      </c>
    </row>
    <row r="54" spans="1:26" x14ac:dyDescent="0.25">
      <c r="A54" t="str">
        <f>'LIVE SOURCE'!A54</f>
        <v>RB</v>
      </c>
      <c r="B54" t="str">
        <f>'LIVE SOURCE'!B54</f>
        <v>D'Andre Swift</v>
      </c>
      <c r="C54" s="4">
        <f>'LIVE SOURCE'!D54</f>
        <v>79.985600000000005</v>
      </c>
      <c r="D54" s="4">
        <f>'Manual Adjustments'!G54</f>
        <v>0</v>
      </c>
      <c r="E54" s="4">
        <f t="shared" si="0"/>
        <v>79.985600000000005</v>
      </c>
      <c r="F54">
        <f>COUNTIFS($A$3:$A$225,A54,$E$3:$E$225,"&gt;"&amp;E54)+COUNTIFS($A$3:A54,A54,$E$3:E54,E54)</f>
        <v>20</v>
      </c>
      <c r="G54" s="4">
        <f>ROUND(INDEX('League Config'!$K$4:$K$9,MATCH(A54,'League Config'!$E$4:$E$9,0))*E54+INDEX('League Config'!$L$4:$L$9,MATCH(A54,'League Config'!$E$4:$E$9,0)),1)</f>
        <v>265.89999999999998</v>
      </c>
      <c r="H54">
        <f>INDEX('League Config'!$H$4:$H$9,MATCH(A54,'League Config'!$E$4:$E$9,0))</f>
        <v>32</v>
      </c>
      <c r="I54" s="4">
        <f>INDEX('League Config'!$I$4:$I$9,MATCH(A54,'League Config'!$E$4:$E$9,0))</f>
        <v>239</v>
      </c>
      <c r="J54" s="4">
        <f t="shared" si="1"/>
        <v>26.9</v>
      </c>
      <c r="K54" s="4">
        <f t="shared" si="2"/>
        <v>66.14</v>
      </c>
      <c r="L54" s="4">
        <f>MIN(100,MAX(0,(1-(F54-1)/(H54*1.5))*100*INDEX('League Config'!$J$4:$J$9,MATCH(A54,'League Config'!$E$4:$E$9,0))))</f>
        <v>69.479166666666671</v>
      </c>
      <c r="M54">
        <f>IF(A54="K",'League Config'!$B$14,IF(A54="DST",'League Config'!$B$15,IF(A54="QB",'League Config'!$B$16,0)))</f>
        <v>0</v>
      </c>
      <c r="N54" s="4">
        <f t="shared" si="3"/>
        <v>74.255955</v>
      </c>
      <c r="O54" s="9">
        <f t="shared" si="4"/>
        <v>74.255955</v>
      </c>
      <c r="P54" s="6">
        <f>IF(O54="","",COUNTIF($O$3:$O$225,"&gt;"&amp;O54)+COUNTIF($O$3:O54,O54))</f>
        <v>53</v>
      </c>
      <c r="Q54">
        <f t="shared" si="5"/>
        <v>53</v>
      </c>
      <c r="R54" s="4">
        <f>'LIVE SOURCE'!E54</f>
        <v>81.8</v>
      </c>
      <c r="S54" s="4">
        <f t="shared" si="6"/>
        <v>28.799999999999997</v>
      </c>
      <c r="T54" t="str">
        <f>'LIVE SOURCE'!F54</f>
        <v>A</v>
      </c>
      <c r="U54" s="4">
        <f t="shared" si="7"/>
        <v>73.985600000000005</v>
      </c>
      <c r="V54" s="4">
        <f t="shared" si="8"/>
        <v>79.985600000000005</v>
      </c>
      <c r="W54" s="4">
        <f t="shared" si="9"/>
        <v>85.985600000000005</v>
      </c>
      <c r="X54" t="str">
        <f>'LIVE SOURCE'!G54</f>
        <v>RATE-ADJUSTED VETERAN</v>
      </c>
      <c r="Y54" t="str">
        <f>IF(INDEX('Draft Board'!$J$3:$J$225,Q54)="","Available",INDEX('Draft Board'!$J$3:$J$225,Q54))</f>
        <v>Available</v>
      </c>
      <c r="Z54">
        <f t="shared" si="10"/>
        <v>53</v>
      </c>
    </row>
    <row r="55" spans="1:26" x14ac:dyDescent="0.25">
      <c r="A55" t="str">
        <f>'LIVE SOURCE'!A55</f>
        <v>RB</v>
      </c>
      <c r="B55" t="str">
        <f>'LIVE SOURCE'!B55</f>
        <v>Bucky Irving</v>
      </c>
      <c r="C55" s="4">
        <f>'LIVE SOURCE'!D55</f>
        <v>79.935500000000005</v>
      </c>
      <c r="D55" s="4">
        <f>'Manual Adjustments'!G55</f>
        <v>0</v>
      </c>
      <c r="E55" s="4">
        <f t="shared" si="0"/>
        <v>79.935500000000005</v>
      </c>
      <c r="F55">
        <f>COUNTIFS($A$3:$A$225,A55,$E$3:$E$225,"&gt;"&amp;E55)+COUNTIFS($A$3:A55,A55,$E$3:E55,E55)</f>
        <v>21</v>
      </c>
      <c r="G55" s="4">
        <f>ROUND(INDEX('League Config'!$K$4:$K$9,MATCH(A55,'League Config'!$E$4:$E$9,0))*E55+INDEX('League Config'!$L$4:$L$9,MATCH(A55,'League Config'!$E$4:$E$9,0)),1)</f>
        <v>265.7</v>
      </c>
      <c r="H55">
        <f>INDEX('League Config'!$H$4:$H$9,MATCH(A55,'League Config'!$E$4:$E$9,0))</f>
        <v>32</v>
      </c>
      <c r="I55" s="4">
        <f>INDEX('League Config'!$I$4:$I$9,MATCH(A55,'League Config'!$E$4:$E$9,0))</f>
        <v>239</v>
      </c>
      <c r="J55" s="4">
        <f t="shared" si="1"/>
        <v>26.7</v>
      </c>
      <c r="K55" s="4">
        <f t="shared" si="2"/>
        <v>66.02</v>
      </c>
      <c r="L55" s="4">
        <f>MIN(100,MAX(0,(1-(F55-1)/(H55*1.5))*100*INDEX('League Config'!$J$4:$J$9,MATCH(A55,'League Config'!$E$4:$E$9,0))))</f>
        <v>67.083333333333329</v>
      </c>
      <c r="M55">
        <f>IF(A55="K",'League Config'!$B$14,IF(A55="DST",'League Config'!$B$15,IF(A55="QB",'League Config'!$B$16,0)))</f>
        <v>0</v>
      </c>
      <c r="N55" s="4">
        <f t="shared" si="3"/>
        <v>73.833025000000006</v>
      </c>
      <c r="O55" s="9">
        <f t="shared" si="4"/>
        <v>73.833025000000006</v>
      </c>
      <c r="P55" s="6">
        <f>IF(O55="","",COUNTIF($O$3:$O$225,"&gt;"&amp;O55)+COUNTIF($O$3:O55,O55))</f>
        <v>54</v>
      </c>
      <c r="Q55">
        <f t="shared" si="5"/>
        <v>54</v>
      </c>
      <c r="R55" s="4">
        <f>'LIVE SOURCE'!E55</f>
        <v>86</v>
      </c>
      <c r="S55" s="4">
        <f t="shared" si="6"/>
        <v>32</v>
      </c>
      <c r="T55" t="str">
        <f>'LIVE SOURCE'!F55</f>
        <v>B</v>
      </c>
      <c r="U55" s="4">
        <f t="shared" si="7"/>
        <v>70.935500000000005</v>
      </c>
      <c r="V55" s="4">
        <f t="shared" si="8"/>
        <v>79.935500000000005</v>
      </c>
      <c r="W55" s="4">
        <f t="shared" si="9"/>
        <v>88.935500000000005</v>
      </c>
      <c r="X55" t="str">
        <f>'LIVE SOURCE'!G55</f>
        <v>RATE-ADJUSTED VETERAN</v>
      </c>
      <c r="Y55" t="str">
        <f>IF(INDEX('Draft Board'!$J$3:$J$225,Q55)="","Available",INDEX('Draft Board'!$J$3:$J$225,Q55))</f>
        <v>Available</v>
      </c>
      <c r="Z55">
        <f t="shared" si="10"/>
        <v>54</v>
      </c>
    </row>
    <row r="56" spans="1:26" x14ac:dyDescent="0.25">
      <c r="A56" t="str">
        <f>'LIVE SOURCE'!A56</f>
        <v>RB</v>
      </c>
      <c r="B56" t="str">
        <f>'LIVE SOURCE'!B56</f>
        <v>Quinshon Judkins</v>
      </c>
      <c r="C56" s="4">
        <f>'LIVE SOURCE'!D56</f>
        <v>79.930300000000003</v>
      </c>
      <c r="D56" s="4">
        <f>'Manual Adjustments'!G56</f>
        <v>0</v>
      </c>
      <c r="E56" s="4">
        <f t="shared" si="0"/>
        <v>79.930300000000003</v>
      </c>
      <c r="F56">
        <f>COUNTIFS($A$3:$A$225,A56,$E$3:$E$225,"&gt;"&amp;E56)+COUNTIFS($A$3:A56,A56,$E$3:E56,E56)</f>
        <v>22</v>
      </c>
      <c r="G56" s="4">
        <f>ROUND(INDEX('League Config'!$K$4:$K$9,MATCH(A56,'League Config'!$E$4:$E$9,0))*E56+INDEX('League Config'!$L$4:$L$9,MATCH(A56,'League Config'!$E$4:$E$9,0)),1)</f>
        <v>265.7</v>
      </c>
      <c r="H56">
        <f>INDEX('League Config'!$H$4:$H$9,MATCH(A56,'League Config'!$E$4:$E$9,0))</f>
        <v>32</v>
      </c>
      <c r="I56" s="4">
        <f>INDEX('League Config'!$I$4:$I$9,MATCH(A56,'League Config'!$E$4:$E$9,0))</f>
        <v>239</v>
      </c>
      <c r="J56" s="4">
        <f t="shared" si="1"/>
        <v>26.7</v>
      </c>
      <c r="K56" s="4">
        <f t="shared" si="2"/>
        <v>66.02</v>
      </c>
      <c r="L56" s="4">
        <f>MIN(100,MAX(0,(1-(F56-1)/(H56*1.5))*100*INDEX('League Config'!$J$4:$J$9,MATCH(A56,'League Config'!$E$4:$E$9,0))))</f>
        <v>64.6875</v>
      </c>
      <c r="M56">
        <f>IF(A56="K",'League Config'!$B$14,IF(A56="DST",'League Config'!$B$15,IF(A56="QB",'League Config'!$B$16,0)))</f>
        <v>0</v>
      </c>
      <c r="N56" s="4">
        <f t="shared" si="3"/>
        <v>73.470789999999994</v>
      </c>
      <c r="O56" s="9">
        <f t="shared" si="4"/>
        <v>73.470789999999994</v>
      </c>
      <c r="P56" s="6">
        <f>IF(O56="","",COUNTIF($O$3:$O$225,"&gt;"&amp;O56)+COUNTIF($O$3:O56,O56))</f>
        <v>56</v>
      </c>
      <c r="Q56">
        <f t="shared" si="5"/>
        <v>56</v>
      </c>
      <c r="R56" s="4">
        <f>'LIVE SOURCE'!E56</f>
        <v>90.2</v>
      </c>
      <c r="S56" s="4">
        <f t="shared" si="6"/>
        <v>34.200000000000003</v>
      </c>
      <c r="T56" t="str">
        <f>'LIVE SOURCE'!F56</f>
        <v>A</v>
      </c>
      <c r="U56" s="4">
        <f t="shared" si="7"/>
        <v>73.930300000000003</v>
      </c>
      <c r="V56" s="4">
        <f t="shared" si="8"/>
        <v>79.930300000000003</v>
      </c>
      <c r="W56" s="4">
        <f t="shared" si="9"/>
        <v>85.930300000000003</v>
      </c>
      <c r="X56" t="str">
        <f>'LIVE SOURCE'!G56</f>
        <v>RATE-ADJUSTED VETERAN</v>
      </c>
      <c r="Y56" t="str">
        <f>IF(INDEX('Draft Board'!$J$3:$J$225,Q56)="","Available",INDEX('Draft Board'!$J$3:$J$225,Q56))</f>
        <v>Available</v>
      </c>
      <c r="Z56">
        <f t="shared" si="10"/>
        <v>56</v>
      </c>
    </row>
    <row r="57" spans="1:26" x14ac:dyDescent="0.25">
      <c r="A57" t="str">
        <f>'LIVE SOURCE'!A57</f>
        <v>RB</v>
      </c>
      <c r="B57" t="str">
        <f>'LIVE SOURCE'!B57</f>
        <v>David Montgomery</v>
      </c>
      <c r="C57" s="4">
        <f>'LIVE SOURCE'!D57</f>
        <v>77.910200000000003</v>
      </c>
      <c r="D57" s="4">
        <f>'Manual Adjustments'!G57</f>
        <v>0</v>
      </c>
      <c r="E57" s="4">
        <f t="shared" si="0"/>
        <v>77.910200000000003</v>
      </c>
      <c r="F57">
        <f>COUNTIFS($A$3:$A$225,A57,$E$3:$E$225,"&gt;"&amp;E57)+COUNTIFS($A$3:A57,A57,$E$3:E57,E57)</f>
        <v>23</v>
      </c>
      <c r="G57" s="4">
        <f>ROUND(INDEX('League Config'!$K$4:$K$9,MATCH(A57,'League Config'!$E$4:$E$9,0))*E57+INDEX('League Config'!$L$4:$L$9,MATCH(A57,'League Config'!$E$4:$E$9,0)),1)</f>
        <v>257.2</v>
      </c>
      <c r="H57">
        <f>INDEX('League Config'!$H$4:$H$9,MATCH(A57,'League Config'!$E$4:$E$9,0))</f>
        <v>32</v>
      </c>
      <c r="I57" s="4">
        <f>INDEX('League Config'!$I$4:$I$9,MATCH(A57,'League Config'!$E$4:$E$9,0))</f>
        <v>239</v>
      </c>
      <c r="J57" s="4">
        <f t="shared" si="1"/>
        <v>18.2</v>
      </c>
      <c r="K57" s="4">
        <f t="shared" si="2"/>
        <v>60.92</v>
      </c>
      <c r="L57" s="4">
        <f>MIN(100,MAX(0,(1-(F57-1)/(H57*1.5))*100*INDEX('League Config'!$J$4:$J$9,MATCH(A57,'League Config'!$E$4:$E$9,0))))</f>
        <v>62.291666666666664</v>
      </c>
      <c r="M57">
        <f>IF(A57="K",'League Config'!$B$14,IF(A57="DST",'League Config'!$B$15,IF(A57="QB",'League Config'!$B$16,0)))</f>
        <v>0</v>
      </c>
      <c r="N57" s="4">
        <f t="shared" si="3"/>
        <v>70.470359999999999</v>
      </c>
      <c r="O57" s="9">
        <f t="shared" si="4"/>
        <v>70.470359999999999</v>
      </c>
      <c r="P57" s="6">
        <f>IF(O57="","",COUNTIF($O$3:$O$225,"&gt;"&amp;O57)+COUNTIF($O$3:O57,O57))</f>
        <v>63</v>
      </c>
      <c r="Q57">
        <f t="shared" si="5"/>
        <v>63</v>
      </c>
      <c r="R57" s="4">
        <f>'LIVE SOURCE'!E57</f>
        <v>94.4</v>
      </c>
      <c r="S57" s="4">
        <f t="shared" si="6"/>
        <v>31.400000000000006</v>
      </c>
      <c r="T57" t="str">
        <f>'LIVE SOURCE'!F57</f>
        <v>A</v>
      </c>
      <c r="U57" s="4">
        <f t="shared" si="7"/>
        <v>71.910200000000003</v>
      </c>
      <c r="V57" s="4">
        <f t="shared" si="8"/>
        <v>77.910200000000003</v>
      </c>
      <c r="W57" s="4">
        <f t="shared" si="9"/>
        <v>83.910200000000003</v>
      </c>
      <c r="X57" t="str">
        <f>'LIVE SOURCE'!G57</f>
        <v>RATE-ADJUSTED VETERAN</v>
      </c>
      <c r="Y57" t="str">
        <f>IF(INDEX('Draft Board'!$J$3:$J$225,Q57)="","Available",INDEX('Draft Board'!$J$3:$J$225,Q57))</f>
        <v>Available</v>
      </c>
      <c r="Z57">
        <f t="shared" si="10"/>
        <v>63</v>
      </c>
    </row>
    <row r="58" spans="1:26" x14ac:dyDescent="0.25">
      <c r="A58" t="str">
        <f>'LIVE SOURCE'!A58</f>
        <v>RB</v>
      </c>
      <c r="B58" t="str">
        <f>'LIVE SOURCE'!B58</f>
        <v>TreVeyon Henderson</v>
      </c>
      <c r="C58" s="4">
        <f>'LIVE SOURCE'!D58</f>
        <v>77.832499999999996</v>
      </c>
      <c r="D58" s="4">
        <f>'Manual Adjustments'!G58</f>
        <v>0</v>
      </c>
      <c r="E58" s="4">
        <f t="shared" si="0"/>
        <v>77.832499999999996</v>
      </c>
      <c r="F58">
        <f>COUNTIFS($A$3:$A$225,A58,$E$3:$E$225,"&gt;"&amp;E58)+COUNTIFS($A$3:A58,A58,$E$3:E58,E58)</f>
        <v>24</v>
      </c>
      <c r="G58" s="4">
        <f>ROUND(INDEX('League Config'!$K$4:$K$9,MATCH(A58,'League Config'!$E$4:$E$9,0))*E58+INDEX('League Config'!$L$4:$L$9,MATCH(A58,'League Config'!$E$4:$E$9,0)),1)</f>
        <v>256.89999999999998</v>
      </c>
      <c r="H58">
        <f>INDEX('League Config'!$H$4:$H$9,MATCH(A58,'League Config'!$E$4:$E$9,0))</f>
        <v>32</v>
      </c>
      <c r="I58" s="4">
        <f>INDEX('League Config'!$I$4:$I$9,MATCH(A58,'League Config'!$E$4:$E$9,0))</f>
        <v>239</v>
      </c>
      <c r="J58" s="4">
        <f t="shared" si="1"/>
        <v>17.899999999999999</v>
      </c>
      <c r="K58" s="4">
        <f t="shared" si="2"/>
        <v>60.739999999999995</v>
      </c>
      <c r="L58" s="4">
        <f>MIN(100,MAX(0,(1-(F58-1)/(H58*1.5))*100*INDEX('League Config'!$J$4:$J$9,MATCH(A58,'League Config'!$E$4:$E$9,0))))</f>
        <v>59.895833333333321</v>
      </c>
      <c r="M58">
        <f>IF(A58="K",'League Config'!$B$14,IF(A58="DST",'League Config'!$B$15,IF(A58="QB",'League Config'!$B$16,0)))</f>
        <v>0</v>
      </c>
      <c r="N58" s="4">
        <f t="shared" si="3"/>
        <v>70.014250000000004</v>
      </c>
      <c r="O58" s="9">
        <f t="shared" si="4"/>
        <v>70.014250000000004</v>
      </c>
      <c r="P58" s="6">
        <f>IF(O58="","",COUNTIF($O$3:$O$225,"&gt;"&amp;O58)+COUNTIF($O$3:O58,O58))</f>
        <v>65</v>
      </c>
      <c r="Q58">
        <f t="shared" si="5"/>
        <v>65</v>
      </c>
      <c r="R58" s="4">
        <f>'LIVE SOURCE'!E58</f>
        <v>98.600000000000009</v>
      </c>
      <c r="S58" s="4">
        <f t="shared" si="6"/>
        <v>33.600000000000009</v>
      </c>
      <c r="T58" t="str">
        <f>'LIVE SOURCE'!F58</f>
        <v>A</v>
      </c>
      <c r="U58" s="4">
        <f t="shared" si="7"/>
        <v>71.832499999999996</v>
      </c>
      <c r="V58" s="4">
        <f t="shared" si="8"/>
        <v>77.832499999999996</v>
      </c>
      <c r="W58" s="4">
        <f t="shared" si="9"/>
        <v>83.832499999999996</v>
      </c>
      <c r="X58" t="str">
        <f>'LIVE SOURCE'!G58</f>
        <v>RATE-ADJUSTED VETERAN</v>
      </c>
      <c r="Y58" t="str">
        <f>IF(INDEX('Draft Board'!$J$3:$J$225,Q58)="","Available",INDEX('Draft Board'!$J$3:$J$225,Q58))</f>
        <v>Available</v>
      </c>
      <c r="Z58">
        <f t="shared" si="10"/>
        <v>65</v>
      </c>
    </row>
    <row r="59" spans="1:26" x14ac:dyDescent="0.25">
      <c r="A59" t="str">
        <f>'LIVE SOURCE'!A59</f>
        <v>RB</v>
      </c>
      <c r="B59" t="str">
        <f>'LIVE SOURCE'!B59</f>
        <v>Jadarian Price</v>
      </c>
      <c r="C59" s="4">
        <f>'LIVE SOURCE'!D59</f>
        <v>76.662199999999999</v>
      </c>
      <c r="D59" s="4">
        <f>'Manual Adjustments'!G59</f>
        <v>0</v>
      </c>
      <c r="E59" s="4">
        <f t="shared" si="0"/>
        <v>76.662199999999999</v>
      </c>
      <c r="F59">
        <f>COUNTIFS($A$3:$A$225,A59,$E$3:$E$225,"&gt;"&amp;E59)+COUNTIFS($A$3:A59,A59,$E$3:E59,E59)</f>
        <v>25</v>
      </c>
      <c r="G59" s="4">
        <f>ROUND(INDEX('League Config'!$K$4:$K$9,MATCH(A59,'League Config'!$E$4:$E$9,0))*E59+INDEX('League Config'!$L$4:$L$9,MATCH(A59,'League Config'!$E$4:$E$9,0)),1)</f>
        <v>252</v>
      </c>
      <c r="H59">
        <f>INDEX('League Config'!$H$4:$H$9,MATCH(A59,'League Config'!$E$4:$E$9,0))</f>
        <v>32</v>
      </c>
      <c r="I59" s="4">
        <f>INDEX('League Config'!$I$4:$I$9,MATCH(A59,'League Config'!$E$4:$E$9,0))</f>
        <v>239</v>
      </c>
      <c r="J59" s="4">
        <f t="shared" si="1"/>
        <v>13</v>
      </c>
      <c r="K59" s="4">
        <f t="shared" si="2"/>
        <v>57.8</v>
      </c>
      <c r="L59" s="4">
        <f>MIN(100,MAX(0,(1-(F59-1)/(H59*1.5))*100*INDEX('League Config'!$J$4:$J$9,MATCH(A59,'League Config'!$E$4:$E$9,0))))</f>
        <v>57.499999999999993</v>
      </c>
      <c r="M59">
        <f>IF(A59="K",'League Config'!$B$14,IF(A59="DST",'League Config'!$B$15,IF(A59="QB",'League Config'!$B$16,0)))</f>
        <v>0</v>
      </c>
      <c r="N59" s="4">
        <f t="shared" si="3"/>
        <v>68.12921</v>
      </c>
      <c r="O59" s="9">
        <f t="shared" si="4"/>
        <v>68.12921</v>
      </c>
      <c r="P59" s="6">
        <f>IF(O59="","",COUNTIF($O$3:$O$225,"&gt;"&amp;O59)+COUNTIF($O$3:O59,O59))</f>
        <v>68</v>
      </c>
      <c r="Q59">
        <f t="shared" si="5"/>
        <v>68</v>
      </c>
      <c r="R59" s="4">
        <f>'LIVE SOURCE'!E59</f>
        <v>102.8</v>
      </c>
      <c r="S59" s="4">
        <f t="shared" si="6"/>
        <v>34.799999999999997</v>
      </c>
      <c r="T59" t="str">
        <f>'LIVE SOURCE'!F59</f>
        <v>B</v>
      </c>
      <c r="U59" s="4">
        <f t="shared" si="7"/>
        <v>67.662199999999999</v>
      </c>
      <c r="V59" s="4">
        <f t="shared" si="8"/>
        <v>76.662199999999999</v>
      </c>
      <c r="W59" s="4">
        <f t="shared" si="9"/>
        <v>85.662199999999999</v>
      </c>
      <c r="X59" t="str">
        <f>'LIVE SOURCE'!G59</f>
        <v>ROOKIE ENGINE</v>
      </c>
      <c r="Y59" t="str">
        <f>IF(INDEX('Draft Board'!$J$3:$J$225,Q59)="","Available",INDEX('Draft Board'!$J$3:$J$225,Q59))</f>
        <v>Available</v>
      </c>
      <c r="Z59">
        <f t="shared" si="10"/>
        <v>68</v>
      </c>
    </row>
    <row r="60" spans="1:26" x14ac:dyDescent="0.25">
      <c r="A60" t="str">
        <f>'LIVE SOURCE'!A60</f>
        <v>RB</v>
      </c>
      <c r="B60" t="str">
        <f>'LIVE SOURCE'!B60</f>
        <v>Jaylen Warren</v>
      </c>
      <c r="C60" s="4">
        <f>'LIVE SOURCE'!D60</f>
        <v>76.091800000000006</v>
      </c>
      <c r="D60" s="4">
        <f>'Manual Adjustments'!G60</f>
        <v>0</v>
      </c>
      <c r="E60" s="4">
        <f t="shared" si="0"/>
        <v>76.091800000000006</v>
      </c>
      <c r="F60">
        <f>COUNTIFS($A$3:$A$225,A60,$E$3:$E$225,"&gt;"&amp;E60)+COUNTIFS($A$3:A60,A60,$E$3:E60,E60)</f>
        <v>26</v>
      </c>
      <c r="G60" s="4">
        <f>ROUND(INDEX('League Config'!$K$4:$K$9,MATCH(A60,'League Config'!$E$4:$E$9,0))*E60+INDEX('League Config'!$L$4:$L$9,MATCH(A60,'League Config'!$E$4:$E$9,0)),1)</f>
        <v>249.6</v>
      </c>
      <c r="H60">
        <f>INDEX('League Config'!$H$4:$H$9,MATCH(A60,'League Config'!$E$4:$E$9,0))</f>
        <v>32</v>
      </c>
      <c r="I60" s="4">
        <f>INDEX('League Config'!$I$4:$I$9,MATCH(A60,'League Config'!$E$4:$E$9,0))</f>
        <v>239</v>
      </c>
      <c r="J60" s="4">
        <f t="shared" si="1"/>
        <v>10.6</v>
      </c>
      <c r="K60" s="4">
        <f t="shared" si="2"/>
        <v>56.36</v>
      </c>
      <c r="L60" s="4">
        <f>MIN(100,MAX(0,(1-(F60-1)/(H60*1.5))*100*INDEX('League Config'!$J$4:$J$9,MATCH(A60,'League Config'!$E$4:$E$9,0))))</f>
        <v>55.104166666666657</v>
      </c>
      <c r="M60">
        <f>IF(A60="K",'League Config'!$B$14,IF(A60="DST",'League Config'!$B$15,IF(A60="QB",'League Config'!$B$16,0)))</f>
        <v>0</v>
      </c>
      <c r="N60" s="4">
        <f t="shared" si="3"/>
        <v>67.024115000000009</v>
      </c>
      <c r="O60" s="9">
        <f t="shared" si="4"/>
        <v>67.024115000000009</v>
      </c>
      <c r="P60" s="6">
        <f>IF(O60="","",COUNTIF($O$3:$O$225,"&gt;"&amp;O60)+COUNTIF($O$3:O60,O60))</f>
        <v>73</v>
      </c>
      <c r="Q60">
        <f t="shared" si="5"/>
        <v>73</v>
      </c>
      <c r="R60" s="4">
        <f>'LIVE SOURCE'!E60</f>
        <v>107</v>
      </c>
      <c r="S60" s="4">
        <f t="shared" si="6"/>
        <v>34</v>
      </c>
      <c r="T60" t="str">
        <f>'LIVE SOURCE'!F60</f>
        <v>A</v>
      </c>
      <c r="U60" s="4">
        <f t="shared" si="7"/>
        <v>70.091800000000006</v>
      </c>
      <c r="V60" s="4">
        <f t="shared" si="8"/>
        <v>76.091800000000006</v>
      </c>
      <c r="W60" s="4">
        <f t="shared" si="9"/>
        <v>82.091800000000006</v>
      </c>
      <c r="X60" t="str">
        <f>'LIVE SOURCE'!G60</f>
        <v>RATE-ADJUSTED VETERAN</v>
      </c>
      <c r="Y60" t="str">
        <f>IF(INDEX('Draft Board'!$J$3:$J$225,Q60)="","Available",INDEX('Draft Board'!$J$3:$J$225,Q60))</f>
        <v>Available</v>
      </c>
      <c r="Z60">
        <f t="shared" si="10"/>
        <v>73</v>
      </c>
    </row>
    <row r="61" spans="1:26" x14ac:dyDescent="0.25">
      <c r="A61" t="str">
        <f>'LIVE SOURCE'!A61</f>
        <v>RB</v>
      </c>
      <c r="B61" t="str">
        <f>'LIVE SOURCE'!B61</f>
        <v>Rico Dowdle</v>
      </c>
      <c r="C61" s="4">
        <f>'LIVE SOURCE'!D61</f>
        <v>75.785799999999995</v>
      </c>
      <c r="D61" s="4">
        <f>'Manual Adjustments'!G61</f>
        <v>0</v>
      </c>
      <c r="E61" s="4">
        <f t="shared" si="0"/>
        <v>75.785799999999995</v>
      </c>
      <c r="F61">
        <f>COUNTIFS($A$3:$A$225,A61,$E$3:$E$225,"&gt;"&amp;E61)+COUNTIFS($A$3:A61,A61,$E$3:E61,E61)</f>
        <v>27</v>
      </c>
      <c r="G61" s="4">
        <f>ROUND(INDEX('League Config'!$K$4:$K$9,MATCH(A61,'League Config'!$E$4:$E$9,0))*E61+INDEX('League Config'!$L$4:$L$9,MATCH(A61,'League Config'!$E$4:$E$9,0)),1)</f>
        <v>248.3</v>
      </c>
      <c r="H61">
        <f>INDEX('League Config'!$H$4:$H$9,MATCH(A61,'League Config'!$E$4:$E$9,0))</f>
        <v>32</v>
      </c>
      <c r="I61" s="4">
        <f>INDEX('League Config'!$I$4:$I$9,MATCH(A61,'League Config'!$E$4:$E$9,0))</f>
        <v>239</v>
      </c>
      <c r="J61" s="4">
        <f t="shared" si="1"/>
        <v>9.3000000000000007</v>
      </c>
      <c r="K61" s="4">
        <f t="shared" si="2"/>
        <v>55.58</v>
      </c>
      <c r="L61" s="4">
        <f>MIN(100,MAX(0,(1-(F61-1)/(H61*1.5))*100*INDEX('League Config'!$J$4:$J$9,MATCH(A61,'League Config'!$E$4:$E$9,0))))</f>
        <v>52.708333333333329</v>
      </c>
      <c r="M61">
        <f>IF(A61="K",'League Config'!$B$14,IF(A61="DST",'League Config'!$B$15,IF(A61="QB",'League Config'!$B$16,0)))</f>
        <v>0</v>
      </c>
      <c r="N61" s="4">
        <f t="shared" si="3"/>
        <v>66.262439999999998</v>
      </c>
      <c r="O61" s="9">
        <f t="shared" si="4"/>
        <v>66.262439999999998</v>
      </c>
      <c r="P61" s="6">
        <f>IF(O61="","",COUNTIF($O$3:$O$225,"&gt;"&amp;O61)+COUNTIF($O$3:O61,O61))</f>
        <v>77</v>
      </c>
      <c r="Q61">
        <f t="shared" si="5"/>
        <v>77</v>
      </c>
      <c r="R61" s="4">
        <f>'LIVE SOURCE'!E61</f>
        <v>111.2</v>
      </c>
      <c r="S61" s="4">
        <f t="shared" si="6"/>
        <v>34.200000000000003</v>
      </c>
      <c r="T61" t="str">
        <f>'LIVE SOURCE'!F61</f>
        <v>A</v>
      </c>
      <c r="U61" s="4">
        <f t="shared" si="7"/>
        <v>69.785799999999995</v>
      </c>
      <c r="V61" s="4">
        <f t="shared" si="8"/>
        <v>75.785799999999995</v>
      </c>
      <c r="W61" s="4">
        <f t="shared" si="9"/>
        <v>81.785799999999995</v>
      </c>
      <c r="X61" t="str">
        <f>'LIVE SOURCE'!G61</f>
        <v>RATE-ADJUSTED VETERAN</v>
      </c>
      <c r="Y61" t="str">
        <f>IF(INDEX('Draft Board'!$J$3:$J$225,Q61)="","Available",INDEX('Draft Board'!$J$3:$J$225,Q61))</f>
        <v>Available</v>
      </c>
      <c r="Z61">
        <f t="shared" si="10"/>
        <v>77</v>
      </c>
    </row>
    <row r="62" spans="1:26" x14ac:dyDescent="0.25">
      <c r="A62" t="str">
        <f>'LIVE SOURCE'!A62</f>
        <v>RB</v>
      </c>
      <c r="B62" t="str">
        <f>'LIVE SOURCE'!B62</f>
        <v>Tony Pollard</v>
      </c>
      <c r="C62" s="4">
        <f>'LIVE SOURCE'!D62</f>
        <v>75.098600000000005</v>
      </c>
      <c r="D62" s="4">
        <f>'Manual Adjustments'!G62</f>
        <v>0</v>
      </c>
      <c r="E62" s="4">
        <f t="shared" si="0"/>
        <v>75.098600000000005</v>
      </c>
      <c r="F62">
        <f>COUNTIFS($A$3:$A$225,A62,$E$3:$E$225,"&gt;"&amp;E62)+COUNTIFS($A$3:A62,A62,$E$3:E62,E62)</f>
        <v>28</v>
      </c>
      <c r="G62" s="4">
        <f>ROUND(INDEX('League Config'!$K$4:$K$9,MATCH(A62,'League Config'!$E$4:$E$9,0))*E62+INDEX('League Config'!$L$4:$L$9,MATCH(A62,'League Config'!$E$4:$E$9,0)),1)</f>
        <v>245.4</v>
      </c>
      <c r="H62">
        <f>INDEX('League Config'!$H$4:$H$9,MATCH(A62,'League Config'!$E$4:$E$9,0))</f>
        <v>32</v>
      </c>
      <c r="I62" s="4">
        <f>INDEX('League Config'!$I$4:$I$9,MATCH(A62,'League Config'!$E$4:$E$9,0))</f>
        <v>239</v>
      </c>
      <c r="J62" s="4">
        <f t="shared" si="1"/>
        <v>6.4</v>
      </c>
      <c r="K62" s="4">
        <f t="shared" si="2"/>
        <v>53.84</v>
      </c>
      <c r="L62" s="4">
        <f>MIN(100,MAX(0,(1-(F62-1)/(H62*1.5))*100*INDEX('League Config'!$J$4:$J$9,MATCH(A62,'League Config'!$E$4:$E$9,0))))</f>
        <v>50.312499999999993</v>
      </c>
      <c r="M62">
        <f>IF(A62="K",'League Config'!$B$14,IF(A62="DST",'League Config'!$B$15,IF(A62="QB",'League Config'!$B$16,0)))</f>
        <v>0</v>
      </c>
      <c r="N62" s="4">
        <f t="shared" si="3"/>
        <v>65.003105000000005</v>
      </c>
      <c r="O62" s="9">
        <f t="shared" si="4"/>
        <v>65.003105000000005</v>
      </c>
      <c r="P62" s="6">
        <f>IF(O62="","",COUNTIF($O$3:$O$225,"&gt;"&amp;O62)+COUNTIF($O$3:O62,O62))</f>
        <v>81</v>
      </c>
      <c r="Q62">
        <f t="shared" si="5"/>
        <v>81</v>
      </c>
      <c r="R62" s="4">
        <f>'LIVE SOURCE'!E62</f>
        <v>115.4</v>
      </c>
      <c r="S62" s="4">
        <f t="shared" si="6"/>
        <v>34.400000000000006</v>
      </c>
      <c r="T62" t="str">
        <f>'LIVE SOURCE'!F62</f>
        <v>A</v>
      </c>
      <c r="U62" s="4">
        <f t="shared" si="7"/>
        <v>69.098600000000005</v>
      </c>
      <c r="V62" s="4">
        <f t="shared" si="8"/>
        <v>75.098600000000005</v>
      </c>
      <c r="W62" s="4">
        <f t="shared" si="9"/>
        <v>81.098600000000005</v>
      </c>
      <c r="X62" t="str">
        <f>'LIVE SOURCE'!G62</f>
        <v>RATE-ADJUSTED VETERAN</v>
      </c>
      <c r="Y62" t="str">
        <f>IF(INDEX('Draft Board'!$J$3:$J$225,Q62)="","Available",INDEX('Draft Board'!$J$3:$J$225,Q62))</f>
        <v>Available</v>
      </c>
      <c r="Z62">
        <f t="shared" si="10"/>
        <v>81</v>
      </c>
    </row>
    <row r="63" spans="1:26" x14ac:dyDescent="0.25">
      <c r="A63" t="str">
        <f>'LIVE SOURCE'!A63</f>
        <v>RB</v>
      </c>
      <c r="B63" t="str">
        <f>'LIVE SOURCE'!B63</f>
        <v>Rhamondre Stevenson</v>
      </c>
      <c r="C63" s="4">
        <f>'LIVE SOURCE'!D63</f>
        <v>74.588099999999997</v>
      </c>
      <c r="D63" s="4">
        <f>'Manual Adjustments'!G63</f>
        <v>0</v>
      </c>
      <c r="E63" s="4">
        <f t="shared" si="0"/>
        <v>74.588099999999997</v>
      </c>
      <c r="F63">
        <f>COUNTIFS($A$3:$A$225,A63,$E$3:$E$225,"&gt;"&amp;E63)+COUNTIFS($A$3:A63,A63,$E$3:E63,E63)</f>
        <v>29</v>
      </c>
      <c r="G63" s="4">
        <f>ROUND(INDEX('League Config'!$K$4:$K$9,MATCH(A63,'League Config'!$E$4:$E$9,0))*E63+INDEX('League Config'!$L$4:$L$9,MATCH(A63,'League Config'!$E$4:$E$9,0)),1)</f>
        <v>243.3</v>
      </c>
      <c r="H63">
        <f>INDEX('League Config'!$H$4:$H$9,MATCH(A63,'League Config'!$E$4:$E$9,0))</f>
        <v>32</v>
      </c>
      <c r="I63" s="4">
        <f>INDEX('League Config'!$I$4:$I$9,MATCH(A63,'League Config'!$E$4:$E$9,0))</f>
        <v>239</v>
      </c>
      <c r="J63" s="4">
        <f t="shared" si="1"/>
        <v>4.3</v>
      </c>
      <c r="K63" s="4">
        <f t="shared" si="2"/>
        <v>52.58</v>
      </c>
      <c r="L63" s="4">
        <f>MIN(100,MAX(0,(1-(F63-1)/(H63*1.5))*100*INDEX('League Config'!$J$4:$J$9,MATCH(A63,'League Config'!$E$4:$E$9,0))))</f>
        <v>47.916666666666657</v>
      </c>
      <c r="M63">
        <f>IF(A63="K",'League Config'!$B$14,IF(A63="DST",'League Config'!$B$15,IF(A63="QB",'League Config'!$B$16,0)))</f>
        <v>0</v>
      </c>
      <c r="N63" s="4">
        <f t="shared" si="3"/>
        <v>63.984954999999999</v>
      </c>
      <c r="O63" s="9">
        <f t="shared" si="4"/>
        <v>63.984954999999999</v>
      </c>
      <c r="P63" s="6">
        <f>IF(O63="","",COUNTIF($O$3:$O$225,"&gt;"&amp;O63)+COUNTIF($O$3:O63,O63))</f>
        <v>84</v>
      </c>
      <c r="Q63">
        <f t="shared" si="5"/>
        <v>84</v>
      </c>
      <c r="R63" s="4">
        <f>'LIVE SOURCE'!E63</f>
        <v>119.6</v>
      </c>
      <c r="S63" s="4">
        <f t="shared" si="6"/>
        <v>35.599999999999994</v>
      </c>
      <c r="T63" t="str">
        <f>'LIVE SOURCE'!F63</f>
        <v>A</v>
      </c>
      <c r="U63" s="4">
        <f t="shared" si="7"/>
        <v>68.588099999999997</v>
      </c>
      <c r="V63" s="4">
        <f t="shared" si="8"/>
        <v>74.588099999999997</v>
      </c>
      <c r="W63" s="4">
        <f t="shared" si="9"/>
        <v>80.588099999999997</v>
      </c>
      <c r="X63" t="str">
        <f>'LIVE SOURCE'!G63</f>
        <v>RATE-ADJUSTED VETERAN</v>
      </c>
      <c r="Y63" t="str">
        <f>IF(INDEX('Draft Board'!$J$3:$J$225,Q63)="","Available",INDEX('Draft Board'!$J$3:$J$225,Q63))</f>
        <v>Available</v>
      </c>
      <c r="Z63">
        <f t="shared" si="10"/>
        <v>84</v>
      </c>
    </row>
    <row r="64" spans="1:26" x14ac:dyDescent="0.25">
      <c r="A64" t="str">
        <f>'LIVE SOURCE'!A64</f>
        <v>RB</v>
      </c>
      <c r="B64" t="str">
        <f>'LIVE SOURCE'!B64</f>
        <v>Kenneth Gainwell</v>
      </c>
      <c r="C64" s="4">
        <f>'LIVE SOURCE'!D64</f>
        <v>74.504900000000006</v>
      </c>
      <c r="D64" s="4">
        <f>'Manual Adjustments'!G64</f>
        <v>0</v>
      </c>
      <c r="E64" s="4">
        <f t="shared" si="0"/>
        <v>74.504900000000006</v>
      </c>
      <c r="F64">
        <f>COUNTIFS($A$3:$A$225,A64,$E$3:$E$225,"&gt;"&amp;E64)+COUNTIFS($A$3:A64,A64,$E$3:E64,E64)</f>
        <v>30</v>
      </c>
      <c r="G64" s="4">
        <f>ROUND(INDEX('League Config'!$K$4:$K$9,MATCH(A64,'League Config'!$E$4:$E$9,0))*E64+INDEX('League Config'!$L$4:$L$9,MATCH(A64,'League Config'!$E$4:$E$9,0)),1)</f>
        <v>242.9</v>
      </c>
      <c r="H64">
        <f>INDEX('League Config'!$H$4:$H$9,MATCH(A64,'League Config'!$E$4:$E$9,0))</f>
        <v>32</v>
      </c>
      <c r="I64" s="4">
        <f>INDEX('League Config'!$I$4:$I$9,MATCH(A64,'League Config'!$E$4:$E$9,0))</f>
        <v>239</v>
      </c>
      <c r="J64" s="4">
        <f t="shared" si="1"/>
        <v>3.9</v>
      </c>
      <c r="K64" s="4">
        <f t="shared" si="2"/>
        <v>52.34</v>
      </c>
      <c r="L64" s="4">
        <f>MIN(100,MAX(0,(1-(F64-1)/(H64*1.5))*100*INDEX('League Config'!$J$4:$J$9,MATCH(A64,'League Config'!$E$4:$E$9,0))))</f>
        <v>45.520833333333336</v>
      </c>
      <c r="M64">
        <f>IF(A64="K",'League Config'!$B$14,IF(A64="DST",'League Config'!$B$15,IF(A64="QB",'League Config'!$B$16,0)))</f>
        <v>0</v>
      </c>
      <c r="N64" s="4">
        <f t="shared" si="3"/>
        <v>63.507820000000002</v>
      </c>
      <c r="O64" s="9">
        <f t="shared" si="4"/>
        <v>63.507820000000002</v>
      </c>
      <c r="P64" s="6">
        <f>IF(O64="","",COUNTIF($O$3:$O$225,"&gt;"&amp;O64)+COUNTIF($O$3:O64,O64))</f>
        <v>86</v>
      </c>
      <c r="Q64">
        <f t="shared" si="5"/>
        <v>86</v>
      </c>
      <c r="R64" s="4">
        <f>'LIVE SOURCE'!E64</f>
        <v>123.8</v>
      </c>
      <c r="S64" s="4">
        <f t="shared" si="6"/>
        <v>37.799999999999997</v>
      </c>
      <c r="T64" t="str">
        <f>'LIVE SOURCE'!F64</f>
        <v>A</v>
      </c>
      <c r="U64" s="4">
        <f t="shared" si="7"/>
        <v>68.504900000000006</v>
      </c>
      <c r="V64" s="4">
        <f t="shared" si="8"/>
        <v>74.504900000000006</v>
      </c>
      <c r="W64" s="4">
        <f t="shared" si="9"/>
        <v>80.504900000000006</v>
      </c>
      <c r="X64" t="str">
        <f>'LIVE SOURCE'!G64</f>
        <v>RATE-ADJUSTED VETERAN</v>
      </c>
      <c r="Y64" t="str">
        <f>IF(INDEX('Draft Board'!$J$3:$J$225,Q64)="","Available",INDEX('Draft Board'!$J$3:$J$225,Q64))</f>
        <v>Available</v>
      </c>
      <c r="Z64">
        <f t="shared" si="10"/>
        <v>86</v>
      </c>
    </row>
    <row r="65" spans="1:26" x14ac:dyDescent="0.25">
      <c r="A65" t="str">
        <f>'LIVE SOURCE'!A65</f>
        <v>RB</v>
      </c>
      <c r="B65" t="str">
        <f>'LIVE SOURCE'!B65</f>
        <v>Bhayshul Tuten</v>
      </c>
      <c r="C65" s="4">
        <f>'LIVE SOURCE'!D65</f>
        <v>74.467699999999994</v>
      </c>
      <c r="D65" s="4">
        <f>'Manual Adjustments'!G65</f>
        <v>0</v>
      </c>
      <c r="E65" s="4">
        <f t="shared" si="0"/>
        <v>74.467699999999994</v>
      </c>
      <c r="F65">
        <f>COUNTIFS($A$3:$A$225,A65,$E$3:$E$225,"&gt;"&amp;E65)+COUNTIFS($A$3:A65,A65,$E$3:E65,E65)</f>
        <v>31</v>
      </c>
      <c r="G65" s="4">
        <f>ROUND(INDEX('League Config'!$K$4:$K$9,MATCH(A65,'League Config'!$E$4:$E$9,0))*E65+INDEX('League Config'!$L$4:$L$9,MATCH(A65,'League Config'!$E$4:$E$9,0)),1)</f>
        <v>242.8</v>
      </c>
      <c r="H65">
        <f>INDEX('League Config'!$H$4:$H$9,MATCH(A65,'League Config'!$E$4:$E$9,0))</f>
        <v>32</v>
      </c>
      <c r="I65" s="4">
        <f>INDEX('League Config'!$I$4:$I$9,MATCH(A65,'League Config'!$E$4:$E$9,0))</f>
        <v>239</v>
      </c>
      <c r="J65" s="4">
        <f t="shared" si="1"/>
        <v>3.8</v>
      </c>
      <c r="K65" s="4">
        <f t="shared" si="2"/>
        <v>52.28</v>
      </c>
      <c r="L65" s="4">
        <f>MIN(100,MAX(0,(1-(F65-1)/(H65*1.5))*100*INDEX('League Config'!$J$4:$J$9,MATCH(A65,'League Config'!$E$4:$E$9,0))))</f>
        <v>43.125</v>
      </c>
      <c r="M65">
        <f>IF(A65="K",'League Config'!$B$14,IF(A65="DST",'League Config'!$B$15,IF(A65="QB",'League Config'!$B$16,0)))</f>
        <v>0</v>
      </c>
      <c r="N65" s="4">
        <f t="shared" si="3"/>
        <v>63.109984999999995</v>
      </c>
      <c r="O65" s="9">
        <f t="shared" si="4"/>
        <v>63.109984999999995</v>
      </c>
      <c r="P65" s="6">
        <f>IF(O65="","",COUNTIF($O$3:$O$225,"&gt;"&amp;O65)+COUNTIF($O$3:O65,O65))</f>
        <v>87</v>
      </c>
      <c r="Q65">
        <f t="shared" si="5"/>
        <v>87</v>
      </c>
      <c r="R65" s="4">
        <f>'LIVE SOURCE'!E65</f>
        <v>128</v>
      </c>
      <c r="S65" s="4">
        <f t="shared" si="6"/>
        <v>41</v>
      </c>
      <c r="T65" t="str">
        <f>'LIVE SOURCE'!F65</f>
        <v>A</v>
      </c>
      <c r="U65" s="4">
        <f t="shared" si="7"/>
        <v>68.467699999999994</v>
      </c>
      <c r="V65" s="4">
        <f t="shared" si="8"/>
        <v>74.467699999999994</v>
      </c>
      <c r="W65" s="4">
        <f t="shared" si="9"/>
        <v>80.467699999999994</v>
      </c>
      <c r="X65" t="str">
        <f>'LIVE SOURCE'!G65</f>
        <v>RATE-ADJUSTED VETERAN</v>
      </c>
      <c r="Y65" t="str">
        <f>IF(INDEX('Draft Board'!$J$3:$J$225,Q65)="","Available",INDEX('Draft Board'!$J$3:$J$225,Q65))</f>
        <v>Available</v>
      </c>
      <c r="Z65">
        <f t="shared" si="10"/>
        <v>87</v>
      </c>
    </row>
    <row r="66" spans="1:26" x14ac:dyDescent="0.25">
      <c r="A66" t="str">
        <f>'LIVE SOURCE'!A66</f>
        <v>RB</v>
      </c>
      <c r="B66" t="str">
        <f>'LIVE SOURCE'!B66</f>
        <v>RJ Harvey</v>
      </c>
      <c r="C66" s="4">
        <f>'LIVE SOURCE'!D66</f>
        <v>73.567800000000005</v>
      </c>
      <c r="D66" s="4">
        <f>'Manual Adjustments'!G66</f>
        <v>0</v>
      </c>
      <c r="E66" s="4">
        <f t="shared" si="0"/>
        <v>73.567800000000005</v>
      </c>
      <c r="F66">
        <f>COUNTIFS($A$3:$A$225,A66,$E$3:$E$225,"&gt;"&amp;E66)+COUNTIFS($A$3:A66,A66,$E$3:E66,E66)</f>
        <v>32</v>
      </c>
      <c r="G66" s="4">
        <f>ROUND(INDEX('League Config'!$K$4:$K$9,MATCH(A66,'League Config'!$E$4:$E$9,0))*E66+INDEX('League Config'!$L$4:$L$9,MATCH(A66,'League Config'!$E$4:$E$9,0)),1)</f>
        <v>239</v>
      </c>
      <c r="H66">
        <f>INDEX('League Config'!$H$4:$H$9,MATCH(A66,'League Config'!$E$4:$E$9,0))</f>
        <v>32</v>
      </c>
      <c r="I66" s="4">
        <f>INDEX('League Config'!$I$4:$I$9,MATCH(A66,'League Config'!$E$4:$E$9,0))</f>
        <v>239</v>
      </c>
      <c r="J66" s="4">
        <f t="shared" si="1"/>
        <v>0</v>
      </c>
      <c r="K66" s="4">
        <f t="shared" si="2"/>
        <v>50</v>
      </c>
      <c r="L66" s="4">
        <f>MIN(100,MAX(0,(1-(F66-1)/(H66*1.5))*100*INDEX('League Config'!$J$4:$J$9,MATCH(A66,'League Config'!$E$4:$E$9,0))))</f>
        <v>40.729166666666664</v>
      </c>
      <c r="M66">
        <f>IF(A66="K",'League Config'!$B$14,IF(A66="DST",'League Config'!$B$15,IF(A66="QB",'League Config'!$B$16,0)))</f>
        <v>0</v>
      </c>
      <c r="N66" s="4">
        <f t="shared" si="3"/>
        <v>61.571665000000003</v>
      </c>
      <c r="O66" s="9">
        <f t="shared" si="4"/>
        <v>61.571665000000003</v>
      </c>
      <c r="P66" s="6">
        <f>IF(O66="","",COUNTIF($O$3:$O$225,"&gt;"&amp;O66)+COUNTIF($O$3:O66,O66))</f>
        <v>92</v>
      </c>
      <c r="Q66">
        <f t="shared" si="5"/>
        <v>92</v>
      </c>
      <c r="R66" s="4">
        <f>'LIVE SOURCE'!E66</f>
        <v>132.19999999999999</v>
      </c>
      <c r="S66" s="4">
        <f t="shared" si="6"/>
        <v>40.199999999999989</v>
      </c>
      <c r="T66" t="str">
        <f>'LIVE SOURCE'!F66</f>
        <v>A</v>
      </c>
      <c r="U66" s="4">
        <f t="shared" si="7"/>
        <v>67.567800000000005</v>
      </c>
      <c r="V66" s="4">
        <f t="shared" si="8"/>
        <v>73.567800000000005</v>
      </c>
      <c r="W66" s="4">
        <f t="shared" si="9"/>
        <v>79.567800000000005</v>
      </c>
      <c r="X66" t="str">
        <f>'LIVE SOURCE'!G66</f>
        <v>RATE-ADJUSTED VETERAN</v>
      </c>
      <c r="Y66" t="str">
        <f>IF(INDEX('Draft Board'!$J$3:$J$225,Q66)="","Available",INDEX('Draft Board'!$J$3:$J$225,Q66))</f>
        <v>Available</v>
      </c>
      <c r="Z66">
        <f t="shared" si="10"/>
        <v>92</v>
      </c>
    </row>
    <row r="67" spans="1:26" x14ac:dyDescent="0.25">
      <c r="A67" t="str">
        <f>'LIVE SOURCE'!A67</f>
        <v>RB</v>
      </c>
      <c r="B67" t="str">
        <f>'LIVE SOURCE'!B67</f>
        <v>Kyle Monangai</v>
      </c>
      <c r="C67" s="4">
        <f>'LIVE SOURCE'!D67</f>
        <v>72.610200000000006</v>
      </c>
      <c r="D67" s="4">
        <f>'Manual Adjustments'!G67</f>
        <v>0</v>
      </c>
      <c r="E67" s="4">
        <f t="shared" ref="E67:E130" si="11">MAX(40,MIN(100,C67+D67))</f>
        <v>72.610200000000006</v>
      </c>
      <c r="F67">
        <f>COUNTIFS($A$3:$A$225,A67,$E$3:$E$225,"&gt;"&amp;E67)+COUNTIFS($A$3:A67,A67,$E$3:E67,E67)</f>
        <v>33</v>
      </c>
      <c r="G67" s="4">
        <f>ROUND(INDEX('League Config'!$K$4:$K$9,MATCH(A67,'League Config'!$E$4:$E$9,0))*E67+INDEX('League Config'!$L$4:$L$9,MATCH(A67,'League Config'!$E$4:$E$9,0)),1)</f>
        <v>235</v>
      </c>
      <c r="H67">
        <f>INDEX('League Config'!$H$4:$H$9,MATCH(A67,'League Config'!$E$4:$E$9,0))</f>
        <v>32</v>
      </c>
      <c r="I67" s="4">
        <f>INDEX('League Config'!$I$4:$I$9,MATCH(A67,'League Config'!$E$4:$E$9,0))</f>
        <v>239</v>
      </c>
      <c r="J67" s="4">
        <f t="shared" ref="J67:J130" si="12">ROUND(G67-I67,1)</f>
        <v>-4</v>
      </c>
      <c r="K67" s="4">
        <f t="shared" ref="K67:K130" si="13">MAX(0,MIN(100,50+J67*0.6))</f>
        <v>47.6</v>
      </c>
      <c r="L67" s="4">
        <f>MIN(100,MAX(0,(1-(F67-1)/(H67*1.5))*100*INDEX('League Config'!$J$4:$J$9,MATCH(A67,'League Config'!$E$4:$E$9,0))))</f>
        <v>38.333333333333336</v>
      </c>
      <c r="M67">
        <f>IF(A67="K",'League Config'!$B$14,IF(A67="DST",'League Config'!$B$15,IF(A67="QB",'League Config'!$B$16,0)))</f>
        <v>0</v>
      </c>
      <c r="N67" s="4">
        <f t="shared" ref="N67:N130" si="14">MIN(100,MAX(0,0.55*E67+0.3*K67+0.15*L67-M67))</f>
        <v>59.965610000000005</v>
      </c>
      <c r="O67" s="9">
        <f t="shared" ref="O67:O130" si="15">IF(OR(A67="K",A67="DST"),"",N67)</f>
        <v>59.965610000000005</v>
      </c>
      <c r="P67" s="6">
        <f>IF(O67="","",COUNTIF($O$3:$O$225,"&gt;"&amp;O67)+COUNTIF($O$3:O67,O67))</f>
        <v>98</v>
      </c>
      <c r="Q67">
        <f t="shared" ref="Q67:Q130" si="16">IF(A67="DST",IF(F67&lt;=GateSize,DstStart-1+F67,NSkill+2*GateSize+F67-GateSize),IF(A67="K",IF(F67&lt;=GateSize,KStart-1+F67,NSkill+GateSize+NDst+F67-GateSize),IF(P67&lt;=DstStart-1,P67,P67+2*GateSize)))</f>
        <v>98</v>
      </c>
      <c r="R67" s="4">
        <f>'LIVE SOURCE'!E67</f>
        <v>136.4</v>
      </c>
      <c r="S67" s="4">
        <f t="shared" ref="S67:S130" si="17">R67-Q67</f>
        <v>38.400000000000006</v>
      </c>
      <c r="T67" t="str">
        <f>'LIVE SOURCE'!F67</f>
        <v>A</v>
      </c>
      <c r="U67" s="4">
        <f t="shared" ref="U67:U130" si="18">MAX(40,E67-IF(T67="A",6,IF(T67="B",9,12)))</f>
        <v>66.610200000000006</v>
      </c>
      <c r="V67" s="4">
        <f t="shared" ref="V67:V130" si="19">E67</f>
        <v>72.610200000000006</v>
      </c>
      <c r="W67" s="4">
        <f t="shared" ref="W67:W130" si="20">MIN(100,E67+IF(T67="A",6,IF(T67="B",9,12)))</f>
        <v>78.610200000000006</v>
      </c>
      <c r="X67" t="str">
        <f>'LIVE SOURCE'!G67</f>
        <v>RATE-ADJUSTED VETERAN</v>
      </c>
      <c r="Y67" t="str">
        <f>IF(INDEX('Draft Board'!$J$3:$J$225,Q67)="","Available",INDEX('Draft Board'!$J$3:$J$225,Q67))</f>
        <v>Available</v>
      </c>
      <c r="Z67">
        <f t="shared" ref="Z67:Z130" si="21">IF(Y67&lt;&gt;"Available","",1+COUNTIFS($Y$3:$Y$225,"Available",$Q$3:$Q$225,"&lt;"&amp;Q67))</f>
        <v>98</v>
      </c>
    </row>
    <row r="68" spans="1:26" x14ac:dyDescent="0.25">
      <c r="A68" t="str">
        <f>'LIVE SOURCE'!A68</f>
        <v>RB</v>
      </c>
      <c r="B68" t="str">
        <f>'LIVE SOURCE'!B68</f>
        <v>Chuba Hubbard</v>
      </c>
      <c r="C68" s="4">
        <f>'LIVE SOURCE'!D68</f>
        <v>71.866699999999994</v>
      </c>
      <c r="D68" s="4">
        <f>'Manual Adjustments'!G68</f>
        <v>0</v>
      </c>
      <c r="E68" s="4">
        <f t="shared" si="11"/>
        <v>71.866699999999994</v>
      </c>
      <c r="F68">
        <f>COUNTIFS($A$3:$A$225,A68,$E$3:$E$225,"&gt;"&amp;E68)+COUNTIFS($A$3:A68,A68,$E$3:E68,E68)</f>
        <v>34</v>
      </c>
      <c r="G68" s="4">
        <f>ROUND(INDEX('League Config'!$K$4:$K$9,MATCH(A68,'League Config'!$E$4:$E$9,0))*E68+INDEX('League Config'!$L$4:$L$9,MATCH(A68,'League Config'!$E$4:$E$9,0)),1)</f>
        <v>231.8</v>
      </c>
      <c r="H68">
        <f>INDEX('League Config'!$H$4:$H$9,MATCH(A68,'League Config'!$E$4:$E$9,0))</f>
        <v>32</v>
      </c>
      <c r="I68" s="4">
        <f>INDEX('League Config'!$I$4:$I$9,MATCH(A68,'League Config'!$E$4:$E$9,0))</f>
        <v>239</v>
      </c>
      <c r="J68" s="4">
        <f t="shared" si="12"/>
        <v>-7.2</v>
      </c>
      <c r="K68" s="4">
        <f t="shared" si="13"/>
        <v>45.68</v>
      </c>
      <c r="L68" s="4">
        <f>MIN(100,MAX(0,(1-(F68-1)/(H68*1.5))*100*INDEX('League Config'!$J$4:$J$9,MATCH(A68,'League Config'!$E$4:$E$9,0))))</f>
        <v>35.9375</v>
      </c>
      <c r="M68">
        <f>IF(A68="K",'League Config'!$B$14,IF(A68="DST",'League Config'!$B$15,IF(A68="QB",'League Config'!$B$16,0)))</f>
        <v>0</v>
      </c>
      <c r="N68" s="4">
        <f t="shared" si="14"/>
        <v>58.621310000000001</v>
      </c>
      <c r="O68" s="9">
        <f t="shared" si="15"/>
        <v>58.621310000000001</v>
      </c>
      <c r="P68" s="6">
        <f>IF(O68="","",COUNTIF($O$3:$O$225,"&gt;"&amp;O68)+COUNTIF($O$3:O68,O68))</f>
        <v>100</v>
      </c>
      <c r="Q68">
        <f t="shared" si="16"/>
        <v>100</v>
      </c>
      <c r="R68" s="4">
        <f>'LIVE SOURCE'!E68</f>
        <v>140.6</v>
      </c>
      <c r="S68" s="4">
        <f t="shared" si="17"/>
        <v>40.599999999999994</v>
      </c>
      <c r="T68" t="str">
        <f>'LIVE SOURCE'!F68</f>
        <v>A</v>
      </c>
      <c r="U68" s="4">
        <f t="shared" si="18"/>
        <v>65.866699999999994</v>
      </c>
      <c r="V68" s="4">
        <f t="shared" si="19"/>
        <v>71.866699999999994</v>
      </c>
      <c r="W68" s="4">
        <f t="shared" si="20"/>
        <v>77.866699999999994</v>
      </c>
      <c r="X68" t="str">
        <f>'LIVE SOURCE'!G68</f>
        <v>RATE-ADJUSTED VETERAN</v>
      </c>
      <c r="Y68" t="str">
        <f>IF(INDEX('Draft Board'!$J$3:$J$225,Q68)="","Available",INDEX('Draft Board'!$J$3:$J$225,Q68))</f>
        <v>Available</v>
      </c>
      <c r="Z68">
        <f t="shared" si="21"/>
        <v>100</v>
      </c>
    </row>
    <row r="69" spans="1:26" x14ac:dyDescent="0.25">
      <c r="A69" t="str">
        <f>'LIVE SOURCE'!A69</f>
        <v>RB</v>
      </c>
      <c r="B69" t="str">
        <f>'LIVE SOURCE'!B69</f>
        <v>Aaron Jones Sr.</v>
      </c>
      <c r="C69" s="4">
        <f>'LIVE SOURCE'!D69</f>
        <v>71.697699999999998</v>
      </c>
      <c r="D69" s="4">
        <f>'Manual Adjustments'!G69</f>
        <v>0</v>
      </c>
      <c r="E69" s="4">
        <f t="shared" si="11"/>
        <v>71.697699999999998</v>
      </c>
      <c r="F69">
        <f>COUNTIFS($A$3:$A$225,A69,$E$3:$E$225,"&gt;"&amp;E69)+COUNTIFS($A$3:A69,A69,$E$3:E69,E69)</f>
        <v>35</v>
      </c>
      <c r="G69" s="4">
        <f>ROUND(INDEX('League Config'!$K$4:$K$9,MATCH(A69,'League Config'!$E$4:$E$9,0))*E69+INDEX('League Config'!$L$4:$L$9,MATCH(A69,'League Config'!$E$4:$E$9,0)),1)</f>
        <v>231.1</v>
      </c>
      <c r="H69">
        <f>INDEX('League Config'!$H$4:$H$9,MATCH(A69,'League Config'!$E$4:$E$9,0))</f>
        <v>32</v>
      </c>
      <c r="I69" s="4">
        <f>INDEX('League Config'!$I$4:$I$9,MATCH(A69,'League Config'!$E$4:$E$9,0))</f>
        <v>239</v>
      </c>
      <c r="J69" s="4">
        <f t="shared" si="12"/>
        <v>-7.9</v>
      </c>
      <c r="K69" s="4">
        <f t="shared" si="13"/>
        <v>45.26</v>
      </c>
      <c r="L69" s="4">
        <f>MIN(100,MAX(0,(1-(F69-1)/(H69*1.5))*100*INDEX('League Config'!$J$4:$J$9,MATCH(A69,'League Config'!$E$4:$E$9,0))))</f>
        <v>33.541666666666664</v>
      </c>
      <c r="M69">
        <f>IF(A69="K",'League Config'!$B$14,IF(A69="DST",'League Config'!$B$15,IF(A69="QB",'League Config'!$B$16,0)))</f>
        <v>0</v>
      </c>
      <c r="N69" s="4">
        <f t="shared" si="14"/>
        <v>58.042985000000002</v>
      </c>
      <c r="O69" s="9">
        <f t="shared" si="15"/>
        <v>58.042985000000002</v>
      </c>
      <c r="P69" s="6">
        <f>IF(O69="","",COUNTIF($O$3:$O$225,"&gt;"&amp;O69)+COUNTIF($O$3:O69,O69))</f>
        <v>102</v>
      </c>
      <c r="Q69">
        <f t="shared" si="16"/>
        <v>102</v>
      </c>
      <c r="R69" s="4">
        <f>'LIVE SOURCE'!E69</f>
        <v>144.80000000000001</v>
      </c>
      <c r="S69" s="4">
        <f t="shared" si="17"/>
        <v>42.800000000000011</v>
      </c>
      <c r="T69" t="str">
        <f>'LIVE SOURCE'!F69</f>
        <v>A</v>
      </c>
      <c r="U69" s="4">
        <f t="shared" si="18"/>
        <v>65.697699999999998</v>
      </c>
      <c r="V69" s="4">
        <f t="shared" si="19"/>
        <v>71.697699999999998</v>
      </c>
      <c r="W69" s="4">
        <f t="shared" si="20"/>
        <v>77.697699999999998</v>
      </c>
      <c r="X69" t="str">
        <f>'LIVE SOURCE'!G69</f>
        <v>RATE-ADJUSTED VETERAN</v>
      </c>
      <c r="Y69" t="str">
        <f>IF(INDEX('Draft Board'!$J$3:$J$225,Q69)="","Available",INDEX('Draft Board'!$J$3:$J$225,Q69))</f>
        <v>Available</v>
      </c>
      <c r="Z69">
        <f t="shared" si="21"/>
        <v>102</v>
      </c>
    </row>
    <row r="70" spans="1:26" x14ac:dyDescent="0.25">
      <c r="A70" t="str">
        <f>'LIVE SOURCE'!A70</f>
        <v>RB</v>
      </c>
      <c r="B70" t="str">
        <f>'LIVE SOURCE'!B70</f>
        <v>J.K. Dobbins</v>
      </c>
      <c r="C70" s="4">
        <f>'LIVE SOURCE'!D70</f>
        <v>71.166600000000003</v>
      </c>
      <c r="D70" s="4">
        <f>'Manual Adjustments'!G70</f>
        <v>0</v>
      </c>
      <c r="E70" s="4">
        <f t="shared" si="11"/>
        <v>71.166600000000003</v>
      </c>
      <c r="F70">
        <f>COUNTIFS($A$3:$A$225,A70,$E$3:$E$225,"&gt;"&amp;E70)+COUNTIFS($A$3:A70,A70,$E$3:E70,E70)</f>
        <v>36</v>
      </c>
      <c r="G70" s="4">
        <f>ROUND(INDEX('League Config'!$K$4:$K$9,MATCH(A70,'League Config'!$E$4:$E$9,0))*E70+INDEX('League Config'!$L$4:$L$9,MATCH(A70,'League Config'!$E$4:$E$9,0)),1)</f>
        <v>228.9</v>
      </c>
      <c r="H70">
        <f>INDEX('League Config'!$H$4:$H$9,MATCH(A70,'League Config'!$E$4:$E$9,0))</f>
        <v>32</v>
      </c>
      <c r="I70" s="4">
        <f>INDEX('League Config'!$I$4:$I$9,MATCH(A70,'League Config'!$E$4:$E$9,0))</f>
        <v>239</v>
      </c>
      <c r="J70" s="4">
        <f t="shared" si="12"/>
        <v>-10.1</v>
      </c>
      <c r="K70" s="4">
        <f t="shared" si="13"/>
        <v>43.94</v>
      </c>
      <c r="L70" s="4">
        <f>MIN(100,MAX(0,(1-(F70-1)/(H70*1.5))*100*INDEX('League Config'!$J$4:$J$9,MATCH(A70,'League Config'!$E$4:$E$9,0))))</f>
        <v>31.145833333333332</v>
      </c>
      <c r="M70">
        <f>IF(A70="K",'League Config'!$B$14,IF(A70="DST",'League Config'!$B$15,IF(A70="QB",'League Config'!$B$16,0)))</f>
        <v>0</v>
      </c>
      <c r="N70" s="4">
        <f t="shared" si="14"/>
        <v>56.995505000000009</v>
      </c>
      <c r="O70" s="9">
        <f t="shared" si="15"/>
        <v>56.995505000000009</v>
      </c>
      <c r="P70" s="6">
        <f>IF(O70="","",COUNTIF($O$3:$O$225,"&gt;"&amp;O70)+COUNTIF($O$3:O70,O70))</f>
        <v>106</v>
      </c>
      <c r="Q70">
        <f t="shared" si="16"/>
        <v>106</v>
      </c>
      <c r="R70" s="4">
        <f>'LIVE SOURCE'!E70</f>
        <v>149</v>
      </c>
      <c r="S70" s="4">
        <f t="shared" si="17"/>
        <v>43</v>
      </c>
      <c r="T70" t="str">
        <f>'LIVE SOURCE'!F70</f>
        <v>B</v>
      </c>
      <c r="U70" s="4">
        <f t="shared" si="18"/>
        <v>62.166600000000003</v>
      </c>
      <c r="V70" s="4">
        <f t="shared" si="19"/>
        <v>71.166600000000003</v>
      </c>
      <c r="W70" s="4">
        <f t="shared" si="20"/>
        <v>80.166600000000003</v>
      </c>
      <c r="X70" t="str">
        <f>'LIVE SOURCE'!G70</f>
        <v>RATE-ADJUSTED VETERAN</v>
      </c>
      <c r="Y70" t="str">
        <f>IF(INDEX('Draft Board'!$J$3:$J$225,Q70)="","Available",INDEX('Draft Board'!$J$3:$J$225,Q70))</f>
        <v>Available</v>
      </c>
      <c r="Z70">
        <f t="shared" si="21"/>
        <v>106</v>
      </c>
    </row>
    <row r="71" spans="1:26" x14ac:dyDescent="0.25">
      <c r="A71" t="str">
        <f>'LIVE SOURCE'!A71</f>
        <v>RB</v>
      </c>
      <c r="B71" t="str">
        <f>'LIVE SOURCE'!B71</f>
        <v>Blake Corum</v>
      </c>
      <c r="C71" s="4">
        <f>'LIVE SOURCE'!D71</f>
        <v>69.519599999999997</v>
      </c>
      <c r="D71" s="4">
        <f>'Manual Adjustments'!G71</f>
        <v>0</v>
      </c>
      <c r="E71" s="4">
        <f t="shared" si="11"/>
        <v>69.519599999999997</v>
      </c>
      <c r="F71">
        <f>COUNTIFS($A$3:$A$225,A71,$E$3:$E$225,"&gt;"&amp;E71)+COUNTIFS($A$3:A71,A71,$E$3:E71,E71)</f>
        <v>37</v>
      </c>
      <c r="G71" s="4">
        <f>ROUND(INDEX('League Config'!$K$4:$K$9,MATCH(A71,'League Config'!$E$4:$E$9,0))*E71+INDEX('League Config'!$L$4:$L$9,MATCH(A71,'League Config'!$E$4:$E$9,0)),1)</f>
        <v>222</v>
      </c>
      <c r="H71">
        <f>INDEX('League Config'!$H$4:$H$9,MATCH(A71,'League Config'!$E$4:$E$9,0))</f>
        <v>32</v>
      </c>
      <c r="I71" s="4">
        <f>INDEX('League Config'!$I$4:$I$9,MATCH(A71,'League Config'!$E$4:$E$9,0))</f>
        <v>239</v>
      </c>
      <c r="J71" s="4">
        <f t="shared" si="12"/>
        <v>-17</v>
      </c>
      <c r="K71" s="4">
        <f t="shared" si="13"/>
        <v>39.799999999999997</v>
      </c>
      <c r="L71" s="4">
        <f>MIN(100,MAX(0,(1-(F71-1)/(H71*1.5))*100*INDEX('League Config'!$J$4:$J$9,MATCH(A71,'League Config'!$E$4:$E$9,0))))</f>
        <v>28.749999999999996</v>
      </c>
      <c r="M71">
        <f>IF(A71="K",'League Config'!$B$14,IF(A71="DST",'League Config'!$B$15,IF(A71="QB",'League Config'!$B$16,0)))</f>
        <v>0</v>
      </c>
      <c r="N71" s="4">
        <f t="shared" si="14"/>
        <v>54.488279999999996</v>
      </c>
      <c r="O71" s="9">
        <f t="shared" si="15"/>
        <v>54.488279999999996</v>
      </c>
      <c r="P71" s="6">
        <f>IF(O71="","",COUNTIF($O$3:$O$225,"&gt;"&amp;O71)+COUNTIF($O$3:O71,O71))</f>
        <v>113</v>
      </c>
      <c r="Q71">
        <f t="shared" si="16"/>
        <v>113</v>
      </c>
      <c r="R71" s="4">
        <f>'LIVE SOURCE'!E71</f>
        <v>153.19999999999999</v>
      </c>
      <c r="S71" s="4">
        <f t="shared" si="17"/>
        <v>40.199999999999989</v>
      </c>
      <c r="T71" t="str">
        <f>'LIVE SOURCE'!F71</f>
        <v>A</v>
      </c>
      <c r="U71" s="4">
        <f t="shared" si="18"/>
        <v>63.519599999999997</v>
      </c>
      <c r="V71" s="4">
        <f t="shared" si="19"/>
        <v>69.519599999999997</v>
      </c>
      <c r="W71" s="4">
        <f t="shared" si="20"/>
        <v>75.519599999999997</v>
      </c>
      <c r="X71" t="str">
        <f>'LIVE SOURCE'!G71</f>
        <v>RATE-ADJUSTED VETERAN</v>
      </c>
      <c r="Y71" t="str">
        <f>IF(INDEX('Draft Board'!$J$3:$J$225,Q71)="","Available",INDEX('Draft Board'!$J$3:$J$225,Q71))</f>
        <v>Available</v>
      </c>
      <c r="Z71">
        <f t="shared" si="21"/>
        <v>113</v>
      </c>
    </row>
    <row r="72" spans="1:26" x14ac:dyDescent="0.25">
      <c r="A72" t="str">
        <f>'LIVE SOURCE'!A72</f>
        <v>RB</v>
      </c>
      <c r="B72" t="str">
        <f>'LIVE SOURCE'!B72</f>
        <v>Rachaad White</v>
      </c>
      <c r="C72" s="4">
        <f>'LIVE SOURCE'!D72</f>
        <v>69.203699999999998</v>
      </c>
      <c r="D72" s="4">
        <f>'Manual Adjustments'!G72</f>
        <v>0</v>
      </c>
      <c r="E72" s="4">
        <f t="shared" si="11"/>
        <v>69.203699999999998</v>
      </c>
      <c r="F72">
        <f>COUNTIFS($A$3:$A$225,A72,$E$3:$E$225,"&gt;"&amp;E72)+COUNTIFS($A$3:A72,A72,$E$3:E72,E72)</f>
        <v>38</v>
      </c>
      <c r="G72" s="4">
        <f>ROUND(INDEX('League Config'!$K$4:$K$9,MATCH(A72,'League Config'!$E$4:$E$9,0))*E72+INDEX('League Config'!$L$4:$L$9,MATCH(A72,'League Config'!$E$4:$E$9,0)),1)</f>
        <v>220.7</v>
      </c>
      <c r="H72">
        <f>INDEX('League Config'!$H$4:$H$9,MATCH(A72,'League Config'!$E$4:$E$9,0))</f>
        <v>32</v>
      </c>
      <c r="I72" s="4">
        <f>INDEX('League Config'!$I$4:$I$9,MATCH(A72,'League Config'!$E$4:$E$9,0))</f>
        <v>239</v>
      </c>
      <c r="J72" s="4">
        <f t="shared" si="12"/>
        <v>-18.3</v>
      </c>
      <c r="K72" s="4">
        <f t="shared" si="13"/>
        <v>39.019999999999996</v>
      </c>
      <c r="L72" s="4">
        <f>MIN(100,MAX(0,(1-(F72-1)/(H72*1.5))*100*INDEX('League Config'!$J$4:$J$9,MATCH(A72,'League Config'!$E$4:$E$9,0))))</f>
        <v>26.354166666666661</v>
      </c>
      <c r="M72">
        <f>IF(A72="K",'League Config'!$B$14,IF(A72="DST",'League Config'!$B$15,IF(A72="QB",'League Config'!$B$16,0)))</f>
        <v>0</v>
      </c>
      <c r="N72" s="4">
        <f t="shared" si="14"/>
        <v>53.721159999999998</v>
      </c>
      <c r="O72" s="9">
        <f t="shared" si="15"/>
        <v>53.721159999999998</v>
      </c>
      <c r="P72" s="6">
        <f>IF(O72="","",COUNTIF($O$3:$O$225,"&gt;"&amp;O72)+COUNTIF($O$3:O72,O72))</f>
        <v>115</v>
      </c>
      <c r="Q72">
        <f t="shared" si="16"/>
        <v>115</v>
      </c>
      <c r="R72" s="4">
        <f>'LIVE SOURCE'!E72</f>
        <v>157.4</v>
      </c>
      <c r="S72" s="4">
        <f t="shared" si="17"/>
        <v>42.400000000000006</v>
      </c>
      <c r="T72" t="str">
        <f>'LIVE SOURCE'!F72</f>
        <v>A</v>
      </c>
      <c r="U72" s="4">
        <f t="shared" si="18"/>
        <v>63.203699999999998</v>
      </c>
      <c r="V72" s="4">
        <f t="shared" si="19"/>
        <v>69.203699999999998</v>
      </c>
      <c r="W72" s="4">
        <f t="shared" si="20"/>
        <v>75.203699999999998</v>
      </c>
      <c r="X72" t="str">
        <f>'LIVE SOURCE'!G72</f>
        <v>RATE-ADJUSTED VETERAN</v>
      </c>
      <c r="Y72" t="str">
        <f>IF(INDEX('Draft Board'!$J$3:$J$225,Q72)="","Available",INDEX('Draft Board'!$J$3:$J$225,Q72))</f>
        <v>Available</v>
      </c>
      <c r="Z72">
        <f t="shared" si="21"/>
        <v>115</v>
      </c>
    </row>
    <row r="73" spans="1:26" x14ac:dyDescent="0.25">
      <c r="A73" t="str">
        <f>'LIVE SOURCE'!A73</f>
        <v>RB</v>
      </c>
      <c r="B73" t="str">
        <f>'LIVE SOURCE'!B73</f>
        <v>Jacory Croskey-Merritt</v>
      </c>
      <c r="C73" s="4">
        <f>'LIVE SOURCE'!D73</f>
        <v>68.992199999999997</v>
      </c>
      <c r="D73" s="4">
        <f>'Manual Adjustments'!G73</f>
        <v>0</v>
      </c>
      <c r="E73" s="4">
        <f t="shared" si="11"/>
        <v>68.992199999999997</v>
      </c>
      <c r="F73">
        <f>COUNTIFS($A$3:$A$225,A73,$E$3:$E$225,"&gt;"&amp;E73)+COUNTIFS($A$3:A73,A73,$E$3:E73,E73)</f>
        <v>39</v>
      </c>
      <c r="G73" s="4">
        <f>ROUND(INDEX('League Config'!$K$4:$K$9,MATCH(A73,'League Config'!$E$4:$E$9,0))*E73+INDEX('League Config'!$L$4:$L$9,MATCH(A73,'League Config'!$E$4:$E$9,0)),1)</f>
        <v>219.8</v>
      </c>
      <c r="H73">
        <f>INDEX('League Config'!$H$4:$H$9,MATCH(A73,'League Config'!$E$4:$E$9,0))</f>
        <v>32</v>
      </c>
      <c r="I73" s="4">
        <f>INDEX('League Config'!$I$4:$I$9,MATCH(A73,'League Config'!$E$4:$E$9,0))</f>
        <v>239</v>
      </c>
      <c r="J73" s="4">
        <f t="shared" si="12"/>
        <v>-19.2</v>
      </c>
      <c r="K73" s="4">
        <f t="shared" si="13"/>
        <v>38.480000000000004</v>
      </c>
      <c r="L73" s="4">
        <f>MIN(100,MAX(0,(1-(F73-1)/(H73*1.5))*100*INDEX('League Config'!$J$4:$J$9,MATCH(A73,'League Config'!$E$4:$E$9,0))))</f>
        <v>23.958333333333336</v>
      </c>
      <c r="M73">
        <f>IF(A73="K",'League Config'!$B$14,IF(A73="DST",'League Config'!$B$15,IF(A73="QB",'League Config'!$B$16,0)))</f>
        <v>0</v>
      </c>
      <c r="N73" s="4">
        <f t="shared" si="14"/>
        <v>53.083460000000002</v>
      </c>
      <c r="O73" s="9">
        <f t="shared" si="15"/>
        <v>53.083460000000002</v>
      </c>
      <c r="P73" s="6">
        <f>IF(O73="","",COUNTIF($O$3:$O$225,"&gt;"&amp;O73)+COUNTIF($O$3:O73,O73))</f>
        <v>118</v>
      </c>
      <c r="Q73">
        <f t="shared" si="16"/>
        <v>118</v>
      </c>
      <c r="R73" s="4">
        <f>'LIVE SOURCE'!E73</f>
        <v>161.6</v>
      </c>
      <c r="S73" s="4">
        <f t="shared" si="17"/>
        <v>43.599999999999994</v>
      </c>
      <c r="T73" t="str">
        <f>'LIVE SOURCE'!F73</f>
        <v>A</v>
      </c>
      <c r="U73" s="4">
        <f t="shared" si="18"/>
        <v>62.992199999999997</v>
      </c>
      <c r="V73" s="4">
        <f t="shared" si="19"/>
        <v>68.992199999999997</v>
      </c>
      <c r="W73" s="4">
        <f t="shared" si="20"/>
        <v>74.992199999999997</v>
      </c>
      <c r="X73" t="str">
        <f>'LIVE SOURCE'!G73</f>
        <v>RATE-ADJUSTED VETERAN</v>
      </c>
      <c r="Y73" t="str">
        <f>IF(INDEX('Draft Board'!$J$3:$J$225,Q73)="","Available",INDEX('Draft Board'!$J$3:$J$225,Q73))</f>
        <v>Available</v>
      </c>
      <c r="Z73">
        <f t="shared" si="21"/>
        <v>118</v>
      </c>
    </row>
    <row r="74" spans="1:26" x14ac:dyDescent="0.25">
      <c r="A74" t="str">
        <f>'LIVE SOURCE'!A74</f>
        <v>RB</v>
      </c>
      <c r="B74" t="str">
        <f>'LIVE SOURCE'!B74</f>
        <v>Jordan Mason</v>
      </c>
      <c r="C74" s="4">
        <f>'LIVE SOURCE'!D74</f>
        <v>67.657399999999996</v>
      </c>
      <c r="D74" s="4">
        <f>'Manual Adjustments'!G74</f>
        <v>0</v>
      </c>
      <c r="E74" s="4">
        <f t="shared" si="11"/>
        <v>67.657399999999996</v>
      </c>
      <c r="F74">
        <f>COUNTIFS($A$3:$A$225,A74,$E$3:$E$225,"&gt;"&amp;E74)+COUNTIFS($A$3:A74,A74,$E$3:E74,E74)</f>
        <v>40</v>
      </c>
      <c r="G74" s="4">
        <f>ROUND(INDEX('League Config'!$K$4:$K$9,MATCH(A74,'League Config'!$E$4:$E$9,0))*E74+INDEX('League Config'!$L$4:$L$9,MATCH(A74,'League Config'!$E$4:$E$9,0)),1)</f>
        <v>214.2</v>
      </c>
      <c r="H74">
        <f>INDEX('League Config'!$H$4:$H$9,MATCH(A74,'League Config'!$E$4:$E$9,0))</f>
        <v>32</v>
      </c>
      <c r="I74" s="4">
        <f>INDEX('League Config'!$I$4:$I$9,MATCH(A74,'League Config'!$E$4:$E$9,0))</f>
        <v>239</v>
      </c>
      <c r="J74" s="4">
        <f t="shared" si="12"/>
        <v>-24.8</v>
      </c>
      <c r="K74" s="4">
        <f t="shared" si="13"/>
        <v>35.120000000000005</v>
      </c>
      <c r="L74" s="4">
        <f>MIN(100,MAX(0,(1-(F74-1)/(H74*1.5))*100*INDEX('League Config'!$J$4:$J$9,MATCH(A74,'League Config'!$E$4:$E$9,0))))</f>
        <v>21.5625</v>
      </c>
      <c r="M74">
        <f>IF(A74="K",'League Config'!$B$14,IF(A74="DST",'League Config'!$B$15,IF(A74="QB",'League Config'!$B$16,0)))</f>
        <v>0</v>
      </c>
      <c r="N74" s="4">
        <f t="shared" si="14"/>
        <v>50.981945000000003</v>
      </c>
      <c r="O74" s="9">
        <f t="shared" si="15"/>
        <v>50.981945000000003</v>
      </c>
      <c r="P74" s="6">
        <f>IF(O74="","",COUNTIF($O$3:$O$225,"&gt;"&amp;O74)+COUNTIF($O$3:O74,O74))</f>
        <v>125</v>
      </c>
      <c r="Q74">
        <f t="shared" si="16"/>
        <v>125</v>
      </c>
      <c r="R74" s="4">
        <f>'LIVE SOURCE'!E74</f>
        <v>165.8</v>
      </c>
      <c r="S74" s="4">
        <f t="shared" si="17"/>
        <v>40.800000000000011</v>
      </c>
      <c r="T74" t="str">
        <f>'LIVE SOURCE'!F74</f>
        <v>A</v>
      </c>
      <c r="U74" s="4">
        <f t="shared" si="18"/>
        <v>61.657399999999996</v>
      </c>
      <c r="V74" s="4">
        <f t="shared" si="19"/>
        <v>67.657399999999996</v>
      </c>
      <c r="W74" s="4">
        <f t="shared" si="20"/>
        <v>73.657399999999996</v>
      </c>
      <c r="X74" t="str">
        <f>'LIVE SOURCE'!G74</f>
        <v>RATE-ADJUSTED VETERAN</v>
      </c>
      <c r="Y74" t="str">
        <f>IF(INDEX('Draft Board'!$J$3:$J$225,Q74)="","Available",INDEX('Draft Board'!$J$3:$J$225,Q74))</f>
        <v>Available</v>
      </c>
      <c r="Z74">
        <f t="shared" si="21"/>
        <v>125</v>
      </c>
    </row>
    <row r="75" spans="1:26" x14ac:dyDescent="0.25">
      <c r="A75" t="str">
        <f>'LIVE SOURCE'!A75</f>
        <v>RB</v>
      </c>
      <c r="B75" t="str">
        <f>'LIVE SOURCE'!B75</f>
        <v>Woody Marks</v>
      </c>
      <c r="C75" s="4">
        <f>'LIVE SOURCE'!D75</f>
        <v>66.866200000000006</v>
      </c>
      <c r="D75" s="4">
        <f>'Manual Adjustments'!G75</f>
        <v>0</v>
      </c>
      <c r="E75" s="4">
        <f t="shared" si="11"/>
        <v>66.866200000000006</v>
      </c>
      <c r="F75">
        <f>COUNTIFS($A$3:$A$225,A75,$E$3:$E$225,"&gt;"&amp;E75)+COUNTIFS($A$3:A75,A75,$E$3:E75,E75)</f>
        <v>41</v>
      </c>
      <c r="G75" s="4">
        <f>ROUND(INDEX('League Config'!$K$4:$K$9,MATCH(A75,'League Config'!$E$4:$E$9,0))*E75+INDEX('League Config'!$L$4:$L$9,MATCH(A75,'League Config'!$E$4:$E$9,0)),1)</f>
        <v>210.8</v>
      </c>
      <c r="H75">
        <f>INDEX('League Config'!$H$4:$H$9,MATCH(A75,'League Config'!$E$4:$E$9,0))</f>
        <v>32</v>
      </c>
      <c r="I75" s="4">
        <f>INDEX('League Config'!$I$4:$I$9,MATCH(A75,'League Config'!$E$4:$E$9,0))</f>
        <v>239</v>
      </c>
      <c r="J75" s="4">
        <f t="shared" si="12"/>
        <v>-28.2</v>
      </c>
      <c r="K75" s="4">
        <f t="shared" si="13"/>
        <v>33.08</v>
      </c>
      <c r="L75" s="4">
        <f>MIN(100,MAX(0,(1-(F75-1)/(H75*1.5))*100*INDEX('League Config'!$J$4:$J$9,MATCH(A75,'League Config'!$E$4:$E$9,0))))</f>
        <v>19.166666666666661</v>
      </c>
      <c r="M75">
        <f>IF(A75="K",'League Config'!$B$14,IF(A75="DST",'League Config'!$B$15,IF(A75="QB",'League Config'!$B$16,0)))</f>
        <v>0</v>
      </c>
      <c r="N75" s="4">
        <f t="shared" si="14"/>
        <v>49.575410000000005</v>
      </c>
      <c r="O75" s="9">
        <f t="shared" si="15"/>
        <v>49.575410000000005</v>
      </c>
      <c r="P75" s="6">
        <f>IF(O75="","",COUNTIF($O$3:$O$225,"&gt;"&amp;O75)+COUNTIF($O$3:O75,O75))</f>
        <v>128</v>
      </c>
      <c r="Q75">
        <f t="shared" si="16"/>
        <v>128</v>
      </c>
      <c r="R75" s="4">
        <f>'LIVE SOURCE'!E75</f>
        <v>170</v>
      </c>
      <c r="S75" s="4">
        <f t="shared" si="17"/>
        <v>42</v>
      </c>
      <c r="T75" t="str">
        <f>'LIVE SOURCE'!F75</f>
        <v>A</v>
      </c>
      <c r="U75" s="4">
        <f t="shared" si="18"/>
        <v>60.866200000000006</v>
      </c>
      <c r="V75" s="4">
        <f t="shared" si="19"/>
        <v>66.866200000000006</v>
      </c>
      <c r="W75" s="4">
        <f t="shared" si="20"/>
        <v>72.866200000000006</v>
      </c>
      <c r="X75" t="str">
        <f>'LIVE SOURCE'!G75</f>
        <v>RATE-ADJUSTED VETERAN</v>
      </c>
      <c r="Y75" t="str">
        <f>IF(INDEX('Draft Board'!$J$3:$J$225,Q75)="","Available",INDEX('Draft Board'!$J$3:$J$225,Q75))</f>
        <v>Available</v>
      </c>
      <c r="Z75">
        <f t="shared" si="21"/>
        <v>128</v>
      </c>
    </row>
    <row r="76" spans="1:26" x14ac:dyDescent="0.25">
      <c r="A76" t="str">
        <f>'LIVE SOURCE'!A76</f>
        <v>RB</v>
      </c>
      <c r="B76" t="str">
        <f>'LIVE SOURCE'!B76</f>
        <v>Chris Rodriguez Jr.</v>
      </c>
      <c r="C76" s="4">
        <f>'LIVE SOURCE'!D76</f>
        <v>66.537000000000006</v>
      </c>
      <c r="D76" s="4">
        <f>'Manual Adjustments'!G76</f>
        <v>0</v>
      </c>
      <c r="E76" s="4">
        <f t="shared" si="11"/>
        <v>66.537000000000006</v>
      </c>
      <c r="F76">
        <f>COUNTIFS($A$3:$A$225,A76,$E$3:$E$225,"&gt;"&amp;E76)+COUNTIFS($A$3:A76,A76,$E$3:E76,E76)</f>
        <v>42</v>
      </c>
      <c r="G76" s="4">
        <f>ROUND(INDEX('League Config'!$K$4:$K$9,MATCH(A76,'League Config'!$E$4:$E$9,0))*E76+INDEX('League Config'!$L$4:$L$9,MATCH(A76,'League Config'!$E$4:$E$9,0)),1)</f>
        <v>209.5</v>
      </c>
      <c r="H76">
        <f>INDEX('League Config'!$H$4:$H$9,MATCH(A76,'League Config'!$E$4:$E$9,0))</f>
        <v>32</v>
      </c>
      <c r="I76" s="4">
        <f>INDEX('League Config'!$I$4:$I$9,MATCH(A76,'League Config'!$E$4:$E$9,0))</f>
        <v>239</v>
      </c>
      <c r="J76" s="4">
        <f t="shared" si="12"/>
        <v>-29.5</v>
      </c>
      <c r="K76" s="4">
        <f t="shared" si="13"/>
        <v>32.299999999999997</v>
      </c>
      <c r="L76" s="4">
        <f>MIN(100,MAX(0,(1-(F76-1)/(H76*1.5))*100*INDEX('League Config'!$J$4:$J$9,MATCH(A76,'League Config'!$E$4:$E$9,0))))</f>
        <v>16.770833333333336</v>
      </c>
      <c r="M76">
        <f>IF(A76="K",'League Config'!$B$14,IF(A76="DST",'League Config'!$B$15,IF(A76="QB",'League Config'!$B$16,0)))</f>
        <v>0</v>
      </c>
      <c r="N76" s="4">
        <f t="shared" si="14"/>
        <v>48.800975000000001</v>
      </c>
      <c r="O76" s="9">
        <f t="shared" si="15"/>
        <v>48.800975000000001</v>
      </c>
      <c r="P76" s="6">
        <f>IF(O76="","",COUNTIF($O$3:$O$225,"&gt;"&amp;O76)+COUNTIF($O$3:O76,O76))</f>
        <v>131</v>
      </c>
      <c r="Q76">
        <f t="shared" si="16"/>
        <v>151</v>
      </c>
      <c r="R76" s="4">
        <f>'LIVE SOURCE'!E76</f>
        <v>174.2</v>
      </c>
      <c r="S76" s="4">
        <f t="shared" si="17"/>
        <v>23.199999999999989</v>
      </c>
      <c r="T76" t="str">
        <f>'LIVE SOURCE'!F76</f>
        <v>A</v>
      </c>
      <c r="U76" s="4">
        <f t="shared" si="18"/>
        <v>60.537000000000006</v>
      </c>
      <c r="V76" s="4">
        <f t="shared" si="19"/>
        <v>66.537000000000006</v>
      </c>
      <c r="W76" s="4">
        <f t="shared" si="20"/>
        <v>72.537000000000006</v>
      </c>
      <c r="X76" t="str">
        <f>'LIVE SOURCE'!G76</f>
        <v>RATE-ADJUSTED VETERAN</v>
      </c>
      <c r="Y76" t="str">
        <f>IF(INDEX('Draft Board'!$J$3:$J$225,Q76)="","Available",INDEX('Draft Board'!$J$3:$J$225,Q76))</f>
        <v>Available</v>
      </c>
      <c r="Z76">
        <f t="shared" si="21"/>
        <v>151</v>
      </c>
    </row>
    <row r="77" spans="1:26" x14ac:dyDescent="0.25">
      <c r="A77" t="str">
        <f>'LIVE SOURCE'!A77</f>
        <v>RB</v>
      </c>
      <c r="B77" t="str">
        <f>'LIVE SOURCE'!B77</f>
        <v>Tyrone Tracy Jr.</v>
      </c>
      <c r="C77" s="4">
        <f>'LIVE SOURCE'!D77</f>
        <v>66.531000000000006</v>
      </c>
      <c r="D77" s="4">
        <f>'Manual Adjustments'!G77</f>
        <v>0</v>
      </c>
      <c r="E77" s="4">
        <f t="shared" si="11"/>
        <v>66.531000000000006</v>
      </c>
      <c r="F77">
        <f>COUNTIFS($A$3:$A$225,A77,$E$3:$E$225,"&gt;"&amp;E77)+COUNTIFS($A$3:A77,A77,$E$3:E77,E77)</f>
        <v>43</v>
      </c>
      <c r="G77" s="4">
        <f>ROUND(INDEX('League Config'!$K$4:$K$9,MATCH(A77,'League Config'!$E$4:$E$9,0))*E77+INDEX('League Config'!$L$4:$L$9,MATCH(A77,'League Config'!$E$4:$E$9,0)),1)</f>
        <v>209.4</v>
      </c>
      <c r="H77">
        <f>INDEX('League Config'!$H$4:$H$9,MATCH(A77,'League Config'!$E$4:$E$9,0))</f>
        <v>32</v>
      </c>
      <c r="I77" s="4">
        <f>INDEX('League Config'!$I$4:$I$9,MATCH(A77,'League Config'!$E$4:$E$9,0))</f>
        <v>239</v>
      </c>
      <c r="J77" s="4">
        <f t="shared" si="12"/>
        <v>-29.6</v>
      </c>
      <c r="K77" s="4">
        <f t="shared" si="13"/>
        <v>32.239999999999995</v>
      </c>
      <c r="L77" s="4">
        <f>MIN(100,MAX(0,(1-(F77-1)/(H77*1.5))*100*INDEX('League Config'!$J$4:$J$9,MATCH(A77,'League Config'!$E$4:$E$9,0))))</f>
        <v>14.374999999999998</v>
      </c>
      <c r="M77">
        <f>IF(A77="K",'League Config'!$B$14,IF(A77="DST",'League Config'!$B$15,IF(A77="QB",'League Config'!$B$16,0)))</f>
        <v>0</v>
      </c>
      <c r="N77" s="4">
        <f t="shared" si="14"/>
        <v>48.420300000000005</v>
      </c>
      <c r="O77" s="9">
        <f t="shared" si="15"/>
        <v>48.420300000000005</v>
      </c>
      <c r="P77" s="6">
        <f>IF(O77="","",COUNTIF($O$3:$O$225,"&gt;"&amp;O77)+COUNTIF($O$3:O77,O77))</f>
        <v>132</v>
      </c>
      <c r="Q77">
        <f t="shared" si="16"/>
        <v>152</v>
      </c>
      <c r="R77" s="4">
        <f>'LIVE SOURCE'!E77</f>
        <v>178.4</v>
      </c>
      <c r="S77" s="4">
        <f t="shared" si="17"/>
        <v>26.400000000000006</v>
      </c>
      <c r="T77" t="str">
        <f>'LIVE SOURCE'!F77</f>
        <v>A</v>
      </c>
      <c r="U77" s="4">
        <f t="shared" si="18"/>
        <v>60.531000000000006</v>
      </c>
      <c r="V77" s="4">
        <f t="shared" si="19"/>
        <v>66.531000000000006</v>
      </c>
      <c r="W77" s="4">
        <f t="shared" si="20"/>
        <v>72.531000000000006</v>
      </c>
      <c r="X77" t="str">
        <f>'LIVE SOURCE'!G77</f>
        <v>RATE-ADJUSTED VETERAN</v>
      </c>
      <c r="Y77" t="str">
        <f>IF(INDEX('Draft Board'!$J$3:$J$225,Q77)="","Available",INDEX('Draft Board'!$J$3:$J$225,Q77))</f>
        <v>Available</v>
      </c>
      <c r="Z77">
        <f t="shared" si="21"/>
        <v>152</v>
      </c>
    </row>
    <row r="78" spans="1:26" x14ac:dyDescent="0.25">
      <c r="A78" t="str">
        <f>'LIVE SOURCE'!A78</f>
        <v>RB</v>
      </c>
      <c r="B78" t="str">
        <f>'LIVE SOURCE'!B78</f>
        <v>Tyler Allgeier</v>
      </c>
      <c r="C78" s="4">
        <f>'LIVE SOURCE'!D78</f>
        <v>63.032200000000003</v>
      </c>
      <c r="D78" s="4">
        <f>'Manual Adjustments'!G78</f>
        <v>0</v>
      </c>
      <c r="E78" s="4">
        <f t="shared" si="11"/>
        <v>63.032200000000003</v>
      </c>
      <c r="F78">
        <f>COUNTIFS($A$3:$A$225,A78,$E$3:$E$225,"&gt;"&amp;E78)+COUNTIFS($A$3:A78,A78,$E$3:E78,E78)</f>
        <v>44</v>
      </c>
      <c r="G78" s="4">
        <f>ROUND(INDEX('League Config'!$K$4:$K$9,MATCH(A78,'League Config'!$E$4:$E$9,0))*E78+INDEX('League Config'!$L$4:$L$9,MATCH(A78,'League Config'!$E$4:$E$9,0)),1)</f>
        <v>194.7</v>
      </c>
      <c r="H78">
        <f>INDEX('League Config'!$H$4:$H$9,MATCH(A78,'League Config'!$E$4:$E$9,0))</f>
        <v>32</v>
      </c>
      <c r="I78" s="4">
        <f>INDEX('League Config'!$I$4:$I$9,MATCH(A78,'League Config'!$E$4:$E$9,0))</f>
        <v>239</v>
      </c>
      <c r="J78" s="4">
        <f t="shared" si="12"/>
        <v>-44.3</v>
      </c>
      <c r="K78" s="4">
        <f t="shared" si="13"/>
        <v>23.42</v>
      </c>
      <c r="L78" s="4">
        <f>MIN(100,MAX(0,(1-(F78-1)/(H78*1.5))*100*INDEX('League Config'!$J$4:$J$9,MATCH(A78,'League Config'!$E$4:$E$9,0))))</f>
        <v>11.979166666666661</v>
      </c>
      <c r="M78">
        <f>IF(A78="K",'League Config'!$B$14,IF(A78="DST",'League Config'!$B$15,IF(A78="QB",'League Config'!$B$16,0)))</f>
        <v>0</v>
      </c>
      <c r="N78" s="4">
        <f t="shared" si="14"/>
        <v>43.49058500000001</v>
      </c>
      <c r="O78" s="9">
        <f t="shared" si="15"/>
        <v>43.49058500000001</v>
      </c>
      <c r="P78" s="6">
        <f>IF(O78="","",COUNTIF($O$3:$O$225,"&gt;"&amp;O78)+COUNTIF($O$3:O78,O78))</f>
        <v>143</v>
      </c>
      <c r="Q78">
        <f t="shared" si="16"/>
        <v>163</v>
      </c>
      <c r="R78" s="4">
        <f>'LIVE SOURCE'!E78</f>
        <v>182.6</v>
      </c>
      <c r="S78" s="4">
        <f t="shared" si="17"/>
        <v>19.599999999999994</v>
      </c>
      <c r="T78" t="str">
        <f>'LIVE SOURCE'!F78</f>
        <v>A</v>
      </c>
      <c r="U78" s="4">
        <f t="shared" si="18"/>
        <v>57.032200000000003</v>
      </c>
      <c r="V78" s="4">
        <f t="shared" si="19"/>
        <v>63.032200000000003</v>
      </c>
      <c r="W78" s="4">
        <f t="shared" si="20"/>
        <v>69.032200000000003</v>
      </c>
      <c r="X78" t="str">
        <f>'LIVE SOURCE'!G78</f>
        <v>RATE-ADJUSTED VETERAN</v>
      </c>
      <c r="Y78" t="str">
        <f>IF(INDEX('Draft Board'!$J$3:$J$225,Q78)="","Available",INDEX('Draft Board'!$J$3:$J$225,Q78))</f>
        <v>Available</v>
      </c>
      <c r="Z78">
        <f t="shared" si="21"/>
        <v>163</v>
      </c>
    </row>
    <row r="79" spans="1:26" x14ac:dyDescent="0.25">
      <c r="A79" t="str">
        <f>'LIVE SOURCE'!A79</f>
        <v>RB</v>
      </c>
      <c r="B79" t="str">
        <f>'LIVE SOURCE'!B79</f>
        <v>Zach Charbonnet</v>
      </c>
      <c r="C79" s="4">
        <f>'LIVE SOURCE'!D79</f>
        <v>62.549799999999998</v>
      </c>
      <c r="D79" s="4">
        <f>'Manual Adjustments'!G79</f>
        <v>0</v>
      </c>
      <c r="E79" s="4">
        <f t="shared" si="11"/>
        <v>62.549799999999998</v>
      </c>
      <c r="F79">
        <f>COUNTIFS($A$3:$A$225,A79,$E$3:$E$225,"&gt;"&amp;E79)+COUNTIFS($A$3:A79,A79,$E$3:E79,E79)</f>
        <v>45</v>
      </c>
      <c r="G79" s="4">
        <f>ROUND(INDEX('League Config'!$K$4:$K$9,MATCH(A79,'League Config'!$E$4:$E$9,0))*E79+INDEX('League Config'!$L$4:$L$9,MATCH(A79,'League Config'!$E$4:$E$9,0)),1)</f>
        <v>192.7</v>
      </c>
      <c r="H79">
        <f>INDEX('League Config'!$H$4:$H$9,MATCH(A79,'League Config'!$E$4:$E$9,0))</f>
        <v>32</v>
      </c>
      <c r="I79" s="4">
        <f>INDEX('League Config'!$I$4:$I$9,MATCH(A79,'League Config'!$E$4:$E$9,0))</f>
        <v>239</v>
      </c>
      <c r="J79" s="4">
        <f t="shared" si="12"/>
        <v>-46.3</v>
      </c>
      <c r="K79" s="4">
        <f t="shared" si="13"/>
        <v>22.220000000000002</v>
      </c>
      <c r="L79" s="4">
        <f>MIN(100,MAX(0,(1-(F79-1)/(H79*1.5))*100*INDEX('League Config'!$J$4:$J$9,MATCH(A79,'League Config'!$E$4:$E$9,0))))</f>
        <v>9.5833333333333375</v>
      </c>
      <c r="M79">
        <f>IF(A79="K",'League Config'!$B$14,IF(A79="DST",'League Config'!$B$15,IF(A79="QB",'League Config'!$B$16,0)))</f>
        <v>0</v>
      </c>
      <c r="N79" s="4">
        <f t="shared" si="14"/>
        <v>42.505890000000008</v>
      </c>
      <c r="O79" s="9">
        <f t="shared" si="15"/>
        <v>42.505890000000008</v>
      </c>
      <c r="P79" s="6">
        <f>IF(O79="","",COUNTIF($O$3:$O$225,"&gt;"&amp;O79)+COUNTIF($O$3:O79,O79))</f>
        <v>147</v>
      </c>
      <c r="Q79">
        <f t="shared" si="16"/>
        <v>167</v>
      </c>
      <c r="R79" s="4">
        <f>'LIVE SOURCE'!E79</f>
        <v>186.8</v>
      </c>
      <c r="S79" s="4">
        <f t="shared" si="17"/>
        <v>19.800000000000011</v>
      </c>
      <c r="T79" t="str">
        <f>'LIVE SOURCE'!F79</f>
        <v>A</v>
      </c>
      <c r="U79" s="4">
        <f t="shared" si="18"/>
        <v>56.549799999999998</v>
      </c>
      <c r="V79" s="4">
        <f t="shared" si="19"/>
        <v>62.549799999999998</v>
      </c>
      <c r="W79" s="4">
        <f t="shared" si="20"/>
        <v>68.549800000000005</v>
      </c>
      <c r="X79" t="str">
        <f>'LIVE SOURCE'!G79</f>
        <v>RATE-ADJUSTED VETERAN</v>
      </c>
      <c r="Y79" t="str">
        <f>IF(INDEX('Draft Board'!$J$3:$J$225,Q79)="","Available",INDEX('Draft Board'!$J$3:$J$225,Q79))</f>
        <v>Available</v>
      </c>
      <c r="Z79">
        <f t="shared" si="21"/>
        <v>167</v>
      </c>
    </row>
    <row r="80" spans="1:26" x14ac:dyDescent="0.25">
      <c r="A80" t="str">
        <f>'LIVE SOURCE'!A80</f>
        <v>RB</v>
      </c>
      <c r="B80" t="str">
        <f>'LIVE SOURCE'!B80</f>
        <v>Jonathon Brooks</v>
      </c>
      <c r="C80" s="4">
        <f>'LIVE SOURCE'!D80</f>
        <v>62.2</v>
      </c>
      <c r="D80" s="4">
        <f>'Manual Adjustments'!G80</f>
        <v>0</v>
      </c>
      <c r="E80" s="4">
        <f t="shared" si="11"/>
        <v>62.2</v>
      </c>
      <c r="F80">
        <f>COUNTIFS($A$3:$A$225,A80,$E$3:$E$225,"&gt;"&amp;E80)+COUNTIFS($A$3:A80,A80,$E$3:E80,E80)</f>
        <v>46</v>
      </c>
      <c r="G80" s="4">
        <f>ROUND(INDEX('League Config'!$K$4:$K$9,MATCH(A80,'League Config'!$E$4:$E$9,0))*E80+INDEX('League Config'!$L$4:$L$9,MATCH(A80,'League Config'!$E$4:$E$9,0)),1)</f>
        <v>191.2</v>
      </c>
      <c r="H80">
        <f>INDEX('League Config'!$H$4:$H$9,MATCH(A80,'League Config'!$E$4:$E$9,0))</f>
        <v>32</v>
      </c>
      <c r="I80" s="4">
        <f>INDEX('League Config'!$I$4:$I$9,MATCH(A80,'League Config'!$E$4:$E$9,0))</f>
        <v>239</v>
      </c>
      <c r="J80" s="4">
        <f t="shared" si="12"/>
        <v>-47.8</v>
      </c>
      <c r="K80" s="4">
        <f t="shared" si="13"/>
        <v>21.320000000000004</v>
      </c>
      <c r="L80" s="4">
        <f>MIN(100,MAX(0,(1-(F80-1)/(H80*1.5))*100*INDEX('League Config'!$J$4:$J$9,MATCH(A80,'League Config'!$E$4:$E$9,0))))</f>
        <v>7.1874999999999991</v>
      </c>
      <c r="M80">
        <f>IF(A80="K",'League Config'!$B$14,IF(A80="DST",'League Config'!$B$15,IF(A80="QB",'League Config'!$B$16,0)))</f>
        <v>0</v>
      </c>
      <c r="N80" s="4">
        <f t="shared" si="14"/>
        <v>41.684125000000002</v>
      </c>
      <c r="O80" s="9">
        <f t="shared" si="15"/>
        <v>41.684125000000002</v>
      </c>
      <c r="P80" s="6">
        <f>IF(O80="","",COUNTIF($O$3:$O$225,"&gt;"&amp;O80)+COUNTIF($O$3:O80,O80))</f>
        <v>151</v>
      </c>
      <c r="Q80">
        <f t="shared" si="16"/>
        <v>171</v>
      </c>
      <c r="R80" s="4">
        <f>'LIVE SOURCE'!E80</f>
        <v>191</v>
      </c>
      <c r="S80" s="4">
        <f t="shared" si="17"/>
        <v>20</v>
      </c>
      <c r="T80" t="str">
        <f>'LIVE SOURCE'!F80</f>
        <v>C</v>
      </c>
      <c r="U80" s="4">
        <f t="shared" si="18"/>
        <v>50.2</v>
      </c>
      <c r="V80" s="4">
        <f t="shared" si="19"/>
        <v>62.2</v>
      </c>
      <c r="W80" s="4">
        <f t="shared" si="20"/>
        <v>74.2</v>
      </c>
      <c r="X80" t="str">
        <f>'LIVE SOURCE'!G80</f>
        <v>HISTORY FALLBACK</v>
      </c>
      <c r="Y80" t="str">
        <f>IF(INDEX('Draft Board'!$J$3:$J$225,Q80)="","Available",INDEX('Draft Board'!$J$3:$J$225,Q80))</f>
        <v>Available</v>
      </c>
      <c r="Z80">
        <f t="shared" si="21"/>
        <v>171</v>
      </c>
    </row>
    <row r="81" spans="1:26" x14ac:dyDescent="0.25">
      <c r="A81" t="str">
        <f>'LIVE SOURCE'!A81</f>
        <v>RB</v>
      </c>
      <c r="B81" t="str">
        <f>'LIVE SOURCE'!B81</f>
        <v>Emanuel Wilson</v>
      </c>
      <c r="C81" s="4">
        <f>'LIVE SOURCE'!D81</f>
        <v>61.982100000000003</v>
      </c>
      <c r="D81" s="4">
        <f>'Manual Adjustments'!G81</f>
        <v>0</v>
      </c>
      <c r="E81" s="4">
        <f t="shared" si="11"/>
        <v>61.982100000000003</v>
      </c>
      <c r="F81">
        <f>COUNTIFS($A$3:$A$225,A81,$E$3:$E$225,"&gt;"&amp;E81)+COUNTIFS($A$3:A81,A81,$E$3:E81,E81)</f>
        <v>47</v>
      </c>
      <c r="G81" s="4">
        <f>ROUND(INDEX('League Config'!$K$4:$K$9,MATCH(A81,'League Config'!$E$4:$E$9,0))*E81+INDEX('League Config'!$L$4:$L$9,MATCH(A81,'League Config'!$E$4:$E$9,0)),1)</f>
        <v>190.3</v>
      </c>
      <c r="H81">
        <f>INDEX('League Config'!$H$4:$H$9,MATCH(A81,'League Config'!$E$4:$E$9,0))</f>
        <v>32</v>
      </c>
      <c r="I81" s="4">
        <f>INDEX('League Config'!$I$4:$I$9,MATCH(A81,'League Config'!$E$4:$E$9,0))</f>
        <v>239</v>
      </c>
      <c r="J81" s="4">
        <f t="shared" si="12"/>
        <v>-48.7</v>
      </c>
      <c r="K81" s="4">
        <f t="shared" si="13"/>
        <v>20.78</v>
      </c>
      <c r="L81" s="4">
        <f>MIN(100,MAX(0,(1-(F81-1)/(H81*1.5))*100*INDEX('League Config'!$J$4:$J$9,MATCH(A81,'League Config'!$E$4:$E$9,0))))</f>
        <v>4.7916666666666616</v>
      </c>
      <c r="M81">
        <f>IF(A81="K",'League Config'!$B$14,IF(A81="DST",'League Config'!$B$15,IF(A81="QB",'League Config'!$B$16,0)))</f>
        <v>0</v>
      </c>
      <c r="N81" s="4">
        <f t="shared" si="14"/>
        <v>41.042905000000005</v>
      </c>
      <c r="O81" s="9">
        <f t="shared" si="15"/>
        <v>41.042905000000005</v>
      </c>
      <c r="P81" s="6">
        <f>IF(O81="","",COUNTIF($O$3:$O$225,"&gt;"&amp;O81)+COUNTIF($O$3:O81,O81))</f>
        <v>153</v>
      </c>
      <c r="Q81">
        <f t="shared" si="16"/>
        <v>173</v>
      </c>
      <c r="R81" s="4">
        <f>'LIVE SOURCE'!E81</f>
        <v>195.2</v>
      </c>
      <c r="S81" s="4">
        <f t="shared" si="17"/>
        <v>22.199999999999989</v>
      </c>
      <c r="T81" t="str">
        <f>'LIVE SOURCE'!F81</f>
        <v>A</v>
      </c>
      <c r="U81" s="4">
        <f t="shared" si="18"/>
        <v>55.982100000000003</v>
      </c>
      <c r="V81" s="4">
        <f t="shared" si="19"/>
        <v>61.982100000000003</v>
      </c>
      <c r="W81" s="4">
        <f t="shared" si="20"/>
        <v>67.982100000000003</v>
      </c>
      <c r="X81" t="str">
        <f>'LIVE SOURCE'!G81</f>
        <v>RATE-ADJUSTED VETERAN</v>
      </c>
      <c r="Y81" t="str">
        <f>IF(INDEX('Draft Board'!$J$3:$J$225,Q81)="","Available",INDEX('Draft Board'!$J$3:$J$225,Q81))</f>
        <v>Available</v>
      </c>
      <c r="Z81">
        <f t="shared" si="21"/>
        <v>173</v>
      </c>
    </row>
    <row r="82" spans="1:26" x14ac:dyDescent="0.25">
      <c r="A82" t="str">
        <f>'LIVE SOURCE'!A82</f>
        <v>RB</v>
      </c>
      <c r="B82" t="str">
        <f>'LIVE SOURCE'!B82</f>
        <v>Isiah Pacheco</v>
      </c>
      <c r="C82" s="4">
        <f>'LIVE SOURCE'!D82</f>
        <v>60.0092</v>
      </c>
      <c r="D82" s="4">
        <f>'Manual Adjustments'!G82</f>
        <v>0</v>
      </c>
      <c r="E82" s="4">
        <f t="shared" si="11"/>
        <v>60.0092</v>
      </c>
      <c r="F82">
        <f>COUNTIFS($A$3:$A$225,A82,$E$3:$E$225,"&gt;"&amp;E82)+COUNTIFS($A$3:A82,A82,$E$3:E82,E82)</f>
        <v>48</v>
      </c>
      <c r="G82" s="4">
        <f>ROUND(INDEX('League Config'!$K$4:$K$9,MATCH(A82,'League Config'!$E$4:$E$9,0))*E82+INDEX('League Config'!$L$4:$L$9,MATCH(A82,'League Config'!$E$4:$E$9,0)),1)</f>
        <v>182</v>
      </c>
      <c r="H82">
        <f>INDEX('League Config'!$H$4:$H$9,MATCH(A82,'League Config'!$E$4:$E$9,0))</f>
        <v>32</v>
      </c>
      <c r="I82" s="4">
        <f>INDEX('League Config'!$I$4:$I$9,MATCH(A82,'League Config'!$E$4:$E$9,0))</f>
        <v>239</v>
      </c>
      <c r="J82" s="4">
        <f t="shared" si="12"/>
        <v>-57</v>
      </c>
      <c r="K82" s="4">
        <f t="shared" si="13"/>
        <v>15.800000000000004</v>
      </c>
      <c r="L82" s="4">
        <f>MIN(100,MAX(0,(1-(F82-1)/(H82*1.5))*100*INDEX('League Config'!$J$4:$J$9,MATCH(A82,'League Config'!$E$4:$E$9,0))))</f>
        <v>2.3958333333333375</v>
      </c>
      <c r="M82">
        <f>IF(A82="K",'League Config'!$B$14,IF(A82="DST",'League Config'!$B$15,IF(A82="QB",'League Config'!$B$16,0)))</f>
        <v>0</v>
      </c>
      <c r="N82" s="4">
        <f t="shared" si="14"/>
        <v>38.104435000000002</v>
      </c>
      <c r="O82" s="9">
        <f t="shared" si="15"/>
        <v>38.104435000000002</v>
      </c>
      <c r="P82" s="6">
        <f>IF(O82="","",COUNTIF($O$3:$O$225,"&gt;"&amp;O82)+COUNTIF($O$3:O82,O82))</f>
        <v>161</v>
      </c>
      <c r="Q82">
        <f t="shared" si="16"/>
        <v>181</v>
      </c>
      <c r="R82" s="4">
        <f>'LIVE SOURCE'!E82</f>
        <v>199.4</v>
      </c>
      <c r="S82" s="4">
        <f t="shared" si="17"/>
        <v>18.400000000000006</v>
      </c>
      <c r="T82" t="str">
        <f>'LIVE SOURCE'!F82</f>
        <v>B</v>
      </c>
      <c r="U82" s="4">
        <f t="shared" si="18"/>
        <v>51.0092</v>
      </c>
      <c r="V82" s="4">
        <f t="shared" si="19"/>
        <v>60.0092</v>
      </c>
      <c r="W82" s="4">
        <f t="shared" si="20"/>
        <v>69.009199999999993</v>
      </c>
      <c r="X82" t="str">
        <f>'LIVE SOURCE'!G82</f>
        <v>HISTORY FALLBACK</v>
      </c>
      <c r="Y82" t="str">
        <f>IF(INDEX('Draft Board'!$J$3:$J$225,Q82)="","Available",INDEX('Draft Board'!$J$3:$J$225,Q82))</f>
        <v>Available</v>
      </c>
      <c r="Z82">
        <f t="shared" si="21"/>
        <v>181</v>
      </c>
    </row>
    <row r="83" spans="1:26" x14ac:dyDescent="0.25">
      <c r="A83" t="str">
        <f>'LIVE SOURCE'!A83</f>
        <v>RB</v>
      </c>
      <c r="B83" t="str">
        <f>'LIVE SOURCE'!B83</f>
        <v>Alvin Kamara</v>
      </c>
      <c r="C83" s="4">
        <f>'LIVE SOURCE'!D83</f>
        <v>59.15</v>
      </c>
      <c r="D83" s="4">
        <f>'Manual Adjustments'!G83</f>
        <v>0</v>
      </c>
      <c r="E83" s="4">
        <f t="shared" si="11"/>
        <v>59.15</v>
      </c>
      <c r="F83">
        <f>COUNTIFS($A$3:$A$225,A83,$E$3:$E$225,"&gt;"&amp;E83)+COUNTIFS($A$3:A83,A83,$E$3:E83,E83)</f>
        <v>49</v>
      </c>
      <c r="G83" s="4">
        <f>ROUND(INDEX('League Config'!$K$4:$K$9,MATCH(A83,'League Config'!$E$4:$E$9,0))*E83+INDEX('League Config'!$L$4:$L$9,MATCH(A83,'League Config'!$E$4:$E$9,0)),1)</f>
        <v>178.4</v>
      </c>
      <c r="H83">
        <f>INDEX('League Config'!$H$4:$H$9,MATCH(A83,'League Config'!$E$4:$E$9,0))</f>
        <v>32</v>
      </c>
      <c r="I83" s="4">
        <f>INDEX('League Config'!$I$4:$I$9,MATCH(A83,'League Config'!$E$4:$E$9,0))</f>
        <v>239</v>
      </c>
      <c r="J83" s="4">
        <f t="shared" si="12"/>
        <v>-60.6</v>
      </c>
      <c r="K83" s="4">
        <f t="shared" si="13"/>
        <v>13.64</v>
      </c>
      <c r="L83" s="4">
        <f>MIN(100,MAX(0,(1-(F83-1)/(H83*1.5))*100*INDEX('League Config'!$J$4:$J$9,MATCH(A83,'League Config'!$E$4:$E$9,0))))</f>
        <v>0</v>
      </c>
      <c r="M83">
        <f>IF(A83="K",'League Config'!$B$14,IF(A83="DST",'League Config'!$B$15,IF(A83="QB",'League Config'!$B$16,0)))</f>
        <v>0</v>
      </c>
      <c r="N83" s="4">
        <f t="shared" si="14"/>
        <v>36.624499999999998</v>
      </c>
      <c r="O83" s="9">
        <f t="shared" si="15"/>
        <v>36.624499999999998</v>
      </c>
      <c r="P83" s="6">
        <f>IF(O83="","",COUNTIF($O$3:$O$225,"&gt;"&amp;O83)+COUNTIF($O$3:O83,O83))</f>
        <v>164</v>
      </c>
      <c r="Q83">
        <f t="shared" si="16"/>
        <v>184</v>
      </c>
      <c r="R83" s="4">
        <f>'LIVE SOURCE'!E83</f>
        <v>203.6</v>
      </c>
      <c r="S83" s="4">
        <f t="shared" si="17"/>
        <v>19.599999999999994</v>
      </c>
      <c r="T83" t="str">
        <f>'LIVE SOURCE'!F83</f>
        <v>B</v>
      </c>
      <c r="U83" s="4">
        <f t="shared" si="18"/>
        <v>50.15</v>
      </c>
      <c r="V83" s="4">
        <f t="shared" si="19"/>
        <v>59.15</v>
      </c>
      <c r="W83" s="4">
        <f t="shared" si="20"/>
        <v>68.150000000000006</v>
      </c>
      <c r="X83" t="str">
        <f>'LIVE SOURCE'!G83</f>
        <v>HISTORY FALLBACK</v>
      </c>
      <c r="Y83" t="str">
        <f>IF(INDEX('Draft Board'!$J$3:$J$225,Q83)="","Available",INDEX('Draft Board'!$J$3:$J$225,Q83))</f>
        <v>Available</v>
      </c>
      <c r="Z83">
        <f t="shared" si="21"/>
        <v>184</v>
      </c>
    </row>
    <row r="84" spans="1:26" x14ac:dyDescent="0.25">
      <c r="A84" t="str">
        <f>'LIVE SOURCE'!A84</f>
        <v>RB</v>
      </c>
      <c r="B84" t="str">
        <f>'LIVE SOURCE'!B84</f>
        <v>Justice Hill</v>
      </c>
      <c r="C84" s="4">
        <f>'LIVE SOURCE'!D84</f>
        <v>54.88</v>
      </c>
      <c r="D84" s="4">
        <f>'Manual Adjustments'!G84</f>
        <v>0</v>
      </c>
      <c r="E84" s="4">
        <f t="shared" si="11"/>
        <v>54.88</v>
      </c>
      <c r="F84">
        <f>COUNTIFS($A$3:$A$225,A84,$E$3:$E$225,"&gt;"&amp;E84)+COUNTIFS($A$3:A84,A84,$E$3:E84,E84)</f>
        <v>50</v>
      </c>
      <c r="G84" s="4">
        <f>ROUND(INDEX('League Config'!$K$4:$K$9,MATCH(A84,'League Config'!$E$4:$E$9,0))*E84+INDEX('League Config'!$L$4:$L$9,MATCH(A84,'League Config'!$E$4:$E$9,0)),1)</f>
        <v>160.5</v>
      </c>
      <c r="H84">
        <f>INDEX('League Config'!$H$4:$H$9,MATCH(A84,'League Config'!$E$4:$E$9,0))</f>
        <v>32</v>
      </c>
      <c r="I84" s="4">
        <f>INDEX('League Config'!$I$4:$I$9,MATCH(A84,'League Config'!$E$4:$E$9,0))</f>
        <v>239</v>
      </c>
      <c r="J84" s="4">
        <f t="shared" si="12"/>
        <v>-78.5</v>
      </c>
      <c r="K84" s="4">
        <f t="shared" si="13"/>
        <v>2.8999999999999986</v>
      </c>
      <c r="L84" s="4">
        <f>MIN(100,MAX(0,(1-(F84-1)/(H84*1.5))*100*INDEX('League Config'!$J$4:$J$9,MATCH(A84,'League Config'!$E$4:$E$9,0))))</f>
        <v>0</v>
      </c>
      <c r="M84">
        <f>IF(A84="K",'League Config'!$B$14,IF(A84="DST",'League Config'!$B$15,IF(A84="QB",'League Config'!$B$16,0)))</f>
        <v>0</v>
      </c>
      <c r="N84" s="4">
        <f t="shared" si="14"/>
        <v>31.054000000000006</v>
      </c>
      <c r="O84" s="9">
        <f t="shared" si="15"/>
        <v>31.054000000000006</v>
      </c>
      <c r="P84" s="6">
        <f>IF(O84="","",COUNTIF($O$3:$O$225,"&gt;"&amp;O84)+COUNTIF($O$3:O84,O84))</f>
        <v>173</v>
      </c>
      <c r="Q84">
        <f t="shared" si="16"/>
        <v>193</v>
      </c>
      <c r="R84" s="4">
        <f>'LIVE SOURCE'!E84</f>
        <v>207.8</v>
      </c>
      <c r="S84" s="4">
        <f t="shared" si="17"/>
        <v>14.800000000000011</v>
      </c>
      <c r="T84" t="str">
        <f>'LIVE SOURCE'!F84</f>
        <v>B</v>
      </c>
      <c r="U84" s="4">
        <f t="shared" si="18"/>
        <v>45.88</v>
      </c>
      <c r="V84" s="4">
        <f t="shared" si="19"/>
        <v>54.88</v>
      </c>
      <c r="W84" s="4">
        <f t="shared" si="20"/>
        <v>63.88</v>
      </c>
      <c r="X84" t="str">
        <f>'LIVE SOURCE'!G84</f>
        <v>HISTORY FALLBACK</v>
      </c>
      <c r="Y84" t="str">
        <f>IF(INDEX('Draft Board'!$J$3:$J$225,Q84)="","Available",INDEX('Draft Board'!$J$3:$J$225,Q84))</f>
        <v>Available</v>
      </c>
      <c r="Z84">
        <f t="shared" si="21"/>
        <v>193</v>
      </c>
    </row>
    <row r="85" spans="1:26" x14ac:dyDescent="0.25">
      <c r="A85" t="str">
        <f>'LIVE SOURCE'!A85</f>
        <v>WR</v>
      </c>
      <c r="B85" t="str">
        <f>'LIVE SOURCE'!B85</f>
        <v>Ja'Marr Chase</v>
      </c>
      <c r="C85" s="4">
        <f>'LIVE SOURCE'!D85</f>
        <v>96.732299999999995</v>
      </c>
      <c r="D85" s="4">
        <f>'Manual Adjustments'!G85</f>
        <v>0</v>
      </c>
      <c r="E85" s="4">
        <f t="shared" si="11"/>
        <v>96.732299999999995</v>
      </c>
      <c r="F85">
        <f>COUNTIFS($A$3:$A$225,A85,$E$3:$E$225,"&gt;"&amp;E85)+COUNTIFS($A$3:A85,A85,$E$3:E85,E85)</f>
        <v>2</v>
      </c>
      <c r="G85" s="4">
        <f>ROUND(INDEX('League Config'!$K$4:$K$9,MATCH(A85,'League Config'!$E$4:$E$9,0))*E85+INDEX('League Config'!$L$4:$L$9,MATCH(A85,'League Config'!$E$4:$E$9,0)),1)</f>
        <v>336.3</v>
      </c>
      <c r="H85">
        <f>INDEX('League Config'!$H$4:$H$9,MATCH(A85,'League Config'!$E$4:$E$9,0))</f>
        <v>33</v>
      </c>
      <c r="I85" s="4">
        <f>INDEX('League Config'!$I$4:$I$9,MATCH(A85,'League Config'!$E$4:$E$9,0))</f>
        <v>239.3</v>
      </c>
      <c r="J85" s="4">
        <f t="shared" si="12"/>
        <v>97</v>
      </c>
      <c r="K85" s="4">
        <f t="shared" si="13"/>
        <v>100</v>
      </c>
      <c r="L85" s="4">
        <f>MIN(100,MAX(0,(1-(F85-1)/(H85*1.5))*100*INDEX('League Config'!$J$4:$J$9,MATCH(A85,'League Config'!$E$4:$E$9,0))))</f>
        <v>100</v>
      </c>
      <c r="M85">
        <f>IF(A85="K",'League Config'!$B$14,IF(A85="DST",'League Config'!$B$15,IF(A85="QB",'League Config'!$B$16,0)))</f>
        <v>0</v>
      </c>
      <c r="N85" s="4">
        <f t="shared" si="14"/>
        <v>98.202764999999999</v>
      </c>
      <c r="O85" s="9">
        <f t="shared" si="15"/>
        <v>98.202764999999999</v>
      </c>
      <c r="P85" s="6">
        <f>IF(O85="","",COUNTIF($O$3:$O$225,"&gt;"&amp;O85)+COUNTIF($O$3:O85,O85))</f>
        <v>3</v>
      </c>
      <c r="Q85">
        <f t="shared" si="16"/>
        <v>3</v>
      </c>
      <c r="R85" s="4">
        <f>'LIVE SOURCE'!E85</f>
        <v>3.2</v>
      </c>
      <c r="S85" s="4">
        <f t="shared" si="17"/>
        <v>0.20000000000000018</v>
      </c>
      <c r="T85" t="str">
        <f>'LIVE SOURCE'!F85</f>
        <v>A</v>
      </c>
      <c r="U85" s="4">
        <f t="shared" si="18"/>
        <v>90.732299999999995</v>
      </c>
      <c r="V85" s="4">
        <f t="shared" si="19"/>
        <v>96.732299999999995</v>
      </c>
      <c r="W85" s="4">
        <f t="shared" si="20"/>
        <v>100</v>
      </c>
      <c r="X85" t="str">
        <f>'LIVE SOURCE'!G85</f>
        <v>HISTORY FALLBACK</v>
      </c>
      <c r="Y85" t="str">
        <f>IF(INDEX('Draft Board'!$J$3:$J$225,Q85)="","Available",INDEX('Draft Board'!$J$3:$J$225,Q85))</f>
        <v>Available</v>
      </c>
      <c r="Z85">
        <f t="shared" si="21"/>
        <v>3</v>
      </c>
    </row>
    <row r="86" spans="1:26" x14ac:dyDescent="0.25">
      <c r="A86" t="str">
        <f>'LIVE SOURCE'!A86</f>
        <v>WR</v>
      </c>
      <c r="B86" t="str">
        <f>'LIVE SOURCE'!B86</f>
        <v>Puka Nacua</v>
      </c>
      <c r="C86" s="4">
        <f>'LIVE SOURCE'!D86</f>
        <v>98.485900000000001</v>
      </c>
      <c r="D86" s="4">
        <f>'Manual Adjustments'!G86</f>
        <v>0</v>
      </c>
      <c r="E86" s="4">
        <f t="shared" si="11"/>
        <v>98.485900000000001</v>
      </c>
      <c r="F86">
        <f>COUNTIFS($A$3:$A$225,A86,$E$3:$E$225,"&gt;"&amp;E86)+COUNTIFS($A$3:A86,A86,$E$3:E86,E86)</f>
        <v>1</v>
      </c>
      <c r="G86" s="4">
        <f>ROUND(INDEX('League Config'!$K$4:$K$9,MATCH(A86,'League Config'!$E$4:$E$9,0))*E86+INDEX('League Config'!$L$4:$L$9,MATCH(A86,'League Config'!$E$4:$E$9,0)),1)</f>
        <v>343.6</v>
      </c>
      <c r="H86">
        <f>INDEX('League Config'!$H$4:$H$9,MATCH(A86,'League Config'!$E$4:$E$9,0))</f>
        <v>33</v>
      </c>
      <c r="I86" s="4">
        <f>INDEX('League Config'!$I$4:$I$9,MATCH(A86,'League Config'!$E$4:$E$9,0))</f>
        <v>239.3</v>
      </c>
      <c r="J86" s="4">
        <f t="shared" si="12"/>
        <v>104.3</v>
      </c>
      <c r="K86" s="4">
        <f t="shared" si="13"/>
        <v>100</v>
      </c>
      <c r="L86" s="4">
        <f>MIN(100,MAX(0,(1-(F86-1)/(H86*1.5))*100*INDEX('League Config'!$J$4:$J$9,MATCH(A86,'League Config'!$E$4:$E$9,0))))</f>
        <v>100</v>
      </c>
      <c r="M86">
        <f>IF(A86="K",'League Config'!$B$14,IF(A86="DST",'League Config'!$B$15,IF(A86="QB",'League Config'!$B$16,0)))</f>
        <v>0</v>
      </c>
      <c r="N86" s="4">
        <f t="shared" si="14"/>
        <v>99.167245000000008</v>
      </c>
      <c r="O86" s="9">
        <f t="shared" si="15"/>
        <v>99.167245000000008</v>
      </c>
      <c r="P86" s="6">
        <f>IF(O86="","",COUNTIF($O$3:$O$225,"&gt;"&amp;O86)+COUNTIF($O$3:O86,O86))</f>
        <v>1</v>
      </c>
      <c r="Q86">
        <f t="shared" si="16"/>
        <v>1</v>
      </c>
      <c r="R86" s="4">
        <f>'LIVE SOURCE'!E86</f>
        <v>3.8</v>
      </c>
      <c r="S86" s="4">
        <f t="shared" si="17"/>
        <v>2.8</v>
      </c>
      <c r="T86" t="str">
        <f>'LIVE SOURCE'!F86</f>
        <v>A</v>
      </c>
      <c r="U86" s="4">
        <f t="shared" si="18"/>
        <v>92.485900000000001</v>
      </c>
      <c r="V86" s="4">
        <f t="shared" si="19"/>
        <v>98.485900000000001</v>
      </c>
      <c r="W86" s="4">
        <f t="shared" si="20"/>
        <v>100</v>
      </c>
      <c r="X86" t="str">
        <f>'LIVE SOURCE'!G86</f>
        <v>HISTORY FALLBACK</v>
      </c>
      <c r="Y86" t="str">
        <f>IF(INDEX('Draft Board'!$J$3:$J$225,Q86)="","Available",INDEX('Draft Board'!$J$3:$J$225,Q86))</f>
        <v>Available</v>
      </c>
      <c r="Z86">
        <f t="shared" si="21"/>
        <v>1</v>
      </c>
    </row>
    <row r="87" spans="1:26" x14ac:dyDescent="0.25">
      <c r="A87" t="str">
        <f>'LIVE SOURCE'!A87</f>
        <v>WR</v>
      </c>
      <c r="B87" t="str">
        <f>'LIVE SOURCE'!B87</f>
        <v>Jaxon Smith-Njigba</v>
      </c>
      <c r="C87" s="4">
        <f>'LIVE SOURCE'!D87</f>
        <v>94.079899999999995</v>
      </c>
      <c r="D87" s="4">
        <f>'Manual Adjustments'!G87</f>
        <v>0</v>
      </c>
      <c r="E87" s="4">
        <f t="shared" si="11"/>
        <v>94.079899999999995</v>
      </c>
      <c r="F87">
        <f>COUNTIFS($A$3:$A$225,A87,$E$3:$E$225,"&gt;"&amp;E87)+COUNTIFS($A$3:A87,A87,$E$3:E87,E87)</f>
        <v>3</v>
      </c>
      <c r="G87" s="4">
        <f>ROUND(INDEX('League Config'!$K$4:$K$9,MATCH(A87,'League Config'!$E$4:$E$9,0))*E87+INDEX('League Config'!$L$4:$L$9,MATCH(A87,'League Config'!$E$4:$E$9,0)),1)</f>
        <v>325.10000000000002</v>
      </c>
      <c r="H87">
        <f>INDEX('League Config'!$H$4:$H$9,MATCH(A87,'League Config'!$E$4:$E$9,0))</f>
        <v>33</v>
      </c>
      <c r="I87" s="4">
        <f>INDEX('League Config'!$I$4:$I$9,MATCH(A87,'League Config'!$E$4:$E$9,0))</f>
        <v>239.3</v>
      </c>
      <c r="J87" s="4">
        <f t="shared" si="12"/>
        <v>85.8</v>
      </c>
      <c r="K87" s="4">
        <f t="shared" si="13"/>
        <v>100</v>
      </c>
      <c r="L87" s="4">
        <f>MIN(100,MAX(0,(1-(F87-1)/(H87*1.5))*100*INDEX('League Config'!$J$4:$J$9,MATCH(A87,'League Config'!$E$4:$E$9,0))))</f>
        <v>100</v>
      </c>
      <c r="M87">
        <f>IF(A87="K",'League Config'!$B$14,IF(A87="DST",'League Config'!$B$15,IF(A87="QB",'League Config'!$B$16,0)))</f>
        <v>0</v>
      </c>
      <c r="N87" s="4">
        <f t="shared" si="14"/>
        <v>96.743944999999997</v>
      </c>
      <c r="O87" s="9">
        <f t="shared" si="15"/>
        <v>96.743944999999997</v>
      </c>
      <c r="P87" s="6">
        <f>IF(O87="","",COUNTIF($O$3:$O$225,"&gt;"&amp;O87)+COUNTIF($O$3:O87,O87))</f>
        <v>6</v>
      </c>
      <c r="Q87">
        <f t="shared" si="16"/>
        <v>6</v>
      </c>
      <c r="R87" s="4">
        <f>'LIVE SOURCE'!E87</f>
        <v>5.4</v>
      </c>
      <c r="S87" s="4">
        <f t="shared" si="17"/>
        <v>-0.59999999999999964</v>
      </c>
      <c r="T87" t="str">
        <f>'LIVE SOURCE'!F87</f>
        <v>A</v>
      </c>
      <c r="U87" s="4">
        <f t="shared" si="18"/>
        <v>88.079899999999995</v>
      </c>
      <c r="V87" s="4">
        <f t="shared" si="19"/>
        <v>94.079899999999995</v>
      </c>
      <c r="W87" s="4">
        <f t="shared" si="20"/>
        <v>100</v>
      </c>
      <c r="X87" t="str">
        <f>'LIVE SOURCE'!G87</f>
        <v>HISTORY FALLBACK</v>
      </c>
      <c r="Y87" t="str">
        <f>IF(INDEX('Draft Board'!$J$3:$J$225,Q87)="","Available",INDEX('Draft Board'!$J$3:$J$225,Q87))</f>
        <v>Available</v>
      </c>
      <c r="Z87">
        <f t="shared" si="21"/>
        <v>6</v>
      </c>
    </row>
    <row r="88" spans="1:26" x14ac:dyDescent="0.25">
      <c r="A88" t="str">
        <f>'LIVE SOURCE'!A88</f>
        <v>WR</v>
      </c>
      <c r="B88" t="str">
        <f>'LIVE SOURCE'!B88</f>
        <v>Amon-Ra St. Brown</v>
      </c>
      <c r="C88" s="4">
        <f>'LIVE SOURCE'!D88</f>
        <v>93.263900000000007</v>
      </c>
      <c r="D88" s="4">
        <f>'Manual Adjustments'!G88</f>
        <v>0</v>
      </c>
      <c r="E88" s="4">
        <f t="shared" si="11"/>
        <v>93.263900000000007</v>
      </c>
      <c r="F88">
        <f>COUNTIFS($A$3:$A$225,A88,$E$3:$E$225,"&gt;"&amp;E88)+COUNTIFS($A$3:A88,A88,$E$3:E88,E88)</f>
        <v>4</v>
      </c>
      <c r="G88" s="4">
        <f>ROUND(INDEX('League Config'!$K$4:$K$9,MATCH(A88,'League Config'!$E$4:$E$9,0))*E88+INDEX('League Config'!$L$4:$L$9,MATCH(A88,'League Config'!$E$4:$E$9,0)),1)</f>
        <v>321.7</v>
      </c>
      <c r="H88">
        <f>INDEX('League Config'!$H$4:$H$9,MATCH(A88,'League Config'!$E$4:$E$9,0))</f>
        <v>33</v>
      </c>
      <c r="I88" s="4">
        <f>INDEX('League Config'!$I$4:$I$9,MATCH(A88,'League Config'!$E$4:$E$9,0))</f>
        <v>239.3</v>
      </c>
      <c r="J88" s="4">
        <f t="shared" si="12"/>
        <v>82.4</v>
      </c>
      <c r="K88" s="4">
        <f t="shared" si="13"/>
        <v>99.44</v>
      </c>
      <c r="L88" s="4">
        <f>MIN(100,MAX(0,(1-(F88-1)/(H88*1.5))*100*INDEX('League Config'!$J$4:$J$9,MATCH(A88,'League Config'!$E$4:$E$9,0))))</f>
        <v>100</v>
      </c>
      <c r="M88">
        <f>IF(A88="K",'League Config'!$B$14,IF(A88="DST",'League Config'!$B$15,IF(A88="QB",'League Config'!$B$16,0)))</f>
        <v>0</v>
      </c>
      <c r="N88" s="4">
        <f t="shared" si="14"/>
        <v>96.127144999999999</v>
      </c>
      <c r="O88" s="9">
        <f t="shared" si="15"/>
        <v>96.127144999999999</v>
      </c>
      <c r="P88" s="6">
        <f>IF(O88="","",COUNTIF($O$3:$O$225,"&gt;"&amp;O88)+COUNTIF($O$3:O88,O88))</f>
        <v>7</v>
      </c>
      <c r="Q88">
        <f t="shared" si="16"/>
        <v>7</v>
      </c>
      <c r="R88" s="4">
        <f>'LIVE SOURCE'!E88</f>
        <v>6</v>
      </c>
      <c r="S88" s="4">
        <f t="shared" si="17"/>
        <v>-1</v>
      </c>
      <c r="T88" t="str">
        <f>'LIVE SOURCE'!F88</f>
        <v>A</v>
      </c>
      <c r="U88" s="4">
        <f t="shared" si="18"/>
        <v>87.263900000000007</v>
      </c>
      <c r="V88" s="4">
        <f t="shared" si="19"/>
        <v>93.263900000000007</v>
      </c>
      <c r="W88" s="4">
        <f t="shared" si="20"/>
        <v>99.263900000000007</v>
      </c>
      <c r="X88" t="str">
        <f>'LIVE SOURCE'!G88</f>
        <v>HISTORY FALLBACK</v>
      </c>
      <c r="Y88" t="str">
        <f>IF(INDEX('Draft Board'!$J$3:$J$225,Q88)="","Available",INDEX('Draft Board'!$J$3:$J$225,Q88))</f>
        <v>Available</v>
      </c>
      <c r="Z88">
        <f t="shared" si="21"/>
        <v>7</v>
      </c>
    </row>
    <row r="89" spans="1:26" x14ac:dyDescent="0.25">
      <c r="A89" t="str">
        <f>'LIVE SOURCE'!A89</f>
        <v>WR</v>
      </c>
      <c r="B89" t="str">
        <f>'LIVE SOURCE'!B89</f>
        <v>A.J. Brown</v>
      </c>
      <c r="C89" s="4">
        <f>'LIVE SOURCE'!D89</f>
        <v>83.235699999999994</v>
      </c>
      <c r="D89" s="4">
        <f>'Manual Adjustments'!G89</f>
        <v>0</v>
      </c>
      <c r="E89" s="4">
        <f t="shared" si="11"/>
        <v>83.235699999999994</v>
      </c>
      <c r="F89">
        <f>COUNTIFS($A$3:$A$225,A89,$E$3:$E$225,"&gt;"&amp;E89)+COUNTIFS($A$3:A89,A89,$E$3:E89,E89)</f>
        <v>16</v>
      </c>
      <c r="G89" s="4">
        <f>ROUND(INDEX('League Config'!$K$4:$K$9,MATCH(A89,'League Config'!$E$4:$E$9,0))*E89+INDEX('League Config'!$L$4:$L$9,MATCH(A89,'League Config'!$E$4:$E$9,0)),1)</f>
        <v>279.60000000000002</v>
      </c>
      <c r="H89">
        <f>INDEX('League Config'!$H$4:$H$9,MATCH(A89,'League Config'!$E$4:$E$9,0))</f>
        <v>33</v>
      </c>
      <c r="I89" s="4">
        <f>INDEX('League Config'!$I$4:$I$9,MATCH(A89,'League Config'!$E$4:$E$9,0))</f>
        <v>239.3</v>
      </c>
      <c r="J89" s="4">
        <f t="shared" si="12"/>
        <v>40.299999999999997</v>
      </c>
      <c r="K89" s="4">
        <f t="shared" si="13"/>
        <v>74.179999999999993</v>
      </c>
      <c r="L89" s="4">
        <f>MIN(100,MAX(0,(1-(F89-1)/(H89*1.5))*100*INDEX('League Config'!$J$4:$J$9,MATCH(A89,'League Config'!$E$4:$E$9,0))))</f>
        <v>76.666666666666686</v>
      </c>
      <c r="M89">
        <f>IF(A89="K",'League Config'!$B$14,IF(A89="DST",'League Config'!$B$15,IF(A89="QB",'League Config'!$B$16,0)))</f>
        <v>0</v>
      </c>
      <c r="N89" s="4">
        <f t="shared" si="14"/>
        <v>79.533635000000004</v>
      </c>
      <c r="O89" s="9">
        <f t="shared" si="15"/>
        <v>79.533635000000004</v>
      </c>
      <c r="P89" s="6">
        <f>IF(O89="","",COUNTIF($O$3:$O$225,"&gt;"&amp;O89)+COUNTIF($O$3:O89,O89))</f>
        <v>39</v>
      </c>
      <c r="Q89">
        <f t="shared" si="16"/>
        <v>39</v>
      </c>
      <c r="R89" s="4">
        <f>'LIVE SOURCE'!E89</f>
        <v>14</v>
      </c>
      <c r="S89" s="4">
        <f t="shared" si="17"/>
        <v>-25</v>
      </c>
      <c r="T89" t="str">
        <f>'LIVE SOURCE'!F89</f>
        <v>A</v>
      </c>
      <c r="U89" s="4">
        <f t="shared" si="18"/>
        <v>77.235699999999994</v>
      </c>
      <c r="V89" s="4">
        <f t="shared" si="19"/>
        <v>83.235699999999994</v>
      </c>
      <c r="W89" s="4">
        <f t="shared" si="20"/>
        <v>89.235699999999994</v>
      </c>
      <c r="X89" t="str">
        <f>'LIVE SOURCE'!G89</f>
        <v>HISTORY FALLBACK</v>
      </c>
      <c r="Y89" t="str">
        <f>IF(INDEX('Draft Board'!$J$3:$J$225,Q89)="","Available",INDEX('Draft Board'!$J$3:$J$225,Q89))</f>
        <v>Available</v>
      </c>
      <c r="Z89">
        <f t="shared" si="21"/>
        <v>39</v>
      </c>
    </row>
    <row r="90" spans="1:26" x14ac:dyDescent="0.25">
      <c r="A90" t="str">
        <f>'LIVE SOURCE'!A90</f>
        <v>WR</v>
      </c>
      <c r="B90" t="str">
        <f>'LIVE SOURCE'!B90</f>
        <v>CeeDee Lamb</v>
      </c>
      <c r="C90" s="4">
        <f>'LIVE SOURCE'!D90</f>
        <v>85.742599999999996</v>
      </c>
      <c r="D90" s="4">
        <f>'Manual Adjustments'!G90</f>
        <v>0</v>
      </c>
      <c r="E90" s="4">
        <f t="shared" si="11"/>
        <v>85.742599999999996</v>
      </c>
      <c r="F90">
        <f>COUNTIFS($A$3:$A$225,A90,$E$3:$E$225,"&gt;"&amp;E90)+COUNTIFS($A$3:A90,A90,$E$3:E90,E90)</f>
        <v>11</v>
      </c>
      <c r="G90" s="4">
        <f>ROUND(INDEX('League Config'!$K$4:$K$9,MATCH(A90,'League Config'!$E$4:$E$9,0))*E90+INDEX('League Config'!$L$4:$L$9,MATCH(A90,'League Config'!$E$4:$E$9,0)),1)</f>
        <v>290.10000000000002</v>
      </c>
      <c r="H90">
        <f>INDEX('League Config'!$H$4:$H$9,MATCH(A90,'League Config'!$E$4:$E$9,0))</f>
        <v>33</v>
      </c>
      <c r="I90" s="4">
        <f>INDEX('League Config'!$I$4:$I$9,MATCH(A90,'League Config'!$E$4:$E$9,0))</f>
        <v>239.3</v>
      </c>
      <c r="J90" s="4">
        <f t="shared" si="12"/>
        <v>50.8</v>
      </c>
      <c r="K90" s="4">
        <f t="shared" si="13"/>
        <v>80.47999999999999</v>
      </c>
      <c r="L90" s="4">
        <f>MIN(100,MAX(0,(1-(F90-1)/(H90*1.5))*100*INDEX('League Config'!$J$4:$J$9,MATCH(A90,'League Config'!$E$4:$E$9,0))))</f>
        <v>87.7777777777778</v>
      </c>
      <c r="M90">
        <f>IF(A90="K",'League Config'!$B$14,IF(A90="DST",'League Config'!$B$15,IF(A90="QB",'League Config'!$B$16,0)))</f>
        <v>0</v>
      </c>
      <c r="N90" s="4">
        <f t="shared" si="14"/>
        <v>84.469096666666672</v>
      </c>
      <c r="O90" s="9">
        <f t="shared" si="15"/>
        <v>84.469096666666672</v>
      </c>
      <c r="P90" s="6">
        <f>IF(O90="","",COUNTIF($O$3:$O$225,"&gt;"&amp;O90)+COUNTIF($O$3:O90,O90))</f>
        <v>26</v>
      </c>
      <c r="Q90">
        <f t="shared" si="16"/>
        <v>26</v>
      </c>
      <c r="R90" s="4">
        <f>'LIVE SOURCE'!E90</f>
        <v>8</v>
      </c>
      <c r="S90" s="4">
        <f t="shared" si="17"/>
        <v>-18</v>
      </c>
      <c r="T90" t="str">
        <f>'LIVE SOURCE'!F90</f>
        <v>A</v>
      </c>
      <c r="U90" s="4">
        <f t="shared" si="18"/>
        <v>79.742599999999996</v>
      </c>
      <c r="V90" s="4">
        <f t="shared" si="19"/>
        <v>85.742599999999996</v>
      </c>
      <c r="W90" s="4">
        <f t="shared" si="20"/>
        <v>91.742599999999996</v>
      </c>
      <c r="X90" t="str">
        <f>'LIVE SOURCE'!G90</f>
        <v>HISTORY FALLBACK</v>
      </c>
      <c r="Y90" t="str">
        <f>IF(INDEX('Draft Board'!$J$3:$J$225,Q90)="","Available",INDEX('Draft Board'!$J$3:$J$225,Q90))</f>
        <v>Available</v>
      </c>
      <c r="Z90">
        <f t="shared" si="21"/>
        <v>26</v>
      </c>
    </row>
    <row r="91" spans="1:26" x14ac:dyDescent="0.25">
      <c r="A91" t="str">
        <f>'LIVE SOURCE'!A91</f>
        <v>WR</v>
      </c>
      <c r="B91" t="str">
        <f>'LIVE SOURCE'!B91</f>
        <v>Justin Jefferson</v>
      </c>
      <c r="C91" s="4">
        <f>'LIVE SOURCE'!D91</f>
        <v>84.793599999999998</v>
      </c>
      <c r="D91" s="4">
        <f>'Manual Adjustments'!G91</f>
        <v>0</v>
      </c>
      <c r="E91" s="4">
        <f t="shared" si="11"/>
        <v>84.793599999999998</v>
      </c>
      <c r="F91">
        <f>COUNTIFS($A$3:$A$225,A91,$E$3:$E$225,"&gt;"&amp;E91)+COUNTIFS($A$3:A91,A91,$E$3:E91,E91)</f>
        <v>14</v>
      </c>
      <c r="G91" s="4">
        <f>ROUND(INDEX('League Config'!$K$4:$K$9,MATCH(A91,'League Config'!$E$4:$E$9,0))*E91+INDEX('League Config'!$L$4:$L$9,MATCH(A91,'League Config'!$E$4:$E$9,0)),1)</f>
        <v>286.10000000000002</v>
      </c>
      <c r="H91">
        <f>INDEX('League Config'!$H$4:$H$9,MATCH(A91,'League Config'!$E$4:$E$9,0))</f>
        <v>33</v>
      </c>
      <c r="I91" s="4">
        <f>INDEX('League Config'!$I$4:$I$9,MATCH(A91,'League Config'!$E$4:$E$9,0))</f>
        <v>239.3</v>
      </c>
      <c r="J91" s="4">
        <f t="shared" si="12"/>
        <v>46.8</v>
      </c>
      <c r="K91" s="4">
        <f t="shared" si="13"/>
        <v>78.08</v>
      </c>
      <c r="L91" s="4">
        <f>MIN(100,MAX(0,(1-(F91-1)/(H91*1.5))*100*INDEX('League Config'!$J$4:$J$9,MATCH(A91,'League Config'!$E$4:$E$9,0))))</f>
        <v>81.111111111111114</v>
      </c>
      <c r="M91">
        <f>IF(A91="K",'League Config'!$B$14,IF(A91="DST",'League Config'!$B$15,IF(A91="QB",'League Config'!$B$16,0)))</f>
        <v>0</v>
      </c>
      <c r="N91" s="4">
        <f t="shared" si="14"/>
        <v>82.227146666666684</v>
      </c>
      <c r="O91" s="9">
        <f t="shared" si="15"/>
        <v>82.227146666666684</v>
      </c>
      <c r="P91" s="6">
        <f>IF(O91="","",COUNTIF($O$3:$O$225,"&gt;"&amp;O91)+COUNTIF($O$3:O91,O91))</f>
        <v>32</v>
      </c>
      <c r="Q91">
        <f t="shared" si="16"/>
        <v>32</v>
      </c>
      <c r="R91" s="4">
        <f>'LIVE SOURCE'!E91</f>
        <v>9</v>
      </c>
      <c r="S91" s="4">
        <f t="shared" si="17"/>
        <v>-23</v>
      </c>
      <c r="T91" t="str">
        <f>'LIVE SOURCE'!F91</f>
        <v>A</v>
      </c>
      <c r="U91" s="4">
        <f t="shared" si="18"/>
        <v>78.793599999999998</v>
      </c>
      <c r="V91" s="4">
        <f t="shared" si="19"/>
        <v>84.793599999999998</v>
      </c>
      <c r="W91" s="4">
        <f t="shared" si="20"/>
        <v>90.793599999999998</v>
      </c>
      <c r="X91" t="str">
        <f>'LIVE SOURCE'!G91</f>
        <v>HISTORY FALLBACK</v>
      </c>
      <c r="Y91" t="str">
        <f>IF(INDEX('Draft Board'!$J$3:$J$225,Q91)="","Available",INDEX('Draft Board'!$J$3:$J$225,Q91))</f>
        <v>Available</v>
      </c>
      <c r="Z91">
        <f t="shared" si="21"/>
        <v>32</v>
      </c>
    </row>
    <row r="92" spans="1:26" x14ac:dyDescent="0.25">
      <c r="A92" t="str">
        <f>'LIVE SOURCE'!A92</f>
        <v>WR</v>
      </c>
      <c r="B92" t="str">
        <f>'LIVE SOURCE'!B92</f>
        <v>George Pickens</v>
      </c>
      <c r="C92" s="4">
        <f>'LIVE SOURCE'!D92</f>
        <v>81.836600000000004</v>
      </c>
      <c r="D92" s="4">
        <f>'Manual Adjustments'!G92</f>
        <v>0</v>
      </c>
      <c r="E92" s="4">
        <f t="shared" si="11"/>
        <v>81.836600000000004</v>
      </c>
      <c r="F92">
        <f>COUNTIFS($A$3:$A$225,A92,$E$3:$E$225,"&gt;"&amp;E92)+COUNTIFS($A$3:A92,A92,$E$3:E92,E92)</f>
        <v>19</v>
      </c>
      <c r="G92" s="4">
        <f>ROUND(INDEX('League Config'!$K$4:$K$9,MATCH(A92,'League Config'!$E$4:$E$9,0))*E92+INDEX('League Config'!$L$4:$L$9,MATCH(A92,'League Config'!$E$4:$E$9,0)),1)</f>
        <v>273.7</v>
      </c>
      <c r="H92">
        <f>INDEX('League Config'!$H$4:$H$9,MATCH(A92,'League Config'!$E$4:$E$9,0))</f>
        <v>33</v>
      </c>
      <c r="I92" s="4">
        <f>INDEX('League Config'!$I$4:$I$9,MATCH(A92,'League Config'!$E$4:$E$9,0))</f>
        <v>239.3</v>
      </c>
      <c r="J92" s="4">
        <f t="shared" si="12"/>
        <v>34.4</v>
      </c>
      <c r="K92" s="4">
        <f t="shared" si="13"/>
        <v>70.64</v>
      </c>
      <c r="L92" s="4">
        <f>MIN(100,MAX(0,(1-(F92-1)/(H92*1.5))*100*INDEX('League Config'!$J$4:$J$9,MATCH(A92,'League Config'!$E$4:$E$9,0))))</f>
        <v>70</v>
      </c>
      <c r="M92">
        <f>IF(A92="K",'League Config'!$B$14,IF(A92="DST",'League Config'!$B$15,IF(A92="QB",'League Config'!$B$16,0)))</f>
        <v>0</v>
      </c>
      <c r="N92" s="4">
        <f t="shared" si="14"/>
        <v>76.702130000000011</v>
      </c>
      <c r="O92" s="9">
        <f t="shared" si="15"/>
        <v>76.702130000000011</v>
      </c>
      <c r="P92" s="6">
        <f>IF(O92="","",COUNTIF($O$3:$O$225,"&gt;"&amp;O92)+COUNTIF($O$3:O92,O92))</f>
        <v>47</v>
      </c>
      <c r="Q92">
        <f t="shared" si="16"/>
        <v>47</v>
      </c>
      <c r="R92" s="4">
        <f>'LIVE SOURCE'!E92</f>
        <v>16</v>
      </c>
      <c r="S92" s="4">
        <f t="shared" si="17"/>
        <v>-31</v>
      </c>
      <c r="T92" t="str">
        <f>'LIVE SOURCE'!F92</f>
        <v>A</v>
      </c>
      <c r="U92" s="4">
        <f t="shared" si="18"/>
        <v>75.836600000000004</v>
      </c>
      <c r="V92" s="4">
        <f t="shared" si="19"/>
        <v>81.836600000000004</v>
      </c>
      <c r="W92" s="4">
        <f t="shared" si="20"/>
        <v>87.836600000000004</v>
      </c>
      <c r="X92" t="str">
        <f>'LIVE SOURCE'!G92</f>
        <v>HISTORY FALLBACK</v>
      </c>
      <c r="Y92" t="str">
        <f>IF(INDEX('Draft Board'!$J$3:$J$225,Q92)="","Available",INDEX('Draft Board'!$J$3:$J$225,Q92))</f>
        <v>Available</v>
      </c>
      <c r="Z92">
        <f t="shared" si="21"/>
        <v>47</v>
      </c>
    </row>
    <row r="93" spans="1:26" x14ac:dyDescent="0.25">
      <c r="A93" t="str">
        <f>'LIVE SOURCE'!A93</f>
        <v>WR</v>
      </c>
      <c r="B93" t="str">
        <f>'LIVE SOURCE'!B93</f>
        <v>Drake London</v>
      </c>
      <c r="C93" s="4">
        <f>'LIVE SOURCE'!D93</f>
        <v>87.510599999999997</v>
      </c>
      <c r="D93" s="4">
        <f>'Manual Adjustments'!G93</f>
        <v>0</v>
      </c>
      <c r="E93" s="4">
        <f t="shared" si="11"/>
        <v>87.510599999999997</v>
      </c>
      <c r="F93">
        <f>COUNTIFS($A$3:$A$225,A93,$E$3:$E$225,"&gt;"&amp;E93)+COUNTIFS($A$3:A93,A93,$E$3:E93,E93)</f>
        <v>7</v>
      </c>
      <c r="G93" s="4">
        <f>ROUND(INDEX('League Config'!$K$4:$K$9,MATCH(A93,'League Config'!$E$4:$E$9,0))*E93+INDEX('League Config'!$L$4:$L$9,MATCH(A93,'League Config'!$E$4:$E$9,0)),1)</f>
        <v>297.5</v>
      </c>
      <c r="H93">
        <f>INDEX('League Config'!$H$4:$H$9,MATCH(A93,'League Config'!$E$4:$E$9,0))</f>
        <v>33</v>
      </c>
      <c r="I93" s="4">
        <f>INDEX('League Config'!$I$4:$I$9,MATCH(A93,'League Config'!$E$4:$E$9,0))</f>
        <v>239.3</v>
      </c>
      <c r="J93" s="4">
        <f t="shared" si="12"/>
        <v>58.2</v>
      </c>
      <c r="K93" s="4">
        <f t="shared" si="13"/>
        <v>84.92</v>
      </c>
      <c r="L93" s="4">
        <f>MIN(100,MAX(0,(1-(F93-1)/(H93*1.5))*100*INDEX('League Config'!$J$4:$J$9,MATCH(A93,'League Config'!$E$4:$E$9,0))))</f>
        <v>96.666666666666671</v>
      </c>
      <c r="M93">
        <f>IF(A93="K",'League Config'!$B$14,IF(A93="DST",'League Config'!$B$15,IF(A93="QB",'League Config'!$B$16,0)))</f>
        <v>0</v>
      </c>
      <c r="N93" s="4">
        <f t="shared" si="14"/>
        <v>88.106830000000002</v>
      </c>
      <c r="O93" s="9">
        <f t="shared" si="15"/>
        <v>88.106830000000002</v>
      </c>
      <c r="P93" s="6">
        <f>IF(O93="","",COUNTIF($O$3:$O$225,"&gt;"&amp;O93)+COUNTIF($O$3:O93,O93))</f>
        <v>18</v>
      </c>
      <c r="Q93">
        <f t="shared" si="16"/>
        <v>18</v>
      </c>
      <c r="R93" s="4">
        <f>'LIVE SOURCE'!E93</f>
        <v>10</v>
      </c>
      <c r="S93" s="4">
        <f t="shared" si="17"/>
        <v>-8</v>
      </c>
      <c r="T93" t="str">
        <f>'LIVE SOURCE'!F93</f>
        <v>A</v>
      </c>
      <c r="U93" s="4">
        <f t="shared" si="18"/>
        <v>81.510599999999997</v>
      </c>
      <c r="V93" s="4">
        <f t="shared" si="19"/>
        <v>87.510599999999997</v>
      </c>
      <c r="W93" s="4">
        <f t="shared" si="20"/>
        <v>93.510599999999997</v>
      </c>
      <c r="X93" t="str">
        <f>'LIVE SOURCE'!G93</f>
        <v>HISTORY FALLBACK</v>
      </c>
      <c r="Y93" t="str">
        <f>IF(INDEX('Draft Board'!$J$3:$J$225,Q93)="","Available",INDEX('Draft Board'!$J$3:$J$225,Q93))</f>
        <v>Available</v>
      </c>
      <c r="Z93">
        <f t="shared" si="21"/>
        <v>18</v>
      </c>
    </row>
    <row r="94" spans="1:26" x14ac:dyDescent="0.25">
      <c r="A94" t="str">
        <f>'LIVE SOURCE'!A94</f>
        <v>WR</v>
      </c>
      <c r="B94" t="str">
        <f>'LIVE SOURCE'!B94</f>
        <v>Nico Collins</v>
      </c>
      <c r="C94" s="4">
        <f>'LIVE SOURCE'!D94</f>
        <v>91.492500000000007</v>
      </c>
      <c r="D94" s="4">
        <f>'Manual Adjustments'!G94</f>
        <v>0</v>
      </c>
      <c r="E94" s="4">
        <f t="shared" si="11"/>
        <v>91.492500000000007</v>
      </c>
      <c r="F94">
        <f>COUNTIFS($A$3:$A$225,A94,$E$3:$E$225,"&gt;"&amp;E94)+COUNTIFS($A$3:A94,A94,$E$3:E94,E94)</f>
        <v>5</v>
      </c>
      <c r="G94" s="4">
        <f>ROUND(INDEX('League Config'!$K$4:$K$9,MATCH(A94,'League Config'!$E$4:$E$9,0))*E94+INDEX('League Config'!$L$4:$L$9,MATCH(A94,'League Config'!$E$4:$E$9,0)),1)</f>
        <v>314.3</v>
      </c>
      <c r="H94">
        <f>INDEX('League Config'!$H$4:$H$9,MATCH(A94,'League Config'!$E$4:$E$9,0))</f>
        <v>33</v>
      </c>
      <c r="I94" s="4">
        <f>INDEX('League Config'!$I$4:$I$9,MATCH(A94,'League Config'!$E$4:$E$9,0))</f>
        <v>239.3</v>
      </c>
      <c r="J94" s="4">
        <f t="shared" si="12"/>
        <v>75</v>
      </c>
      <c r="K94" s="4">
        <f t="shared" si="13"/>
        <v>95</v>
      </c>
      <c r="L94" s="4">
        <f>MIN(100,MAX(0,(1-(F94-1)/(H94*1.5))*100*INDEX('League Config'!$J$4:$J$9,MATCH(A94,'League Config'!$E$4:$E$9,0))))</f>
        <v>100</v>
      </c>
      <c r="M94">
        <f>IF(A94="K",'League Config'!$B$14,IF(A94="DST",'League Config'!$B$15,IF(A94="QB",'League Config'!$B$16,0)))</f>
        <v>0</v>
      </c>
      <c r="N94" s="4">
        <f t="shared" si="14"/>
        <v>93.820875000000001</v>
      </c>
      <c r="O94" s="9">
        <f t="shared" si="15"/>
        <v>93.820875000000001</v>
      </c>
      <c r="P94" s="6">
        <f>IF(O94="","",COUNTIF($O$3:$O$225,"&gt;"&amp;O94)+COUNTIF($O$3:O94,O94))</f>
        <v>9</v>
      </c>
      <c r="Q94">
        <f t="shared" si="16"/>
        <v>9</v>
      </c>
      <c r="R94" s="4">
        <f>'LIVE SOURCE'!E94</f>
        <v>12</v>
      </c>
      <c r="S94" s="4">
        <f t="shared" si="17"/>
        <v>3</v>
      </c>
      <c r="T94" t="str">
        <f>'LIVE SOURCE'!F94</f>
        <v>B</v>
      </c>
      <c r="U94" s="4">
        <f t="shared" si="18"/>
        <v>82.492500000000007</v>
      </c>
      <c r="V94" s="4">
        <f t="shared" si="19"/>
        <v>91.492500000000007</v>
      </c>
      <c r="W94" s="4">
        <f t="shared" si="20"/>
        <v>100</v>
      </c>
      <c r="X94" t="str">
        <f>'LIVE SOURCE'!G94</f>
        <v>HISTORY FALLBACK</v>
      </c>
      <c r="Y94" t="str">
        <f>IF(INDEX('Draft Board'!$J$3:$J$225,Q94)="","Available",INDEX('Draft Board'!$J$3:$J$225,Q94))</f>
        <v>Available</v>
      </c>
      <c r="Z94">
        <f t="shared" si="21"/>
        <v>9</v>
      </c>
    </row>
    <row r="95" spans="1:26" x14ac:dyDescent="0.25">
      <c r="A95" t="str">
        <f>'LIVE SOURCE'!A95</f>
        <v>WR</v>
      </c>
      <c r="B95" t="str">
        <f>'LIVE SOURCE'!B95</f>
        <v>Rashee Rice</v>
      </c>
      <c r="C95" s="4">
        <f>'LIVE SOURCE'!D95</f>
        <v>84.094700000000003</v>
      </c>
      <c r="D95" s="4">
        <f>'Manual Adjustments'!G95</f>
        <v>0</v>
      </c>
      <c r="E95" s="4">
        <f t="shared" si="11"/>
        <v>84.094700000000003</v>
      </c>
      <c r="F95">
        <f>COUNTIFS($A$3:$A$225,A95,$E$3:$E$225,"&gt;"&amp;E95)+COUNTIFS($A$3:A95,A95,$E$3:E95,E95)</f>
        <v>15</v>
      </c>
      <c r="G95" s="4">
        <f>ROUND(INDEX('League Config'!$K$4:$K$9,MATCH(A95,'League Config'!$E$4:$E$9,0))*E95+INDEX('League Config'!$L$4:$L$9,MATCH(A95,'League Config'!$E$4:$E$9,0)),1)</f>
        <v>283.2</v>
      </c>
      <c r="H95">
        <f>INDEX('League Config'!$H$4:$H$9,MATCH(A95,'League Config'!$E$4:$E$9,0))</f>
        <v>33</v>
      </c>
      <c r="I95" s="4">
        <f>INDEX('League Config'!$I$4:$I$9,MATCH(A95,'League Config'!$E$4:$E$9,0))</f>
        <v>239.3</v>
      </c>
      <c r="J95" s="4">
        <f t="shared" si="12"/>
        <v>43.9</v>
      </c>
      <c r="K95" s="4">
        <f t="shared" si="13"/>
        <v>76.34</v>
      </c>
      <c r="L95" s="4">
        <f>MIN(100,MAX(0,(1-(F95-1)/(H95*1.5))*100*INDEX('League Config'!$J$4:$J$9,MATCH(A95,'League Config'!$E$4:$E$9,0))))</f>
        <v>78.888888888888886</v>
      </c>
      <c r="M95">
        <f>IF(A95="K",'League Config'!$B$14,IF(A95="DST",'League Config'!$B$15,IF(A95="QB",'League Config'!$B$16,0)))</f>
        <v>0</v>
      </c>
      <c r="N95" s="4">
        <f t="shared" si="14"/>
        <v>80.987418333333338</v>
      </c>
      <c r="O95" s="9">
        <f t="shared" si="15"/>
        <v>80.987418333333338</v>
      </c>
      <c r="P95" s="6">
        <f>IF(O95="","",COUNTIF($O$3:$O$225,"&gt;"&amp;O95)+COUNTIF($O$3:O95,O95))</f>
        <v>35</v>
      </c>
      <c r="Q95">
        <f t="shared" si="16"/>
        <v>35</v>
      </c>
      <c r="R95" s="4">
        <f>'LIVE SOURCE'!E95</f>
        <v>22</v>
      </c>
      <c r="S95" s="4">
        <f t="shared" si="17"/>
        <v>-13</v>
      </c>
      <c r="T95" t="str">
        <f>'LIVE SOURCE'!F95</f>
        <v>A</v>
      </c>
      <c r="U95" s="4">
        <f t="shared" si="18"/>
        <v>78.094700000000003</v>
      </c>
      <c r="V95" s="4">
        <f t="shared" si="19"/>
        <v>84.094700000000003</v>
      </c>
      <c r="W95" s="4">
        <f t="shared" si="20"/>
        <v>90.094700000000003</v>
      </c>
      <c r="X95" t="str">
        <f>'LIVE SOURCE'!G95</f>
        <v>HISTORY FALLBACK</v>
      </c>
      <c r="Y95" t="str">
        <f>IF(INDEX('Draft Board'!$J$3:$J$225,Q95)="","Available",INDEX('Draft Board'!$J$3:$J$225,Q95))</f>
        <v>Available</v>
      </c>
      <c r="Z95">
        <f t="shared" si="21"/>
        <v>35</v>
      </c>
    </row>
    <row r="96" spans="1:26" x14ac:dyDescent="0.25">
      <c r="A96" t="str">
        <f>'LIVE SOURCE'!A96</f>
        <v>WR</v>
      </c>
      <c r="B96" t="str">
        <f>'LIVE SOURCE'!B96</f>
        <v>Chris Olave</v>
      </c>
      <c r="C96" s="4">
        <f>'LIVE SOURCE'!D96</f>
        <v>88.907499999999999</v>
      </c>
      <c r="D96" s="4">
        <f>'Manual Adjustments'!G96</f>
        <v>0</v>
      </c>
      <c r="E96" s="4">
        <f t="shared" si="11"/>
        <v>88.907499999999999</v>
      </c>
      <c r="F96">
        <f>COUNTIFS($A$3:$A$225,A96,$E$3:$E$225,"&gt;"&amp;E96)+COUNTIFS($A$3:A96,A96,$E$3:E96,E96)</f>
        <v>6</v>
      </c>
      <c r="G96" s="4">
        <f>ROUND(INDEX('League Config'!$K$4:$K$9,MATCH(A96,'League Config'!$E$4:$E$9,0))*E96+INDEX('League Config'!$L$4:$L$9,MATCH(A96,'League Config'!$E$4:$E$9,0)),1)</f>
        <v>303.39999999999998</v>
      </c>
      <c r="H96">
        <f>INDEX('League Config'!$H$4:$H$9,MATCH(A96,'League Config'!$E$4:$E$9,0))</f>
        <v>33</v>
      </c>
      <c r="I96" s="4">
        <f>INDEX('League Config'!$I$4:$I$9,MATCH(A96,'League Config'!$E$4:$E$9,0))</f>
        <v>239.3</v>
      </c>
      <c r="J96" s="4">
        <f t="shared" si="12"/>
        <v>64.099999999999994</v>
      </c>
      <c r="K96" s="4">
        <f t="shared" si="13"/>
        <v>88.46</v>
      </c>
      <c r="L96" s="4">
        <f>MIN(100,MAX(0,(1-(F96-1)/(H96*1.5))*100*INDEX('League Config'!$J$4:$J$9,MATCH(A96,'League Config'!$E$4:$E$9,0))))</f>
        <v>98.8888888888889</v>
      </c>
      <c r="M96">
        <f>IF(A96="K",'League Config'!$B$14,IF(A96="DST",'League Config'!$B$15,IF(A96="QB",'League Config'!$B$16,0)))</f>
        <v>0</v>
      </c>
      <c r="N96" s="4">
        <f t="shared" si="14"/>
        <v>90.270458333333337</v>
      </c>
      <c r="O96" s="9">
        <f t="shared" si="15"/>
        <v>90.270458333333337</v>
      </c>
      <c r="P96" s="6">
        <f>IF(O96="","",COUNTIF($O$3:$O$225,"&gt;"&amp;O96)+COUNTIF($O$3:O96,O96))</f>
        <v>13</v>
      </c>
      <c r="Q96">
        <f t="shared" si="16"/>
        <v>13</v>
      </c>
      <c r="R96" s="4">
        <f>'LIVE SOURCE'!E96</f>
        <v>19</v>
      </c>
      <c r="S96" s="4">
        <f t="shared" si="17"/>
        <v>6</v>
      </c>
      <c r="T96" t="str">
        <f>'LIVE SOURCE'!F96</f>
        <v>B</v>
      </c>
      <c r="U96" s="4">
        <f t="shared" si="18"/>
        <v>79.907499999999999</v>
      </c>
      <c r="V96" s="4">
        <f t="shared" si="19"/>
        <v>88.907499999999999</v>
      </c>
      <c r="W96" s="4">
        <f t="shared" si="20"/>
        <v>97.907499999999999</v>
      </c>
      <c r="X96" t="str">
        <f>'LIVE SOURCE'!G96</f>
        <v>HISTORY FALLBACK</v>
      </c>
      <c r="Y96" t="str">
        <f>IF(INDEX('Draft Board'!$J$3:$J$225,Q96)="","Available",INDEX('Draft Board'!$J$3:$J$225,Q96))</f>
        <v>Available</v>
      </c>
      <c r="Z96">
        <f t="shared" si="21"/>
        <v>13</v>
      </c>
    </row>
    <row r="97" spans="1:26" x14ac:dyDescent="0.25">
      <c r="A97" t="str">
        <f>'LIVE SOURCE'!A97</f>
        <v>WR</v>
      </c>
      <c r="B97" t="str">
        <f>'LIVE SOURCE'!B97</f>
        <v>Tetairoa McMillan</v>
      </c>
      <c r="C97" s="4">
        <f>'LIVE SOURCE'!D97</f>
        <v>85.74</v>
      </c>
      <c r="D97" s="4">
        <f>'Manual Adjustments'!G97</f>
        <v>0</v>
      </c>
      <c r="E97" s="4">
        <f t="shared" si="11"/>
        <v>85.74</v>
      </c>
      <c r="F97">
        <f>COUNTIFS($A$3:$A$225,A97,$E$3:$E$225,"&gt;"&amp;E97)+COUNTIFS($A$3:A97,A97,$E$3:E97,E97)</f>
        <v>12</v>
      </c>
      <c r="G97" s="4">
        <f>ROUND(INDEX('League Config'!$K$4:$K$9,MATCH(A97,'League Config'!$E$4:$E$9,0))*E97+INDEX('League Config'!$L$4:$L$9,MATCH(A97,'League Config'!$E$4:$E$9,0)),1)</f>
        <v>290.10000000000002</v>
      </c>
      <c r="H97">
        <f>INDEX('League Config'!$H$4:$H$9,MATCH(A97,'League Config'!$E$4:$E$9,0))</f>
        <v>33</v>
      </c>
      <c r="I97" s="4">
        <f>INDEX('League Config'!$I$4:$I$9,MATCH(A97,'League Config'!$E$4:$E$9,0))</f>
        <v>239.3</v>
      </c>
      <c r="J97" s="4">
        <f t="shared" si="12"/>
        <v>50.8</v>
      </c>
      <c r="K97" s="4">
        <f t="shared" si="13"/>
        <v>80.47999999999999</v>
      </c>
      <c r="L97" s="4">
        <f>MIN(100,MAX(0,(1-(F97-1)/(H97*1.5))*100*INDEX('League Config'!$J$4:$J$9,MATCH(A97,'League Config'!$E$4:$E$9,0))))</f>
        <v>85.555555555555571</v>
      </c>
      <c r="M97">
        <f>IF(A97="K",'League Config'!$B$14,IF(A97="DST",'League Config'!$B$15,IF(A97="QB",'League Config'!$B$16,0)))</f>
        <v>0</v>
      </c>
      <c r="N97" s="4">
        <f t="shared" si="14"/>
        <v>84.134333333333331</v>
      </c>
      <c r="O97" s="9">
        <f t="shared" si="15"/>
        <v>84.134333333333331</v>
      </c>
      <c r="P97" s="6">
        <f>IF(O97="","",COUNTIF($O$3:$O$225,"&gt;"&amp;O97)+COUNTIF($O$3:O97,O97))</f>
        <v>28</v>
      </c>
      <c r="Q97">
        <f t="shared" si="16"/>
        <v>28</v>
      </c>
      <c r="R97" s="4">
        <f>'LIVE SOURCE'!E97</f>
        <v>49.8</v>
      </c>
      <c r="S97" s="4">
        <f t="shared" si="17"/>
        <v>21.799999999999997</v>
      </c>
      <c r="T97" t="str">
        <f>'LIVE SOURCE'!F97</f>
        <v>B</v>
      </c>
      <c r="U97" s="4">
        <f t="shared" si="18"/>
        <v>76.739999999999995</v>
      </c>
      <c r="V97" s="4">
        <f t="shared" si="19"/>
        <v>85.74</v>
      </c>
      <c r="W97" s="4">
        <f t="shared" si="20"/>
        <v>94.74</v>
      </c>
      <c r="X97" t="str">
        <f>'LIVE SOURCE'!G97</f>
        <v>HISTORY FALLBACK</v>
      </c>
      <c r="Y97" t="str">
        <f>IF(INDEX('Draft Board'!$J$3:$J$225,Q97)="","Available",INDEX('Draft Board'!$J$3:$J$225,Q97))</f>
        <v>Available</v>
      </c>
      <c r="Z97">
        <f t="shared" si="21"/>
        <v>28</v>
      </c>
    </row>
    <row r="98" spans="1:26" x14ac:dyDescent="0.25">
      <c r="A98" t="str">
        <f>'LIVE SOURCE'!A98</f>
        <v>WR</v>
      </c>
      <c r="B98" t="str">
        <f>'LIVE SOURCE'!B98</f>
        <v>Tee Higgins</v>
      </c>
      <c r="C98" s="4">
        <f>'LIVE SOURCE'!D98</f>
        <v>84.822500000000005</v>
      </c>
      <c r="D98" s="4">
        <f>'Manual Adjustments'!G98</f>
        <v>0</v>
      </c>
      <c r="E98" s="4">
        <f t="shared" si="11"/>
        <v>84.822500000000005</v>
      </c>
      <c r="F98">
        <f>COUNTIFS($A$3:$A$225,A98,$E$3:$E$225,"&gt;"&amp;E98)+COUNTIFS($A$3:A98,A98,$E$3:E98,E98)</f>
        <v>13</v>
      </c>
      <c r="G98" s="4">
        <f>ROUND(INDEX('League Config'!$K$4:$K$9,MATCH(A98,'League Config'!$E$4:$E$9,0))*E98+INDEX('League Config'!$L$4:$L$9,MATCH(A98,'League Config'!$E$4:$E$9,0)),1)</f>
        <v>286.3</v>
      </c>
      <c r="H98">
        <f>INDEX('League Config'!$H$4:$H$9,MATCH(A98,'League Config'!$E$4:$E$9,0))</f>
        <v>33</v>
      </c>
      <c r="I98" s="4">
        <f>INDEX('League Config'!$I$4:$I$9,MATCH(A98,'League Config'!$E$4:$E$9,0))</f>
        <v>239.3</v>
      </c>
      <c r="J98" s="4">
        <f t="shared" si="12"/>
        <v>47</v>
      </c>
      <c r="K98" s="4">
        <f t="shared" si="13"/>
        <v>78.2</v>
      </c>
      <c r="L98" s="4">
        <f>MIN(100,MAX(0,(1-(F98-1)/(H98*1.5))*100*INDEX('League Config'!$J$4:$J$9,MATCH(A98,'League Config'!$E$4:$E$9,0))))</f>
        <v>83.333333333333329</v>
      </c>
      <c r="M98">
        <f>IF(A98="K",'League Config'!$B$14,IF(A98="DST",'League Config'!$B$15,IF(A98="QB",'League Config'!$B$16,0)))</f>
        <v>0</v>
      </c>
      <c r="N98" s="4">
        <f t="shared" si="14"/>
        <v>82.612375000000014</v>
      </c>
      <c r="O98" s="9">
        <f t="shared" si="15"/>
        <v>82.612375000000014</v>
      </c>
      <c r="P98" s="6">
        <f>IF(O98="","",COUNTIF($O$3:$O$225,"&gt;"&amp;O98)+COUNTIF($O$3:O98,O98))</f>
        <v>31</v>
      </c>
      <c r="Q98">
        <f t="shared" si="16"/>
        <v>31</v>
      </c>
      <c r="R98" s="4">
        <f>'LIVE SOURCE'!E98</f>
        <v>53.7</v>
      </c>
      <c r="S98" s="4">
        <f t="shared" si="17"/>
        <v>22.700000000000003</v>
      </c>
      <c r="T98" t="str">
        <f>'LIVE SOURCE'!F98</f>
        <v>B</v>
      </c>
      <c r="U98" s="4">
        <f t="shared" si="18"/>
        <v>75.822500000000005</v>
      </c>
      <c r="V98" s="4">
        <f t="shared" si="19"/>
        <v>84.822500000000005</v>
      </c>
      <c r="W98" s="4">
        <f t="shared" si="20"/>
        <v>93.822500000000005</v>
      </c>
      <c r="X98" t="str">
        <f>'LIVE SOURCE'!G98</f>
        <v>HISTORY FALLBACK</v>
      </c>
      <c r="Y98" t="str">
        <f>IF(INDEX('Draft Board'!$J$3:$J$225,Q98)="","Available",INDEX('Draft Board'!$J$3:$J$225,Q98))</f>
        <v>Available</v>
      </c>
      <c r="Z98">
        <f t="shared" si="21"/>
        <v>31</v>
      </c>
    </row>
    <row r="99" spans="1:26" x14ac:dyDescent="0.25">
      <c r="A99" t="str">
        <f>'LIVE SOURCE'!A99</f>
        <v>WR</v>
      </c>
      <c r="B99" t="str">
        <f>'LIVE SOURCE'!B99</f>
        <v>Garrett Wilson</v>
      </c>
      <c r="C99" s="4">
        <f>'LIVE SOURCE'!D99</f>
        <v>86.155000000000001</v>
      </c>
      <c r="D99" s="4">
        <f>'Manual Adjustments'!G99</f>
        <v>0</v>
      </c>
      <c r="E99" s="4">
        <f t="shared" si="11"/>
        <v>86.155000000000001</v>
      </c>
      <c r="F99">
        <f>COUNTIFS($A$3:$A$225,A99,$E$3:$E$225,"&gt;"&amp;E99)+COUNTIFS($A$3:A99,A99,$E$3:E99,E99)</f>
        <v>10</v>
      </c>
      <c r="G99" s="4">
        <f>ROUND(INDEX('League Config'!$K$4:$K$9,MATCH(A99,'League Config'!$E$4:$E$9,0))*E99+INDEX('League Config'!$L$4:$L$9,MATCH(A99,'League Config'!$E$4:$E$9,0)),1)</f>
        <v>291.89999999999998</v>
      </c>
      <c r="H99">
        <f>INDEX('League Config'!$H$4:$H$9,MATCH(A99,'League Config'!$E$4:$E$9,0))</f>
        <v>33</v>
      </c>
      <c r="I99" s="4">
        <f>INDEX('League Config'!$I$4:$I$9,MATCH(A99,'League Config'!$E$4:$E$9,0))</f>
        <v>239.3</v>
      </c>
      <c r="J99" s="4">
        <f t="shared" si="12"/>
        <v>52.6</v>
      </c>
      <c r="K99" s="4">
        <f t="shared" si="13"/>
        <v>81.56</v>
      </c>
      <c r="L99" s="4">
        <f>MIN(100,MAX(0,(1-(F99-1)/(H99*1.5))*100*INDEX('League Config'!$J$4:$J$9,MATCH(A99,'League Config'!$E$4:$E$9,0))))</f>
        <v>90</v>
      </c>
      <c r="M99">
        <f>IF(A99="K",'League Config'!$B$14,IF(A99="DST",'League Config'!$B$15,IF(A99="QB",'League Config'!$B$16,0)))</f>
        <v>0</v>
      </c>
      <c r="N99" s="4">
        <f t="shared" si="14"/>
        <v>85.353250000000003</v>
      </c>
      <c r="O99" s="9">
        <f t="shared" si="15"/>
        <v>85.353250000000003</v>
      </c>
      <c r="P99" s="6">
        <f>IF(O99="","",COUNTIF($O$3:$O$225,"&gt;"&amp;O99)+COUNTIF($O$3:O99,O99))</f>
        <v>23</v>
      </c>
      <c r="Q99">
        <f t="shared" si="16"/>
        <v>23</v>
      </c>
      <c r="R99" s="4">
        <f>'LIVE SOURCE'!E99</f>
        <v>57.6</v>
      </c>
      <c r="S99" s="4">
        <f t="shared" si="17"/>
        <v>34.6</v>
      </c>
      <c r="T99" t="str">
        <f>'LIVE SOURCE'!F99</f>
        <v>B</v>
      </c>
      <c r="U99" s="4">
        <f t="shared" si="18"/>
        <v>77.155000000000001</v>
      </c>
      <c r="V99" s="4">
        <f t="shared" si="19"/>
        <v>86.155000000000001</v>
      </c>
      <c r="W99" s="4">
        <f t="shared" si="20"/>
        <v>95.155000000000001</v>
      </c>
      <c r="X99" t="str">
        <f>'LIVE SOURCE'!G99</f>
        <v>HISTORY FALLBACK</v>
      </c>
      <c r="Y99" t="str">
        <f>IF(INDEX('Draft Board'!$J$3:$J$225,Q99)="","Available",INDEX('Draft Board'!$J$3:$J$225,Q99))</f>
        <v>Available</v>
      </c>
      <c r="Z99">
        <f t="shared" si="21"/>
        <v>23</v>
      </c>
    </row>
    <row r="100" spans="1:26" x14ac:dyDescent="0.25">
      <c r="A100" t="str">
        <f>'LIVE SOURCE'!A100</f>
        <v>WR</v>
      </c>
      <c r="B100" t="str">
        <f>'LIVE SOURCE'!B100</f>
        <v>DeVonta Smith</v>
      </c>
      <c r="C100" s="4">
        <f>'LIVE SOURCE'!D100</f>
        <v>87.487499999999997</v>
      </c>
      <c r="D100" s="4">
        <f>'Manual Adjustments'!G100</f>
        <v>0</v>
      </c>
      <c r="E100" s="4">
        <f t="shared" si="11"/>
        <v>87.487499999999997</v>
      </c>
      <c r="F100">
        <f>COUNTIFS($A$3:$A$225,A100,$E$3:$E$225,"&gt;"&amp;E100)+COUNTIFS($A$3:A100,A100,$E$3:E100,E100)</f>
        <v>8</v>
      </c>
      <c r="G100" s="4">
        <f>ROUND(INDEX('League Config'!$K$4:$K$9,MATCH(A100,'League Config'!$E$4:$E$9,0))*E100+INDEX('League Config'!$L$4:$L$9,MATCH(A100,'League Config'!$E$4:$E$9,0)),1)</f>
        <v>297.39999999999998</v>
      </c>
      <c r="H100">
        <f>INDEX('League Config'!$H$4:$H$9,MATCH(A100,'League Config'!$E$4:$E$9,0))</f>
        <v>33</v>
      </c>
      <c r="I100" s="4">
        <f>INDEX('League Config'!$I$4:$I$9,MATCH(A100,'League Config'!$E$4:$E$9,0))</f>
        <v>239.3</v>
      </c>
      <c r="J100" s="4">
        <f t="shared" si="12"/>
        <v>58.1</v>
      </c>
      <c r="K100" s="4">
        <f t="shared" si="13"/>
        <v>84.86</v>
      </c>
      <c r="L100" s="4">
        <f>MIN(100,MAX(0,(1-(F100-1)/(H100*1.5))*100*INDEX('League Config'!$J$4:$J$9,MATCH(A100,'League Config'!$E$4:$E$9,0))))</f>
        <v>94.444444444444443</v>
      </c>
      <c r="M100">
        <f>IF(A100="K",'League Config'!$B$14,IF(A100="DST",'League Config'!$B$15,IF(A100="QB",'League Config'!$B$16,0)))</f>
        <v>0</v>
      </c>
      <c r="N100" s="4">
        <f t="shared" si="14"/>
        <v>87.742791666666662</v>
      </c>
      <c r="O100" s="9">
        <f t="shared" si="15"/>
        <v>87.742791666666662</v>
      </c>
      <c r="P100" s="6">
        <f>IF(O100="","",COUNTIF($O$3:$O$225,"&gt;"&amp;O100)+COUNTIF($O$3:O100,O100))</f>
        <v>19</v>
      </c>
      <c r="Q100">
        <f t="shared" si="16"/>
        <v>19</v>
      </c>
      <c r="R100" s="4">
        <f>'LIVE SOURCE'!E100</f>
        <v>24</v>
      </c>
      <c r="S100" s="4">
        <f t="shared" si="17"/>
        <v>5</v>
      </c>
      <c r="T100" t="str">
        <f>'LIVE SOURCE'!F100</f>
        <v>B</v>
      </c>
      <c r="U100" s="4">
        <f t="shared" si="18"/>
        <v>78.487499999999997</v>
      </c>
      <c r="V100" s="4">
        <f t="shared" si="19"/>
        <v>87.487499999999997</v>
      </c>
      <c r="W100" s="4">
        <f t="shared" si="20"/>
        <v>96.487499999999997</v>
      </c>
      <c r="X100" t="str">
        <f>'LIVE SOURCE'!G100</f>
        <v>HISTORY FALLBACK</v>
      </c>
      <c r="Y100" t="str">
        <f>IF(INDEX('Draft Board'!$J$3:$J$225,Q100)="","Available",INDEX('Draft Board'!$J$3:$J$225,Q100))</f>
        <v>Available</v>
      </c>
      <c r="Z100">
        <f t="shared" si="21"/>
        <v>19</v>
      </c>
    </row>
    <row r="101" spans="1:26" x14ac:dyDescent="0.25">
      <c r="A101" t="str">
        <f>'LIVE SOURCE'!A101</f>
        <v>WR</v>
      </c>
      <c r="B101" t="str">
        <f>'LIVE SOURCE'!B101</f>
        <v>Zay Flowers</v>
      </c>
      <c r="C101" s="4">
        <f>'LIVE SOURCE'!D101</f>
        <v>86.57</v>
      </c>
      <c r="D101" s="4">
        <f>'Manual Adjustments'!G101</f>
        <v>0</v>
      </c>
      <c r="E101" s="4">
        <f t="shared" si="11"/>
        <v>86.57</v>
      </c>
      <c r="F101">
        <f>COUNTIFS($A$3:$A$225,A101,$E$3:$E$225,"&gt;"&amp;E101)+COUNTIFS($A$3:A101,A101,$E$3:E101,E101)</f>
        <v>9</v>
      </c>
      <c r="G101" s="4">
        <f>ROUND(INDEX('League Config'!$K$4:$K$9,MATCH(A101,'League Config'!$E$4:$E$9,0))*E101+INDEX('League Config'!$L$4:$L$9,MATCH(A101,'League Config'!$E$4:$E$9,0)),1)</f>
        <v>293.60000000000002</v>
      </c>
      <c r="H101">
        <f>INDEX('League Config'!$H$4:$H$9,MATCH(A101,'League Config'!$E$4:$E$9,0))</f>
        <v>33</v>
      </c>
      <c r="I101" s="4">
        <f>INDEX('League Config'!$I$4:$I$9,MATCH(A101,'League Config'!$E$4:$E$9,0))</f>
        <v>239.3</v>
      </c>
      <c r="J101" s="4">
        <f t="shared" si="12"/>
        <v>54.3</v>
      </c>
      <c r="K101" s="4">
        <f t="shared" si="13"/>
        <v>82.58</v>
      </c>
      <c r="L101" s="4">
        <f>MIN(100,MAX(0,(1-(F101-1)/(H101*1.5))*100*INDEX('League Config'!$J$4:$J$9,MATCH(A101,'League Config'!$E$4:$E$9,0))))</f>
        <v>92.222222222222229</v>
      </c>
      <c r="M101">
        <f>IF(A101="K",'League Config'!$B$14,IF(A101="DST",'League Config'!$B$15,IF(A101="QB",'League Config'!$B$16,0)))</f>
        <v>0</v>
      </c>
      <c r="N101" s="4">
        <f t="shared" si="14"/>
        <v>86.220833333333331</v>
      </c>
      <c r="O101" s="9">
        <f t="shared" si="15"/>
        <v>86.220833333333331</v>
      </c>
      <c r="P101" s="6">
        <f>IF(O101="","",COUNTIF($O$3:$O$225,"&gt;"&amp;O101)+COUNTIF($O$3:O101,O101))</f>
        <v>21</v>
      </c>
      <c r="Q101">
        <f t="shared" si="16"/>
        <v>21</v>
      </c>
      <c r="R101" s="4">
        <f>'LIVE SOURCE'!E101</f>
        <v>65.400000000000006</v>
      </c>
      <c r="S101" s="4">
        <f t="shared" si="17"/>
        <v>44.400000000000006</v>
      </c>
      <c r="T101" t="str">
        <f>'LIVE SOURCE'!F101</f>
        <v>B</v>
      </c>
      <c r="U101" s="4">
        <f t="shared" si="18"/>
        <v>77.569999999999993</v>
      </c>
      <c r="V101" s="4">
        <f t="shared" si="19"/>
        <v>86.57</v>
      </c>
      <c r="W101" s="4">
        <f t="shared" si="20"/>
        <v>95.57</v>
      </c>
      <c r="X101" t="str">
        <f>'LIVE SOURCE'!G101</f>
        <v>HISTORY FALLBACK</v>
      </c>
      <c r="Y101" t="str">
        <f>IF(INDEX('Draft Board'!$J$3:$J$225,Q101)="","Available",INDEX('Draft Board'!$J$3:$J$225,Q101))</f>
        <v>Available</v>
      </c>
      <c r="Z101">
        <f t="shared" si="21"/>
        <v>21</v>
      </c>
    </row>
    <row r="102" spans="1:26" x14ac:dyDescent="0.25">
      <c r="A102" t="str">
        <f>'LIVE SOURCE'!A102</f>
        <v>WR</v>
      </c>
      <c r="B102" t="str">
        <f>'LIVE SOURCE'!B102</f>
        <v>Malik Nabers</v>
      </c>
      <c r="C102" s="4">
        <f>'LIVE SOURCE'!D102</f>
        <v>81.152500000000003</v>
      </c>
      <c r="D102" s="4">
        <f>'Manual Adjustments'!G102</f>
        <v>0</v>
      </c>
      <c r="E102" s="4">
        <f t="shared" si="11"/>
        <v>81.152500000000003</v>
      </c>
      <c r="F102">
        <f>COUNTIFS($A$3:$A$225,A102,$E$3:$E$225,"&gt;"&amp;E102)+COUNTIFS($A$3:A102,A102,$E$3:E102,E102)</f>
        <v>21</v>
      </c>
      <c r="G102" s="4">
        <f>ROUND(INDEX('League Config'!$K$4:$K$9,MATCH(A102,'League Config'!$E$4:$E$9,0))*E102+INDEX('League Config'!$L$4:$L$9,MATCH(A102,'League Config'!$E$4:$E$9,0)),1)</f>
        <v>270.8</v>
      </c>
      <c r="H102">
        <f>INDEX('League Config'!$H$4:$H$9,MATCH(A102,'League Config'!$E$4:$E$9,0))</f>
        <v>33</v>
      </c>
      <c r="I102" s="4">
        <f>INDEX('League Config'!$I$4:$I$9,MATCH(A102,'League Config'!$E$4:$E$9,0))</f>
        <v>239.3</v>
      </c>
      <c r="J102" s="4">
        <f t="shared" si="12"/>
        <v>31.5</v>
      </c>
      <c r="K102" s="4">
        <f t="shared" si="13"/>
        <v>68.900000000000006</v>
      </c>
      <c r="L102" s="4">
        <f>MIN(100,MAX(0,(1-(F102-1)/(H102*1.5))*100*INDEX('League Config'!$J$4:$J$9,MATCH(A102,'League Config'!$E$4:$E$9,0))))</f>
        <v>65.555555555555557</v>
      </c>
      <c r="M102">
        <f>IF(A102="K",'League Config'!$B$14,IF(A102="DST",'League Config'!$B$15,IF(A102="QB",'League Config'!$B$16,0)))</f>
        <v>0</v>
      </c>
      <c r="N102" s="4">
        <f t="shared" si="14"/>
        <v>75.137208333333334</v>
      </c>
      <c r="O102" s="9">
        <f t="shared" si="15"/>
        <v>75.137208333333334</v>
      </c>
      <c r="P102" s="6">
        <f>IF(O102="","",COUNTIF($O$3:$O$225,"&gt;"&amp;O102)+COUNTIF($O$3:O102,O102))</f>
        <v>51</v>
      </c>
      <c r="Q102">
        <f t="shared" si="16"/>
        <v>51</v>
      </c>
      <c r="R102" s="4">
        <f>'LIVE SOURCE'!E102</f>
        <v>69.3</v>
      </c>
      <c r="S102" s="4">
        <f t="shared" si="17"/>
        <v>18.299999999999997</v>
      </c>
      <c r="T102" t="str">
        <f>'LIVE SOURCE'!F102</f>
        <v>C</v>
      </c>
      <c r="U102" s="4">
        <f t="shared" si="18"/>
        <v>69.152500000000003</v>
      </c>
      <c r="V102" s="4">
        <f t="shared" si="19"/>
        <v>81.152500000000003</v>
      </c>
      <c r="W102" s="4">
        <f t="shared" si="20"/>
        <v>93.152500000000003</v>
      </c>
      <c r="X102" t="str">
        <f>'LIVE SOURCE'!G102</f>
        <v>HISTORY FALLBACK</v>
      </c>
      <c r="Y102" t="str">
        <f>IF(INDEX('Draft Board'!$J$3:$J$225,Q102)="","Available",INDEX('Draft Board'!$J$3:$J$225,Q102))</f>
        <v>Available</v>
      </c>
      <c r="Z102">
        <f t="shared" si="21"/>
        <v>51</v>
      </c>
    </row>
    <row r="103" spans="1:26" x14ac:dyDescent="0.25">
      <c r="A103" t="str">
        <f>'LIVE SOURCE'!A103</f>
        <v>WR</v>
      </c>
      <c r="B103" t="str">
        <f>'LIVE SOURCE'!B103</f>
        <v>Emeka Egbuka</v>
      </c>
      <c r="C103" s="4">
        <f>'LIVE SOURCE'!D103</f>
        <v>81.734999999999999</v>
      </c>
      <c r="D103" s="4">
        <f>'Manual Adjustments'!G103</f>
        <v>0</v>
      </c>
      <c r="E103" s="4">
        <f t="shared" si="11"/>
        <v>81.734999999999999</v>
      </c>
      <c r="F103">
        <f>COUNTIFS($A$3:$A$225,A103,$E$3:$E$225,"&gt;"&amp;E103)+COUNTIFS($A$3:A103,A103,$E$3:E103,E103)</f>
        <v>20</v>
      </c>
      <c r="G103" s="4">
        <f>ROUND(INDEX('League Config'!$K$4:$K$9,MATCH(A103,'League Config'!$E$4:$E$9,0))*E103+INDEX('League Config'!$L$4:$L$9,MATCH(A103,'League Config'!$E$4:$E$9,0)),1)</f>
        <v>273.3</v>
      </c>
      <c r="H103">
        <f>INDEX('League Config'!$H$4:$H$9,MATCH(A103,'League Config'!$E$4:$E$9,0))</f>
        <v>33</v>
      </c>
      <c r="I103" s="4">
        <f>INDEX('League Config'!$I$4:$I$9,MATCH(A103,'League Config'!$E$4:$E$9,0))</f>
        <v>239.3</v>
      </c>
      <c r="J103" s="4">
        <f t="shared" si="12"/>
        <v>34</v>
      </c>
      <c r="K103" s="4">
        <f t="shared" si="13"/>
        <v>70.400000000000006</v>
      </c>
      <c r="L103" s="4">
        <f>MIN(100,MAX(0,(1-(F103-1)/(H103*1.5))*100*INDEX('League Config'!$J$4:$J$9,MATCH(A103,'League Config'!$E$4:$E$9,0))))</f>
        <v>67.777777777777786</v>
      </c>
      <c r="M103">
        <f>IF(A103="K",'League Config'!$B$14,IF(A103="DST",'League Config'!$B$15,IF(A103="QB",'League Config'!$B$16,0)))</f>
        <v>0</v>
      </c>
      <c r="N103" s="4">
        <f t="shared" si="14"/>
        <v>76.240916666666678</v>
      </c>
      <c r="O103" s="9">
        <f t="shared" si="15"/>
        <v>76.240916666666678</v>
      </c>
      <c r="P103" s="6">
        <f>IF(O103="","",COUNTIF($O$3:$O$225,"&gt;"&amp;O103)+COUNTIF($O$3:O103,O103))</f>
        <v>48</v>
      </c>
      <c r="Q103">
        <f t="shared" si="16"/>
        <v>48</v>
      </c>
      <c r="R103" s="4">
        <f>'LIVE SOURCE'!E103</f>
        <v>73.2</v>
      </c>
      <c r="S103" s="4">
        <f t="shared" si="17"/>
        <v>25.200000000000003</v>
      </c>
      <c r="T103" t="str">
        <f>'LIVE SOURCE'!F103</f>
        <v>C</v>
      </c>
      <c r="U103" s="4">
        <f t="shared" si="18"/>
        <v>69.734999999999999</v>
      </c>
      <c r="V103" s="4">
        <f t="shared" si="19"/>
        <v>81.734999999999999</v>
      </c>
      <c r="W103" s="4">
        <f t="shared" si="20"/>
        <v>93.734999999999999</v>
      </c>
      <c r="X103" t="str">
        <f>'LIVE SOURCE'!G103</f>
        <v>HISTORY FALLBACK</v>
      </c>
      <c r="Y103" t="str">
        <f>IF(INDEX('Draft Board'!$J$3:$J$225,Q103)="","Available",INDEX('Draft Board'!$J$3:$J$225,Q103))</f>
        <v>Available</v>
      </c>
      <c r="Z103">
        <f t="shared" si="21"/>
        <v>48</v>
      </c>
    </row>
    <row r="104" spans="1:26" x14ac:dyDescent="0.25">
      <c r="A104" t="str">
        <f>'LIVE SOURCE'!A104</f>
        <v>WR</v>
      </c>
      <c r="B104" t="str">
        <f>'LIVE SOURCE'!B104</f>
        <v>Jaylen Waddle</v>
      </c>
      <c r="C104" s="4">
        <f>'LIVE SOURCE'!D104</f>
        <v>82.317499999999995</v>
      </c>
      <c r="D104" s="4">
        <f>'Manual Adjustments'!G104</f>
        <v>0</v>
      </c>
      <c r="E104" s="4">
        <f t="shared" si="11"/>
        <v>82.317499999999995</v>
      </c>
      <c r="F104">
        <f>COUNTIFS($A$3:$A$225,A104,$E$3:$E$225,"&gt;"&amp;E104)+COUNTIFS($A$3:A104,A104,$E$3:E104,E104)</f>
        <v>18</v>
      </c>
      <c r="G104" s="4">
        <f>ROUND(INDEX('League Config'!$K$4:$K$9,MATCH(A104,'League Config'!$E$4:$E$9,0))*E104+INDEX('League Config'!$L$4:$L$9,MATCH(A104,'League Config'!$E$4:$E$9,0)),1)</f>
        <v>275.7</v>
      </c>
      <c r="H104">
        <f>INDEX('League Config'!$H$4:$H$9,MATCH(A104,'League Config'!$E$4:$E$9,0))</f>
        <v>33</v>
      </c>
      <c r="I104" s="4">
        <f>INDEX('League Config'!$I$4:$I$9,MATCH(A104,'League Config'!$E$4:$E$9,0))</f>
        <v>239.3</v>
      </c>
      <c r="J104" s="4">
        <f t="shared" si="12"/>
        <v>36.4</v>
      </c>
      <c r="K104" s="4">
        <f t="shared" si="13"/>
        <v>71.84</v>
      </c>
      <c r="L104" s="4">
        <f>MIN(100,MAX(0,(1-(F104-1)/(H104*1.5))*100*INDEX('League Config'!$J$4:$J$9,MATCH(A104,'League Config'!$E$4:$E$9,0))))</f>
        <v>72.222222222222229</v>
      </c>
      <c r="M104">
        <f>IF(A104="K",'League Config'!$B$14,IF(A104="DST",'League Config'!$B$15,IF(A104="QB",'League Config'!$B$16,0)))</f>
        <v>0</v>
      </c>
      <c r="N104" s="4">
        <f t="shared" si="14"/>
        <v>77.659958333333336</v>
      </c>
      <c r="O104" s="9">
        <f t="shared" si="15"/>
        <v>77.659958333333336</v>
      </c>
      <c r="P104" s="6">
        <f>IF(O104="","",COUNTIF($O$3:$O$225,"&gt;"&amp;O104)+COUNTIF($O$3:O104,O104))</f>
        <v>44</v>
      </c>
      <c r="Q104">
        <f t="shared" si="16"/>
        <v>44</v>
      </c>
      <c r="R104" s="4">
        <f>'LIVE SOURCE'!E104</f>
        <v>77.099999999999994</v>
      </c>
      <c r="S104" s="4">
        <f t="shared" si="17"/>
        <v>33.099999999999994</v>
      </c>
      <c r="T104" t="str">
        <f>'LIVE SOURCE'!F104</f>
        <v>C</v>
      </c>
      <c r="U104" s="4">
        <f t="shared" si="18"/>
        <v>70.317499999999995</v>
      </c>
      <c r="V104" s="4">
        <f t="shared" si="19"/>
        <v>82.317499999999995</v>
      </c>
      <c r="W104" s="4">
        <f t="shared" si="20"/>
        <v>94.317499999999995</v>
      </c>
      <c r="X104" t="str">
        <f>'LIVE SOURCE'!G104</f>
        <v>HISTORY FALLBACK</v>
      </c>
      <c r="Y104" t="str">
        <f>IF(INDEX('Draft Board'!$J$3:$J$225,Q104)="","Available",INDEX('Draft Board'!$J$3:$J$225,Q104))</f>
        <v>Available</v>
      </c>
      <c r="Z104">
        <f t="shared" si="21"/>
        <v>44</v>
      </c>
    </row>
    <row r="105" spans="1:26" x14ac:dyDescent="0.25">
      <c r="A105" t="str">
        <f>'LIVE SOURCE'!A105</f>
        <v>WR</v>
      </c>
      <c r="B105" t="str">
        <f>'LIVE SOURCE'!B105</f>
        <v>Terry McLaurin</v>
      </c>
      <c r="C105" s="4">
        <f>'LIVE SOURCE'!D105</f>
        <v>79.900000000000006</v>
      </c>
      <c r="D105" s="4">
        <f>'Manual Adjustments'!G105</f>
        <v>0</v>
      </c>
      <c r="E105" s="4">
        <f t="shared" si="11"/>
        <v>79.900000000000006</v>
      </c>
      <c r="F105">
        <f>COUNTIFS($A$3:$A$225,A105,$E$3:$E$225,"&gt;"&amp;E105)+COUNTIFS($A$3:A105,A105,$E$3:E105,E105)</f>
        <v>22</v>
      </c>
      <c r="G105" s="4">
        <f>ROUND(INDEX('League Config'!$K$4:$K$9,MATCH(A105,'League Config'!$E$4:$E$9,0))*E105+INDEX('League Config'!$L$4:$L$9,MATCH(A105,'League Config'!$E$4:$E$9,0)),1)</f>
        <v>265.60000000000002</v>
      </c>
      <c r="H105">
        <f>INDEX('League Config'!$H$4:$H$9,MATCH(A105,'League Config'!$E$4:$E$9,0))</f>
        <v>33</v>
      </c>
      <c r="I105" s="4">
        <f>INDEX('League Config'!$I$4:$I$9,MATCH(A105,'League Config'!$E$4:$E$9,0))</f>
        <v>239.3</v>
      </c>
      <c r="J105" s="4">
        <f t="shared" si="12"/>
        <v>26.3</v>
      </c>
      <c r="K105" s="4">
        <f t="shared" si="13"/>
        <v>65.78</v>
      </c>
      <c r="L105" s="4">
        <f>MIN(100,MAX(0,(1-(F105-1)/(H105*1.5))*100*INDEX('League Config'!$J$4:$J$9,MATCH(A105,'League Config'!$E$4:$E$9,0))))</f>
        <v>63.333333333333336</v>
      </c>
      <c r="M105">
        <f>IF(A105="K",'League Config'!$B$14,IF(A105="DST",'League Config'!$B$15,IF(A105="QB",'League Config'!$B$16,0)))</f>
        <v>0</v>
      </c>
      <c r="N105" s="4">
        <f t="shared" si="14"/>
        <v>73.179000000000002</v>
      </c>
      <c r="O105" s="9">
        <f t="shared" si="15"/>
        <v>73.179000000000002</v>
      </c>
      <c r="P105" s="6">
        <f>IF(O105="","",COUNTIF($O$3:$O$225,"&gt;"&amp;O105)+COUNTIF($O$3:O105,O105))</f>
        <v>57</v>
      </c>
      <c r="Q105">
        <f t="shared" si="16"/>
        <v>57</v>
      </c>
      <c r="R105" s="4">
        <f>'LIVE SOURCE'!E105</f>
        <v>81</v>
      </c>
      <c r="S105" s="4">
        <f t="shared" si="17"/>
        <v>24</v>
      </c>
      <c r="T105" t="str">
        <f>'LIVE SOURCE'!F105</f>
        <v>C</v>
      </c>
      <c r="U105" s="4">
        <f t="shared" si="18"/>
        <v>67.900000000000006</v>
      </c>
      <c r="V105" s="4">
        <f t="shared" si="19"/>
        <v>79.900000000000006</v>
      </c>
      <c r="W105" s="4">
        <f t="shared" si="20"/>
        <v>91.9</v>
      </c>
      <c r="X105" t="str">
        <f>'LIVE SOURCE'!G105</f>
        <v>HISTORY FALLBACK</v>
      </c>
      <c r="Y105" t="str">
        <f>IF(INDEX('Draft Board'!$J$3:$J$225,Q105)="","Available",INDEX('Draft Board'!$J$3:$J$225,Q105))</f>
        <v>Available</v>
      </c>
      <c r="Z105">
        <f t="shared" si="21"/>
        <v>57</v>
      </c>
    </row>
    <row r="106" spans="1:26" x14ac:dyDescent="0.25">
      <c r="A106" t="str">
        <f>'LIVE SOURCE'!A106</f>
        <v>WR</v>
      </c>
      <c r="B106" t="str">
        <f>'LIVE SOURCE'!B106</f>
        <v>Ladd McConkey</v>
      </c>
      <c r="C106" s="4">
        <f>'LIVE SOURCE'!D106</f>
        <v>82.732500000000002</v>
      </c>
      <c r="D106" s="4">
        <f>'Manual Adjustments'!G106</f>
        <v>0</v>
      </c>
      <c r="E106" s="4">
        <f t="shared" si="11"/>
        <v>82.732500000000002</v>
      </c>
      <c r="F106">
        <f>COUNTIFS($A$3:$A$225,A106,$E$3:$E$225,"&gt;"&amp;E106)+COUNTIFS($A$3:A106,A106,$E$3:E106,E106)</f>
        <v>17</v>
      </c>
      <c r="G106" s="4">
        <f>ROUND(INDEX('League Config'!$K$4:$K$9,MATCH(A106,'League Config'!$E$4:$E$9,0))*E106+INDEX('League Config'!$L$4:$L$9,MATCH(A106,'League Config'!$E$4:$E$9,0)),1)</f>
        <v>277.5</v>
      </c>
      <c r="H106">
        <f>INDEX('League Config'!$H$4:$H$9,MATCH(A106,'League Config'!$E$4:$E$9,0))</f>
        <v>33</v>
      </c>
      <c r="I106" s="4">
        <f>INDEX('League Config'!$I$4:$I$9,MATCH(A106,'League Config'!$E$4:$E$9,0))</f>
        <v>239.3</v>
      </c>
      <c r="J106" s="4">
        <f t="shared" si="12"/>
        <v>38.200000000000003</v>
      </c>
      <c r="K106" s="4">
        <f t="shared" si="13"/>
        <v>72.92</v>
      </c>
      <c r="L106" s="4">
        <f>MIN(100,MAX(0,(1-(F106-1)/(H106*1.5))*100*INDEX('League Config'!$J$4:$J$9,MATCH(A106,'League Config'!$E$4:$E$9,0))))</f>
        <v>74.444444444444443</v>
      </c>
      <c r="M106">
        <f>IF(A106="K",'League Config'!$B$14,IF(A106="DST",'League Config'!$B$15,IF(A106="QB",'League Config'!$B$16,0)))</f>
        <v>0</v>
      </c>
      <c r="N106" s="4">
        <f t="shared" si="14"/>
        <v>78.545541666666679</v>
      </c>
      <c r="O106" s="9">
        <f t="shared" si="15"/>
        <v>78.545541666666679</v>
      </c>
      <c r="P106" s="6">
        <f>IF(O106="","",COUNTIF($O$3:$O$225,"&gt;"&amp;O106)+COUNTIF($O$3:O106,O106))</f>
        <v>43</v>
      </c>
      <c r="Q106">
        <f t="shared" si="16"/>
        <v>43</v>
      </c>
      <c r="R106" s="4">
        <f>'LIVE SOURCE'!E106</f>
        <v>84.899999999999991</v>
      </c>
      <c r="S106" s="4">
        <f t="shared" si="17"/>
        <v>41.899999999999991</v>
      </c>
      <c r="T106" t="str">
        <f>'LIVE SOURCE'!F106</f>
        <v>B</v>
      </c>
      <c r="U106" s="4">
        <f t="shared" si="18"/>
        <v>73.732500000000002</v>
      </c>
      <c r="V106" s="4">
        <f t="shared" si="19"/>
        <v>82.732500000000002</v>
      </c>
      <c r="W106" s="4">
        <f t="shared" si="20"/>
        <v>91.732500000000002</v>
      </c>
      <c r="X106" t="str">
        <f>'LIVE SOURCE'!G106</f>
        <v>HISTORY FALLBACK</v>
      </c>
      <c r="Y106" t="str">
        <f>IF(INDEX('Draft Board'!$J$3:$J$225,Q106)="","Available",INDEX('Draft Board'!$J$3:$J$225,Q106))</f>
        <v>Available</v>
      </c>
      <c r="Z106">
        <f t="shared" si="21"/>
        <v>43</v>
      </c>
    </row>
    <row r="107" spans="1:26" x14ac:dyDescent="0.25">
      <c r="A107" t="str">
        <f>'LIVE SOURCE'!A107</f>
        <v>WR</v>
      </c>
      <c r="B107" t="str">
        <f>'LIVE SOURCE'!B107</f>
        <v>Davante Adams</v>
      </c>
      <c r="C107" s="4">
        <f>'LIVE SOURCE'!D107</f>
        <v>78.064999999999998</v>
      </c>
      <c r="D107" s="4">
        <f>'Manual Adjustments'!G107</f>
        <v>0</v>
      </c>
      <c r="E107" s="4">
        <f t="shared" si="11"/>
        <v>78.064999999999998</v>
      </c>
      <c r="F107">
        <f>COUNTIFS($A$3:$A$225,A107,$E$3:$E$225,"&gt;"&amp;E107)+COUNTIFS($A$3:A107,A107,$E$3:E107,E107)</f>
        <v>24</v>
      </c>
      <c r="G107" s="4">
        <f>ROUND(INDEX('League Config'!$K$4:$K$9,MATCH(A107,'League Config'!$E$4:$E$9,0))*E107+INDEX('League Config'!$L$4:$L$9,MATCH(A107,'League Config'!$E$4:$E$9,0)),1)</f>
        <v>257.89999999999998</v>
      </c>
      <c r="H107">
        <f>INDEX('League Config'!$H$4:$H$9,MATCH(A107,'League Config'!$E$4:$E$9,0))</f>
        <v>33</v>
      </c>
      <c r="I107" s="4">
        <f>INDEX('League Config'!$I$4:$I$9,MATCH(A107,'League Config'!$E$4:$E$9,0))</f>
        <v>239.3</v>
      </c>
      <c r="J107" s="4">
        <f t="shared" si="12"/>
        <v>18.600000000000001</v>
      </c>
      <c r="K107" s="4">
        <f t="shared" si="13"/>
        <v>61.16</v>
      </c>
      <c r="L107" s="4">
        <f>MIN(100,MAX(0,(1-(F107-1)/(H107*1.5))*100*INDEX('League Config'!$J$4:$J$9,MATCH(A107,'League Config'!$E$4:$E$9,0))))</f>
        <v>58.888888888888893</v>
      </c>
      <c r="M107">
        <f>IF(A107="K",'League Config'!$B$14,IF(A107="DST",'League Config'!$B$15,IF(A107="QB",'League Config'!$B$16,0)))</f>
        <v>0</v>
      </c>
      <c r="N107" s="4">
        <f t="shared" si="14"/>
        <v>70.117083333333326</v>
      </c>
      <c r="O107" s="9">
        <f t="shared" si="15"/>
        <v>70.117083333333326</v>
      </c>
      <c r="P107" s="6">
        <f>IF(O107="","",COUNTIF($O$3:$O$225,"&gt;"&amp;O107)+COUNTIF($O$3:O107,O107))</f>
        <v>64</v>
      </c>
      <c r="Q107">
        <f t="shared" si="16"/>
        <v>64</v>
      </c>
      <c r="R107" s="4">
        <f>'LIVE SOURCE'!E107</f>
        <v>88.8</v>
      </c>
      <c r="S107" s="4">
        <f t="shared" si="17"/>
        <v>24.799999999999997</v>
      </c>
      <c r="T107" t="str">
        <f>'LIVE SOURCE'!F107</f>
        <v>C</v>
      </c>
      <c r="U107" s="4">
        <f t="shared" si="18"/>
        <v>66.064999999999998</v>
      </c>
      <c r="V107" s="4">
        <f t="shared" si="19"/>
        <v>78.064999999999998</v>
      </c>
      <c r="W107" s="4">
        <f t="shared" si="20"/>
        <v>90.064999999999998</v>
      </c>
      <c r="X107" t="str">
        <f>'LIVE SOURCE'!G107</f>
        <v>HISTORY FALLBACK</v>
      </c>
      <c r="Y107" t="str">
        <f>IF(INDEX('Draft Board'!$J$3:$J$225,Q107)="","Available",INDEX('Draft Board'!$J$3:$J$225,Q107))</f>
        <v>Available</v>
      </c>
      <c r="Z107">
        <f t="shared" si="21"/>
        <v>64</v>
      </c>
    </row>
    <row r="108" spans="1:26" x14ac:dyDescent="0.25">
      <c r="A108" t="str">
        <f>'LIVE SOURCE'!A108</f>
        <v>WR</v>
      </c>
      <c r="B108" t="str">
        <f>'LIVE SOURCE'!B108</f>
        <v>Luther Burden III</v>
      </c>
      <c r="C108" s="4">
        <f>'LIVE SOURCE'!D108</f>
        <v>78.647499999999994</v>
      </c>
      <c r="D108" s="4">
        <f>'Manual Adjustments'!G108</f>
        <v>0</v>
      </c>
      <c r="E108" s="4">
        <f t="shared" si="11"/>
        <v>78.647499999999994</v>
      </c>
      <c r="F108">
        <f>COUNTIFS($A$3:$A$225,A108,$E$3:$E$225,"&gt;"&amp;E108)+COUNTIFS($A$3:A108,A108,$E$3:E108,E108)</f>
        <v>23</v>
      </c>
      <c r="G108" s="4">
        <f>ROUND(INDEX('League Config'!$K$4:$K$9,MATCH(A108,'League Config'!$E$4:$E$9,0))*E108+INDEX('League Config'!$L$4:$L$9,MATCH(A108,'League Config'!$E$4:$E$9,0)),1)</f>
        <v>260.3</v>
      </c>
      <c r="H108">
        <f>INDEX('League Config'!$H$4:$H$9,MATCH(A108,'League Config'!$E$4:$E$9,0))</f>
        <v>33</v>
      </c>
      <c r="I108" s="4">
        <f>INDEX('League Config'!$I$4:$I$9,MATCH(A108,'League Config'!$E$4:$E$9,0))</f>
        <v>239.3</v>
      </c>
      <c r="J108" s="4">
        <f t="shared" si="12"/>
        <v>21</v>
      </c>
      <c r="K108" s="4">
        <f t="shared" si="13"/>
        <v>62.6</v>
      </c>
      <c r="L108" s="4">
        <f>MIN(100,MAX(0,(1-(F108-1)/(H108*1.5))*100*INDEX('League Config'!$J$4:$J$9,MATCH(A108,'League Config'!$E$4:$E$9,0))))</f>
        <v>61.111111111111114</v>
      </c>
      <c r="M108">
        <f>IF(A108="K",'League Config'!$B$14,IF(A108="DST",'League Config'!$B$15,IF(A108="QB",'League Config'!$B$16,0)))</f>
        <v>0</v>
      </c>
      <c r="N108" s="4">
        <f t="shared" si="14"/>
        <v>71.20279166666667</v>
      </c>
      <c r="O108" s="9">
        <f t="shared" si="15"/>
        <v>71.20279166666667</v>
      </c>
      <c r="P108" s="6">
        <f>IF(O108="","",COUNTIF($O$3:$O$225,"&gt;"&amp;O108)+COUNTIF($O$3:O108,O108))</f>
        <v>61</v>
      </c>
      <c r="Q108">
        <f t="shared" si="16"/>
        <v>61</v>
      </c>
      <c r="R108" s="4">
        <f>'LIVE SOURCE'!E108</f>
        <v>92.7</v>
      </c>
      <c r="S108" s="4">
        <f t="shared" si="17"/>
        <v>31.700000000000003</v>
      </c>
      <c r="T108" t="str">
        <f>'LIVE SOURCE'!F108</f>
        <v>C</v>
      </c>
      <c r="U108" s="4">
        <f t="shared" si="18"/>
        <v>66.647499999999994</v>
      </c>
      <c r="V108" s="4">
        <f t="shared" si="19"/>
        <v>78.647499999999994</v>
      </c>
      <c r="W108" s="4">
        <f t="shared" si="20"/>
        <v>90.647499999999994</v>
      </c>
      <c r="X108" t="str">
        <f>'LIVE SOURCE'!G108</f>
        <v>HISTORY FALLBACK</v>
      </c>
      <c r="Y108" t="str">
        <f>IF(INDEX('Draft Board'!$J$3:$J$225,Q108)="","Available",INDEX('Draft Board'!$J$3:$J$225,Q108))</f>
        <v>Available</v>
      </c>
      <c r="Z108">
        <f t="shared" si="21"/>
        <v>61</v>
      </c>
    </row>
    <row r="109" spans="1:26" x14ac:dyDescent="0.25">
      <c r="A109" t="str">
        <f>'LIVE SOURCE'!A109</f>
        <v>WR</v>
      </c>
      <c r="B109" t="str">
        <f>'LIVE SOURCE'!B109</f>
        <v>DJ Moore</v>
      </c>
      <c r="C109" s="4">
        <f>'LIVE SOURCE'!D109</f>
        <v>75.48</v>
      </c>
      <c r="D109" s="4">
        <f>'Manual Adjustments'!G109</f>
        <v>0</v>
      </c>
      <c r="E109" s="4">
        <f t="shared" si="11"/>
        <v>75.48</v>
      </c>
      <c r="F109">
        <f>COUNTIFS($A$3:$A$225,A109,$E$3:$E$225,"&gt;"&amp;E109)+COUNTIFS($A$3:A109,A109,$E$3:E109,E109)</f>
        <v>29</v>
      </c>
      <c r="G109" s="4">
        <f>ROUND(INDEX('League Config'!$K$4:$K$9,MATCH(A109,'League Config'!$E$4:$E$9,0))*E109+INDEX('League Config'!$L$4:$L$9,MATCH(A109,'League Config'!$E$4:$E$9,0)),1)</f>
        <v>247</v>
      </c>
      <c r="H109">
        <f>INDEX('League Config'!$H$4:$H$9,MATCH(A109,'League Config'!$E$4:$E$9,0))</f>
        <v>33</v>
      </c>
      <c r="I109" s="4">
        <f>INDEX('League Config'!$I$4:$I$9,MATCH(A109,'League Config'!$E$4:$E$9,0))</f>
        <v>239.3</v>
      </c>
      <c r="J109" s="4">
        <f t="shared" si="12"/>
        <v>7.7</v>
      </c>
      <c r="K109" s="4">
        <f t="shared" si="13"/>
        <v>54.62</v>
      </c>
      <c r="L109" s="4">
        <f>MIN(100,MAX(0,(1-(F109-1)/(H109*1.5))*100*INDEX('League Config'!$J$4:$J$9,MATCH(A109,'League Config'!$E$4:$E$9,0))))</f>
        <v>47.777777777777786</v>
      </c>
      <c r="M109">
        <f>IF(A109="K",'League Config'!$B$14,IF(A109="DST",'League Config'!$B$15,IF(A109="QB",'League Config'!$B$16,0)))</f>
        <v>0</v>
      </c>
      <c r="N109" s="4">
        <f t="shared" si="14"/>
        <v>65.066666666666677</v>
      </c>
      <c r="O109" s="9">
        <f t="shared" si="15"/>
        <v>65.066666666666677</v>
      </c>
      <c r="P109" s="6">
        <f>IF(O109="","",COUNTIF($O$3:$O$225,"&gt;"&amp;O109)+COUNTIF($O$3:O109,O109))</f>
        <v>80</v>
      </c>
      <c r="Q109">
        <f t="shared" si="16"/>
        <v>80</v>
      </c>
      <c r="R109" s="4">
        <f>'LIVE SOURCE'!E109</f>
        <v>96.6</v>
      </c>
      <c r="S109" s="4">
        <f t="shared" si="17"/>
        <v>16.599999999999994</v>
      </c>
      <c r="T109" t="str">
        <f>'LIVE SOURCE'!F109</f>
        <v>C</v>
      </c>
      <c r="U109" s="4">
        <f t="shared" si="18"/>
        <v>63.480000000000004</v>
      </c>
      <c r="V109" s="4">
        <f t="shared" si="19"/>
        <v>75.48</v>
      </c>
      <c r="W109" s="4">
        <f t="shared" si="20"/>
        <v>87.48</v>
      </c>
      <c r="X109" t="str">
        <f>'LIVE SOURCE'!G109</f>
        <v>HISTORY FALLBACK</v>
      </c>
      <c r="Y109" t="str">
        <f>IF(INDEX('Draft Board'!$J$3:$J$225,Q109)="","Available",INDEX('Draft Board'!$J$3:$J$225,Q109))</f>
        <v>Available</v>
      </c>
      <c r="Z109">
        <f t="shared" si="21"/>
        <v>80</v>
      </c>
    </row>
    <row r="110" spans="1:26" x14ac:dyDescent="0.25">
      <c r="A110" t="str">
        <f>'LIVE SOURCE'!A110</f>
        <v>WR</v>
      </c>
      <c r="B110" t="str">
        <f>'LIVE SOURCE'!B110</f>
        <v>Jameson Williams</v>
      </c>
      <c r="C110" s="4">
        <f>'LIVE SOURCE'!D110</f>
        <v>76.0625</v>
      </c>
      <c r="D110" s="4">
        <f>'Manual Adjustments'!G110</f>
        <v>0</v>
      </c>
      <c r="E110" s="4">
        <f t="shared" si="11"/>
        <v>76.0625</v>
      </c>
      <c r="F110">
        <f>COUNTIFS($A$3:$A$225,A110,$E$3:$E$225,"&gt;"&amp;E110)+COUNTIFS($A$3:A110,A110,$E$3:E110,E110)</f>
        <v>27</v>
      </c>
      <c r="G110" s="4">
        <f>ROUND(INDEX('League Config'!$K$4:$K$9,MATCH(A110,'League Config'!$E$4:$E$9,0))*E110+INDEX('League Config'!$L$4:$L$9,MATCH(A110,'League Config'!$E$4:$E$9,0)),1)</f>
        <v>249.5</v>
      </c>
      <c r="H110">
        <f>INDEX('League Config'!$H$4:$H$9,MATCH(A110,'League Config'!$E$4:$E$9,0))</f>
        <v>33</v>
      </c>
      <c r="I110" s="4">
        <f>INDEX('League Config'!$I$4:$I$9,MATCH(A110,'League Config'!$E$4:$E$9,0))</f>
        <v>239.3</v>
      </c>
      <c r="J110" s="4">
        <f t="shared" si="12"/>
        <v>10.199999999999999</v>
      </c>
      <c r="K110" s="4">
        <f t="shared" si="13"/>
        <v>56.12</v>
      </c>
      <c r="L110" s="4">
        <f>MIN(100,MAX(0,(1-(F110-1)/(H110*1.5))*100*INDEX('League Config'!$J$4:$J$9,MATCH(A110,'League Config'!$E$4:$E$9,0))))</f>
        <v>52.222222222222214</v>
      </c>
      <c r="M110">
        <f>IF(A110="K",'League Config'!$B$14,IF(A110="DST",'League Config'!$B$15,IF(A110="QB",'League Config'!$B$16,0)))</f>
        <v>0</v>
      </c>
      <c r="N110" s="4">
        <f t="shared" si="14"/>
        <v>66.503708333333336</v>
      </c>
      <c r="O110" s="9">
        <f t="shared" si="15"/>
        <v>66.503708333333336</v>
      </c>
      <c r="P110" s="6">
        <f>IF(O110="","",COUNTIF($O$3:$O$225,"&gt;"&amp;O110)+COUNTIF($O$3:O110,O110))</f>
        <v>76</v>
      </c>
      <c r="Q110">
        <f t="shared" si="16"/>
        <v>76</v>
      </c>
      <c r="R110" s="4">
        <f>'LIVE SOURCE'!E110</f>
        <v>100.5</v>
      </c>
      <c r="S110" s="4">
        <f t="shared" si="17"/>
        <v>24.5</v>
      </c>
      <c r="T110" t="str">
        <f>'LIVE SOURCE'!F110</f>
        <v>C</v>
      </c>
      <c r="U110" s="4">
        <f t="shared" si="18"/>
        <v>64.0625</v>
      </c>
      <c r="V110" s="4">
        <f t="shared" si="19"/>
        <v>76.0625</v>
      </c>
      <c r="W110" s="4">
        <f t="shared" si="20"/>
        <v>88.0625</v>
      </c>
      <c r="X110" t="str">
        <f>'LIVE SOURCE'!G110</f>
        <v>HISTORY FALLBACK</v>
      </c>
      <c r="Y110" t="str">
        <f>IF(INDEX('Draft Board'!$J$3:$J$225,Q110)="","Available",INDEX('Draft Board'!$J$3:$J$225,Q110))</f>
        <v>Available</v>
      </c>
      <c r="Z110">
        <f t="shared" si="21"/>
        <v>76</v>
      </c>
    </row>
    <row r="111" spans="1:26" x14ac:dyDescent="0.25">
      <c r="A111" t="str">
        <f>'LIVE SOURCE'!A111</f>
        <v>WR</v>
      </c>
      <c r="B111" t="str">
        <f>'LIVE SOURCE'!B111</f>
        <v>Rome Odunze</v>
      </c>
      <c r="C111" s="4">
        <f>'LIVE SOURCE'!D111</f>
        <v>73.644999999999996</v>
      </c>
      <c r="D111" s="4">
        <f>'Manual Adjustments'!G111</f>
        <v>0</v>
      </c>
      <c r="E111" s="4">
        <f t="shared" si="11"/>
        <v>73.644999999999996</v>
      </c>
      <c r="F111">
        <f>COUNTIFS($A$3:$A$225,A111,$E$3:$E$225,"&gt;"&amp;E111)+COUNTIFS($A$3:A111,A111,$E$3:E111,E111)</f>
        <v>33</v>
      </c>
      <c r="G111" s="4">
        <f>ROUND(INDEX('League Config'!$K$4:$K$9,MATCH(A111,'League Config'!$E$4:$E$9,0))*E111+INDEX('League Config'!$L$4:$L$9,MATCH(A111,'League Config'!$E$4:$E$9,0)),1)</f>
        <v>239.3</v>
      </c>
      <c r="H111">
        <f>INDEX('League Config'!$H$4:$H$9,MATCH(A111,'League Config'!$E$4:$E$9,0))</f>
        <v>33</v>
      </c>
      <c r="I111" s="4">
        <f>INDEX('League Config'!$I$4:$I$9,MATCH(A111,'League Config'!$E$4:$E$9,0))</f>
        <v>239.3</v>
      </c>
      <c r="J111" s="4">
        <f t="shared" si="12"/>
        <v>0</v>
      </c>
      <c r="K111" s="4">
        <f t="shared" si="13"/>
        <v>50</v>
      </c>
      <c r="L111" s="4">
        <f>MIN(100,MAX(0,(1-(F111-1)/(H111*1.5))*100*INDEX('League Config'!$J$4:$J$9,MATCH(A111,'League Config'!$E$4:$E$9,0))))</f>
        <v>38.888888888888886</v>
      </c>
      <c r="M111">
        <f>IF(A111="K",'League Config'!$B$14,IF(A111="DST",'League Config'!$B$15,IF(A111="QB",'League Config'!$B$16,0)))</f>
        <v>0</v>
      </c>
      <c r="N111" s="4">
        <f t="shared" si="14"/>
        <v>61.338083333333337</v>
      </c>
      <c r="O111" s="9">
        <f t="shared" si="15"/>
        <v>61.338083333333337</v>
      </c>
      <c r="P111" s="6">
        <f>IF(O111="","",COUNTIF($O$3:$O$225,"&gt;"&amp;O111)+COUNTIF($O$3:O111,O111))</f>
        <v>93</v>
      </c>
      <c r="Q111">
        <f t="shared" si="16"/>
        <v>93</v>
      </c>
      <c r="R111" s="4">
        <f>'LIVE SOURCE'!E111</f>
        <v>104.4</v>
      </c>
      <c r="S111" s="4">
        <f t="shared" si="17"/>
        <v>11.400000000000006</v>
      </c>
      <c r="T111" t="str">
        <f>'LIVE SOURCE'!F111</f>
        <v>C</v>
      </c>
      <c r="U111" s="4">
        <f t="shared" si="18"/>
        <v>61.644999999999996</v>
      </c>
      <c r="V111" s="4">
        <f t="shared" si="19"/>
        <v>73.644999999999996</v>
      </c>
      <c r="W111" s="4">
        <f t="shared" si="20"/>
        <v>85.644999999999996</v>
      </c>
      <c r="X111" t="str">
        <f>'LIVE SOURCE'!G111</f>
        <v>HISTORY FALLBACK</v>
      </c>
      <c r="Y111" t="str">
        <f>IF(INDEX('Draft Board'!$J$3:$J$225,Q111)="","Available",INDEX('Draft Board'!$J$3:$J$225,Q111))</f>
        <v>Available</v>
      </c>
      <c r="Z111">
        <f t="shared" si="21"/>
        <v>93</v>
      </c>
    </row>
    <row r="112" spans="1:26" x14ac:dyDescent="0.25">
      <c r="A112" t="str">
        <f>'LIVE SOURCE'!A112</f>
        <v>WR</v>
      </c>
      <c r="B112" t="str">
        <f>'LIVE SOURCE'!B112</f>
        <v>Mike Evans</v>
      </c>
      <c r="C112" s="4">
        <f>'LIVE SOURCE'!D112</f>
        <v>76.477500000000006</v>
      </c>
      <c r="D112" s="4">
        <f>'Manual Adjustments'!G112</f>
        <v>0</v>
      </c>
      <c r="E112" s="4">
        <f t="shared" si="11"/>
        <v>76.477500000000006</v>
      </c>
      <c r="F112">
        <f>COUNTIFS($A$3:$A$225,A112,$E$3:$E$225,"&gt;"&amp;E112)+COUNTIFS($A$3:A112,A112,$E$3:E112,E112)</f>
        <v>25</v>
      </c>
      <c r="G112" s="4">
        <f>ROUND(INDEX('League Config'!$K$4:$K$9,MATCH(A112,'League Config'!$E$4:$E$9,0))*E112+INDEX('League Config'!$L$4:$L$9,MATCH(A112,'League Config'!$E$4:$E$9,0)),1)</f>
        <v>251.2</v>
      </c>
      <c r="H112">
        <f>INDEX('League Config'!$H$4:$H$9,MATCH(A112,'League Config'!$E$4:$E$9,0))</f>
        <v>33</v>
      </c>
      <c r="I112" s="4">
        <f>INDEX('League Config'!$I$4:$I$9,MATCH(A112,'League Config'!$E$4:$E$9,0))</f>
        <v>239.3</v>
      </c>
      <c r="J112" s="4">
        <f t="shared" si="12"/>
        <v>11.9</v>
      </c>
      <c r="K112" s="4">
        <f t="shared" si="13"/>
        <v>57.14</v>
      </c>
      <c r="L112" s="4">
        <f>MIN(100,MAX(0,(1-(F112-1)/(H112*1.5))*100*INDEX('League Config'!$J$4:$J$9,MATCH(A112,'League Config'!$E$4:$E$9,0))))</f>
        <v>56.666666666666671</v>
      </c>
      <c r="M112">
        <f>IF(A112="K",'League Config'!$B$14,IF(A112="DST",'League Config'!$B$15,IF(A112="QB",'League Config'!$B$16,0)))</f>
        <v>0</v>
      </c>
      <c r="N112" s="4">
        <f t="shared" si="14"/>
        <v>67.704625000000007</v>
      </c>
      <c r="O112" s="9">
        <f t="shared" si="15"/>
        <v>67.704625000000007</v>
      </c>
      <c r="P112" s="6">
        <f>IF(O112="","",COUNTIF($O$3:$O$225,"&gt;"&amp;O112)+COUNTIF($O$3:O112,O112))</f>
        <v>70</v>
      </c>
      <c r="Q112">
        <f t="shared" si="16"/>
        <v>70</v>
      </c>
      <c r="R112" s="4">
        <f>'LIVE SOURCE'!E112</f>
        <v>108.3</v>
      </c>
      <c r="S112" s="4">
        <f t="shared" si="17"/>
        <v>38.299999999999997</v>
      </c>
      <c r="T112" t="str">
        <f>'LIVE SOURCE'!F112</f>
        <v>C</v>
      </c>
      <c r="U112" s="4">
        <f t="shared" si="18"/>
        <v>64.477500000000006</v>
      </c>
      <c r="V112" s="4">
        <f t="shared" si="19"/>
        <v>76.477500000000006</v>
      </c>
      <c r="W112" s="4">
        <f t="shared" si="20"/>
        <v>88.477500000000006</v>
      </c>
      <c r="X112" t="str">
        <f>'LIVE SOURCE'!G112</f>
        <v>HISTORY FALLBACK</v>
      </c>
      <c r="Y112" t="str">
        <f>IF(INDEX('Draft Board'!$J$3:$J$225,Q112)="","Available",INDEX('Draft Board'!$J$3:$J$225,Q112))</f>
        <v>Available</v>
      </c>
      <c r="Z112">
        <f t="shared" si="21"/>
        <v>70</v>
      </c>
    </row>
    <row r="113" spans="1:26" x14ac:dyDescent="0.25">
      <c r="A113" t="str">
        <f>'LIVE SOURCE'!A113</f>
        <v>WR</v>
      </c>
      <c r="B113" t="str">
        <f>'LIVE SOURCE'!B113</f>
        <v>Marvin Harrison Jr.</v>
      </c>
      <c r="C113" s="4">
        <f>'LIVE SOURCE'!D113</f>
        <v>71.81</v>
      </c>
      <c r="D113" s="4">
        <f>'Manual Adjustments'!G113</f>
        <v>0</v>
      </c>
      <c r="E113" s="4">
        <f t="shared" si="11"/>
        <v>71.81</v>
      </c>
      <c r="F113">
        <f>COUNTIFS($A$3:$A$225,A113,$E$3:$E$225,"&gt;"&amp;E113)+COUNTIFS($A$3:A113,A113,$E$3:E113,E113)</f>
        <v>36</v>
      </c>
      <c r="G113" s="4">
        <f>ROUND(INDEX('League Config'!$K$4:$K$9,MATCH(A113,'League Config'!$E$4:$E$9,0))*E113+INDEX('League Config'!$L$4:$L$9,MATCH(A113,'League Config'!$E$4:$E$9,0)),1)</f>
        <v>231.6</v>
      </c>
      <c r="H113">
        <f>INDEX('League Config'!$H$4:$H$9,MATCH(A113,'League Config'!$E$4:$E$9,0))</f>
        <v>33</v>
      </c>
      <c r="I113" s="4">
        <f>INDEX('League Config'!$I$4:$I$9,MATCH(A113,'League Config'!$E$4:$E$9,0))</f>
        <v>239.3</v>
      </c>
      <c r="J113" s="4">
        <f t="shared" si="12"/>
        <v>-7.7</v>
      </c>
      <c r="K113" s="4">
        <f t="shared" si="13"/>
        <v>45.38</v>
      </c>
      <c r="L113" s="4">
        <f>MIN(100,MAX(0,(1-(F113-1)/(H113*1.5))*100*INDEX('League Config'!$J$4:$J$9,MATCH(A113,'League Config'!$E$4:$E$9,0))))</f>
        <v>32.222222222222229</v>
      </c>
      <c r="M113">
        <f>IF(A113="K",'League Config'!$B$14,IF(A113="DST",'League Config'!$B$15,IF(A113="QB",'League Config'!$B$16,0)))</f>
        <v>0</v>
      </c>
      <c r="N113" s="4">
        <f t="shared" si="14"/>
        <v>57.942833333333347</v>
      </c>
      <c r="O113" s="9">
        <f t="shared" si="15"/>
        <v>57.942833333333347</v>
      </c>
      <c r="P113" s="6">
        <f>IF(O113="","",COUNTIF($O$3:$O$225,"&gt;"&amp;O113)+COUNTIF($O$3:O113,O113))</f>
        <v>103</v>
      </c>
      <c r="Q113">
        <f t="shared" si="16"/>
        <v>103</v>
      </c>
      <c r="R113" s="4">
        <f>'LIVE SOURCE'!E113</f>
        <v>112.2</v>
      </c>
      <c r="S113" s="4">
        <f t="shared" si="17"/>
        <v>9.2000000000000028</v>
      </c>
      <c r="T113" t="str">
        <f>'LIVE SOURCE'!F113</f>
        <v>C</v>
      </c>
      <c r="U113" s="4">
        <f t="shared" si="18"/>
        <v>59.81</v>
      </c>
      <c r="V113" s="4">
        <f t="shared" si="19"/>
        <v>71.81</v>
      </c>
      <c r="W113" s="4">
        <f t="shared" si="20"/>
        <v>83.81</v>
      </c>
      <c r="X113" t="str">
        <f>'LIVE SOURCE'!G113</f>
        <v>HISTORY FALLBACK</v>
      </c>
      <c r="Y113" t="str">
        <f>IF(INDEX('Draft Board'!$J$3:$J$225,Q113)="","Available",INDEX('Draft Board'!$J$3:$J$225,Q113))</f>
        <v>Available</v>
      </c>
      <c r="Z113">
        <f t="shared" si="21"/>
        <v>103</v>
      </c>
    </row>
    <row r="114" spans="1:26" x14ac:dyDescent="0.25">
      <c r="A114" t="str">
        <f>'LIVE SOURCE'!A114</f>
        <v>WR</v>
      </c>
      <c r="B114" t="str">
        <f>'LIVE SOURCE'!B114</f>
        <v>Christian Watson</v>
      </c>
      <c r="C114" s="4">
        <f>'LIVE SOURCE'!D114</f>
        <v>73.892499999999998</v>
      </c>
      <c r="D114" s="4">
        <f>'Manual Adjustments'!G114</f>
        <v>0</v>
      </c>
      <c r="E114" s="4">
        <f t="shared" si="11"/>
        <v>73.892499999999998</v>
      </c>
      <c r="F114">
        <f>COUNTIFS($A$3:$A$225,A114,$E$3:$E$225,"&gt;"&amp;E114)+COUNTIFS($A$3:A114,A114,$E$3:E114,E114)</f>
        <v>32</v>
      </c>
      <c r="G114" s="4">
        <f>ROUND(INDEX('League Config'!$K$4:$K$9,MATCH(A114,'League Config'!$E$4:$E$9,0))*E114+INDEX('League Config'!$L$4:$L$9,MATCH(A114,'League Config'!$E$4:$E$9,0)),1)</f>
        <v>240.3</v>
      </c>
      <c r="H114">
        <f>INDEX('League Config'!$H$4:$H$9,MATCH(A114,'League Config'!$E$4:$E$9,0))</f>
        <v>33</v>
      </c>
      <c r="I114" s="4">
        <f>INDEX('League Config'!$I$4:$I$9,MATCH(A114,'League Config'!$E$4:$E$9,0))</f>
        <v>239.3</v>
      </c>
      <c r="J114" s="4">
        <f t="shared" si="12"/>
        <v>1</v>
      </c>
      <c r="K114" s="4">
        <f t="shared" si="13"/>
        <v>50.6</v>
      </c>
      <c r="L114" s="4">
        <f>MIN(100,MAX(0,(1-(F114-1)/(H114*1.5))*100*INDEX('League Config'!$J$4:$J$9,MATCH(A114,'League Config'!$E$4:$E$9,0))))</f>
        <v>41.111111111111107</v>
      </c>
      <c r="M114">
        <f>IF(A114="K",'League Config'!$B$14,IF(A114="DST",'League Config'!$B$15,IF(A114="QB",'League Config'!$B$16,0)))</f>
        <v>0</v>
      </c>
      <c r="N114" s="4">
        <f t="shared" si="14"/>
        <v>61.987541666666665</v>
      </c>
      <c r="O114" s="9">
        <f t="shared" si="15"/>
        <v>61.987541666666665</v>
      </c>
      <c r="P114" s="6">
        <f>IF(O114="","",COUNTIF($O$3:$O$225,"&gt;"&amp;O114)+COUNTIF($O$3:O114,O114))</f>
        <v>91</v>
      </c>
      <c r="Q114">
        <f t="shared" si="16"/>
        <v>91</v>
      </c>
      <c r="R114" s="4">
        <f>'LIVE SOURCE'!E114</f>
        <v>116.1</v>
      </c>
      <c r="S114" s="4">
        <f t="shared" si="17"/>
        <v>25.099999999999994</v>
      </c>
      <c r="T114" t="str">
        <f>'LIVE SOURCE'!F114</f>
        <v>C</v>
      </c>
      <c r="U114" s="4">
        <f t="shared" si="18"/>
        <v>61.892499999999998</v>
      </c>
      <c r="V114" s="4">
        <f t="shared" si="19"/>
        <v>73.892499999999998</v>
      </c>
      <c r="W114" s="4">
        <f t="shared" si="20"/>
        <v>85.892499999999998</v>
      </c>
      <c r="X114" t="str">
        <f>'LIVE SOURCE'!G114</f>
        <v>HISTORY FALLBACK</v>
      </c>
      <c r="Y114" t="str">
        <f>IF(INDEX('Draft Board'!$J$3:$J$225,Q114)="","Available",INDEX('Draft Board'!$J$3:$J$225,Q114))</f>
        <v>Available</v>
      </c>
      <c r="Z114">
        <f t="shared" si="21"/>
        <v>91</v>
      </c>
    </row>
    <row r="115" spans="1:26" x14ac:dyDescent="0.25">
      <c r="A115" t="str">
        <f>'LIVE SOURCE'!A115</f>
        <v>WR</v>
      </c>
      <c r="B115" t="str">
        <f>'LIVE SOURCE'!B115</f>
        <v>Alec Pierce</v>
      </c>
      <c r="C115" s="4">
        <f>'LIVE SOURCE'!D115</f>
        <v>70.724999999999994</v>
      </c>
      <c r="D115" s="4">
        <f>'Manual Adjustments'!G115</f>
        <v>0</v>
      </c>
      <c r="E115" s="4">
        <f t="shared" si="11"/>
        <v>70.724999999999994</v>
      </c>
      <c r="F115">
        <f>COUNTIFS($A$3:$A$225,A115,$E$3:$E$225,"&gt;"&amp;E115)+COUNTIFS($A$3:A115,A115,$E$3:E115,E115)</f>
        <v>39</v>
      </c>
      <c r="G115" s="4">
        <f>ROUND(INDEX('League Config'!$K$4:$K$9,MATCH(A115,'League Config'!$E$4:$E$9,0))*E115+INDEX('League Config'!$L$4:$L$9,MATCH(A115,'League Config'!$E$4:$E$9,0)),1)</f>
        <v>227</v>
      </c>
      <c r="H115">
        <f>INDEX('League Config'!$H$4:$H$9,MATCH(A115,'League Config'!$E$4:$E$9,0))</f>
        <v>33</v>
      </c>
      <c r="I115" s="4">
        <f>INDEX('League Config'!$I$4:$I$9,MATCH(A115,'League Config'!$E$4:$E$9,0))</f>
        <v>239.3</v>
      </c>
      <c r="J115" s="4">
        <f t="shared" si="12"/>
        <v>-12.3</v>
      </c>
      <c r="K115" s="4">
        <f t="shared" si="13"/>
        <v>42.62</v>
      </c>
      <c r="L115" s="4">
        <f>MIN(100,MAX(0,(1-(F115-1)/(H115*1.5))*100*INDEX('League Config'!$J$4:$J$9,MATCH(A115,'League Config'!$E$4:$E$9,0))))</f>
        <v>25.555555555555564</v>
      </c>
      <c r="M115">
        <f>IF(A115="K",'League Config'!$B$14,IF(A115="DST",'League Config'!$B$15,IF(A115="QB",'League Config'!$B$16,0)))</f>
        <v>0</v>
      </c>
      <c r="N115" s="4">
        <f t="shared" si="14"/>
        <v>55.518083333333337</v>
      </c>
      <c r="O115" s="9">
        <f t="shared" si="15"/>
        <v>55.518083333333337</v>
      </c>
      <c r="P115" s="6">
        <f>IF(O115="","",COUNTIF($O$3:$O$225,"&gt;"&amp;O115)+COUNTIF($O$3:O115,O115))</f>
        <v>110</v>
      </c>
      <c r="Q115">
        <f t="shared" si="16"/>
        <v>110</v>
      </c>
      <c r="R115" s="4">
        <f>'LIVE SOURCE'!E115</f>
        <v>120</v>
      </c>
      <c r="S115" s="4">
        <f t="shared" si="17"/>
        <v>10</v>
      </c>
      <c r="T115" t="str">
        <f>'LIVE SOURCE'!F115</f>
        <v>C</v>
      </c>
      <c r="U115" s="4">
        <f t="shared" si="18"/>
        <v>58.724999999999994</v>
      </c>
      <c r="V115" s="4">
        <f t="shared" si="19"/>
        <v>70.724999999999994</v>
      </c>
      <c r="W115" s="4">
        <f t="shared" si="20"/>
        <v>82.724999999999994</v>
      </c>
      <c r="X115" t="str">
        <f>'LIVE SOURCE'!G115</f>
        <v>HISTORY FALLBACK</v>
      </c>
      <c r="Y115" t="str">
        <f>IF(INDEX('Draft Board'!$J$3:$J$225,Q115)="","Available",INDEX('Draft Board'!$J$3:$J$225,Q115))</f>
        <v>Available</v>
      </c>
      <c r="Z115">
        <f t="shared" si="21"/>
        <v>110</v>
      </c>
    </row>
    <row r="116" spans="1:26" x14ac:dyDescent="0.25">
      <c r="A116" t="str">
        <f>'LIVE SOURCE'!A116</f>
        <v>WR</v>
      </c>
      <c r="B116" t="str">
        <f>'LIVE SOURCE'!B116</f>
        <v>DK Metcalf</v>
      </c>
      <c r="C116" s="4">
        <f>'LIVE SOURCE'!D116</f>
        <v>69.807500000000005</v>
      </c>
      <c r="D116" s="4">
        <f>'Manual Adjustments'!G116</f>
        <v>0</v>
      </c>
      <c r="E116" s="4">
        <f t="shared" si="11"/>
        <v>69.807500000000005</v>
      </c>
      <c r="F116">
        <f>COUNTIFS($A$3:$A$225,A116,$E$3:$E$225,"&gt;"&amp;E116)+COUNTIFS($A$3:A116,A116,$E$3:E116,E116)</f>
        <v>41</v>
      </c>
      <c r="G116" s="4">
        <f>ROUND(INDEX('League Config'!$K$4:$K$9,MATCH(A116,'League Config'!$E$4:$E$9,0))*E116+INDEX('League Config'!$L$4:$L$9,MATCH(A116,'League Config'!$E$4:$E$9,0)),1)</f>
        <v>223.2</v>
      </c>
      <c r="H116">
        <f>INDEX('League Config'!$H$4:$H$9,MATCH(A116,'League Config'!$E$4:$E$9,0))</f>
        <v>33</v>
      </c>
      <c r="I116" s="4">
        <f>INDEX('League Config'!$I$4:$I$9,MATCH(A116,'League Config'!$E$4:$E$9,0))</f>
        <v>239.3</v>
      </c>
      <c r="J116" s="4">
        <f t="shared" si="12"/>
        <v>-16.100000000000001</v>
      </c>
      <c r="K116" s="4">
        <f t="shared" si="13"/>
        <v>40.340000000000003</v>
      </c>
      <c r="L116" s="4">
        <f>MIN(100,MAX(0,(1-(F116-1)/(H116*1.5))*100*INDEX('League Config'!$J$4:$J$9,MATCH(A116,'League Config'!$E$4:$E$9,0))))</f>
        <v>21.111111111111114</v>
      </c>
      <c r="M116">
        <f>IF(A116="K",'League Config'!$B$14,IF(A116="DST",'League Config'!$B$15,IF(A116="QB",'League Config'!$B$16,0)))</f>
        <v>0</v>
      </c>
      <c r="N116" s="4">
        <f t="shared" si="14"/>
        <v>53.662791666666671</v>
      </c>
      <c r="O116" s="9">
        <f t="shared" si="15"/>
        <v>53.662791666666671</v>
      </c>
      <c r="P116" s="6">
        <f>IF(O116="","",COUNTIF($O$3:$O$225,"&gt;"&amp;O116)+COUNTIF($O$3:O116,O116))</f>
        <v>116</v>
      </c>
      <c r="Q116">
        <f t="shared" si="16"/>
        <v>116</v>
      </c>
      <c r="R116" s="4">
        <f>'LIVE SOURCE'!E116</f>
        <v>123.9</v>
      </c>
      <c r="S116" s="4">
        <f t="shared" si="17"/>
        <v>7.9000000000000057</v>
      </c>
      <c r="T116" t="str">
        <f>'LIVE SOURCE'!F116</f>
        <v>C</v>
      </c>
      <c r="U116" s="4">
        <f t="shared" si="18"/>
        <v>57.807500000000005</v>
      </c>
      <c r="V116" s="4">
        <f t="shared" si="19"/>
        <v>69.807500000000005</v>
      </c>
      <c r="W116" s="4">
        <f t="shared" si="20"/>
        <v>81.807500000000005</v>
      </c>
      <c r="X116" t="str">
        <f>'LIVE SOURCE'!G116</f>
        <v>HISTORY FALLBACK</v>
      </c>
      <c r="Y116" t="str">
        <f>IF(INDEX('Draft Board'!$J$3:$J$225,Q116)="","Available",INDEX('Draft Board'!$J$3:$J$225,Q116))</f>
        <v>Available</v>
      </c>
      <c r="Z116">
        <f t="shared" si="21"/>
        <v>116</v>
      </c>
    </row>
    <row r="117" spans="1:26" x14ac:dyDescent="0.25">
      <c r="A117" t="str">
        <f>'LIVE SOURCE'!A117</f>
        <v>WR</v>
      </c>
      <c r="B117" t="str">
        <f>'LIVE SOURCE'!B117</f>
        <v>Carnell Tate</v>
      </c>
      <c r="C117" s="4">
        <f>'LIVE SOURCE'!D117</f>
        <v>71.89</v>
      </c>
      <c r="D117" s="4">
        <f>'Manual Adjustments'!G117</f>
        <v>0</v>
      </c>
      <c r="E117" s="4">
        <f t="shared" si="11"/>
        <v>71.89</v>
      </c>
      <c r="F117">
        <f>COUNTIFS($A$3:$A$225,A117,$E$3:$E$225,"&gt;"&amp;E117)+COUNTIFS($A$3:A117,A117,$E$3:E117,E117)</f>
        <v>35</v>
      </c>
      <c r="G117" s="4">
        <f>ROUND(INDEX('League Config'!$K$4:$K$9,MATCH(A117,'League Config'!$E$4:$E$9,0))*E117+INDEX('League Config'!$L$4:$L$9,MATCH(A117,'League Config'!$E$4:$E$9,0)),1)</f>
        <v>231.9</v>
      </c>
      <c r="H117">
        <f>INDEX('League Config'!$H$4:$H$9,MATCH(A117,'League Config'!$E$4:$E$9,0))</f>
        <v>33</v>
      </c>
      <c r="I117" s="4">
        <f>INDEX('League Config'!$I$4:$I$9,MATCH(A117,'League Config'!$E$4:$E$9,0))</f>
        <v>239.3</v>
      </c>
      <c r="J117" s="4">
        <f t="shared" si="12"/>
        <v>-7.4</v>
      </c>
      <c r="K117" s="4">
        <f t="shared" si="13"/>
        <v>45.56</v>
      </c>
      <c r="L117" s="4">
        <f>MIN(100,MAX(0,(1-(F117-1)/(H117*1.5))*100*INDEX('League Config'!$J$4:$J$9,MATCH(A117,'League Config'!$E$4:$E$9,0))))</f>
        <v>34.44444444444445</v>
      </c>
      <c r="M117">
        <f>IF(A117="K",'League Config'!$B$14,IF(A117="DST",'League Config'!$B$15,IF(A117="QB",'League Config'!$B$16,0)))</f>
        <v>0</v>
      </c>
      <c r="N117" s="4">
        <f t="shared" si="14"/>
        <v>58.374166666666667</v>
      </c>
      <c r="O117" s="9">
        <f t="shared" si="15"/>
        <v>58.374166666666667</v>
      </c>
      <c r="P117" s="6">
        <f>IF(O117="","",COUNTIF($O$3:$O$225,"&gt;"&amp;O117)+COUNTIF($O$3:O117,O117))</f>
        <v>101</v>
      </c>
      <c r="Q117">
        <f t="shared" si="16"/>
        <v>101</v>
      </c>
      <c r="R117" s="4">
        <f>'LIVE SOURCE'!E117</f>
        <v>127.8</v>
      </c>
      <c r="S117" s="4">
        <f t="shared" si="17"/>
        <v>26.799999999999997</v>
      </c>
      <c r="T117" t="str">
        <f>'LIVE SOURCE'!F117</f>
        <v>C</v>
      </c>
      <c r="U117" s="4">
        <f t="shared" si="18"/>
        <v>59.89</v>
      </c>
      <c r="V117" s="4">
        <f t="shared" si="19"/>
        <v>71.89</v>
      </c>
      <c r="W117" s="4">
        <f t="shared" si="20"/>
        <v>83.89</v>
      </c>
      <c r="X117" t="str">
        <f>'LIVE SOURCE'!G117</f>
        <v>HISTORY FALLBACK</v>
      </c>
      <c r="Y117" t="str">
        <f>IF(INDEX('Draft Board'!$J$3:$J$225,Q117)="","Available",INDEX('Draft Board'!$J$3:$J$225,Q117))</f>
        <v>Available</v>
      </c>
      <c r="Z117">
        <f t="shared" si="21"/>
        <v>101</v>
      </c>
    </row>
    <row r="118" spans="1:26" x14ac:dyDescent="0.25">
      <c r="A118" t="str">
        <f>'LIVE SOURCE'!A118</f>
        <v>WR</v>
      </c>
      <c r="B118" t="str">
        <f>'LIVE SOURCE'!B118</f>
        <v>Courtland Sutton</v>
      </c>
      <c r="C118" s="4">
        <f>'LIVE SOURCE'!D118</f>
        <v>68.722499999999997</v>
      </c>
      <c r="D118" s="4">
        <f>'Manual Adjustments'!G118</f>
        <v>0</v>
      </c>
      <c r="E118" s="4">
        <f t="shared" si="11"/>
        <v>68.722499999999997</v>
      </c>
      <c r="F118">
        <f>COUNTIFS($A$3:$A$225,A118,$E$3:$E$225,"&gt;"&amp;E118)+COUNTIFS($A$3:A118,A118,$E$3:E118,E118)</f>
        <v>44</v>
      </c>
      <c r="G118" s="4">
        <f>ROUND(INDEX('League Config'!$K$4:$K$9,MATCH(A118,'League Config'!$E$4:$E$9,0))*E118+INDEX('League Config'!$L$4:$L$9,MATCH(A118,'League Config'!$E$4:$E$9,0)),1)</f>
        <v>218.6</v>
      </c>
      <c r="H118">
        <f>INDEX('League Config'!$H$4:$H$9,MATCH(A118,'League Config'!$E$4:$E$9,0))</f>
        <v>33</v>
      </c>
      <c r="I118" s="4">
        <f>INDEX('League Config'!$I$4:$I$9,MATCH(A118,'League Config'!$E$4:$E$9,0))</f>
        <v>239.3</v>
      </c>
      <c r="J118" s="4">
        <f t="shared" si="12"/>
        <v>-20.7</v>
      </c>
      <c r="K118" s="4">
        <f t="shared" si="13"/>
        <v>37.58</v>
      </c>
      <c r="L118" s="4">
        <f>MIN(100,MAX(0,(1-(F118-1)/(H118*1.5))*100*INDEX('League Config'!$J$4:$J$9,MATCH(A118,'League Config'!$E$4:$E$9,0))))</f>
        <v>14.444444444444441</v>
      </c>
      <c r="M118">
        <f>IF(A118="K",'League Config'!$B$14,IF(A118="DST",'League Config'!$B$15,IF(A118="QB",'League Config'!$B$16,0)))</f>
        <v>0</v>
      </c>
      <c r="N118" s="4">
        <f t="shared" si="14"/>
        <v>51.238041666666668</v>
      </c>
      <c r="O118" s="9">
        <f t="shared" si="15"/>
        <v>51.238041666666668</v>
      </c>
      <c r="P118" s="6">
        <f>IF(O118="","",COUNTIF($O$3:$O$225,"&gt;"&amp;O118)+COUNTIF($O$3:O118,O118))</f>
        <v>123</v>
      </c>
      <c r="Q118">
        <f t="shared" si="16"/>
        <v>123</v>
      </c>
      <c r="R118" s="4">
        <f>'LIVE SOURCE'!E118</f>
        <v>131.69999999999999</v>
      </c>
      <c r="S118" s="4">
        <f t="shared" si="17"/>
        <v>8.6999999999999886</v>
      </c>
      <c r="T118" t="str">
        <f>'LIVE SOURCE'!F118</f>
        <v>C</v>
      </c>
      <c r="U118" s="4">
        <f t="shared" si="18"/>
        <v>56.722499999999997</v>
      </c>
      <c r="V118" s="4">
        <f t="shared" si="19"/>
        <v>68.722499999999997</v>
      </c>
      <c r="W118" s="4">
        <f t="shared" si="20"/>
        <v>80.722499999999997</v>
      </c>
      <c r="X118" t="str">
        <f>'LIVE SOURCE'!G118</f>
        <v>HISTORY FALLBACK</v>
      </c>
      <c r="Y118" t="str">
        <f>IF(INDEX('Draft Board'!$J$3:$J$225,Q118)="","Available",INDEX('Draft Board'!$J$3:$J$225,Q118))</f>
        <v>Available</v>
      </c>
      <c r="Z118">
        <f t="shared" si="21"/>
        <v>123</v>
      </c>
    </row>
    <row r="119" spans="1:26" x14ac:dyDescent="0.25">
      <c r="A119" t="str">
        <f>'LIVE SOURCE'!A119</f>
        <v>WR</v>
      </c>
      <c r="B119" t="str">
        <f>'LIVE SOURCE'!B119</f>
        <v>Jordyn Tyson</v>
      </c>
      <c r="C119" s="4">
        <f>'LIVE SOURCE'!D119</f>
        <v>76.22</v>
      </c>
      <c r="D119" s="4">
        <f>'Manual Adjustments'!G119</f>
        <v>0</v>
      </c>
      <c r="E119" s="4">
        <f t="shared" si="11"/>
        <v>76.22</v>
      </c>
      <c r="F119">
        <f>COUNTIFS($A$3:$A$225,A119,$E$3:$E$225,"&gt;"&amp;E119)+COUNTIFS($A$3:A119,A119,$E$3:E119,E119)</f>
        <v>26</v>
      </c>
      <c r="G119" s="4">
        <f>ROUND(INDEX('League Config'!$K$4:$K$9,MATCH(A119,'League Config'!$E$4:$E$9,0))*E119+INDEX('League Config'!$L$4:$L$9,MATCH(A119,'League Config'!$E$4:$E$9,0)),1)</f>
        <v>250.1</v>
      </c>
      <c r="H119">
        <f>INDEX('League Config'!$H$4:$H$9,MATCH(A119,'League Config'!$E$4:$E$9,0))</f>
        <v>33</v>
      </c>
      <c r="I119" s="4">
        <f>INDEX('League Config'!$I$4:$I$9,MATCH(A119,'League Config'!$E$4:$E$9,0))</f>
        <v>239.3</v>
      </c>
      <c r="J119" s="4">
        <f t="shared" si="12"/>
        <v>10.8</v>
      </c>
      <c r="K119" s="4">
        <f t="shared" si="13"/>
        <v>56.480000000000004</v>
      </c>
      <c r="L119" s="4">
        <f>MIN(100,MAX(0,(1-(F119-1)/(H119*1.5))*100*INDEX('League Config'!$J$4:$J$9,MATCH(A119,'League Config'!$E$4:$E$9,0))))</f>
        <v>54.44444444444445</v>
      </c>
      <c r="M119">
        <f>IF(A119="K",'League Config'!$B$14,IF(A119="DST",'League Config'!$B$15,IF(A119="QB",'League Config'!$B$16,0)))</f>
        <v>0</v>
      </c>
      <c r="N119" s="4">
        <f t="shared" si="14"/>
        <v>67.031666666666666</v>
      </c>
      <c r="O119" s="9">
        <f t="shared" si="15"/>
        <v>67.031666666666666</v>
      </c>
      <c r="P119" s="6">
        <f>IF(O119="","",COUNTIF($O$3:$O$225,"&gt;"&amp;O119)+COUNTIF($O$3:O119,O119))</f>
        <v>72</v>
      </c>
      <c r="Q119">
        <f t="shared" si="16"/>
        <v>72</v>
      </c>
      <c r="R119" s="4">
        <f>'LIVE SOURCE'!E119</f>
        <v>135.6</v>
      </c>
      <c r="S119" s="4">
        <f t="shared" si="17"/>
        <v>63.599999999999994</v>
      </c>
      <c r="T119" t="str">
        <f>'LIVE SOURCE'!F119</f>
        <v>C</v>
      </c>
      <c r="U119" s="4">
        <f t="shared" si="18"/>
        <v>64.22</v>
      </c>
      <c r="V119" s="4">
        <f t="shared" si="19"/>
        <v>76.22</v>
      </c>
      <c r="W119" s="4">
        <f t="shared" si="20"/>
        <v>88.22</v>
      </c>
      <c r="X119" t="str">
        <f>'LIVE SOURCE'!G119</f>
        <v>HISTORY FALLBACK</v>
      </c>
      <c r="Y119" t="str">
        <f>IF(INDEX('Draft Board'!$J$3:$J$225,Q119)="","Available",INDEX('Draft Board'!$J$3:$J$225,Q119))</f>
        <v>Available</v>
      </c>
      <c r="Z119">
        <f t="shared" si="21"/>
        <v>72</v>
      </c>
    </row>
    <row r="120" spans="1:26" x14ac:dyDescent="0.25">
      <c r="A120" t="str">
        <f>'LIVE SOURCE'!A120</f>
        <v>WR</v>
      </c>
      <c r="B120" t="str">
        <f>'LIVE SOURCE'!B120</f>
        <v>Michael Pittman Jr.</v>
      </c>
      <c r="C120" s="4">
        <f>'LIVE SOURCE'!D120</f>
        <v>75.55</v>
      </c>
      <c r="D120" s="4">
        <f>'Manual Adjustments'!G120</f>
        <v>0</v>
      </c>
      <c r="E120" s="4">
        <f t="shared" si="11"/>
        <v>75.55</v>
      </c>
      <c r="F120">
        <f>COUNTIFS($A$3:$A$225,A120,$E$3:$E$225,"&gt;"&amp;E120)+COUNTIFS($A$3:A120,A120,$E$3:E120,E120)</f>
        <v>28</v>
      </c>
      <c r="G120" s="4">
        <f>ROUND(INDEX('League Config'!$K$4:$K$9,MATCH(A120,'League Config'!$E$4:$E$9,0))*E120+INDEX('League Config'!$L$4:$L$9,MATCH(A120,'League Config'!$E$4:$E$9,0)),1)</f>
        <v>247.3</v>
      </c>
      <c r="H120">
        <f>INDEX('League Config'!$H$4:$H$9,MATCH(A120,'League Config'!$E$4:$E$9,0))</f>
        <v>33</v>
      </c>
      <c r="I120" s="4">
        <f>INDEX('League Config'!$I$4:$I$9,MATCH(A120,'League Config'!$E$4:$E$9,0))</f>
        <v>239.3</v>
      </c>
      <c r="J120" s="4">
        <f t="shared" si="12"/>
        <v>8</v>
      </c>
      <c r="K120" s="4">
        <f t="shared" si="13"/>
        <v>54.8</v>
      </c>
      <c r="L120" s="4">
        <f>MIN(100,MAX(0,(1-(F120-1)/(H120*1.5))*100*INDEX('League Config'!$J$4:$J$9,MATCH(A120,'League Config'!$E$4:$E$9,0))))</f>
        <v>50.000000000000007</v>
      </c>
      <c r="M120">
        <f>IF(A120="K",'League Config'!$B$14,IF(A120="DST",'League Config'!$B$15,IF(A120="QB",'League Config'!$B$16,0)))</f>
        <v>0</v>
      </c>
      <c r="N120" s="4">
        <f t="shared" si="14"/>
        <v>65.492500000000007</v>
      </c>
      <c r="O120" s="9">
        <f t="shared" si="15"/>
        <v>65.492500000000007</v>
      </c>
      <c r="P120" s="6">
        <f>IF(O120="","",COUNTIF($O$3:$O$225,"&gt;"&amp;O120)+COUNTIF($O$3:O120,O120))</f>
        <v>79</v>
      </c>
      <c r="Q120">
        <f t="shared" si="16"/>
        <v>79</v>
      </c>
      <c r="R120" s="4">
        <f>'LIVE SOURCE'!E120</f>
        <v>139.5</v>
      </c>
      <c r="S120" s="4">
        <f t="shared" si="17"/>
        <v>60.5</v>
      </c>
      <c r="T120" t="str">
        <f>'LIVE SOURCE'!F120</f>
        <v>C</v>
      </c>
      <c r="U120" s="4">
        <f t="shared" si="18"/>
        <v>63.55</v>
      </c>
      <c r="V120" s="4">
        <f t="shared" si="19"/>
        <v>75.55</v>
      </c>
      <c r="W120" s="4">
        <f t="shared" si="20"/>
        <v>87.55</v>
      </c>
      <c r="X120" t="str">
        <f>'LIVE SOURCE'!G120</f>
        <v>HISTORY FALLBACK</v>
      </c>
      <c r="Y120" t="str">
        <f>IF(INDEX('Draft Board'!$J$3:$J$225,Q120)="","Available",INDEX('Draft Board'!$J$3:$J$225,Q120))</f>
        <v>Available</v>
      </c>
      <c r="Z120">
        <f t="shared" si="21"/>
        <v>79</v>
      </c>
    </row>
    <row r="121" spans="1:26" x14ac:dyDescent="0.25">
      <c r="A121" t="str">
        <f>'LIVE SOURCE'!A121</f>
        <v>WR</v>
      </c>
      <c r="B121" t="str">
        <f>'LIVE SOURCE'!B121</f>
        <v>Jakobi Meyers</v>
      </c>
      <c r="C121" s="4">
        <f>'LIVE SOURCE'!D121</f>
        <v>74.88</v>
      </c>
      <c r="D121" s="4">
        <f>'Manual Adjustments'!G121</f>
        <v>0</v>
      </c>
      <c r="E121" s="4">
        <f t="shared" si="11"/>
        <v>74.88</v>
      </c>
      <c r="F121">
        <f>COUNTIFS($A$3:$A$225,A121,$E$3:$E$225,"&gt;"&amp;E121)+COUNTIFS($A$3:A121,A121,$E$3:E121,E121)</f>
        <v>30</v>
      </c>
      <c r="G121" s="4">
        <f>ROUND(INDEX('League Config'!$K$4:$K$9,MATCH(A121,'League Config'!$E$4:$E$9,0))*E121+INDEX('League Config'!$L$4:$L$9,MATCH(A121,'League Config'!$E$4:$E$9,0)),1)</f>
        <v>244.5</v>
      </c>
      <c r="H121">
        <f>INDEX('League Config'!$H$4:$H$9,MATCH(A121,'League Config'!$E$4:$E$9,0))</f>
        <v>33</v>
      </c>
      <c r="I121" s="4">
        <f>INDEX('League Config'!$I$4:$I$9,MATCH(A121,'League Config'!$E$4:$E$9,0))</f>
        <v>239.3</v>
      </c>
      <c r="J121" s="4">
        <f t="shared" si="12"/>
        <v>5.2</v>
      </c>
      <c r="K121" s="4">
        <f t="shared" si="13"/>
        <v>53.12</v>
      </c>
      <c r="L121" s="4">
        <f>MIN(100,MAX(0,(1-(F121-1)/(H121*1.5))*100*INDEX('League Config'!$J$4:$J$9,MATCH(A121,'League Config'!$E$4:$E$9,0))))</f>
        <v>45.555555555555557</v>
      </c>
      <c r="M121">
        <f>IF(A121="K",'League Config'!$B$14,IF(A121="DST",'League Config'!$B$15,IF(A121="QB",'League Config'!$B$16,0)))</f>
        <v>0</v>
      </c>
      <c r="N121" s="4">
        <f t="shared" si="14"/>
        <v>63.953333333333333</v>
      </c>
      <c r="O121" s="9">
        <f t="shared" si="15"/>
        <v>63.953333333333333</v>
      </c>
      <c r="P121" s="6">
        <f>IF(O121="","",COUNTIF($O$3:$O$225,"&gt;"&amp;O121)+COUNTIF($O$3:O121,O121))</f>
        <v>85</v>
      </c>
      <c r="Q121">
        <f t="shared" si="16"/>
        <v>85</v>
      </c>
      <c r="R121" s="4">
        <f>'LIVE SOURCE'!E121</f>
        <v>143.4</v>
      </c>
      <c r="S121" s="4">
        <f t="shared" si="17"/>
        <v>58.400000000000006</v>
      </c>
      <c r="T121" t="str">
        <f>'LIVE SOURCE'!F121</f>
        <v>C</v>
      </c>
      <c r="U121" s="4">
        <f t="shared" si="18"/>
        <v>62.879999999999995</v>
      </c>
      <c r="V121" s="4">
        <f t="shared" si="19"/>
        <v>74.88</v>
      </c>
      <c r="W121" s="4">
        <f t="shared" si="20"/>
        <v>86.88</v>
      </c>
      <c r="X121" t="str">
        <f>'LIVE SOURCE'!G121</f>
        <v>HISTORY FALLBACK</v>
      </c>
      <c r="Y121" t="str">
        <f>IF(INDEX('Draft Board'!$J$3:$J$225,Q121)="","Available",INDEX('Draft Board'!$J$3:$J$225,Q121))</f>
        <v>Available</v>
      </c>
      <c r="Z121">
        <f t="shared" si="21"/>
        <v>85</v>
      </c>
    </row>
    <row r="122" spans="1:26" x14ac:dyDescent="0.25">
      <c r="A122" t="str">
        <f>'LIVE SOURCE'!A122</f>
        <v>WR</v>
      </c>
      <c r="B122" t="str">
        <f>'LIVE SOURCE'!B122</f>
        <v>Jordan Addison</v>
      </c>
      <c r="C122" s="4">
        <f>'LIVE SOURCE'!D122</f>
        <v>74.209999999999994</v>
      </c>
      <c r="D122" s="4">
        <f>'Manual Adjustments'!G122</f>
        <v>0</v>
      </c>
      <c r="E122" s="4">
        <f t="shared" si="11"/>
        <v>74.209999999999994</v>
      </c>
      <c r="F122">
        <f>COUNTIFS($A$3:$A$225,A122,$E$3:$E$225,"&gt;"&amp;E122)+COUNTIFS($A$3:A122,A122,$E$3:E122,E122)</f>
        <v>31</v>
      </c>
      <c r="G122" s="4">
        <f>ROUND(INDEX('League Config'!$K$4:$K$9,MATCH(A122,'League Config'!$E$4:$E$9,0))*E122+INDEX('League Config'!$L$4:$L$9,MATCH(A122,'League Config'!$E$4:$E$9,0)),1)</f>
        <v>241.7</v>
      </c>
      <c r="H122">
        <f>INDEX('League Config'!$H$4:$H$9,MATCH(A122,'League Config'!$E$4:$E$9,0))</f>
        <v>33</v>
      </c>
      <c r="I122" s="4">
        <f>INDEX('League Config'!$I$4:$I$9,MATCH(A122,'League Config'!$E$4:$E$9,0))</f>
        <v>239.3</v>
      </c>
      <c r="J122" s="4">
        <f t="shared" si="12"/>
        <v>2.4</v>
      </c>
      <c r="K122" s="4">
        <f t="shared" si="13"/>
        <v>51.44</v>
      </c>
      <c r="L122" s="4">
        <f>MIN(100,MAX(0,(1-(F122-1)/(H122*1.5))*100*INDEX('League Config'!$J$4:$J$9,MATCH(A122,'League Config'!$E$4:$E$9,0))))</f>
        <v>43.333333333333336</v>
      </c>
      <c r="M122">
        <f>IF(A122="K",'League Config'!$B$14,IF(A122="DST",'League Config'!$B$15,IF(A122="QB",'League Config'!$B$16,0)))</f>
        <v>0</v>
      </c>
      <c r="N122" s="4">
        <f t="shared" si="14"/>
        <v>62.747500000000002</v>
      </c>
      <c r="O122" s="9">
        <f t="shared" si="15"/>
        <v>62.747500000000002</v>
      </c>
      <c r="P122" s="6">
        <f>IF(O122="","",COUNTIF($O$3:$O$225,"&gt;"&amp;O122)+COUNTIF($O$3:O122,O122))</f>
        <v>88</v>
      </c>
      <c r="Q122">
        <f t="shared" si="16"/>
        <v>88</v>
      </c>
      <c r="R122" s="4">
        <f>'LIVE SOURCE'!E122</f>
        <v>147.30000000000001</v>
      </c>
      <c r="S122" s="4">
        <f t="shared" si="17"/>
        <v>59.300000000000011</v>
      </c>
      <c r="T122" t="str">
        <f>'LIVE SOURCE'!F122</f>
        <v>C</v>
      </c>
      <c r="U122" s="4">
        <f t="shared" si="18"/>
        <v>62.209999999999994</v>
      </c>
      <c r="V122" s="4">
        <f t="shared" si="19"/>
        <v>74.209999999999994</v>
      </c>
      <c r="W122" s="4">
        <f t="shared" si="20"/>
        <v>86.21</v>
      </c>
      <c r="X122" t="str">
        <f>'LIVE SOURCE'!G122</f>
        <v>HISTORY FALLBACK</v>
      </c>
      <c r="Y122" t="str">
        <f>IF(INDEX('Draft Board'!$J$3:$J$225,Q122)="","Available",INDEX('Draft Board'!$J$3:$J$225,Q122))</f>
        <v>Available</v>
      </c>
      <c r="Z122">
        <f t="shared" si="21"/>
        <v>88</v>
      </c>
    </row>
    <row r="123" spans="1:26" x14ac:dyDescent="0.25">
      <c r="A123" t="str">
        <f>'LIVE SOURCE'!A123</f>
        <v>WR</v>
      </c>
      <c r="B123" t="str">
        <f>'LIVE SOURCE'!B123</f>
        <v>Wan'Dale Robinson</v>
      </c>
      <c r="C123" s="4">
        <f>'LIVE SOURCE'!D123</f>
        <v>73.540000000000006</v>
      </c>
      <c r="D123" s="4">
        <f>'Manual Adjustments'!G123</f>
        <v>0</v>
      </c>
      <c r="E123" s="4">
        <f t="shared" si="11"/>
        <v>73.540000000000006</v>
      </c>
      <c r="F123">
        <f>COUNTIFS($A$3:$A$225,A123,$E$3:$E$225,"&gt;"&amp;E123)+COUNTIFS($A$3:A123,A123,$E$3:E123,E123)</f>
        <v>34</v>
      </c>
      <c r="G123" s="4">
        <f>ROUND(INDEX('League Config'!$K$4:$K$9,MATCH(A123,'League Config'!$E$4:$E$9,0))*E123+INDEX('League Config'!$L$4:$L$9,MATCH(A123,'League Config'!$E$4:$E$9,0)),1)</f>
        <v>238.9</v>
      </c>
      <c r="H123">
        <f>INDEX('League Config'!$H$4:$H$9,MATCH(A123,'League Config'!$E$4:$E$9,0))</f>
        <v>33</v>
      </c>
      <c r="I123" s="4">
        <f>INDEX('League Config'!$I$4:$I$9,MATCH(A123,'League Config'!$E$4:$E$9,0))</f>
        <v>239.3</v>
      </c>
      <c r="J123" s="4">
        <f t="shared" si="12"/>
        <v>-0.4</v>
      </c>
      <c r="K123" s="4">
        <f t="shared" si="13"/>
        <v>49.76</v>
      </c>
      <c r="L123" s="4">
        <f>MIN(100,MAX(0,(1-(F123-1)/(H123*1.5))*100*INDEX('League Config'!$J$4:$J$9,MATCH(A123,'League Config'!$E$4:$E$9,0))))</f>
        <v>36.666666666666671</v>
      </c>
      <c r="M123">
        <f>IF(A123="K",'League Config'!$B$14,IF(A123="DST",'League Config'!$B$15,IF(A123="QB",'League Config'!$B$16,0)))</f>
        <v>0</v>
      </c>
      <c r="N123" s="4">
        <f t="shared" si="14"/>
        <v>60.875000000000007</v>
      </c>
      <c r="O123" s="9">
        <f t="shared" si="15"/>
        <v>60.875000000000007</v>
      </c>
      <c r="P123" s="6">
        <f>IF(O123="","",COUNTIF($O$3:$O$225,"&gt;"&amp;O123)+COUNTIF($O$3:O123,O123))</f>
        <v>95</v>
      </c>
      <c r="Q123">
        <f t="shared" si="16"/>
        <v>95</v>
      </c>
      <c r="R123" s="4">
        <f>'LIVE SOURCE'!E123</f>
        <v>151.19999999999999</v>
      </c>
      <c r="S123" s="4">
        <f t="shared" si="17"/>
        <v>56.199999999999989</v>
      </c>
      <c r="T123" t="str">
        <f>'LIVE SOURCE'!F123</f>
        <v>C</v>
      </c>
      <c r="U123" s="4">
        <f t="shared" si="18"/>
        <v>61.540000000000006</v>
      </c>
      <c r="V123" s="4">
        <f t="shared" si="19"/>
        <v>73.540000000000006</v>
      </c>
      <c r="W123" s="4">
        <f t="shared" si="20"/>
        <v>85.54</v>
      </c>
      <c r="X123" t="str">
        <f>'LIVE SOURCE'!G123</f>
        <v>HISTORY FALLBACK</v>
      </c>
      <c r="Y123" t="str">
        <f>IF(INDEX('Draft Board'!$J$3:$J$225,Q123)="","Available",INDEX('Draft Board'!$J$3:$J$225,Q123))</f>
        <v>Available</v>
      </c>
      <c r="Z123">
        <f t="shared" si="21"/>
        <v>95</v>
      </c>
    </row>
    <row r="124" spans="1:26" x14ac:dyDescent="0.25">
      <c r="A124" t="str">
        <f>'LIVE SOURCE'!A124</f>
        <v>WR</v>
      </c>
      <c r="B124" t="str">
        <f>'LIVE SOURCE'!B124</f>
        <v>Brian Thomas Jr.</v>
      </c>
      <c r="C124" s="4">
        <f>'LIVE SOURCE'!D124</f>
        <v>66.967500000000001</v>
      </c>
      <c r="D124" s="4">
        <f>'Manual Adjustments'!G124</f>
        <v>0</v>
      </c>
      <c r="E124" s="4">
        <f t="shared" si="11"/>
        <v>66.967500000000001</v>
      </c>
      <c r="F124">
        <f>COUNTIFS($A$3:$A$225,A124,$E$3:$E$225,"&gt;"&amp;E124)+COUNTIFS($A$3:A124,A124,$E$3:E124,E124)</f>
        <v>47</v>
      </c>
      <c r="G124" s="4">
        <f>ROUND(INDEX('League Config'!$K$4:$K$9,MATCH(A124,'League Config'!$E$4:$E$9,0))*E124+INDEX('League Config'!$L$4:$L$9,MATCH(A124,'League Config'!$E$4:$E$9,0)),1)</f>
        <v>211.3</v>
      </c>
      <c r="H124">
        <f>INDEX('League Config'!$H$4:$H$9,MATCH(A124,'League Config'!$E$4:$E$9,0))</f>
        <v>33</v>
      </c>
      <c r="I124" s="4">
        <f>INDEX('League Config'!$I$4:$I$9,MATCH(A124,'League Config'!$E$4:$E$9,0))</f>
        <v>239.3</v>
      </c>
      <c r="J124" s="4">
        <f t="shared" si="12"/>
        <v>-28</v>
      </c>
      <c r="K124" s="4">
        <f t="shared" si="13"/>
        <v>33.200000000000003</v>
      </c>
      <c r="L124" s="4">
        <f>MIN(100,MAX(0,(1-(F124-1)/(H124*1.5))*100*INDEX('League Config'!$J$4:$J$9,MATCH(A124,'League Config'!$E$4:$E$9,0))))</f>
        <v>7.7777777777777795</v>
      </c>
      <c r="M124">
        <f>IF(A124="K",'League Config'!$B$14,IF(A124="DST",'League Config'!$B$15,IF(A124="QB",'League Config'!$B$16,0)))</f>
        <v>0</v>
      </c>
      <c r="N124" s="4">
        <f t="shared" si="14"/>
        <v>47.95879166666667</v>
      </c>
      <c r="O124" s="9">
        <f t="shared" si="15"/>
        <v>47.95879166666667</v>
      </c>
      <c r="P124" s="6">
        <f>IF(O124="","",COUNTIF($O$3:$O$225,"&gt;"&amp;O124)+COUNTIF($O$3:O124,O124))</f>
        <v>133</v>
      </c>
      <c r="Q124">
        <f t="shared" si="16"/>
        <v>153</v>
      </c>
      <c r="R124" s="4">
        <f>'LIVE SOURCE'!E124</f>
        <v>155.1</v>
      </c>
      <c r="S124" s="4">
        <f t="shared" si="17"/>
        <v>2.0999999999999943</v>
      </c>
      <c r="T124" t="str">
        <f>'LIVE SOURCE'!F124</f>
        <v>C</v>
      </c>
      <c r="U124" s="4">
        <f t="shared" si="18"/>
        <v>54.967500000000001</v>
      </c>
      <c r="V124" s="4">
        <f t="shared" si="19"/>
        <v>66.967500000000001</v>
      </c>
      <c r="W124" s="4">
        <f t="shared" si="20"/>
        <v>78.967500000000001</v>
      </c>
      <c r="X124" t="str">
        <f>'LIVE SOURCE'!G124</f>
        <v>HISTORY FALLBACK</v>
      </c>
      <c r="Y124" t="str">
        <f>IF(INDEX('Draft Board'!$J$3:$J$225,Q124)="","Available",INDEX('Draft Board'!$J$3:$J$225,Q124))</f>
        <v>Available</v>
      </c>
      <c r="Z124">
        <f t="shared" si="21"/>
        <v>153</v>
      </c>
    </row>
    <row r="125" spans="1:26" x14ac:dyDescent="0.25">
      <c r="A125" t="str">
        <f>'LIVE SOURCE'!A125</f>
        <v>WR</v>
      </c>
      <c r="B125" t="str">
        <f>'LIVE SOURCE'!B125</f>
        <v>Makai Lemon</v>
      </c>
      <c r="C125" s="4">
        <f>'LIVE SOURCE'!D125</f>
        <v>72.2</v>
      </c>
      <c r="D125" s="4">
        <f>'Manual Adjustments'!G125</f>
        <v>-3</v>
      </c>
      <c r="E125" s="4">
        <f t="shared" si="11"/>
        <v>69.2</v>
      </c>
      <c r="F125">
        <f>COUNTIFS($A$3:$A$225,A125,$E$3:$E$225,"&gt;"&amp;E125)+COUNTIFS($A$3:A125,A125,$E$3:E125,E125)</f>
        <v>42</v>
      </c>
      <c r="G125" s="4">
        <f>ROUND(INDEX('League Config'!$K$4:$K$9,MATCH(A125,'League Config'!$E$4:$E$9,0))*E125+INDEX('League Config'!$L$4:$L$9,MATCH(A125,'League Config'!$E$4:$E$9,0)),1)</f>
        <v>220.6</v>
      </c>
      <c r="H125">
        <f>INDEX('League Config'!$H$4:$H$9,MATCH(A125,'League Config'!$E$4:$E$9,0))</f>
        <v>33</v>
      </c>
      <c r="I125" s="4">
        <f>INDEX('League Config'!$I$4:$I$9,MATCH(A125,'League Config'!$E$4:$E$9,0))</f>
        <v>239.3</v>
      </c>
      <c r="J125" s="4">
        <f t="shared" si="12"/>
        <v>-18.7</v>
      </c>
      <c r="K125" s="4">
        <f t="shared" si="13"/>
        <v>38.78</v>
      </c>
      <c r="L125" s="4">
        <f>MIN(100,MAX(0,(1-(F125-1)/(H125*1.5))*100*INDEX('League Config'!$J$4:$J$9,MATCH(A125,'League Config'!$E$4:$E$9,0))))</f>
        <v>18.888888888888889</v>
      </c>
      <c r="M125">
        <f>IF(A125="K",'League Config'!$B$14,IF(A125="DST",'League Config'!$B$15,IF(A125="QB",'League Config'!$B$16,0)))</f>
        <v>0</v>
      </c>
      <c r="N125" s="4">
        <f t="shared" si="14"/>
        <v>52.527333333333338</v>
      </c>
      <c r="O125" s="9">
        <f t="shared" si="15"/>
        <v>52.527333333333338</v>
      </c>
      <c r="P125" s="6">
        <f>IF(O125="","",COUNTIF($O$3:$O$225,"&gt;"&amp;O125)+COUNTIF($O$3:O125,O125))</f>
        <v>119</v>
      </c>
      <c r="Q125">
        <f t="shared" si="16"/>
        <v>119</v>
      </c>
      <c r="R125" s="4">
        <f>'LIVE SOURCE'!E125</f>
        <v>159</v>
      </c>
      <c r="S125" s="4">
        <f t="shared" si="17"/>
        <v>40</v>
      </c>
      <c r="T125" t="str">
        <f>'LIVE SOURCE'!F125</f>
        <v>C</v>
      </c>
      <c r="U125" s="4">
        <f t="shared" si="18"/>
        <v>57.2</v>
      </c>
      <c r="V125" s="4">
        <f t="shared" si="19"/>
        <v>69.2</v>
      </c>
      <c r="W125" s="4">
        <f t="shared" si="20"/>
        <v>81.2</v>
      </c>
      <c r="X125" t="str">
        <f>'LIVE SOURCE'!G125</f>
        <v>HISTORY FALLBACK</v>
      </c>
      <c r="Y125" t="str">
        <f>IF(INDEX('Draft Board'!$J$3:$J$225,Q125)="","Available",INDEX('Draft Board'!$J$3:$J$225,Q125))</f>
        <v>Available</v>
      </c>
      <c r="Z125">
        <f t="shared" si="21"/>
        <v>119</v>
      </c>
    </row>
    <row r="126" spans="1:26" x14ac:dyDescent="0.25">
      <c r="A126" t="str">
        <f>'LIVE SOURCE'!A126</f>
        <v>WR</v>
      </c>
      <c r="B126" t="str">
        <f>'LIVE SOURCE'!B126</f>
        <v>Parker Washington</v>
      </c>
      <c r="C126" s="4">
        <f>'LIVE SOURCE'!D126</f>
        <v>71.53</v>
      </c>
      <c r="D126" s="4">
        <f>'Manual Adjustments'!G126</f>
        <v>0</v>
      </c>
      <c r="E126" s="4">
        <f t="shared" si="11"/>
        <v>71.53</v>
      </c>
      <c r="F126">
        <f>COUNTIFS($A$3:$A$225,A126,$E$3:$E$225,"&gt;"&amp;E126)+COUNTIFS($A$3:A126,A126,$E$3:E126,E126)</f>
        <v>37</v>
      </c>
      <c r="G126" s="4">
        <f>ROUND(INDEX('League Config'!$K$4:$K$9,MATCH(A126,'League Config'!$E$4:$E$9,0))*E126+INDEX('League Config'!$L$4:$L$9,MATCH(A126,'League Config'!$E$4:$E$9,0)),1)</f>
        <v>230.4</v>
      </c>
      <c r="H126">
        <f>INDEX('League Config'!$H$4:$H$9,MATCH(A126,'League Config'!$E$4:$E$9,0))</f>
        <v>33</v>
      </c>
      <c r="I126" s="4">
        <f>INDEX('League Config'!$I$4:$I$9,MATCH(A126,'League Config'!$E$4:$E$9,0))</f>
        <v>239.3</v>
      </c>
      <c r="J126" s="4">
        <f t="shared" si="12"/>
        <v>-8.9</v>
      </c>
      <c r="K126" s="4">
        <f t="shared" si="13"/>
        <v>44.66</v>
      </c>
      <c r="L126" s="4">
        <f>MIN(100,MAX(0,(1-(F126-1)/(H126*1.5))*100*INDEX('League Config'!$J$4:$J$9,MATCH(A126,'League Config'!$E$4:$E$9,0))))</f>
        <v>30</v>
      </c>
      <c r="M126">
        <f>IF(A126="K",'League Config'!$B$14,IF(A126="DST",'League Config'!$B$15,IF(A126="QB",'League Config'!$B$16,0)))</f>
        <v>0</v>
      </c>
      <c r="N126" s="4">
        <f t="shared" si="14"/>
        <v>57.2395</v>
      </c>
      <c r="O126" s="9">
        <f t="shared" si="15"/>
        <v>57.2395</v>
      </c>
      <c r="P126" s="6">
        <f>IF(O126="","",COUNTIF($O$3:$O$225,"&gt;"&amp;O126)+COUNTIF($O$3:O126,O126))</f>
        <v>104</v>
      </c>
      <c r="Q126">
        <f t="shared" si="16"/>
        <v>104</v>
      </c>
      <c r="R126" s="4">
        <f>'LIVE SOURCE'!E126</f>
        <v>162.9</v>
      </c>
      <c r="S126" s="4">
        <f t="shared" si="17"/>
        <v>58.900000000000006</v>
      </c>
      <c r="T126" t="str">
        <f>'LIVE SOURCE'!F126</f>
        <v>C</v>
      </c>
      <c r="U126" s="4">
        <f t="shared" si="18"/>
        <v>59.53</v>
      </c>
      <c r="V126" s="4">
        <f t="shared" si="19"/>
        <v>71.53</v>
      </c>
      <c r="W126" s="4">
        <f t="shared" si="20"/>
        <v>83.53</v>
      </c>
      <c r="X126" t="str">
        <f>'LIVE SOURCE'!G126</f>
        <v>HISTORY FALLBACK</v>
      </c>
      <c r="Y126" t="str">
        <f>IF(INDEX('Draft Board'!$J$3:$J$225,Q126)="","Available",INDEX('Draft Board'!$J$3:$J$225,Q126))</f>
        <v>Available</v>
      </c>
      <c r="Z126">
        <f t="shared" si="21"/>
        <v>104</v>
      </c>
    </row>
    <row r="127" spans="1:26" x14ac:dyDescent="0.25">
      <c r="A127" t="str">
        <f>'LIVE SOURCE'!A127</f>
        <v>WR</v>
      </c>
      <c r="B127" t="str">
        <f>'LIVE SOURCE'!B127</f>
        <v>Chris Godwin Jr.</v>
      </c>
      <c r="C127" s="4">
        <f>'LIVE SOURCE'!D127</f>
        <v>70.86</v>
      </c>
      <c r="D127" s="4">
        <f>'Manual Adjustments'!G127</f>
        <v>0</v>
      </c>
      <c r="E127" s="4">
        <f t="shared" si="11"/>
        <v>70.86</v>
      </c>
      <c r="F127">
        <f>COUNTIFS($A$3:$A$225,A127,$E$3:$E$225,"&gt;"&amp;E127)+COUNTIFS($A$3:A127,A127,$E$3:E127,E127)</f>
        <v>38</v>
      </c>
      <c r="G127" s="4">
        <f>ROUND(INDEX('League Config'!$K$4:$K$9,MATCH(A127,'League Config'!$E$4:$E$9,0))*E127+INDEX('League Config'!$L$4:$L$9,MATCH(A127,'League Config'!$E$4:$E$9,0)),1)</f>
        <v>227.6</v>
      </c>
      <c r="H127">
        <f>INDEX('League Config'!$H$4:$H$9,MATCH(A127,'League Config'!$E$4:$E$9,0))</f>
        <v>33</v>
      </c>
      <c r="I127" s="4">
        <f>INDEX('League Config'!$I$4:$I$9,MATCH(A127,'League Config'!$E$4:$E$9,0))</f>
        <v>239.3</v>
      </c>
      <c r="J127" s="4">
        <f t="shared" si="12"/>
        <v>-11.7</v>
      </c>
      <c r="K127" s="4">
        <f t="shared" si="13"/>
        <v>42.980000000000004</v>
      </c>
      <c r="L127" s="4">
        <f>MIN(100,MAX(0,(1-(F127-1)/(H127*1.5))*100*INDEX('League Config'!$J$4:$J$9,MATCH(A127,'League Config'!$E$4:$E$9,0))))</f>
        <v>27.777777777777775</v>
      </c>
      <c r="M127">
        <f>IF(A127="K",'League Config'!$B$14,IF(A127="DST",'League Config'!$B$15,IF(A127="QB",'League Config'!$B$16,0)))</f>
        <v>0</v>
      </c>
      <c r="N127" s="4">
        <f t="shared" si="14"/>
        <v>56.033666666666669</v>
      </c>
      <c r="O127" s="9">
        <f t="shared" si="15"/>
        <v>56.033666666666669</v>
      </c>
      <c r="P127" s="6">
        <f>IF(O127="","",COUNTIF($O$3:$O$225,"&gt;"&amp;O127)+COUNTIF($O$3:O127,O127))</f>
        <v>108</v>
      </c>
      <c r="Q127">
        <f t="shared" si="16"/>
        <v>108</v>
      </c>
      <c r="R127" s="4">
        <f>'LIVE SOURCE'!E127</f>
        <v>166.8</v>
      </c>
      <c r="S127" s="4">
        <f t="shared" si="17"/>
        <v>58.800000000000011</v>
      </c>
      <c r="T127" t="str">
        <f>'LIVE SOURCE'!F127</f>
        <v>C</v>
      </c>
      <c r="U127" s="4">
        <f t="shared" si="18"/>
        <v>58.86</v>
      </c>
      <c r="V127" s="4">
        <f t="shared" si="19"/>
        <v>70.86</v>
      </c>
      <c r="W127" s="4">
        <f t="shared" si="20"/>
        <v>82.86</v>
      </c>
      <c r="X127" t="str">
        <f>'LIVE SOURCE'!G127</f>
        <v>HISTORY FALLBACK</v>
      </c>
      <c r="Y127" t="str">
        <f>IF(INDEX('Draft Board'!$J$3:$J$225,Q127)="","Available",INDEX('Draft Board'!$J$3:$J$225,Q127))</f>
        <v>Available</v>
      </c>
      <c r="Z127">
        <f t="shared" si="21"/>
        <v>108</v>
      </c>
    </row>
    <row r="128" spans="1:26" x14ac:dyDescent="0.25">
      <c r="A128" t="str">
        <f>'LIVE SOURCE'!A128</f>
        <v>WR</v>
      </c>
      <c r="B128" t="str">
        <f>'LIVE SOURCE'!B128</f>
        <v>Quentin Johnston</v>
      </c>
      <c r="C128" s="4">
        <f>'LIVE SOURCE'!D128</f>
        <v>70.19</v>
      </c>
      <c r="D128" s="4">
        <f>'Manual Adjustments'!G128</f>
        <v>0</v>
      </c>
      <c r="E128" s="4">
        <f t="shared" si="11"/>
        <v>70.19</v>
      </c>
      <c r="F128">
        <f>COUNTIFS($A$3:$A$225,A128,$E$3:$E$225,"&gt;"&amp;E128)+COUNTIFS($A$3:A128,A128,$E$3:E128,E128)</f>
        <v>40</v>
      </c>
      <c r="G128" s="4">
        <f>ROUND(INDEX('League Config'!$K$4:$K$9,MATCH(A128,'League Config'!$E$4:$E$9,0))*E128+INDEX('League Config'!$L$4:$L$9,MATCH(A128,'League Config'!$E$4:$E$9,0)),1)</f>
        <v>224.8</v>
      </c>
      <c r="H128">
        <f>INDEX('League Config'!$H$4:$H$9,MATCH(A128,'League Config'!$E$4:$E$9,0))</f>
        <v>33</v>
      </c>
      <c r="I128" s="4">
        <f>INDEX('League Config'!$I$4:$I$9,MATCH(A128,'League Config'!$E$4:$E$9,0))</f>
        <v>239.3</v>
      </c>
      <c r="J128" s="4">
        <f t="shared" si="12"/>
        <v>-14.5</v>
      </c>
      <c r="K128" s="4">
        <f t="shared" si="13"/>
        <v>41.3</v>
      </c>
      <c r="L128" s="4">
        <f>MIN(100,MAX(0,(1-(F128-1)/(H128*1.5))*100*INDEX('League Config'!$J$4:$J$9,MATCH(A128,'League Config'!$E$4:$E$9,0))))</f>
        <v>23.333333333333339</v>
      </c>
      <c r="M128">
        <f>IF(A128="K",'League Config'!$B$14,IF(A128="DST",'League Config'!$B$15,IF(A128="QB",'League Config'!$B$16,0)))</f>
        <v>0</v>
      </c>
      <c r="N128" s="4">
        <f t="shared" si="14"/>
        <v>54.494500000000002</v>
      </c>
      <c r="O128" s="9">
        <f t="shared" si="15"/>
        <v>54.494500000000002</v>
      </c>
      <c r="P128" s="6">
        <f>IF(O128="","",COUNTIF($O$3:$O$225,"&gt;"&amp;O128)+COUNTIF($O$3:O128,O128))</f>
        <v>112</v>
      </c>
      <c r="Q128">
        <f t="shared" si="16"/>
        <v>112</v>
      </c>
      <c r="R128" s="4">
        <f>'LIVE SOURCE'!E128</f>
        <v>170.7</v>
      </c>
      <c r="S128" s="4">
        <f t="shared" si="17"/>
        <v>58.699999999999989</v>
      </c>
      <c r="T128" t="str">
        <f>'LIVE SOURCE'!F128</f>
        <v>C</v>
      </c>
      <c r="U128" s="4">
        <f t="shared" si="18"/>
        <v>58.19</v>
      </c>
      <c r="V128" s="4">
        <f t="shared" si="19"/>
        <v>70.19</v>
      </c>
      <c r="W128" s="4">
        <f t="shared" si="20"/>
        <v>82.19</v>
      </c>
      <c r="X128" t="str">
        <f>'LIVE SOURCE'!G128</f>
        <v>HISTORY FALLBACK</v>
      </c>
      <c r="Y128" t="str">
        <f>IF(INDEX('Draft Board'!$J$3:$J$225,Q128)="","Available",INDEX('Draft Board'!$J$3:$J$225,Q128))</f>
        <v>Available</v>
      </c>
      <c r="Z128">
        <f t="shared" si="21"/>
        <v>112</v>
      </c>
    </row>
    <row r="129" spans="1:26" x14ac:dyDescent="0.25">
      <c r="A129" t="str">
        <f>'LIVE SOURCE'!A129</f>
        <v>WR</v>
      </c>
      <c r="B129" t="str">
        <f>'LIVE SOURCE'!B129</f>
        <v>Ricky Pearsall</v>
      </c>
      <c r="C129" s="4">
        <f>'LIVE SOURCE'!D129</f>
        <v>69.52</v>
      </c>
      <c r="D129" s="4">
        <f>'Manual Adjustments'!G129</f>
        <v>-60</v>
      </c>
      <c r="E129" s="4">
        <f t="shared" si="11"/>
        <v>40</v>
      </c>
      <c r="F129">
        <f>COUNTIFS($A$3:$A$225,A129,$E$3:$E$225,"&gt;"&amp;E129)+COUNTIFS($A$3:A129,A129,$E$3:E129,E129)</f>
        <v>70</v>
      </c>
      <c r="G129" s="4">
        <f>ROUND(INDEX('League Config'!$K$4:$K$9,MATCH(A129,'League Config'!$E$4:$E$9,0))*E129+INDEX('League Config'!$L$4:$L$9,MATCH(A129,'League Config'!$E$4:$E$9,0)),1)</f>
        <v>98</v>
      </c>
      <c r="H129">
        <f>INDEX('League Config'!$H$4:$H$9,MATCH(A129,'League Config'!$E$4:$E$9,0))</f>
        <v>33</v>
      </c>
      <c r="I129" s="4">
        <f>INDEX('League Config'!$I$4:$I$9,MATCH(A129,'League Config'!$E$4:$E$9,0))</f>
        <v>239.3</v>
      </c>
      <c r="J129" s="4">
        <f t="shared" si="12"/>
        <v>-141.30000000000001</v>
      </c>
      <c r="K129" s="4">
        <f t="shared" si="13"/>
        <v>0</v>
      </c>
      <c r="L129" s="4">
        <f>MIN(100,MAX(0,(1-(F129-1)/(H129*1.5))*100*INDEX('League Config'!$J$4:$J$9,MATCH(A129,'League Config'!$E$4:$E$9,0))))</f>
        <v>0</v>
      </c>
      <c r="M129">
        <f>IF(A129="K",'League Config'!$B$14,IF(A129="DST",'League Config'!$B$15,IF(A129="QB",'League Config'!$B$16,0)))</f>
        <v>0</v>
      </c>
      <c r="N129" s="4">
        <f t="shared" si="14"/>
        <v>22</v>
      </c>
      <c r="O129" s="9">
        <f t="shared" si="15"/>
        <v>22</v>
      </c>
      <c r="P129" s="6">
        <f>IF(O129="","",COUNTIF($O$3:$O$225,"&gt;"&amp;O129)+COUNTIF($O$3:O129,O129))</f>
        <v>179</v>
      </c>
      <c r="Q129">
        <f t="shared" si="16"/>
        <v>199</v>
      </c>
      <c r="R129" s="4">
        <f>'LIVE SOURCE'!E129</f>
        <v>174.6</v>
      </c>
      <c r="S129" s="4">
        <f t="shared" si="17"/>
        <v>-24.400000000000006</v>
      </c>
      <c r="T129" t="str">
        <f>'LIVE SOURCE'!F129</f>
        <v>C</v>
      </c>
      <c r="U129" s="4">
        <f t="shared" si="18"/>
        <v>40</v>
      </c>
      <c r="V129" s="4">
        <f t="shared" si="19"/>
        <v>40</v>
      </c>
      <c r="W129" s="4">
        <f t="shared" si="20"/>
        <v>52</v>
      </c>
      <c r="X129" t="str">
        <f>'LIVE SOURCE'!G129</f>
        <v>HISTORY FALLBACK</v>
      </c>
      <c r="Y129" t="str">
        <f>IF(INDEX('Draft Board'!$J$3:$J$225,Q129)="","Available",INDEX('Draft Board'!$J$3:$J$225,Q129))</f>
        <v>Available</v>
      </c>
      <c r="Z129">
        <f t="shared" si="21"/>
        <v>199</v>
      </c>
    </row>
    <row r="130" spans="1:26" x14ac:dyDescent="0.25">
      <c r="A130" t="str">
        <f>'LIVE SOURCE'!A130</f>
        <v>WR</v>
      </c>
      <c r="B130" t="str">
        <f>'LIVE SOURCE'!B130</f>
        <v>Michael Wilson</v>
      </c>
      <c r="C130" s="4">
        <f>'LIVE SOURCE'!D130</f>
        <v>68.849999999999994</v>
      </c>
      <c r="D130" s="4">
        <f>'Manual Adjustments'!G130</f>
        <v>0</v>
      </c>
      <c r="E130" s="4">
        <f t="shared" si="11"/>
        <v>68.849999999999994</v>
      </c>
      <c r="F130">
        <f>COUNTIFS($A$3:$A$225,A130,$E$3:$E$225,"&gt;"&amp;E130)+COUNTIFS($A$3:A130,A130,$E$3:E130,E130)</f>
        <v>43</v>
      </c>
      <c r="G130" s="4">
        <f>ROUND(INDEX('League Config'!$K$4:$K$9,MATCH(A130,'League Config'!$E$4:$E$9,0))*E130+INDEX('League Config'!$L$4:$L$9,MATCH(A130,'League Config'!$E$4:$E$9,0)),1)</f>
        <v>219.2</v>
      </c>
      <c r="H130">
        <f>INDEX('League Config'!$H$4:$H$9,MATCH(A130,'League Config'!$E$4:$E$9,0))</f>
        <v>33</v>
      </c>
      <c r="I130" s="4">
        <f>INDEX('League Config'!$I$4:$I$9,MATCH(A130,'League Config'!$E$4:$E$9,0))</f>
        <v>239.3</v>
      </c>
      <c r="J130" s="4">
        <f t="shared" si="12"/>
        <v>-20.100000000000001</v>
      </c>
      <c r="K130" s="4">
        <f t="shared" si="13"/>
        <v>37.94</v>
      </c>
      <c r="L130" s="4">
        <f>MIN(100,MAX(0,(1-(F130-1)/(H130*1.5))*100*INDEX('League Config'!$J$4:$J$9,MATCH(A130,'League Config'!$E$4:$E$9,0))))</f>
        <v>16.666666666666664</v>
      </c>
      <c r="M130">
        <f>IF(A130="K",'League Config'!$B$14,IF(A130="DST",'League Config'!$B$15,IF(A130="QB",'League Config'!$B$16,0)))</f>
        <v>0</v>
      </c>
      <c r="N130" s="4">
        <f t="shared" si="14"/>
        <v>51.749499999999998</v>
      </c>
      <c r="O130" s="9">
        <f t="shared" si="15"/>
        <v>51.749499999999998</v>
      </c>
      <c r="P130" s="6">
        <f>IF(O130="","",COUNTIF($O$3:$O$225,"&gt;"&amp;O130)+COUNTIF($O$3:O130,O130))</f>
        <v>122</v>
      </c>
      <c r="Q130">
        <f t="shared" si="16"/>
        <v>122</v>
      </c>
      <c r="R130" s="4">
        <f>'LIVE SOURCE'!E130</f>
        <v>178.5</v>
      </c>
      <c r="S130" s="4">
        <f t="shared" si="17"/>
        <v>56.5</v>
      </c>
      <c r="T130" t="str">
        <f>'LIVE SOURCE'!F130</f>
        <v>C</v>
      </c>
      <c r="U130" s="4">
        <f t="shared" si="18"/>
        <v>56.849999999999994</v>
      </c>
      <c r="V130" s="4">
        <f t="shared" si="19"/>
        <v>68.849999999999994</v>
      </c>
      <c r="W130" s="4">
        <f t="shared" si="20"/>
        <v>80.849999999999994</v>
      </c>
      <c r="X130" t="str">
        <f>'LIVE SOURCE'!G130</f>
        <v>HISTORY FALLBACK</v>
      </c>
      <c r="Y130" t="str">
        <f>IF(INDEX('Draft Board'!$J$3:$J$225,Q130)="","Available",INDEX('Draft Board'!$J$3:$J$225,Q130))</f>
        <v>Available</v>
      </c>
      <c r="Z130">
        <f t="shared" si="21"/>
        <v>122</v>
      </c>
    </row>
    <row r="131" spans="1:26" x14ac:dyDescent="0.25">
      <c r="A131" t="str">
        <f>'LIVE SOURCE'!A131</f>
        <v>WR</v>
      </c>
      <c r="B131" t="str">
        <f>'LIVE SOURCE'!B131</f>
        <v>Xavier Worthy</v>
      </c>
      <c r="C131" s="4">
        <f>'LIVE SOURCE'!D131</f>
        <v>68.180000000000007</v>
      </c>
      <c r="D131" s="4">
        <f>'Manual Adjustments'!G131</f>
        <v>0</v>
      </c>
      <c r="E131" s="4">
        <f t="shared" ref="E131:E194" si="22">MAX(40,MIN(100,C131+D131))</f>
        <v>68.180000000000007</v>
      </c>
      <c r="F131">
        <f>COUNTIFS($A$3:$A$225,A131,$E$3:$E$225,"&gt;"&amp;E131)+COUNTIFS($A$3:A131,A131,$E$3:E131,E131)</f>
        <v>45</v>
      </c>
      <c r="G131" s="4">
        <f>ROUND(INDEX('League Config'!$K$4:$K$9,MATCH(A131,'League Config'!$E$4:$E$9,0))*E131+INDEX('League Config'!$L$4:$L$9,MATCH(A131,'League Config'!$E$4:$E$9,0)),1)</f>
        <v>216.4</v>
      </c>
      <c r="H131">
        <f>INDEX('League Config'!$H$4:$H$9,MATCH(A131,'League Config'!$E$4:$E$9,0))</f>
        <v>33</v>
      </c>
      <c r="I131" s="4">
        <f>INDEX('League Config'!$I$4:$I$9,MATCH(A131,'League Config'!$E$4:$E$9,0))</f>
        <v>239.3</v>
      </c>
      <c r="J131" s="4">
        <f t="shared" ref="J131:J194" si="23">ROUND(G131-I131,1)</f>
        <v>-22.9</v>
      </c>
      <c r="K131" s="4">
        <f t="shared" ref="K131:K194" si="24">MAX(0,MIN(100,50+J131*0.6))</f>
        <v>36.260000000000005</v>
      </c>
      <c r="L131" s="4">
        <f>MIN(100,MAX(0,(1-(F131-1)/(H131*1.5))*100*INDEX('League Config'!$J$4:$J$9,MATCH(A131,'League Config'!$E$4:$E$9,0))))</f>
        <v>12.222222222222229</v>
      </c>
      <c r="M131">
        <f>IF(A131="K",'League Config'!$B$14,IF(A131="DST",'League Config'!$B$15,IF(A131="QB",'League Config'!$B$16,0)))</f>
        <v>0</v>
      </c>
      <c r="N131" s="4">
        <f t="shared" ref="N131:N194" si="25">MIN(100,MAX(0,0.55*E131+0.3*K131+0.15*L131-M131))</f>
        <v>50.210333333333345</v>
      </c>
      <c r="O131" s="9">
        <f t="shared" ref="O131:O194" si="26">IF(OR(A131="K",A131="DST"),"",N131)</f>
        <v>50.210333333333345</v>
      </c>
      <c r="P131" s="6">
        <f>IF(O131="","",COUNTIF($O$3:$O$225,"&gt;"&amp;O131)+COUNTIF($O$3:O131,O131))</f>
        <v>127</v>
      </c>
      <c r="Q131">
        <f t="shared" ref="Q131:Q194" si="27">IF(A131="DST",IF(F131&lt;=GateSize,DstStart-1+F131,NSkill+2*GateSize+F131-GateSize),IF(A131="K",IF(F131&lt;=GateSize,KStart-1+F131,NSkill+GateSize+NDst+F131-GateSize),IF(P131&lt;=DstStart-1,P131,P131+2*GateSize)))</f>
        <v>127</v>
      </c>
      <c r="R131" s="4">
        <f>'LIVE SOURCE'!E131</f>
        <v>182.4</v>
      </c>
      <c r="S131" s="4">
        <f t="shared" ref="S131:S194" si="28">R131-Q131</f>
        <v>55.400000000000006</v>
      </c>
      <c r="T131" t="str">
        <f>'LIVE SOURCE'!F131</f>
        <v>C</v>
      </c>
      <c r="U131" s="4">
        <f t="shared" ref="U131:U194" si="29">MAX(40,E131-IF(T131="A",6,IF(T131="B",9,12)))</f>
        <v>56.180000000000007</v>
      </c>
      <c r="V131" s="4">
        <f t="shared" ref="V131:V194" si="30">E131</f>
        <v>68.180000000000007</v>
      </c>
      <c r="W131" s="4">
        <f t="shared" ref="W131:W194" si="31">MIN(100,E131+IF(T131="A",6,IF(T131="B",9,12)))</f>
        <v>80.180000000000007</v>
      </c>
      <c r="X131" t="str">
        <f>'LIVE SOURCE'!G131</f>
        <v>HISTORY FALLBACK</v>
      </c>
      <c r="Y131" t="str">
        <f>IF(INDEX('Draft Board'!$J$3:$J$225,Q131)="","Available",INDEX('Draft Board'!$J$3:$J$225,Q131))</f>
        <v>Available</v>
      </c>
      <c r="Z131">
        <f t="shared" ref="Z131:Z194" si="32">IF(Y131&lt;&gt;"Available","",1+COUNTIFS($Y$3:$Y$225,"Available",$Q$3:$Q$225,"&lt;"&amp;Q131))</f>
        <v>127</v>
      </c>
    </row>
    <row r="132" spans="1:26" x14ac:dyDescent="0.25">
      <c r="A132" t="str">
        <f>'LIVE SOURCE'!A132</f>
        <v>WR</v>
      </c>
      <c r="B132" t="str">
        <f>'LIVE SOURCE'!B132</f>
        <v>Matthew Golden</v>
      </c>
      <c r="C132" s="4">
        <f>'LIVE SOURCE'!D132</f>
        <v>67.510000000000005</v>
      </c>
      <c r="D132" s="4">
        <f>'Manual Adjustments'!G132</f>
        <v>0</v>
      </c>
      <c r="E132" s="4">
        <f t="shared" si="22"/>
        <v>67.510000000000005</v>
      </c>
      <c r="F132">
        <f>COUNTIFS($A$3:$A$225,A132,$E$3:$E$225,"&gt;"&amp;E132)+COUNTIFS($A$3:A132,A132,$E$3:E132,E132)</f>
        <v>46</v>
      </c>
      <c r="G132" s="4">
        <f>ROUND(INDEX('League Config'!$K$4:$K$9,MATCH(A132,'League Config'!$E$4:$E$9,0))*E132+INDEX('League Config'!$L$4:$L$9,MATCH(A132,'League Config'!$E$4:$E$9,0)),1)</f>
        <v>213.5</v>
      </c>
      <c r="H132">
        <f>INDEX('League Config'!$H$4:$H$9,MATCH(A132,'League Config'!$E$4:$E$9,0))</f>
        <v>33</v>
      </c>
      <c r="I132" s="4">
        <f>INDEX('League Config'!$I$4:$I$9,MATCH(A132,'League Config'!$E$4:$E$9,0))</f>
        <v>239.3</v>
      </c>
      <c r="J132" s="4">
        <f t="shared" si="23"/>
        <v>-25.8</v>
      </c>
      <c r="K132" s="4">
        <f t="shared" si="24"/>
        <v>34.519999999999996</v>
      </c>
      <c r="L132" s="4">
        <f>MIN(100,MAX(0,(1-(F132-1)/(H132*1.5))*100*INDEX('League Config'!$J$4:$J$9,MATCH(A132,'League Config'!$E$4:$E$9,0))))</f>
        <v>10.000000000000004</v>
      </c>
      <c r="M132">
        <f>IF(A132="K",'League Config'!$B$14,IF(A132="DST",'League Config'!$B$15,IF(A132="QB",'League Config'!$B$16,0)))</f>
        <v>0</v>
      </c>
      <c r="N132" s="4">
        <f t="shared" si="25"/>
        <v>48.986500000000007</v>
      </c>
      <c r="O132" s="9">
        <f t="shared" si="26"/>
        <v>48.986500000000007</v>
      </c>
      <c r="P132" s="6">
        <f>IF(O132="","",COUNTIF($O$3:$O$225,"&gt;"&amp;O132)+COUNTIF($O$3:O132,O132))</f>
        <v>130</v>
      </c>
      <c r="Q132">
        <f t="shared" si="27"/>
        <v>130</v>
      </c>
      <c r="R132" s="4">
        <f>'LIVE SOURCE'!E132</f>
        <v>186.3</v>
      </c>
      <c r="S132" s="4">
        <f t="shared" si="28"/>
        <v>56.300000000000011</v>
      </c>
      <c r="T132" t="str">
        <f>'LIVE SOURCE'!F132</f>
        <v>C</v>
      </c>
      <c r="U132" s="4">
        <f t="shared" si="29"/>
        <v>55.510000000000005</v>
      </c>
      <c r="V132" s="4">
        <f t="shared" si="30"/>
        <v>67.510000000000005</v>
      </c>
      <c r="W132" s="4">
        <f t="shared" si="31"/>
        <v>79.510000000000005</v>
      </c>
      <c r="X132" t="str">
        <f>'LIVE SOURCE'!G132</f>
        <v>HISTORY FALLBACK</v>
      </c>
      <c r="Y132" t="str">
        <f>IF(INDEX('Draft Board'!$J$3:$J$225,Q132)="","Available",INDEX('Draft Board'!$J$3:$J$225,Q132))</f>
        <v>Available</v>
      </c>
      <c r="Z132">
        <f t="shared" si="32"/>
        <v>130</v>
      </c>
    </row>
    <row r="133" spans="1:26" x14ac:dyDescent="0.25">
      <c r="A133" t="str">
        <f>'LIVE SOURCE'!A133</f>
        <v>WR</v>
      </c>
      <c r="B133" t="str">
        <f>'LIVE SOURCE'!B133</f>
        <v>Josh Downs</v>
      </c>
      <c r="C133" s="4">
        <f>'LIVE SOURCE'!D133</f>
        <v>66.84</v>
      </c>
      <c r="D133" s="4">
        <f>'Manual Adjustments'!G133</f>
        <v>0</v>
      </c>
      <c r="E133" s="4">
        <f t="shared" si="22"/>
        <v>66.84</v>
      </c>
      <c r="F133">
        <f>COUNTIFS($A$3:$A$225,A133,$E$3:$E$225,"&gt;"&amp;E133)+COUNTIFS($A$3:A133,A133,$E$3:E133,E133)</f>
        <v>48</v>
      </c>
      <c r="G133" s="4">
        <f>ROUND(INDEX('League Config'!$K$4:$K$9,MATCH(A133,'League Config'!$E$4:$E$9,0))*E133+INDEX('League Config'!$L$4:$L$9,MATCH(A133,'League Config'!$E$4:$E$9,0)),1)</f>
        <v>210.7</v>
      </c>
      <c r="H133">
        <f>INDEX('League Config'!$H$4:$H$9,MATCH(A133,'League Config'!$E$4:$E$9,0))</f>
        <v>33</v>
      </c>
      <c r="I133" s="4">
        <f>INDEX('League Config'!$I$4:$I$9,MATCH(A133,'League Config'!$E$4:$E$9,0))</f>
        <v>239.3</v>
      </c>
      <c r="J133" s="4">
        <f t="shared" si="23"/>
        <v>-28.6</v>
      </c>
      <c r="K133" s="4">
        <f t="shared" si="24"/>
        <v>32.840000000000003</v>
      </c>
      <c r="L133" s="4">
        <f>MIN(100,MAX(0,(1-(F133-1)/(H133*1.5))*100*INDEX('League Config'!$J$4:$J$9,MATCH(A133,'League Config'!$E$4:$E$9,0))))</f>
        <v>5.5555555555555554</v>
      </c>
      <c r="M133">
        <f>IF(A133="K",'League Config'!$B$14,IF(A133="DST",'League Config'!$B$15,IF(A133="QB",'League Config'!$B$16,0)))</f>
        <v>0</v>
      </c>
      <c r="N133" s="4">
        <f t="shared" si="25"/>
        <v>47.44733333333334</v>
      </c>
      <c r="O133" s="9">
        <f t="shared" si="26"/>
        <v>47.44733333333334</v>
      </c>
      <c r="P133" s="6">
        <f>IF(O133="","",COUNTIF($O$3:$O$225,"&gt;"&amp;O133)+COUNTIF($O$3:O133,O133))</f>
        <v>134</v>
      </c>
      <c r="Q133">
        <f t="shared" si="27"/>
        <v>154</v>
      </c>
      <c r="R133" s="4">
        <f>'LIVE SOURCE'!E133</f>
        <v>190.2</v>
      </c>
      <c r="S133" s="4">
        <f t="shared" si="28"/>
        <v>36.199999999999989</v>
      </c>
      <c r="T133" t="str">
        <f>'LIVE SOURCE'!F133</f>
        <v>C</v>
      </c>
      <c r="U133" s="4">
        <f t="shared" si="29"/>
        <v>54.84</v>
      </c>
      <c r="V133" s="4">
        <f t="shared" si="30"/>
        <v>66.84</v>
      </c>
      <c r="W133" s="4">
        <f t="shared" si="31"/>
        <v>78.84</v>
      </c>
      <c r="X133" t="str">
        <f>'LIVE SOURCE'!G133</f>
        <v>HISTORY FALLBACK</v>
      </c>
      <c r="Y133" t="str">
        <f>IF(INDEX('Draft Board'!$J$3:$J$225,Q133)="","Available",INDEX('Draft Board'!$J$3:$J$225,Q133))</f>
        <v>Available</v>
      </c>
      <c r="Z133">
        <f t="shared" si="32"/>
        <v>154</v>
      </c>
    </row>
    <row r="134" spans="1:26" x14ac:dyDescent="0.25">
      <c r="A134" t="str">
        <f>'LIVE SOURCE'!A134</f>
        <v>WR</v>
      </c>
      <c r="B134" t="str">
        <f>'LIVE SOURCE'!B134</f>
        <v>Jayden Reed</v>
      </c>
      <c r="C134" s="4">
        <f>'LIVE SOURCE'!D134</f>
        <v>66.17</v>
      </c>
      <c r="D134" s="4">
        <f>'Manual Adjustments'!G134</f>
        <v>0</v>
      </c>
      <c r="E134" s="4">
        <f t="shared" si="22"/>
        <v>66.17</v>
      </c>
      <c r="F134">
        <f>COUNTIFS($A$3:$A$225,A134,$E$3:$E$225,"&gt;"&amp;E134)+COUNTIFS($A$3:A134,A134,$E$3:E134,E134)</f>
        <v>49</v>
      </c>
      <c r="G134" s="4">
        <f>ROUND(INDEX('League Config'!$K$4:$K$9,MATCH(A134,'League Config'!$E$4:$E$9,0))*E134+INDEX('League Config'!$L$4:$L$9,MATCH(A134,'League Config'!$E$4:$E$9,0)),1)</f>
        <v>207.9</v>
      </c>
      <c r="H134">
        <f>INDEX('League Config'!$H$4:$H$9,MATCH(A134,'League Config'!$E$4:$E$9,0))</f>
        <v>33</v>
      </c>
      <c r="I134" s="4">
        <f>INDEX('League Config'!$I$4:$I$9,MATCH(A134,'League Config'!$E$4:$E$9,0))</f>
        <v>239.3</v>
      </c>
      <c r="J134" s="4">
        <f t="shared" si="23"/>
        <v>-31.4</v>
      </c>
      <c r="K134" s="4">
        <f t="shared" si="24"/>
        <v>31.16</v>
      </c>
      <c r="L134" s="4">
        <f>MIN(100,MAX(0,(1-(F134-1)/(H134*1.5))*100*INDEX('League Config'!$J$4:$J$9,MATCH(A134,'League Config'!$E$4:$E$9,0))))</f>
        <v>3.3333333333333308</v>
      </c>
      <c r="M134">
        <f>IF(A134="K",'League Config'!$B$14,IF(A134="DST",'League Config'!$B$15,IF(A134="QB",'League Config'!$B$16,0)))</f>
        <v>0</v>
      </c>
      <c r="N134" s="4">
        <f t="shared" si="25"/>
        <v>46.241500000000002</v>
      </c>
      <c r="O134" s="9">
        <f t="shared" si="26"/>
        <v>46.241500000000002</v>
      </c>
      <c r="P134" s="6">
        <f>IF(O134="","",COUNTIF($O$3:$O$225,"&gt;"&amp;O134)+COUNTIF($O$3:O134,O134))</f>
        <v>137</v>
      </c>
      <c r="Q134">
        <f t="shared" si="27"/>
        <v>157</v>
      </c>
      <c r="R134" s="4">
        <f>'LIVE SOURCE'!E134</f>
        <v>194.1</v>
      </c>
      <c r="S134" s="4">
        <f t="shared" si="28"/>
        <v>37.099999999999994</v>
      </c>
      <c r="T134" t="str">
        <f>'LIVE SOURCE'!F134</f>
        <v>C</v>
      </c>
      <c r="U134" s="4">
        <f t="shared" si="29"/>
        <v>54.17</v>
      </c>
      <c r="V134" s="4">
        <f t="shared" si="30"/>
        <v>66.17</v>
      </c>
      <c r="W134" s="4">
        <f t="shared" si="31"/>
        <v>78.17</v>
      </c>
      <c r="X134" t="str">
        <f>'LIVE SOURCE'!G134</f>
        <v>HISTORY FALLBACK</v>
      </c>
      <c r="Y134" t="str">
        <f>IF(INDEX('Draft Board'!$J$3:$J$225,Q134)="","Available",INDEX('Draft Board'!$J$3:$J$225,Q134))</f>
        <v>Available</v>
      </c>
      <c r="Z134">
        <f t="shared" si="32"/>
        <v>157</v>
      </c>
    </row>
    <row r="135" spans="1:26" x14ac:dyDescent="0.25">
      <c r="A135" t="str">
        <f>'LIVE SOURCE'!A135</f>
        <v>WR</v>
      </c>
      <c r="B135" t="str">
        <f>'LIVE SOURCE'!B135</f>
        <v>Khalil Shakir</v>
      </c>
      <c r="C135" s="4">
        <f>'LIVE SOURCE'!D135</f>
        <v>65.5</v>
      </c>
      <c r="D135" s="4">
        <f>'Manual Adjustments'!G135</f>
        <v>0</v>
      </c>
      <c r="E135" s="4">
        <f t="shared" si="22"/>
        <v>65.5</v>
      </c>
      <c r="F135">
        <f>COUNTIFS($A$3:$A$225,A135,$E$3:$E$225,"&gt;"&amp;E135)+COUNTIFS($A$3:A135,A135,$E$3:E135,E135)</f>
        <v>50</v>
      </c>
      <c r="G135" s="4">
        <f>ROUND(INDEX('League Config'!$K$4:$K$9,MATCH(A135,'League Config'!$E$4:$E$9,0))*E135+INDEX('League Config'!$L$4:$L$9,MATCH(A135,'League Config'!$E$4:$E$9,0)),1)</f>
        <v>205.1</v>
      </c>
      <c r="H135">
        <f>INDEX('League Config'!$H$4:$H$9,MATCH(A135,'League Config'!$E$4:$E$9,0))</f>
        <v>33</v>
      </c>
      <c r="I135" s="4">
        <f>INDEX('League Config'!$I$4:$I$9,MATCH(A135,'League Config'!$E$4:$E$9,0))</f>
        <v>239.3</v>
      </c>
      <c r="J135" s="4">
        <f t="shared" si="23"/>
        <v>-34.200000000000003</v>
      </c>
      <c r="K135" s="4">
        <f t="shared" si="24"/>
        <v>29.48</v>
      </c>
      <c r="L135" s="4">
        <f>MIN(100,MAX(0,(1-(F135-1)/(H135*1.5))*100*INDEX('League Config'!$J$4:$J$9,MATCH(A135,'League Config'!$E$4:$E$9,0))))</f>
        <v>1.1111111111111061</v>
      </c>
      <c r="M135">
        <f>IF(A135="K",'League Config'!$B$14,IF(A135="DST",'League Config'!$B$15,IF(A135="QB",'League Config'!$B$16,0)))</f>
        <v>0</v>
      </c>
      <c r="N135" s="4">
        <f t="shared" si="25"/>
        <v>45.035666666666671</v>
      </c>
      <c r="O135" s="9">
        <f t="shared" si="26"/>
        <v>45.035666666666671</v>
      </c>
      <c r="P135" s="6">
        <f>IF(O135="","",COUNTIF($O$3:$O$225,"&gt;"&amp;O135)+COUNTIF($O$3:O135,O135))</f>
        <v>140</v>
      </c>
      <c r="Q135">
        <f t="shared" si="27"/>
        <v>160</v>
      </c>
      <c r="R135" s="4">
        <f>'LIVE SOURCE'!E135</f>
        <v>198</v>
      </c>
      <c r="S135" s="4">
        <f t="shared" si="28"/>
        <v>38</v>
      </c>
      <c r="T135" t="str">
        <f>'LIVE SOURCE'!F135</f>
        <v>C</v>
      </c>
      <c r="U135" s="4">
        <f t="shared" si="29"/>
        <v>53.5</v>
      </c>
      <c r="V135" s="4">
        <f t="shared" si="30"/>
        <v>65.5</v>
      </c>
      <c r="W135" s="4">
        <f t="shared" si="31"/>
        <v>77.5</v>
      </c>
      <c r="X135" t="str">
        <f>'LIVE SOURCE'!G135</f>
        <v>HISTORY FALLBACK</v>
      </c>
      <c r="Y135" t="str">
        <f>IF(INDEX('Draft Board'!$J$3:$J$225,Q135)="","Available",INDEX('Draft Board'!$J$3:$J$225,Q135))</f>
        <v>Available</v>
      </c>
      <c r="Z135">
        <f t="shared" si="32"/>
        <v>160</v>
      </c>
    </row>
    <row r="136" spans="1:26" x14ac:dyDescent="0.25">
      <c r="A136" t="str">
        <f>'LIVE SOURCE'!A136</f>
        <v>WR</v>
      </c>
      <c r="B136" t="str">
        <f>'LIVE SOURCE'!B136</f>
        <v>Jalin Hyatt</v>
      </c>
      <c r="C136" s="4">
        <f>'LIVE SOURCE'!D136</f>
        <v>64.83</v>
      </c>
      <c r="D136" s="4">
        <f>'Manual Adjustments'!G136</f>
        <v>0</v>
      </c>
      <c r="E136" s="4">
        <f t="shared" si="22"/>
        <v>64.83</v>
      </c>
      <c r="F136">
        <f>COUNTIFS($A$3:$A$225,A136,$E$3:$E$225,"&gt;"&amp;E136)+COUNTIFS($A$3:A136,A136,$E$3:E136,E136)</f>
        <v>51</v>
      </c>
      <c r="G136" s="4">
        <f>ROUND(INDEX('League Config'!$K$4:$K$9,MATCH(A136,'League Config'!$E$4:$E$9,0))*E136+INDEX('League Config'!$L$4:$L$9,MATCH(A136,'League Config'!$E$4:$E$9,0)),1)</f>
        <v>202.3</v>
      </c>
      <c r="H136">
        <f>INDEX('League Config'!$H$4:$H$9,MATCH(A136,'League Config'!$E$4:$E$9,0))</f>
        <v>33</v>
      </c>
      <c r="I136" s="4">
        <f>INDEX('League Config'!$I$4:$I$9,MATCH(A136,'League Config'!$E$4:$E$9,0))</f>
        <v>239.3</v>
      </c>
      <c r="J136" s="4">
        <f t="shared" si="23"/>
        <v>-37</v>
      </c>
      <c r="K136" s="4">
        <f t="shared" si="24"/>
        <v>27.8</v>
      </c>
      <c r="L136" s="4">
        <f>MIN(100,MAX(0,(1-(F136-1)/(H136*1.5))*100*INDEX('League Config'!$J$4:$J$9,MATCH(A136,'League Config'!$E$4:$E$9,0))))</f>
        <v>0</v>
      </c>
      <c r="M136">
        <f>IF(A136="K",'League Config'!$B$14,IF(A136="DST",'League Config'!$B$15,IF(A136="QB",'League Config'!$B$16,0)))</f>
        <v>0</v>
      </c>
      <c r="N136" s="4">
        <f t="shared" si="25"/>
        <v>43.996499999999997</v>
      </c>
      <c r="O136" s="9">
        <f t="shared" si="26"/>
        <v>43.996499999999997</v>
      </c>
      <c r="P136" s="6">
        <f>IF(O136="","",COUNTIF($O$3:$O$225,"&gt;"&amp;O136)+COUNTIF($O$3:O136,O136))</f>
        <v>142</v>
      </c>
      <c r="Q136">
        <f t="shared" si="27"/>
        <v>162</v>
      </c>
      <c r="R136" s="4">
        <f>'LIVE SOURCE'!E136</f>
        <v>201.9</v>
      </c>
      <c r="S136" s="4">
        <f t="shared" si="28"/>
        <v>39.900000000000006</v>
      </c>
      <c r="T136" t="str">
        <f>'LIVE SOURCE'!F136</f>
        <v>C</v>
      </c>
      <c r="U136" s="4">
        <f t="shared" si="29"/>
        <v>52.83</v>
      </c>
      <c r="V136" s="4">
        <f t="shared" si="30"/>
        <v>64.83</v>
      </c>
      <c r="W136" s="4">
        <f t="shared" si="31"/>
        <v>76.83</v>
      </c>
      <c r="X136" t="str">
        <f>'LIVE SOURCE'!G136</f>
        <v>HISTORY FALLBACK</v>
      </c>
      <c r="Y136" t="str">
        <f>IF(INDEX('Draft Board'!$J$3:$J$225,Q136)="","Available",INDEX('Draft Board'!$J$3:$J$225,Q136))</f>
        <v>Available</v>
      </c>
      <c r="Z136">
        <f t="shared" si="32"/>
        <v>162</v>
      </c>
    </row>
    <row r="137" spans="1:26" x14ac:dyDescent="0.25">
      <c r="A137" t="str">
        <f>'LIVE SOURCE'!A137</f>
        <v>WR</v>
      </c>
      <c r="B137" t="str">
        <f>'LIVE SOURCE'!B137</f>
        <v>Romeo Doubs</v>
      </c>
      <c r="C137" s="4">
        <f>'LIVE SOURCE'!D137</f>
        <v>64.16</v>
      </c>
      <c r="D137" s="4">
        <f>'Manual Adjustments'!G137</f>
        <v>0</v>
      </c>
      <c r="E137" s="4">
        <f t="shared" si="22"/>
        <v>64.16</v>
      </c>
      <c r="F137">
        <f>COUNTIFS($A$3:$A$225,A137,$E$3:$E$225,"&gt;"&amp;E137)+COUNTIFS($A$3:A137,A137,$E$3:E137,E137)</f>
        <v>52</v>
      </c>
      <c r="G137" s="4">
        <f>ROUND(INDEX('League Config'!$K$4:$K$9,MATCH(A137,'League Config'!$E$4:$E$9,0))*E137+INDEX('League Config'!$L$4:$L$9,MATCH(A137,'League Config'!$E$4:$E$9,0)),1)</f>
        <v>199.5</v>
      </c>
      <c r="H137">
        <f>INDEX('League Config'!$H$4:$H$9,MATCH(A137,'League Config'!$E$4:$E$9,0))</f>
        <v>33</v>
      </c>
      <c r="I137" s="4">
        <f>INDEX('League Config'!$I$4:$I$9,MATCH(A137,'League Config'!$E$4:$E$9,0))</f>
        <v>239.3</v>
      </c>
      <c r="J137" s="4">
        <f t="shared" si="23"/>
        <v>-39.799999999999997</v>
      </c>
      <c r="K137" s="4">
        <f t="shared" si="24"/>
        <v>26.12</v>
      </c>
      <c r="L137" s="4">
        <f>MIN(100,MAX(0,(1-(F137-1)/(H137*1.5))*100*INDEX('League Config'!$J$4:$J$9,MATCH(A137,'League Config'!$E$4:$E$9,0))))</f>
        <v>0</v>
      </c>
      <c r="M137">
        <f>IF(A137="K",'League Config'!$B$14,IF(A137="DST",'League Config'!$B$15,IF(A137="QB",'League Config'!$B$16,0)))</f>
        <v>0</v>
      </c>
      <c r="N137" s="4">
        <f t="shared" si="25"/>
        <v>43.124000000000002</v>
      </c>
      <c r="O137" s="9">
        <f t="shared" si="26"/>
        <v>43.124000000000002</v>
      </c>
      <c r="P137" s="6">
        <f>IF(O137="","",COUNTIF($O$3:$O$225,"&gt;"&amp;O137)+COUNTIF($O$3:O137,O137))</f>
        <v>146</v>
      </c>
      <c r="Q137">
        <f t="shared" si="27"/>
        <v>166</v>
      </c>
      <c r="R137" s="4">
        <f>'LIVE SOURCE'!E137</f>
        <v>205.8</v>
      </c>
      <c r="S137" s="4">
        <f t="shared" si="28"/>
        <v>39.800000000000011</v>
      </c>
      <c r="T137" t="str">
        <f>'LIVE SOURCE'!F137</f>
        <v>C</v>
      </c>
      <c r="U137" s="4">
        <f t="shared" si="29"/>
        <v>52.16</v>
      </c>
      <c r="V137" s="4">
        <f t="shared" si="30"/>
        <v>64.16</v>
      </c>
      <c r="W137" s="4">
        <f t="shared" si="31"/>
        <v>76.16</v>
      </c>
      <c r="X137" t="str">
        <f>'LIVE SOURCE'!G137</f>
        <v>HISTORY FALLBACK</v>
      </c>
      <c r="Y137" t="str">
        <f>IF(INDEX('Draft Board'!$J$3:$J$225,Q137)="","Available",INDEX('Draft Board'!$J$3:$J$225,Q137))</f>
        <v>Available</v>
      </c>
      <c r="Z137">
        <f t="shared" si="32"/>
        <v>166</v>
      </c>
    </row>
    <row r="138" spans="1:26" x14ac:dyDescent="0.25">
      <c r="A138" t="str">
        <f>'LIVE SOURCE'!A138</f>
        <v>WR</v>
      </c>
      <c r="B138" t="str">
        <f>'LIVE SOURCE'!B138</f>
        <v>Jalen Coker</v>
      </c>
      <c r="C138" s="4">
        <f>'LIVE SOURCE'!D138</f>
        <v>63.49</v>
      </c>
      <c r="D138" s="4">
        <f>'Manual Adjustments'!G138</f>
        <v>0</v>
      </c>
      <c r="E138" s="4">
        <f t="shared" si="22"/>
        <v>63.49</v>
      </c>
      <c r="F138">
        <f>COUNTIFS($A$3:$A$225,A138,$E$3:$E$225,"&gt;"&amp;E138)+COUNTIFS($A$3:A138,A138,$E$3:E138,E138)</f>
        <v>53</v>
      </c>
      <c r="G138" s="4">
        <f>ROUND(INDEX('League Config'!$K$4:$K$9,MATCH(A138,'League Config'!$E$4:$E$9,0))*E138+INDEX('League Config'!$L$4:$L$9,MATCH(A138,'League Config'!$E$4:$E$9,0)),1)</f>
        <v>196.7</v>
      </c>
      <c r="H138">
        <f>INDEX('League Config'!$H$4:$H$9,MATCH(A138,'League Config'!$E$4:$E$9,0))</f>
        <v>33</v>
      </c>
      <c r="I138" s="4">
        <f>INDEX('League Config'!$I$4:$I$9,MATCH(A138,'League Config'!$E$4:$E$9,0))</f>
        <v>239.3</v>
      </c>
      <c r="J138" s="4">
        <f t="shared" si="23"/>
        <v>-42.6</v>
      </c>
      <c r="K138" s="4">
        <f t="shared" si="24"/>
        <v>24.44</v>
      </c>
      <c r="L138" s="4">
        <f>MIN(100,MAX(0,(1-(F138-1)/(H138*1.5))*100*INDEX('League Config'!$J$4:$J$9,MATCH(A138,'League Config'!$E$4:$E$9,0))))</f>
        <v>0</v>
      </c>
      <c r="M138">
        <f>IF(A138="K",'League Config'!$B$14,IF(A138="DST",'League Config'!$B$15,IF(A138="QB",'League Config'!$B$16,0)))</f>
        <v>0</v>
      </c>
      <c r="N138" s="4">
        <f t="shared" si="25"/>
        <v>42.251500000000007</v>
      </c>
      <c r="O138" s="9">
        <f t="shared" si="26"/>
        <v>42.251500000000007</v>
      </c>
      <c r="P138" s="6">
        <f>IF(O138="","",COUNTIF($O$3:$O$225,"&gt;"&amp;O138)+COUNTIF($O$3:O138,O138))</f>
        <v>149</v>
      </c>
      <c r="Q138">
        <f t="shared" si="27"/>
        <v>169</v>
      </c>
      <c r="R138" s="4">
        <f>'LIVE SOURCE'!E138</f>
        <v>209.7</v>
      </c>
      <c r="S138" s="4">
        <f t="shared" si="28"/>
        <v>40.699999999999989</v>
      </c>
      <c r="T138" t="str">
        <f>'LIVE SOURCE'!F138</f>
        <v>C</v>
      </c>
      <c r="U138" s="4">
        <f t="shared" si="29"/>
        <v>51.49</v>
      </c>
      <c r="V138" s="4">
        <f t="shared" si="30"/>
        <v>63.49</v>
      </c>
      <c r="W138" s="4">
        <f t="shared" si="31"/>
        <v>75.490000000000009</v>
      </c>
      <c r="X138" t="str">
        <f>'LIVE SOURCE'!G138</f>
        <v>HISTORY FALLBACK</v>
      </c>
      <c r="Y138" t="str">
        <f>IF(INDEX('Draft Board'!$J$3:$J$225,Q138)="","Available",INDEX('Draft Board'!$J$3:$J$225,Q138))</f>
        <v>Available</v>
      </c>
      <c r="Z138">
        <f t="shared" si="32"/>
        <v>169</v>
      </c>
    </row>
    <row r="139" spans="1:26" x14ac:dyDescent="0.25">
      <c r="A139" t="str">
        <f>'LIVE SOURCE'!A139</f>
        <v>WR</v>
      </c>
      <c r="B139" t="str">
        <f>'LIVE SOURCE'!B139</f>
        <v>KC Concepcion</v>
      </c>
      <c r="C139" s="4">
        <f>'LIVE SOURCE'!D139</f>
        <v>62.82</v>
      </c>
      <c r="D139" s="4">
        <f>'Manual Adjustments'!G139</f>
        <v>0</v>
      </c>
      <c r="E139" s="4">
        <f t="shared" si="22"/>
        <v>62.82</v>
      </c>
      <c r="F139">
        <f>COUNTIFS($A$3:$A$225,A139,$E$3:$E$225,"&gt;"&amp;E139)+COUNTIFS($A$3:A139,A139,$E$3:E139,E139)</f>
        <v>54</v>
      </c>
      <c r="G139" s="4">
        <f>ROUND(INDEX('League Config'!$K$4:$K$9,MATCH(A139,'League Config'!$E$4:$E$9,0))*E139+INDEX('League Config'!$L$4:$L$9,MATCH(A139,'League Config'!$E$4:$E$9,0)),1)</f>
        <v>193.8</v>
      </c>
      <c r="H139">
        <f>INDEX('League Config'!$H$4:$H$9,MATCH(A139,'League Config'!$E$4:$E$9,0))</f>
        <v>33</v>
      </c>
      <c r="I139" s="4">
        <f>INDEX('League Config'!$I$4:$I$9,MATCH(A139,'League Config'!$E$4:$E$9,0))</f>
        <v>239.3</v>
      </c>
      <c r="J139" s="4">
        <f t="shared" si="23"/>
        <v>-45.5</v>
      </c>
      <c r="K139" s="4">
        <f t="shared" si="24"/>
        <v>22.7</v>
      </c>
      <c r="L139" s="4">
        <f>MIN(100,MAX(0,(1-(F139-1)/(H139*1.5))*100*INDEX('League Config'!$J$4:$J$9,MATCH(A139,'League Config'!$E$4:$E$9,0))))</f>
        <v>0</v>
      </c>
      <c r="M139">
        <f>IF(A139="K",'League Config'!$B$14,IF(A139="DST",'League Config'!$B$15,IF(A139="QB",'League Config'!$B$16,0)))</f>
        <v>0</v>
      </c>
      <c r="N139" s="4">
        <f t="shared" si="25"/>
        <v>41.361000000000004</v>
      </c>
      <c r="O139" s="9">
        <f t="shared" si="26"/>
        <v>41.361000000000004</v>
      </c>
      <c r="P139" s="6">
        <f>IF(O139="","",COUNTIF($O$3:$O$225,"&gt;"&amp;O139)+COUNTIF($O$3:O139,O139))</f>
        <v>152</v>
      </c>
      <c r="Q139">
        <f t="shared" si="27"/>
        <v>172</v>
      </c>
      <c r="R139" s="4">
        <f>'LIVE SOURCE'!E139</f>
        <v>213.6</v>
      </c>
      <c r="S139" s="4">
        <f t="shared" si="28"/>
        <v>41.599999999999994</v>
      </c>
      <c r="T139" t="str">
        <f>'LIVE SOURCE'!F139</f>
        <v>C</v>
      </c>
      <c r="U139" s="4">
        <f t="shared" si="29"/>
        <v>50.82</v>
      </c>
      <c r="V139" s="4">
        <f t="shared" si="30"/>
        <v>62.82</v>
      </c>
      <c r="W139" s="4">
        <f t="shared" si="31"/>
        <v>74.819999999999993</v>
      </c>
      <c r="X139" t="str">
        <f>'LIVE SOURCE'!G139</f>
        <v>HISTORY FALLBACK</v>
      </c>
      <c r="Y139" t="str">
        <f>IF(INDEX('Draft Board'!$J$3:$J$225,Q139)="","Available",INDEX('Draft Board'!$J$3:$J$225,Q139))</f>
        <v>Available</v>
      </c>
      <c r="Z139">
        <f t="shared" si="32"/>
        <v>172</v>
      </c>
    </row>
    <row r="140" spans="1:26" x14ac:dyDescent="0.25">
      <c r="A140" t="str">
        <f>'LIVE SOURCE'!A140</f>
        <v>WR</v>
      </c>
      <c r="B140" t="str">
        <f>'LIVE SOURCE'!B140</f>
        <v>Rashid Shaheed</v>
      </c>
      <c r="C140" s="4">
        <f>'LIVE SOURCE'!D140</f>
        <v>62.15</v>
      </c>
      <c r="D140" s="4">
        <f>'Manual Adjustments'!G140</f>
        <v>0</v>
      </c>
      <c r="E140" s="4">
        <f t="shared" si="22"/>
        <v>62.15</v>
      </c>
      <c r="F140">
        <f>COUNTIFS($A$3:$A$225,A140,$E$3:$E$225,"&gt;"&amp;E140)+COUNTIFS($A$3:A140,A140,$E$3:E140,E140)</f>
        <v>55</v>
      </c>
      <c r="G140" s="4">
        <f>ROUND(INDEX('League Config'!$K$4:$K$9,MATCH(A140,'League Config'!$E$4:$E$9,0))*E140+INDEX('League Config'!$L$4:$L$9,MATCH(A140,'League Config'!$E$4:$E$9,0)),1)</f>
        <v>191</v>
      </c>
      <c r="H140">
        <f>INDEX('League Config'!$H$4:$H$9,MATCH(A140,'League Config'!$E$4:$E$9,0))</f>
        <v>33</v>
      </c>
      <c r="I140" s="4">
        <f>INDEX('League Config'!$I$4:$I$9,MATCH(A140,'League Config'!$E$4:$E$9,0))</f>
        <v>239.3</v>
      </c>
      <c r="J140" s="4">
        <f t="shared" si="23"/>
        <v>-48.3</v>
      </c>
      <c r="K140" s="4">
        <f t="shared" si="24"/>
        <v>21.020000000000003</v>
      </c>
      <c r="L140" s="4">
        <f>MIN(100,MAX(0,(1-(F140-1)/(H140*1.5))*100*INDEX('League Config'!$J$4:$J$9,MATCH(A140,'League Config'!$E$4:$E$9,0))))</f>
        <v>0</v>
      </c>
      <c r="M140">
        <f>IF(A140="K",'League Config'!$B$14,IF(A140="DST",'League Config'!$B$15,IF(A140="QB",'League Config'!$B$16,0)))</f>
        <v>0</v>
      </c>
      <c r="N140" s="4">
        <f t="shared" si="25"/>
        <v>40.488500000000002</v>
      </c>
      <c r="O140" s="9">
        <f t="shared" si="26"/>
        <v>40.488500000000002</v>
      </c>
      <c r="P140" s="6">
        <f>IF(O140="","",COUNTIF($O$3:$O$225,"&gt;"&amp;O140)+COUNTIF($O$3:O140,O140))</f>
        <v>155</v>
      </c>
      <c r="Q140">
        <f t="shared" si="27"/>
        <v>175</v>
      </c>
      <c r="R140" s="4">
        <f>'LIVE SOURCE'!E140</f>
        <v>217.5</v>
      </c>
      <c r="S140" s="4">
        <f t="shared" si="28"/>
        <v>42.5</v>
      </c>
      <c r="T140" t="str">
        <f>'LIVE SOURCE'!F140</f>
        <v>C</v>
      </c>
      <c r="U140" s="4">
        <f t="shared" si="29"/>
        <v>50.15</v>
      </c>
      <c r="V140" s="4">
        <f t="shared" si="30"/>
        <v>62.15</v>
      </c>
      <c r="W140" s="4">
        <f t="shared" si="31"/>
        <v>74.150000000000006</v>
      </c>
      <c r="X140" t="str">
        <f>'LIVE SOURCE'!G140</f>
        <v>HISTORY FALLBACK</v>
      </c>
      <c r="Y140" t="str">
        <f>IF(INDEX('Draft Board'!$J$3:$J$225,Q140)="","Available",INDEX('Draft Board'!$J$3:$J$225,Q140))</f>
        <v>Available</v>
      </c>
      <c r="Z140">
        <f t="shared" si="32"/>
        <v>175</v>
      </c>
    </row>
    <row r="141" spans="1:26" x14ac:dyDescent="0.25">
      <c r="A141" t="str">
        <f>'LIVE SOURCE'!A141</f>
        <v>WR</v>
      </c>
      <c r="B141" t="str">
        <f>'LIVE SOURCE'!B141</f>
        <v>Calvin Ridley</v>
      </c>
      <c r="C141" s="4">
        <f>'LIVE SOURCE'!D141</f>
        <v>61.48</v>
      </c>
      <c r="D141" s="4">
        <f>'Manual Adjustments'!G141</f>
        <v>0</v>
      </c>
      <c r="E141" s="4">
        <f t="shared" si="22"/>
        <v>61.48</v>
      </c>
      <c r="F141">
        <f>COUNTIFS($A$3:$A$225,A141,$E$3:$E$225,"&gt;"&amp;E141)+COUNTIFS($A$3:A141,A141,$E$3:E141,E141)</f>
        <v>56</v>
      </c>
      <c r="G141" s="4">
        <f>ROUND(INDEX('League Config'!$K$4:$K$9,MATCH(A141,'League Config'!$E$4:$E$9,0))*E141+INDEX('League Config'!$L$4:$L$9,MATCH(A141,'League Config'!$E$4:$E$9,0)),1)</f>
        <v>188.2</v>
      </c>
      <c r="H141">
        <f>INDEX('League Config'!$H$4:$H$9,MATCH(A141,'League Config'!$E$4:$E$9,0))</f>
        <v>33</v>
      </c>
      <c r="I141" s="4">
        <f>INDEX('League Config'!$I$4:$I$9,MATCH(A141,'League Config'!$E$4:$E$9,0))</f>
        <v>239.3</v>
      </c>
      <c r="J141" s="4">
        <f t="shared" si="23"/>
        <v>-51.1</v>
      </c>
      <c r="K141" s="4">
        <f t="shared" si="24"/>
        <v>19.34</v>
      </c>
      <c r="L141" s="4">
        <f>MIN(100,MAX(0,(1-(F141-1)/(H141*1.5))*100*INDEX('League Config'!$J$4:$J$9,MATCH(A141,'League Config'!$E$4:$E$9,0))))</f>
        <v>0</v>
      </c>
      <c r="M141">
        <f>IF(A141="K",'League Config'!$B$14,IF(A141="DST",'League Config'!$B$15,IF(A141="QB",'League Config'!$B$16,0)))</f>
        <v>0</v>
      </c>
      <c r="N141" s="4">
        <f t="shared" si="25"/>
        <v>39.616</v>
      </c>
      <c r="O141" s="9">
        <f t="shared" si="26"/>
        <v>39.616</v>
      </c>
      <c r="P141" s="6">
        <f>IF(O141="","",COUNTIF($O$3:$O$225,"&gt;"&amp;O141)+COUNTIF($O$3:O141,O141))</f>
        <v>159</v>
      </c>
      <c r="Q141">
        <f t="shared" si="27"/>
        <v>179</v>
      </c>
      <c r="R141" s="4">
        <f>'LIVE SOURCE'!E141</f>
        <v>221.4</v>
      </c>
      <c r="S141" s="4">
        <f t="shared" si="28"/>
        <v>42.400000000000006</v>
      </c>
      <c r="T141" t="str">
        <f>'LIVE SOURCE'!F141</f>
        <v>C</v>
      </c>
      <c r="U141" s="4">
        <f t="shared" si="29"/>
        <v>49.48</v>
      </c>
      <c r="V141" s="4">
        <f t="shared" si="30"/>
        <v>61.48</v>
      </c>
      <c r="W141" s="4">
        <f t="shared" si="31"/>
        <v>73.47999999999999</v>
      </c>
      <c r="X141" t="str">
        <f>'LIVE SOURCE'!G141</f>
        <v>HISTORY FALLBACK</v>
      </c>
      <c r="Y141" t="str">
        <f>IF(INDEX('Draft Board'!$J$3:$J$225,Q141)="","Available",INDEX('Draft Board'!$J$3:$J$225,Q141))</f>
        <v>Available</v>
      </c>
      <c r="Z141">
        <f t="shared" si="32"/>
        <v>179</v>
      </c>
    </row>
    <row r="142" spans="1:26" x14ac:dyDescent="0.25">
      <c r="A142" t="str">
        <f>'LIVE SOURCE'!A142</f>
        <v>WR</v>
      </c>
      <c r="B142" t="str">
        <f>'LIVE SOURCE'!B142</f>
        <v>Omar Cooper Jr.</v>
      </c>
      <c r="C142" s="4">
        <f>'LIVE SOURCE'!D142</f>
        <v>60.81</v>
      </c>
      <c r="D142" s="4">
        <f>'Manual Adjustments'!G142</f>
        <v>0</v>
      </c>
      <c r="E142" s="4">
        <f t="shared" si="22"/>
        <v>60.81</v>
      </c>
      <c r="F142">
        <f>COUNTIFS($A$3:$A$225,A142,$E$3:$E$225,"&gt;"&amp;E142)+COUNTIFS($A$3:A142,A142,$E$3:E142,E142)</f>
        <v>57</v>
      </c>
      <c r="G142" s="4">
        <f>ROUND(INDEX('League Config'!$K$4:$K$9,MATCH(A142,'League Config'!$E$4:$E$9,0))*E142+INDEX('League Config'!$L$4:$L$9,MATCH(A142,'League Config'!$E$4:$E$9,0)),1)</f>
        <v>185.4</v>
      </c>
      <c r="H142">
        <f>INDEX('League Config'!$H$4:$H$9,MATCH(A142,'League Config'!$E$4:$E$9,0))</f>
        <v>33</v>
      </c>
      <c r="I142" s="4">
        <f>INDEX('League Config'!$I$4:$I$9,MATCH(A142,'League Config'!$E$4:$E$9,0))</f>
        <v>239.3</v>
      </c>
      <c r="J142" s="4">
        <f t="shared" si="23"/>
        <v>-53.9</v>
      </c>
      <c r="K142" s="4">
        <f t="shared" si="24"/>
        <v>17.660000000000004</v>
      </c>
      <c r="L142" s="4">
        <f>MIN(100,MAX(0,(1-(F142-1)/(H142*1.5))*100*INDEX('League Config'!$J$4:$J$9,MATCH(A142,'League Config'!$E$4:$E$9,0))))</f>
        <v>0</v>
      </c>
      <c r="M142">
        <f>IF(A142="K",'League Config'!$B$14,IF(A142="DST",'League Config'!$B$15,IF(A142="QB",'League Config'!$B$16,0)))</f>
        <v>0</v>
      </c>
      <c r="N142" s="4">
        <f t="shared" si="25"/>
        <v>38.743500000000004</v>
      </c>
      <c r="O142" s="9">
        <f t="shared" si="26"/>
        <v>38.743500000000004</v>
      </c>
      <c r="P142" s="6">
        <f>IF(O142="","",COUNTIF($O$3:$O$225,"&gt;"&amp;O142)+COUNTIF($O$3:O142,O142))</f>
        <v>160</v>
      </c>
      <c r="Q142">
        <f t="shared" si="27"/>
        <v>180</v>
      </c>
      <c r="R142" s="4">
        <f>'LIVE SOURCE'!E142</f>
        <v>225.3</v>
      </c>
      <c r="S142" s="4">
        <f t="shared" si="28"/>
        <v>45.300000000000011</v>
      </c>
      <c r="T142" t="str">
        <f>'LIVE SOURCE'!F142</f>
        <v>C</v>
      </c>
      <c r="U142" s="4">
        <f t="shared" si="29"/>
        <v>48.81</v>
      </c>
      <c r="V142" s="4">
        <f t="shared" si="30"/>
        <v>60.81</v>
      </c>
      <c r="W142" s="4">
        <f t="shared" si="31"/>
        <v>72.81</v>
      </c>
      <c r="X142" t="str">
        <f>'LIVE SOURCE'!G142</f>
        <v>HISTORY FALLBACK</v>
      </c>
      <c r="Y142" t="str">
        <f>IF(INDEX('Draft Board'!$J$3:$J$225,Q142)="","Available",INDEX('Draft Board'!$J$3:$J$225,Q142))</f>
        <v>Available</v>
      </c>
      <c r="Z142">
        <f t="shared" si="32"/>
        <v>180</v>
      </c>
    </row>
    <row r="143" spans="1:26" x14ac:dyDescent="0.25">
      <c r="A143" t="str">
        <f>'LIVE SOURCE'!A143</f>
        <v>WR</v>
      </c>
      <c r="B143" t="str">
        <f>'LIVE SOURCE'!B143</f>
        <v>Jerry Jeudy</v>
      </c>
      <c r="C143" s="4">
        <f>'LIVE SOURCE'!D143</f>
        <v>60.14</v>
      </c>
      <c r="D143" s="4">
        <f>'Manual Adjustments'!G143</f>
        <v>0</v>
      </c>
      <c r="E143" s="4">
        <f t="shared" si="22"/>
        <v>60.14</v>
      </c>
      <c r="F143">
        <f>COUNTIFS($A$3:$A$225,A143,$E$3:$E$225,"&gt;"&amp;E143)+COUNTIFS($A$3:A143,A143,$E$3:E143,E143)</f>
        <v>58</v>
      </c>
      <c r="G143" s="4">
        <f>ROUND(INDEX('League Config'!$K$4:$K$9,MATCH(A143,'League Config'!$E$4:$E$9,0))*E143+INDEX('League Config'!$L$4:$L$9,MATCH(A143,'League Config'!$E$4:$E$9,0)),1)</f>
        <v>182.6</v>
      </c>
      <c r="H143">
        <f>INDEX('League Config'!$H$4:$H$9,MATCH(A143,'League Config'!$E$4:$E$9,0))</f>
        <v>33</v>
      </c>
      <c r="I143" s="4">
        <f>INDEX('League Config'!$I$4:$I$9,MATCH(A143,'League Config'!$E$4:$E$9,0))</f>
        <v>239.3</v>
      </c>
      <c r="J143" s="4">
        <f t="shared" si="23"/>
        <v>-56.7</v>
      </c>
      <c r="K143" s="4">
        <f t="shared" si="24"/>
        <v>15.979999999999997</v>
      </c>
      <c r="L143" s="4">
        <f>MIN(100,MAX(0,(1-(F143-1)/(H143*1.5))*100*INDEX('League Config'!$J$4:$J$9,MATCH(A143,'League Config'!$E$4:$E$9,0))))</f>
        <v>0</v>
      </c>
      <c r="M143">
        <f>IF(A143="K",'League Config'!$B$14,IF(A143="DST",'League Config'!$B$15,IF(A143="QB",'League Config'!$B$16,0)))</f>
        <v>0</v>
      </c>
      <c r="N143" s="4">
        <f t="shared" si="25"/>
        <v>37.871000000000002</v>
      </c>
      <c r="O143" s="9">
        <f t="shared" si="26"/>
        <v>37.871000000000002</v>
      </c>
      <c r="P143" s="6">
        <f>IF(O143="","",COUNTIF($O$3:$O$225,"&gt;"&amp;O143)+COUNTIF($O$3:O143,O143))</f>
        <v>162</v>
      </c>
      <c r="Q143">
        <f t="shared" si="27"/>
        <v>182</v>
      </c>
      <c r="R143" s="4">
        <f>'LIVE SOURCE'!E143</f>
        <v>229.2</v>
      </c>
      <c r="S143" s="4">
        <f t="shared" si="28"/>
        <v>47.199999999999989</v>
      </c>
      <c r="T143" t="str">
        <f>'LIVE SOURCE'!F143</f>
        <v>C</v>
      </c>
      <c r="U143" s="4">
        <f t="shared" si="29"/>
        <v>48.14</v>
      </c>
      <c r="V143" s="4">
        <f t="shared" si="30"/>
        <v>60.14</v>
      </c>
      <c r="W143" s="4">
        <f t="shared" si="31"/>
        <v>72.14</v>
      </c>
      <c r="X143" t="str">
        <f>'LIVE SOURCE'!G143</f>
        <v>HISTORY FALLBACK</v>
      </c>
      <c r="Y143" t="str">
        <f>IF(INDEX('Draft Board'!$J$3:$J$225,Q143)="","Available",INDEX('Draft Board'!$J$3:$J$225,Q143))</f>
        <v>Available</v>
      </c>
      <c r="Z143">
        <f t="shared" si="32"/>
        <v>182</v>
      </c>
    </row>
    <row r="144" spans="1:26" x14ac:dyDescent="0.25">
      <c r="A144" t="str">
        <f>'LIVE SOURCE'!A144</f>
        <v>WR</v>
      </c>
      <c r="B144" t="str">
        <f>'LIVE SOURCE'!B144</f>
        <v>Jalen Nailor</v>
      </c>
      <c r="C144" s="4">
        <f>'LIVE SOURCE'!D144</f>
        <v>59.47</v>
      </c>
      <c r="D144" s="4">
        <f>'Manual Adjustments'!G144</f>
        <v>0</v>
      </c>
      <c r="E144" s="4">
        <f t="shared" si="22"/>
        <v>59.47</v>
      </c>
      <c r="F144">
        <f>COUNTIFS($A$3:$A$225,A144,$E$3:$E$225,"&gt;"&amp;E144)+COUNTIFS($A$3:A144,A144,$E$3:E144,E144)</f>
        <v>59</v>
      </c>
      <c r="G144" s="4">
        <f>ROUND(INDEX('League Config'!$K$4:$K$9,MATCH(A144,'League Config'!$E$4:$E$9,0))*E144+INDEX('League Config'!$L$4:$L$9,MATCH(A144,'League Config'!$E$4:$E$9,0)),1)</f>
        <v>179.8</v>
      </c>
      <c r="H144">
        <f>INDEX('League Config'!$H$4:$H$9,MATCH(A144,'League Config'!$E$4:$E$9,0))</f>
        <v>33</v>
      </c>
      <c r="I144" s="4">
        <f>INDEX('League Config'!$I$4:$I$9,MATCH(A144,'League Config'!$E$4:$E$9,0))</f>
        <v>239.3</v>
      </c>
      <c r="J144" s="4">
        <f t="shared" si="23"/>
        <v>-59.5</v>
      </c>
      <c r="K144" s="4">
        <f t="shared" si="24"/>
        <v>14.300000000000004</v>
      </c>
      <c r="L144" s="4">
        <f>MIN(100,MAX(0,(1-(F144-1)/(H144*1.5))*100*INDEX('League Config'!$J$4:$J$9,MATCH(A144,'League Config'!$E$4:$E$9,0))))</f>
        <v>0</v>
      </c>
      <c r="M144">
        <f>IF(A144="K",'League Config'!$B$14,IF(A144="DST",'League Config'!$B$15,IF(A144="QB",'League Config'!$B$16,0)))</f>
        <v>0</v>
      </c>
      <c r="N144" s="4">
        <f t="shared" si="25"/>
        <v>36.9985</v>
      </c>
      <c r="O144" s="9">
        <f t="shared" si="26"/>
        <v>36.9985</v>
      </c>
      <c r="P144" s="6">
        <f>IF(O144="","",COUNTIF($O$3:$O$225,"&gt;"&amp;O144)+COUNTIF($O$3:O144,O144))</f>
        <v>163</v>
      </c>
      <c r="Q144">
        <f t="shared" si="27"/>
        <v>183</v>
      </c>
      <c r="R144" s="4">
        <f>'LIVE SOURCE'!E144</f>
        <v>233.1</v>
      </c>
      <c r="S144" s="4">
        <f t="shared" si="28"/>
        <v>50.099999999999994</v>
      </c>
      <c r="T144" t="str">
        <f>'LIVE SOURCE'!F144</f>
        <v>C</v>
      </c>
      <c r="U144" s="4">
        <f t="shared" si="29"/>
        <v>47.47</v>
      </c>
      <c r="V144" s="4">
        <f t="shared" si="30"/>
        <v>59.47</v>
      </c>
      <c r="W144" s="4">
        <f t="shared" si="31"/>
        <v>71.47</v>
      </c>
      <c r="X144" t="str">
        <f>'LIVE SOURCE'!G144</f>
        <v>HISTORY FALLBACK</v>
      </c>
      <c r="Y144" t="str">
        <f>IF(INDEX('Draft Board'!$J$3:$J$225,Q144)="","Available",INDEX('Draft Board'!$J$3:$J$225,Q144))</f>
        <v>Available</v>
      </c>
      <c r="Z144">
        <f t="shared" si="32"/>
        <v>183</v>
      </c>
    </row>
    <row r="145" spans="1:26" x14ac:dyDescent="0.25">
      <c r="A145" t="str">
        <f>'LIVE SOURCE'!A145</f>
        <v>WR</v>
      </c>
      <c r="B145" t="str">
        <f>'LIVE SOURCE'!B145</f>
        <v>Jalen McMillan</v>
      </c>
      <c r="C145" s="4">
        <f>'LIVE SOURCE'!D145</f>
        <v>58.8</v>
      </c>
      <c r="D145" s="4">
        <f>'Manual Adjustments'!G145</f>
        <v>0</v>
      </c>
      <c r="E145" s="4">
        <f t="shared" si="22"/>
        <v>58.8</v>
      </c>
      <c r="F145">
        <f>COUNTIFS($A$3:$A$225,A145,$E$3:$E$225,"&gt;"&amp;E145)+COUNTIFS($A$3:A145,A145,$E$3:E145,E145)</f>
        <v>60</v>
      </c>
      <c r="G145" s="4">
        <f>ROUND(INDEX('League Config'!$K$4:$K$9,MATCH(A145,'League Config'!$E$4:$E$9,0))*E145+INDEX('League Config'!$L$4:$L$9,MATCH(A145,'League Config'!$E$4:$E$9,0)),1)</f>
        <v>177</v>
      </c>
      <c r="H145">
        <f>INDEX('League Config'!$H$4:$H$9,MATCH(A145,'League Config'!$E$4:$E$9,0))</f>
        <v>33</v>
      </c>
      <c r="I145" s="4">
        <f>INDEX('League Config'!$I$4:$I$9,MATCH(A145,'League Config'!$E$4:$E$9,0))</f>
        <v>239.3</v>
      </c>
      <c r="J145" s="4">
        <f t="shared" si="23"/>
        <v>-62.3</v>
      </c>
      <c r="K145" s="4">
        <f t="shared" si="24"/>
        <v>12.620000000000005</v>
      </c>
      <c r="L145" s="4">
        <f>MIN(100,MAX(0,(1-(F145-1)/(H145*1.5))*100*INDEX('League Config'!$J$4:$J$9,MATCH(A145,'League Config'!$E$4:$E$9,0))))</f>
        <v>0</v>
      </c>
      <c r="M145">
        <f>IF(A145="K",'League Config'!$B$14,IF(A145="DST",'League Config'!$B$15,IF(A145="QB",'League Config'!$B$16,0)))</f>
        <v>0</v>
      </c>
      <c r="N145" s="4">
        <f t="shared" si="25"/>
        <v>36.126000000000005</v>
      </c>
      <c r="O145" s="9">
        <f t="shared" si="26"/>
        <v>36.126000000000005</v>
      </c>
      <c r="P145" s="6">
        <f>IF(O145="","",COUNTIF($O$3:$O$225,"&gt;"&amp;O145)+COUNTIF($O$3:O145,O145))</f>
        <v>165</v>
      </c>
      <c r="Q145">
        <f t="shared" si="27"/>
        <v>185</v>
      </c>
      <c r="R145" s="4">
        <f>'LIVE SOURCE'!E145</f>
        <v>237</v>
      </c>
      <c r="S145" s="4">
        <f t="shared" si="28"/>
        <v>52</v>
      </c>
      <c r="T145" t="str">
        <f>'LIVE SOURCE'!F145</f>
        <v>C</v>
      </c>
      <c r="U145" s="4">
        <f t="shared" si="29"/>
        <v>46.8</v>
      </c>
      <c r="V145" s="4">
        <f t="shared" si="30"/>
        <v>58.8</v>
      </c>
      <c r="W145" s="4">
        <f t="shared" si="31"/>
        <v>70.8</v>
      </c>
      <c r="X145" t="str">
        <f>'LIVE SOURCE'!G145</f>
        <v>HISTORY FALLBACK</v>
      </c>
      <c r="Y145" t="str">
        <f>IF(INDEX('Draft Board'!$J$3:$J$225,Q145)="","Available",INDEX('Draft Board'!$J$3:$J$225,Q145))</f>
        <v>Available</v>
      </c>
      <c r="Z145">
        <f t="shared" si="32"/>
        <v>185</v>
      </c>
    </row>
    <row r="146" spans="1:26" x14ac:dyDescent="0.25">
      <c r="A146" t="str">
        <f>'LIVE SOURCE'!A146</f>
        <v>WR</v>
      </c>
      <c r="B146" t="str">
        <f>'LIVE SOURCE'!B146</f>
        <v>Adonai Mitchell</v>
      </c>
      <c r="C146" s="4">
        <f>'LIVE SOURCE'!D146</f>
        <v>58.13</v>
      </c>
      <c r="D146" s="4">
        <f>'Manual Adjustments'!G146</f>
        <v>0</v>
      </c>
      <c r="E146" s="4">
        <f t="shared" si="22"/>
        <v>58.13</v>
      </c>
      <c r="F146">
        <f>COUNTIFS($A$3:$A$225,A146,$E$3:$E$225,"&gt;"&amp;E146)+COUNTIFS($A$3:A146,A146,$E$3:E146,E146)</f>
        <v>61</v>
      </c>
      <c r="G146" s="4">
        <f>ROUND(INDEX('League Config'!$K$4:$K$9,MATCH(A146,'League Config'!$E$4:$E$9,0))*E146+INDEX('League Config'!$L$4:$L$9,MATCH(A146,'League Config'!$E$4:$E$9,0)),1)</f>
        <v>174.1</v>
      </c>
      <c r="H146">
        <f>INDEX('League Config'!$H$4:$H$9,MATCH(A146,'League Config'!$E$4:$E$9,0))</f>
        <v>33</v>
      </c>
      <c r="I146" s="4">
        <f>INDEX('League Config'!$I$4:$I$9,MATCH(A146,'League Config'!$E$4:$E$9,0))</f>
        <v>239.3</v>
      </c>
      <c r="J146" s="4">
        <f t="shared" si="23"/>
        <v>-65.2</v>
      </c>
      <c r="K146" s="4">
        <f t="shared" si="24"/>
        <v>10.880000000000003</v>
      </c>
      <c r="L146" s="4">
        <f>MIN(100,MAX(0,(1-(F146-1)/(H146*1.5))*100*INDEX('League Config'!$J$4:$J$9,MATCH(A146,'League Config'!$E$4:$E$9,0))))</f>
        <v>0</v>
      </c>
      <c r="M146">
        <f>IF(A146="K",'League Config'!$B$14,IF(A146="DST",'League Config'!$B$15,IF(A146="QB",'League Config'!$B$16,0)))</f>
        <v>0</v>
      </c>
      <c r="N146" s="4">
        <f t="shared" si="25"/>
        <v>35.235500000000002</v>
      </c>
      <c r="O146" s="9">
        <f t="shared" si="26"/>
        <v>35.235500000000002</v>
      </c>
      <c r="P146" s="6">
        <f>IF(O146="","",COUNTIF($O$3:$O$225,"&gt;"&amp;O146)+COUNTIF($O$3:O146,O146))</f>
        <v>167</v>
      </c>
      <c r="Q146">
        <f t="shared" si="27"/>
        <v>187</v>
      </c>
      <c r="R146" s="4">
        <f>'LIVE SOURCE'!E146</f>
        <v>240.9</v>
      </c>
      <c r="S146" s="4">
        <f t="shared" si="28"/>
        <v>53.900000000000006</v>
      </c>
      <c r="T146" t="str">
        <f>'LIVE SOURCE'!F146</f>
        <v>C</v>
      </c>
      <c r="U146" s="4">
        <f t="shared" si="29"/>
        <v>46.13</v>
      </c>
      <c r="V146" s="4">
        <f t="shared" si="30"/>
        <v>58.13</v>
      </c>
      <c r="W146" s="4">
        <f t="shared" si="31"/>
        <v>70.13</v>
      </c>
      <c r="X146" t="str">
        <f>'LIVE SOURCE'!G146</f>
        <v>HISTORY FALLBACK</v>
      </c>
      <c r="Y146" t="str">
        <f>IF(INDEX('Draft Board'!$J$3:$J$225,Q146)="","Available",INDEX('Draft Board'!$J$3:$J$225,Q146))</f>
        <v>Available</v>
      </c>
      <c r="Z146">
        <f t="shared" si="32"/>
        <v>187</v>
      </c>
    </row>
    <row r="147" spans="1:26" x14ac:dyDescent="0.25">
      <c r="A147" t="str">
        <f>'LIVE SOURCE'!A147</f>
        <v>WR</v>
      </c>
      <c r="B147" t="str">
        <f>'LIVE SOURCE'!B147</f>
        <v>Isaac TeSlaa</v>
      </c>
      <c r="C147" s="4">
        <f>'LIVE SOURCE'!D147</f>
        <v>57.46</v>
      </c>
      <c r="D147" s="4">
        <f>'Manual Adjustments'!G147</f>
        <v>0</v>
      </c>
      <c r="E147" s="4">
        <f t="shared" si="22"/>
        <v>57.46</v>
      </c>
      <c r="F147">
        <f>COUNTIFS($A$3:$A$225,A147,$E$3:$E$225,"&gt;"&amp;E147)+COUNTIFS($A$3:A147,A147,$E$3:E147,E147)</f>
        <v>62</v>
      </c>
      <c r="G147" s="4">
        <f>ROUND(INDEX('League Config'!$K$4:$K$9,MATCH(A147,'League Config'!$E$4:$E$9,0))*E147+INDEX('League Config'!$L$4:$L$9,MATCH(A147,'League Config'!$E$4:$E$9,0)),1)</f>
        <v>171.3</v>
      </c>
      <c r="H147">
        <f>INDEX('League Config'!$H$4:$H$9,MATCH(A147,'League Config'!$E$4:$E$9,0))</f>
        <v>33</v>
      </c>
      <c r="I147" s="4">
        <f>INDEX('League Config'!$I$4:$I$9,MATCH(A147,'League Config'!$E$4:$E$9,0))</f>
        <v>239.3</v>
      </c>
      <c r="J147" s="4">
        <f t="shared" si="23"/>
        <v>-68</v>
      </c>
      <c r="K147" s="4">
        <f t="shared" si="24"/>
        <v>9.2000000000000028</v>
      </c>
      <c r="L147" s="4">
        <f>MIN(100,MAX(0,(1-(F147-1)/(H147*1.5))*100*INDEX('League Config'!$J$4:$J$9,MATCH(A147,'League Config'!$E$4:$E$9,0))))</f>
        <v>0</v>
      </c>
      <c r="M147">
        <f>IF(A147="K",'League Config'!$B$14,IF(A147="DST",'League Config'!$B$15,IF(A147="QB",'League Config'!$B$16,0)))</f>
        <v>0</v>
      </c>
      <c r="N147" s="4">
        <f t="shared" si="25"/>
        <v>34.363</v>
      </c>
      <c r="O147" s="9">
        <f t="shared" si="26"/>
        <v>34.363</v>
      </c>
      <c r="P147" s="6">
        <f>IF(O147="","",COUNTIF($O$3:$O$225,"&gt;"&amp;O147)+COUNTIF($O$3:O147,O147))</f>
        <v>168</v>
      </c>
      <c r="Q147">
        <f t="shared" si="27"/>
        <v>188</v>
      </c>
      <c r="R147" s="4">
        <f>'LIVE SOURCE'!E147</f>
        <v>244.8</v>
      </c>
      <c r="S147" s="4">
        <f t="shared" si="28"/>
        <v>56.800000000000011</v>
      </c>
      <c r="T147" t="str">
        <f>'LIVE SOURCE'!F147</f>
        <v>C</v>
      </c>
      <c r="U147" s="4">
        <f t="shared" si="29"/>
        <v>45.46</v>
      </c>
      <c r="V147" s="4">
        <f t="shared" si="30"/>
        <v>57.46</v>
      </c>
      <c r="W147" s="4">
        <f t="shared" si="31"/>
        <v>69.460000000000008</v>
      </c>
      <c r="X147" t="str">
        <f>'LIVE SOURCE'!G147</f>
        <v>HISTORY FALLBACK</v>
      </c>
      <c r="Y147" t="str">
        <f>IF(INDEX('Draft Board'!$J$3:$J$225,Q147)="","Available",INDEX('Draft Board'!$J$3:$J$225,Q147))</f>
        <v>Available</v>
      </c>
      <c r="Z147">
        <f t="shared" si="32"/>
        <v>188</v>
      </c>
    </row>
    <row r="148" spans="1:26" x14ac:dyDescent="0.25">
      <c r="A148" t="str">
        <f>'LIVE SOURCE'!A148</f>
        <v>WR</v>
      </c>
      <c r="B148" t="str">
        <f>'LIVE SOURCE'!B148</f>
        <v>Denzel Boston</v>
      </c>
      <c r="C148" s="4">
        <f>'LIVE SOURCE'!D148</f>
        <v>56.79</v>
      </c>
      <c r="D148" s="4">
        <f>'Manual Adjustments'!G148</f>
        <v>0</v>
      </c>
      <c r="E148" s="4">
        <f t="shared" si="22"/>
        <v>56.79</v>
      </c>
      <c r="F148">
        <f>COUNTIFS($A$3:$A$225,A148,$E$3:$E$225,"&gt;"&amp;E148)+COUNTIFS($A$3:A148,A148,$E$3:E148,E148)</f>
        <v>63</v>
      </c>
      <c r="G148" s="4">
        <f>ROUND(INDEX('League Config'!$K$4:$K$9,MATCH(A148,'League Config'!$E$4:$E$9,0))*E148+INDEX('League Config'!$L$4:$L$9,MATCH(A148,'League Config'!$E$4:$E$9,0)),1)</f>
        <v>168.5</v>
      </c>
      <c r="H148">
        <f>INDEX('League Config'!$H$4:$H$9,MATCH(A148,'League Config'!$E$4:$E$9,0))</f>
        <v>33</v>
      </c>
      <c r="I148" s="4">
        <f>INDEX('League Config'!$I$4:$I$9,MATCH(A148,'League Config'!$E$4:$E$9,0))</f>
        <v>239.3</v>
      </c>
      <c r="J148" s="4">
        <f t="shared" si="23"/>
        <v>-70.8</v>
      </c>
      <c r="K148" s="4">
        <f t="shared" si="24"/>
        <v>7.5200000000000031</v>
      </c>
      <c r="L148" s="4">
        <f>MIN(100,MAX(0,(1-(F148-1)/(H148*1.5))*100*INDEX('League Config'!$J$4:$J$9,MATCH(A148,'League Config'!$E$4:$E$9,0))))</f>
        <v>0</v>
      </c>
      <c r="M148">
        <f>IF(A148="K",'League Config'!$B$14,IF(A148="DST",'League Config'!$B$15,IF(A148="QB",'League Config'!$B$16,0)))</f>
        <v>0</v>
      </c>
      <c r="N148" s="4">
        <f t="shared" si="25"/>
        <v>33.490500000000004</v>
      </c>
      <c r="O148" s="9">
        <f t="shared" si="26"/>
        <v>33.490500000000004</v>
      </c>
      <c r="P148" s="6">
        <f>IF(O148="","",COUNTIF($O$3:$O$225,"&gt;"&amp;O148)+COUNTIF($O$3:O148,O148))</f>
        <v>169</v>
      </c>
      <c r="Q148">
        <f t="shared" si="27"/>
        <v>189</v>
      </c>
      <c r="R148" s="4">
        <f>'LIVE SOURCE'!E148</f>
        <v>248.7</v>
      </c>
      <c r="S148" s="4">
        <f t="shared" si="28"/>
        <v>59.699999999999989</v>
      </c>
      <c r="T148" t="str">
        <f>'LIVE SOURCE'!F148</f>
        <v>C</v>
      </c>
      <c r="U148" s="4">
        <f t="shared" si="29"/>
        <v>44.79</v>
      </c>
      <c r="V148" s="4">
        <f t="shared" si="30"/>
        <v>56.79</v>
      </c>
      <c r="W148" s="4">
        <f t="shared" si="31"/>
        <v>68.789999999999992</v>
      </c>
      <c r="X148" t="str">
        <f>'LIVE SOURCE'!G148</f>
        <v>HISTORY FALLBACK</v>
      </c>
      <c r="Y148" t="str">
        <f>IF(INDEX('Draft Board'!$J$3:$J$225,Q148)="","Available",INDEX('Draft Board'!$J$3:$J$225,Q148))</f>
        <v>Available</v>
      </c>
      <c r="Z148">
        <f t="shared" si="32"/>
        <v>189</v>
      </c>
    </row>
    <row r="149" spans="1:26" x14ac:dyDescent="0.25">
      <c r="A149" t="str">
        <f>'LIVE SOURCE'!A149</f>
        <v>WR</v>
      </c>
      <c r="B149" t="str">
        <f>'LIVE SOURCE'!B149</f>
        <v>Tre Tucker</v>
      </c>
      <c r="C149" s="4">
        <f>'LIVE SOURCE'!D149</f>
        <v>56.12</v>
      </c>
      <c r="D149" s="4">
        <f>'Manual Adjustments'!G149</f>
        <v>0</v>
      </c>
      <c r="E149" s="4">
        <f t="shared" si="22"/>
        <v>56.12</v>
      </c>
      <c r="F149">
        <f>COUNTIFS($A$3:$A$225,A149,$E$3:$E$225,"&gt;"&amp;E149)+COUNTIFS($A$3:A149,A149,$E$3:E149,E149)</f>
        <v>64</v>
      </c>
      <c r="G149" s="4">
        <f>ROUND(INDEX('League Config'!$K$4:$K$9,MATCH(A149,'League Config'!$E$4:$E$9,0))*E149+INDEX('League Config'!$L$4:$L$9,MATCH(A149,'League Config'!$E$4:$E$9,0)),1)</f>
        <v>165.7</v>
      </c>
      <c r="H149">
        <f>INDEX('League Config'!$H$4:$H$9,MATCH(A149,'League Config'!$E$4:$E$9,0))</f>
        <v>33</v>
      </c>
      <c r="I149" s="4">
        <f>INDEX('League Config'!$I$4:$I$9,MATCH(A149,'League Config'!$E$4:$E$9,0))</f>
        <v>239.3</v>
      </c>
      <c r="J149" s="4">
        <f t="shared" si="23"/>
        <v>-73.599999999999994</v>
      </c>
      <c r="K149" s="4">
        <f t="shared" si="24"/>
        <v>5.8400000000000034</v>
      </c>
      <c r="L149" s="4">
        <f>MIN(100,MAX(0,(1-(F149-1)/(H149*1.5))*100*INDEX('League Config'!$J$4:$J$9,MATCH(A149,'League Config'!$E$4:$E$9,0))))</f>
        <v>0</v>
      </c>
      <c r="M149">
        <f>IF(A149="K",'League Config'!$B$14,IF(A149="DST",'League Config'!$B$15,IF(A149="QB",'League Config'!$B$16,0)))</f>
        <v>0</v>
      </c>
      <c r="N149" s="4">
        <f t="shared" si="25"/>
        <v>32.618000000000002</v>
      </c>
      <c r="O149" s="9">
        <f t="shared" si="26"/>
        <v>32.618000000000002</v>
      </c>
      <c r="P149" s="6">
        <f>IF(O149="","",COUNTIF($O$3:$O$225,"&gt;"&amp;O149)+COUNTIF($O$3:O149,O149))</f>
        <v>171</v>
      </c>
      <c r="Q149">
        <f t="shared" si="27"/>
        <v>191</v>
      </c>
      <c r="R149" s="4">
        <f>'LIVE SOURCE'!E149</f>
        <v>252.6</v>
      </c>
      <c r="S149" s="4">
        <f t="shared" si="28"/>
        <v>61.599999999999994</v>
      </c>
      <c r="T149" t="str">
        <f>'LIVE SOURCE'!F149</f>
        <v>C</v>
      </c>
      <c r="U149" s="4">
        <f t="shared" si="29"/>
        <v>44.12</v>
      </c>
      <c r="V149" s="4">
        <f t="shared" si="30"/>
        <v>56.12</v>
      </c>
      <c r="W149" s="4">
        <f t="shared" si="31"/>
        <v>68.12</v>
      </c>
      <c r="X149" t="str">
        <f>'LIVE SOURCE'!G149</f>
        <v>HISTORY FALLBACK</v>
      </c>
      <c r="Y149" t="str">
        <f>IF(INDEX('Draft Board'!$J$3:$J$225,Q149)="","Available",INDEX('Draft Board'!$J$3:$J$225,Q149))</f>
        <v>Available</v>
      </c>
      <c r="Z149">
        <f t="shared" si="32"/>
        <v>191</v>
      </c>
    </row>
    <row r="150" spans="1:26" x14ac:dyDescent="0.25">
      <c r="A150" t="str">
        <f>'LIVE SOURCE'!A150</f>
        <v>WR</v>
      </c>
      <c r="B150" t="str">
        <f>'LIVE SOURCE'!B150</f>
        <v>Antonio Williams</v>
      </c>
      <c r="C150" s="4">
        <f>'LIVE SOURCE'!D150</f>
        <v>55.45</v>
      </c>
      <c r="D150" s="4">
        <f>'Manual Adjustments'!G150</f>
        <v>0</v>
      </c>
      <c r="E150" s="4">
        <f t="shared" si="22"/>
        <v>55.45</v>
      </c>
      <c r="F150">
        <f>COUNTIFS($A$3:$A$225,A150,$E$3:$E$225,"&gt;"&amp;E150)+COUNTIFS($A$3:A150,A150,$E$3:E150,E150)</f>
        <v>65</v>
      </c>
      <c r="G150" s="4">
        <f>ROUND(INDEX('League Config'!$K$4:$K$9,MATCH(A150,'League Config'!$E$4:$E$9,0))*E150+INDEX('League Config'!$L$4:$L$9,MATCH(A150,'League Config'!$E$4:$E$9,0)),1)</f>
        <v>162.9</v>
      </c>
      <c r="H150">
        <f>INDEX('League Config'!$H$4:$H$9,MATCH(A150,'League Config'!$E$4:$E$9,0))</f>
        <v>33</v>
      </c>
      <c r="I150" s="4">
        <f>INDEX('League Config'!$I$4:$I$9,MATCH(A150,'League Config'!$E$4:$E$9,0))</f>
        <v>239.3</v>
      </c>
      <c r="J150" s="4">
        <f t="shared" si="23"/>
        <v>-76.400000000000006</v>
      </c>
      <c r="K150" s="4">
        <f t="shared" si="24"/>
        <v>4.1599999999999966</v>
      </c>
      <c r="L150" s="4">
        <f>MIN(100,MAX(0,(1-(F150-1)/(H150*1.5))*100*INDEX('League Config'!$J$4:$J$9,MATCH(A150,'League Config'!$E$4:$E$9,0))))</f>
        <v>0</v>
      </c>
      <c r="M150">
        <f>IF(A150="K",'League Config'!$B$14,IF(A150="DST",'League Config'!$B$15,IF(A150="QB",'League Config'!$B$16,0)))</f>
        <v>0</v>
      </c>
      <c r="N150" s="4">
        <f t="shared" si="25"/>
        <v>31.7455</v>
      </c>
      <c r="O150" s="9">
        <f t="shared" si="26"/>
        <v>31.7455</v>
      </c>
      <c r="P150" s="6">
        <f>IF(O150="","",COUNTIF($O$3:$O$225,"&gt;"&amp;O150)+COUNTIF($O$3:O150,O150))</f>
        <v>172</v>
      </c>
      <c r="Q150">
        <f t="shared" si="27"/>
        <v>192</v>
      </c>
      <c r="R150" s="4">
        <f>'LIVE SOURCE'!E150</f>
        <v>256.5</v>
      </c>
      <c r="S150" s="4">
        <f t="shared" si="28"/>
        <v>64.5</v>
      </c>
      <c r="T150" t="str">
        <f>'LIVE SOURCE'!F150</f>
        <v>C</v>
      </c>
      <c r="U150" s="4">
        <f t="shared" si="29"/>
        <v>43.45</v>
      </c>
      <c r="V150" s="4">
        <f t="shared" si="30"/>
        <v>55.45</v>
      </c>
      <c r="W150" s="4">
        <f t="shared" si="31"/>
        <v>67.45</v>
      </c>
      <c r="X150" t="str">
        <f>'LIVE SOURCE'!G150</f>
        <v>HISTORY FALLBACK</v>
      </c>
      <c r="Y150" t="str">
        <f>IF(INDEX('Draft Board'!$J$3:$J$225,Q150)="","Available",INDEX('Draft Board'!$J$3:$J$225,Q150))</f>
        <v>Available</v>
      </c>
      <c r="Z150">
        <f t="shared" si="32"/>
        <v>192</v>
      </c>
    </row>
    <row r="151" spans="1:26" x14ac:dyDescent="0.25">
      <c r="A151" t="str">
        <f>'LIVE SOURCE'!A151</f>
        <v>WR</v>
      </c>
      <c r="B151" t="str">
        <f>'LIVE SOURCE'!B151</f>
        <v>Travis Hunter</v>
      </c>
      <c r="C151" s="4">
        <f>'LIVE SOURCE'!D151</f>
        <v>54.78</v>
      </c>
      <c r="D151" s="4">
        <f>'Manual Adjustments'!G151</f>
        <v>0</v>
      </c>
      <c r="E151" s="4">
        <f t="shared" si="22"/>
        <v>54.78</v>
      </c>
      <c r="F151">
        <f>COUNTIFS($A$3:$A$225,A151,$E$3:$E$225,"&gt;"&amp;E151)+COUNTIFS($A$3:A151,A151,$E$3:E151,E151)</f>
        <v>66</v>
      </c>
      <c r="G151" s="4">
        <f>ROUND(INDEX('League Config'!$K$4:$K$9,MATCH(A151,'League Config'!$E$4:$E$9,0))*E151+INDEX('League Config'!$L$4:$L$9,MATCH(A151,'League Config'!$E$4:$E$9,0)),1)</f>
        <v>160.1</v>
      </c>
      <c r="H151">
        <f>INDEX('League Config'!$H$4:$H$9,MATCH(A151,'League Config'!$E$4:$E$9,0))</f>
        <v>33</v>
      </c>
      <c r="I151" s="4">
        <f>INDEX('League Config'!$I$4:$I$9,MATCH(A151,'League Config'!$E$4:$E$9,0))</f>
        <v>239.3</v>
      </c>
      <c r="J151" s="4">
        <f t="shared" si="23"/>
        <v>-79.2</v>
      </c>
      <c r="K151" s="4">
        <f t="shared" si="24"/>
        <v>2.4799999999999969</v>
      </c>
      <c r="L151" s="4">
        <f>MIN(100,MAX(0,(1-(F151-1)/(H151*1.5))*100*INDEX('League Config'!$J$4:$J$9,MATCH(A151,'League Config'!$E$4:$E$9,0))))</f>
        <v>0</v>
      </c>
      <c r="M151">
        <f>IF(A151="K",'League Config'!$B$14,IF(A151="DST",'League Config'!$B$15,IF(A151="QB",'League Config'!$B$16,0)))</f>
        <v>0</v>
      </c>
      <c r="N151" s="4">
        <f t="shared" si="25"/>
        <v>30.873000000000001</v>
      </c>
      <c r="O151" s="9">
        <f t="shared" si="26"/>
        <v>30.873000000000001</v>
      </c>
      <c r="P151" s="6">
        <f>IF(O151="","",COUNTIF($O$3:$O$225,"&gt;"&amp;O151)+COUNTIF($O$3:O151,O151))</f>
        <v>174</v>
      </c>
      <c r="Q151">
        <f t="shared" si="27"/>
        <v>194</v>
      </c>
      <c r="R151" s="4">
        <f>'LIVE SOURCE'!E151</f>
        <v>260.39999999999998</v>
      </c>
      <c r="S151" s="4">
        <f t="shared" si="28"/>
        <v>66.399999999999977</v>
      </c>
      <c r="T151" t="str">
        <f>'LIVE SOURCE'!F151</f>
        <v>C</v>
      </c>
      <c r="U151" s="4">
        <f t="shared" si="29"/>
        <v>42.78</v>
      </c>
      <c r="V151" s="4">
        <f t="shared" si="30"/>
        <v>54.78</v>
      </c>
      <c r="W151" s="4">
        <f t="shared" si="31"/>
        <v>66.78</v>
      </c>
      <c r="X151" t="str">
        <f>'LIVE SOURCE'!G151</f>
        <v>HISTORY FALLBACK</v>
      </c>
      <c r="Y151" t="str">
        <f>IF(INDEX('Draft Board'!$J$3:$J$225,Q151)="","Available",INDEX('Draft Board'!$J$3:$J$225,Q151))</f>
        <v>Available</v>
      </c>
      <c r="Z151">
        <f t="shared" si="32"/>
        <v>194</v>
      </c>
    </row>
    <row r="152" spans="1:26" x14ac:dyDescent="0.25">
      <c r="A152" t="str">
        <f>'LIVE SOURCE'!A152</f>
        <v>WR</v>
      </c>
      <c r="B152" t="str">
        <f>'LIVE SOURCE'!B152</f>
        <v>Ryan Flournoy</v>
      </c>
      <c r="C152" s="4">
        <f>'LIVE SOURCE'!D152</f>
        <v>54.11</v>
      </c>
      <c r="D152" s="4">
        <f>'Manual Adjustments'!G152</f>
        <v>0</v>
      </c>
      <c r="E152" s="4">
        <f t="shared" si="22"/>
        <v>54.11</v>
      </c>
      <c r="F152">
        <f>COUNTIFS($A$3:$A$225,A152,$E$3:$E$225,"&gt;"&amp;E152)+COUNTIFS($A$3:A152,A152,$E$3:E152,E152)</f>
        <v>67</v>
      </c>
      <c r="G152" s="4">
        <f>ROUND(INDEX('League Config'!$K$4:$K$9,MATCH(A152,'League Config'!$E$4:$E$9,0))*E152+INDEX('League Config'!$L$4:$L$9,MATCH(A152,'League Config'!$E$4:$E$9,0)),1)</f>
        <v>157.30000000000001</v>
      </c>
      <c r="H152">
        <f>INDEX('League Config'!$H$4:$H$9,MATCH(A152,'League Config'!$E$4:$E$9,0))</f>
        <v>33</v>
      </c>
      <c r="I152" s="4">
        <f>INDEX('League Config'!$I$4:$I$9,MATCH(A152,'League Config'!$E$4:$E$9,0))</f>
        <v>239.3</v>
      </c>
      <c r="J152" s="4">
        <f t="shared" si="23"/>
        <v>-82</v>
      </c>
      <c r="K152" s="4">
        <f t="shared" si="24"/>
        <v>0.80000000000000426</v>
      </c>
      <c r="L152" s="4">
        <f>MIN(100,MAX(0,(1-(F152-1)/(H152*1.5))*100*INDEX('League Config'!$J$4:$J$9,MATCH(A152,'League Config'!$E$4:$E$9,0))))</f>
        <v>0</v>
      </c>
      <c r="M152">
        <f>IF(A152="K",'League Config'!$B$14,IF(A152="DST",'League Config'!$B$15,IF(A152="QB",'League Config'!$B$16,0)))</f>
        <v>0</v>
      </c>
      <c r="N152" s="4">
        <f t="shared" si="25"/>
        <v>30.000500000000002</v>
      </c>
      <c r="O152" s="9">
        <f t="shared" si="26"/>
        <v>30.000500000000002</v>
      </c>
      <c r="P152" s="6">
        <f>IF(O152="","",COUNTIF($O$3:$O$225,"&gt;"&amp;O152)+COUNTIF($O$3:O152,O152))</f>
        <v>176</v>
      </c>
      <c r="Q152">
        <f t="shared" si="27"/>
        <v>196</v>
      </c>
      <c r="R152" s="4">
        <f>'LIVE SOURCE'!E152</f>
        <v>264.3</v>
      </c>
      <c r="S152" s="4">
        <f t="shared" si="28"/>
        <v>68.300000000000011</v>
      </c>
      <c r="T152" t="str">
        <f>'LIVE SOURCE'!F152</f>
        <v>C</v>
      </c>
      <c r="U152" s="4">
        <f t="shared" si="29"/>
        <v>42.11</v>
      </c>
      <c r="V152" s="4">
        <f t="shared" si="30"/>
        <v>54.11</v>
      </c>
      <c r="W152" s="4">
        <f t="shared" si="31"/>
        <v>66.11</v>
      </c>
      <c r="X152" t="str">
        <f>'LIVE SOURCE'!G152</f>
        <v>HISTORY FALLBACK</v>
      </c>
      <c r="Y152" t="str">
        <f>IF(INDEX('Draft Board'!$J$3:$J$225,Q152)="","Available",INDEX('Draft Board'!$J$3:$J$225,Q152))</f>
        <v>Available</v>
      </c>
      <c r="Z152">
        <f t="shared" si="32"/>
        <v>196</v>
      </c>
    </row>
    <row r="153" spans="1:26" x14ac:dyDescent="0.25">
      <c r="A153" t="str">
        <f>'LIVE SOURCE'!A153</f>
        <v>WR</v>
      </c>
      <c r="B153" t="str">
        <f>'LIVE SOURCE'!B153</f>
        <v>Jauan Jennings</v>
      </c>
      <c r="C153" s="4">
        <f>'LIVE SOURCE'!D153</f>
        <v>53.44</v>
      </c>
      <c r="D153" s="4">
        <f>'Manual Adjustments'!G153</f>
        <v>0</v>
      </c>
      <c r="E153" s="4">
        <f t="shared" si="22"/>
        <v>53.44</v>
      </c>
      <c r="F153">
        <f>COUNTIFS($A$3:$A$225,A153,$E$3:$E$225,"&gt;"&amp;E153)+COUNTIFS($A$3:A153,A153,$E$3:E153,E153)</f>
        <v>68</v>
      </c>
      <c r="G153" s="4">
        <f>ROUND(INDEX('League Config'!$K$4:$K$9,MATCH(A153,'League Config'!$E$4:$E$9,0))*E153+INDEX('League Config'!$L$4:$L$9,MATCH(A153,'League Config'!$E$4:$E$9,0)),1)</f>
        <v>154.4</v>
      </c>
      <c r="H153">
        <f>INDEX('League Config'!$H$4:$H$9,MATCH(A153,'League Config'!$E$4:$E$9,0))</f>
        <v>33</v>
      </c>
      <c r="I153" s="4">
        <f>INDEX('League Config'!$I$4:$I$9,MATCH(A153,'League Config'!$E$4:$E$9,0))</f>
        <v>239.3</v>
      </c>
      <c r="J153" s="4">
        <f t="shared" si="23"/>
        <v>-84.9</v>
      </c>
      <c r="K153" s="4">
        <f t="shared" si="24"/>
        <v>0</v>
      </c>
      <c r="L153" s="4">
        <f>MIN(100,MAX(0,(1-(F153-1)/(H153*1.5))*100*INDEX('League Config'!$J$4:$J$9,MATCH(A153,'League Config'!$E$4:$E$9,0))))</f>
        <v>0</v>
      </c>
      <c r="M153">
        <f>IF(A153="K",'League Config'!$B$14,IF(A153="DST",'League Config'!$B$15,IF(A153="QB",'League Config'!$B$16,0)))</f>
        <v>0</v>
      </c>
      <c r="N153" s="4">
        <f t="shared" si="25"/>
        <v>29.391999999999999</v>
      </c>
      <c r="O153" s="9">
        <f t="shared" si="26"/>
        <v>29.391999999999999</v>
      </c>
      <c r="P153" s="6">
        <f>IF(O153="","",COUNTIF($O$3:$O$225,"&gt;"&amp;O153)+COUNTIF($O$3:O153,O153))</f>
        <v>177</v>
      </c>
      <c r="Q153">
        <f t="shared" si="27"/>
        <v>197</v>
      </c>
      <c r="R153" s="4">
        <f>'LIVE SOURCE'!E153</f>
        <v>268.2</v>
      </c>
      <c r="S153" s="4">
        <f t="shared" si="28"/>
        <v>71.199999999999989</v>
      </c>
      <c r="T153" t="str">
        <f>'LIVE SOURCE'!F153</f>
        <v>C</v>
      </c>
      <c r="U153" s="4">
        <f t="shared" si="29"/>
        <v>41.44</v>
      </c>
      <c r="V153" s="4">
        <f t="shared" si="30"/>
        <v>53.44</v>
      </c>
      <c r="W153" s="4">
        <f t="shared" si="31"/>
        <v>65.44</v>
      </c>
      <c r="X153" t="str">
        <f>'LIVE SOURCE'!G153</f>
        <v>HISTORY FALLBACK</v>
      </c>
      <c r="Y153" t="str">
        <f>IF(INDEX('Draft Board'!$J$3:$J$225,Q153)="","Available",INDEX('Draft Board'!$J$3:$J$225,Q153))</f>
        <v>Available</v>
      </c>
      <c r="Z153">
        <f t="shared" si="32"/>
        <v>197</v>
      </c>
    </row>
    <row r="154" spans="1:26" x14ac:dyDescent="0.25">
      <c r="A154" t="str">
        <f>'LIVE SOURCE'!A154</f>
        <v>WR</v>
      </c>
      <c r="B154" t="str">
        <f>'LIVE SOURCE'!B154</f>
        <v>Darnell Mooney</v>
      </c>
      <c r="C154" s="4">
        <f>'LIVE SOURCE'!D154</f>
        <v>52.77</v>
      </c>
      <c r="D154" s="4">
        <f>'Manual Adjustments'!G154</f>
        <v>0</v>
      </c>
      <c r="E154" s="4">
        <f t="shared" si="22"/>
        <v>52.77</v>
      </c>
      <c r="F154">
        <f>COUNTIFS($A$3:$A$225,A154,$E$3:$E$225,"&gt;"&amp;E154)+COUNTIFS($A$3:A154,A154,$E$3:E154,E154)</f>
        <v>69</v>
      </c>
      <c r="G154" s="4">
        <f>ROUND(INDEX('League Config'!$K$4:$K$9,MATCH(A154,'League Config'!$E$4:$E$9,0))*E154+INDEX('League Config'!$L$4:$L$9,MATCH(A154,'League Config'!$E$4:$E$9,0)),1)</f>
        <v>151.6</v>
      </c>
      <c r="H154">
        <f>INDEX('League Config'!$H$4:$H$9,MATCH(A154,'League Config'!$E$4:$E$9,0))</f>
        <v>33</v>
      </c>
      <c r="I154" s="4">
        <f>INDEX('League Config'!$I$4:$I$9,MATCH(A154,'League Config'!$E$4:$E$9,0))</f>
        <v>239.3</v>
      </c>
      <c r="J154" s="4">
        <f t="shared" si="23"/>
        <v>-87.7</v>
      </c>
      <c r="K154" s="4">
        <f t="shared" si="24"/>
        <v>0</v>
      </c>
      <c r="L154" s="4">
        <f>MIN(100,MAX(0,(1-(F154-1)/(H154*1.5))*100*INDEX('League Config'!$J$4:$J$9,MATCH(A154,'League Config'!$E$4:$E$9,0))))</f>
        <v>0</v>
      </c>
      <c r="M154">
        <f>IF(A154="K",'League Config'!$B$14,IF(A154="DST",'League Config'!$B$15,IF(A154="QB",'League Config'!$B$16,0)))</f>
        <v>0</v>
      </c>
      <c r="N154" s="4">
        <f t="shared" si="25"/>
        <v>29.023500000000006</v>
      </c>
      <c r="O154" s="9">
        <f t="shared" si="26"/>
        <v>29.023500000000006</v>
      </c>
      <c r="P154" s="6">
        <f>IF(O154="","",COUNTIF($O$3:$O$225,"&gt;"&amp;O154)+COUNTIF($O$3:O154,O154))</f>
        <v>178</v>
      </c>
      <c r="Q154">
        <f t="shared" si="27"/>
        <v>198</v>
      </c>
      <c r="R154" s="4">
        <f>'LIVE SOURCE'!E154</f>
        <v>272.10000000000002</v>
      </c>
      <c r="S154" s="4">
        <f t="shared" si="28"/>
        <v>74.100000000000023</v>
      </c>
      <c r="T154" t="str">
        <f>'LIVE SOURCE'!F154</f>
        <v>C</v>
      </c>
      <c r="U154" s="4">
        <f t="shared" si="29"/>
        <v>40.770000000000003</v>
      </c>
      <c r="V154" s="4">
        <f t="shared" si="30"/>
        <v>52.77</v>
      </c>
      <c r="W154" s="4">
        <f t="shared" si="31"/>
        <v>64.77000000000001</v>
      </c>
      <c r="X154" t="str">
        <f>'LIVE SOURCE'!G154</f>
        <v>HISTORY FALLBACK</v>
      </c>
      <c r="Y154" t="str">
        <f>IF(INDEX('Draft Board'!$J$3:$J$225,Q154)="","Available",INDEX('Draft Board'!$J$3:$J$225,Q154))</f>
        <v>Available</v>
      </c>
      <c r="Z154">
        <f t="shared" si="32"/>
        <v>198</v>
      </c>
    </row>
    <row r="155" spans="1:26" x14ac:dyDescent="0.25">
      <c r="A155" t="str">
        <f>'LIVE SOURCE'!A155</f>
        <v>TE</v>
      </c>
      <c r="B155" t="str">
        <f>'LIVE SOURCE'!B155</f>
        <v>Trey McBride</v>
      </c>
      <c r="C155" s="4">
        <f>'LIVE SOURCE'!D155</f>
        <v>97.737099999999998</v>
      </c>
      <c r="D155" s="4">
        <f>'Manual Adjustments'!G155</f>
        <v>0</v>
      </c>
      <c r="E155" s="4">
        <f t="shared" si="22"/>
        <v>97.737099999999998</v>
      </c>
      <c r="F155">
        <f>COUNTIFS($A$3:$A$225,A155,$E$3:$E$225,"&gt;"&amp;E155)+COUNTIFS($A$3:A155,A155,$E$3:E155,E155)</f>
        <v>1</v>
      </c>
      <c r="G155" s="4">
        <f>ROUND(INDEX('League Config'!$K$4:$K$9,MATCH(A155,'League Config'!$E$4:$E$9,0))*E155+INDEX('League Config'!$L$4:$L$9,MATCH(A155,'League Config'!$E$4:$E$9,0)),1)</f>
        <v>242.1</v>
      </c>
      <c r="H155">
        <f>INDEX('League Config'!$H$4:$H$9,MATCH(A155,'League Config'!$E$4:$E$9,0))</f>
        <v>13</v>
      </c>
      <c r="I155" s="4">
        <f>INDEX('League Config'!$I$4:$I$9,MATCH(A155,'League Config'!$E$4:$E$9,0))</f>
        <v>179.7</v>
      </c>
      <c r="J155" s="4">
        <f t="shared" si="23"/>
        <v>62.4</v>
      </c>
      <c r="K155" s="4">
        <f t="shared" si="24"/>
        <v>87.44</v>
      </c>
      <c r="L155" s="4">
        <f>MIN(100,MAX(0,(1-(F155-1)/(H155*1.5))*100*INDEX('League Config'!$J$4:$J$9,MATCH(A155,'League Config'!$E$4:$E$9,0))))</f>
        <v>90</v>
      </c>
      <c r="M155">
        <f>IF(A155="K",'League Config'!$B$14,IF(A155="DST",'League Config'!$B$15,IF(A155="QB",'League Config'!$B$16,0)))</f>
        <v>0</v>
      </c>
      <c r="N155" s="4">
        <f t="shared" si="25"/>
        <v>93.487404999999995</v>
      </c>
      <c r="O155" s="9">
        <f t="shared" si="26"/>
        <v>93.487404999999995</v>
      </c>
      <c r="P155" s="6">
        <f>IF(O155="","",COUNTIF($O$3:$O$225,"&gt;"&amp;O155)+COUNTIF($O$3:O155,O155))</f>
        <v>10</v>
      </c>
      <c r="Q155">
        <f t="shared" si="27"/>
        <v>10</v>
      </c>
      <c r="R155" s="4">
        <f>'LIVE SOURCE'!E155</f>
        <v>17</v>
      </c>
      <c r="S155" s="4">
        <f t="shared" si="28"/>
        <v>7</v>
      </c>
      <c r="T155" t="str">
        <f>'LIVE SOURCE'!F155</f>
        <v>A</v>
      </c>
      <c r="U155" s="4">
        <f t="shared" si="29"/>
        <v>91.737099999999998</v>
      </c>
      <c r="V155" s="4">
        <f t="shared" si="30"/>
        <v>97.737099999999998</v>
      </c>
      <c r="W155" s="4">
        <f t="shared" si="31"/>
        <v>100</v>
      </c>
      <c r="X155" t="str">
        <f>'LIVE SOURCE'!G155</f>
        <v>RATE-ADJUSTED VETERAN</v>
      </c>
      <c r="Y155" t="str">
        <f>IF(INDEX('Draft Board'!$J$3:$J$225,Q155)="","Available",INDEX('Draft Board'!$J$3:$J$225,Q155))</f>
        <v>Available</v>
      </c>
      <c r="Z155">
        <f t="shared" si="32"/>
        <v>10</v>
      </c>
    </row>
    <row r="156" spans="1:26" x14ac:dyDescent="0.25">
      <c r="A156" t="str">
        <f>'LIVE SOURCE'!A156</f>
        <v>TE</v>
      </c>
      <c r="B156" t="str">
        <f>'LIVE SOURCE'!B156</f>
        <v>Brock Bowers</v>
      </c>
      <c r="C156" s="4">
        <f>'LIVE SOURCE'!D156</f>
        <v>94.884600000000006</v>
      </c>
      <c r="D156" s="4">
        <f>'Manual Adjustments'!G156</f>
        <v>0</v>
      </c>
      <c r="E156" s="4">
        <f t="shared" si="22"/>
        <v>94.884600000000006</v>
      </c>
      <c r="F156">
        <f>COUNTIFS($A$3:$A$225,A156,$E$3:$E$225,"&gt;"&amp;E156)+COUNTIFS($A$3:A156,A156,$E$3:E156,E156)</f>
        <v>2</v>
      </c>
      <c r="G156" s="4">
        <f>ROUND(INDEX('League Config'!$K$4:$K$9,MATCH(A156,'League Config'!$E$4:$E$9,0))*E156+INDEX('League Config'!$L$4:$L$9,MATCH(A156,'League Config'!$E$4:$E$9,0)),1)</f>
        <v>232.1</v>
      </c>
      <c r="H156">
        <f>INDEX('League Config'!$H$4:$H$9,MATCH(A156,'League Config'!$E$4:$E$9,0))</f>
        <v>13</v>
      </c>
      <c r="I156" s="4">
        <f>INDEX('League Config'!$I$4:$I$9,MATCH(A156,'League Config'!$E$4:$E$9,0))</f>
        <v>179.7</v>
      </c>
      <c r="J156" s="4">
        <f t="shared" si="23"/>
        <v>52.4</v>
      </c>
      <c r="K156" s="4">
        <f t="shared" si="24"/>
        <v>81.44</v>
      </c>
      <c r="L156" s="4">
        <f>MIN(100,MAX(0,(1-(F156-1)/(H156*1.5))*100*INDEX('League Config'!$J$4:$J$9,MATCH(A156,'League Config'!$E$4:$E$9,0))))</f>
        <v>85.384615384615373</v>
      </c>
      <c r="M156">
        <f>IF(A156="K",'League Config'!$B$14,IF(A156="DST",'League Config'!$B$15,IF(A156="QB",'League Config'!$B$16,0)))</f>
        <v>0</v>
      </c>
      <c r="N156" s="4">
        <f t="shared" si="25"/>
        <v>89.426222307692314</v>
      </c>
      <c r="O156" s="9">
        <f t="shared" si="26"/>
        <v>89.426222307692314</v>
      </c>
      <c r="P156" s="6">
        <f>IF(O156="","",COUNTIF($O$3:$O$225,"&gt;"&amp;O156)+COUNTIF($O$3:O156,O156))</f>
        <v>15</v>
      </c>
      <c r="Q156">
        <f t="shared" si="27"/>
        <v>15</v>
      </c>
      <c r="R156" s="4">
        <f>'LIVE SOURCE'!E156</f>
        <v>20</v>
      </c>
      <c r="S156" s="4">
        <f t="shared" si="28"/>
        <v>5</v>
      </c>
      <c r="T156" t="str">
        <f>'LIVE SOURCE'!F156</f>
        <v>A</v>
      </c>
      <c r="U156" s="4">
        <f t="shared" si="29"/>
        <v>88.884600000000006</v>
      </c>
      <c r="V156" s="4">
        <f t="shared" si="30"/>
        <v>94.884600000000006</v>
      </c>
      <c r="W156" s="4">
        <f t="shared" si="31"/>
        <v>100</v>
      </c>
      <c r="X156" t="str">
        <f>'LIVE SOURCE'!G156</f>
        <v>RATE-ADJUSTED VETERAN</v>
      </c>
      <c r="Y156" t="str">
        <f>IF(INDEX('Draft Board'!$J$3:$J$225,Q156)="","Available",INDEX('Draft Board'!$J$3:$J$225,Q156))</f>
        <v>Available</v>
      </c>
      <c r="Z156">
        <f t="shared" si="32"/>
        <v>15</v>
      </c>
    </row>
    <row r="157" spans="1:26" x14ac:dyDescent="0.25">
      <c r="A157" t="str">
        <f>'LIVE SOURCE'!A157</f>
        <v>TE</v>
      </c>
      <c r="B157" t="str">
        <f>'LIVE SOURCE'!B157</f>
        <v>Colston Loveland</v>
      </c>
      <c r="C157" s="4">
        <f>'LIVE SOURCE'!D157</f>
        <v>88.753100000000003</v>
      </c>
      <c r="D157" s="4">
        <f>'Manual Adjustments'!G157</f>
        <v>0</v>
      </c>
      <c r="E157" s="4">
        <f t="shared" si="22"/>
        <v>88.753100000000003</v>
      </c>
      <c r="F157">
        <f>COUNTIFS($A$3:$A$225,A157,$E$3:$E$225,"&gt;"&amp;E157)+COUNTIFS($A$3:A157,A157,$E$3:E157,E157)</f>
        <v>3</v>
      </c>
      <c r="G157" s="4">
        <f>ROUND(INDEX('League Config'!$K$4:$K$9,MATCH(A157,'League Config'!$E$4:$E$9,0))*E157+INDEX('League Config'!$L$4:$L$9,MATCH(A157,'League Config'!$E$4:$E$9,0)),1)</f>
        <v>210.6</v>
      </c>
      <c r="H157">
        <f>INDEX('League Config'!$H$4:$H$9,MATCH(A157,'League Config'!$E$4:$E$9,0))</f>
        <v>13</v>
      </c>
      <c r="I157" s="4">
        <f>INDEX('League Config'!$I$4:$I$9,MATCH(A157,'League Config'!$E$4:$E$9,0))</f>
        <v>179.7</v>
      </c>
      <c r="J157" s="4">
        <f t="shared" si="23"/>
        <v>30.9</v>
      </c>
      <c r="K157" s="4">
        <f t="shared" si="24"/>
        <v>68.539999999999992</v>
      </c>
      <c r="L157" s="4">
        <f>MIN(100,MAX(0,(1-(F157-1)/(H157*1.5))*100*INDEX('League Config'!$J$4:$J$9,MATCH(A157,'League Config'!$E$4:$E$9,0))))</f>
        <v>80.769230769230774</v>
      </c>
      <c r="M157">
        <f>IF(A157="K",'League Config'!$B$14,IF(A157="DST",'League Config'!$B$15,IF(A157="QB",'League Config'!$B$16,0)))</f>
        <v>0</v>
      </c>
      <c r="N157" s="4">
        <f t="shared" si="25"/>
        <v>81.491589615384612</v>
      </c>
      <c r="O157" s="9">
        <f t="shared" si="26"/>
        <v>81.491589615384612</v>
      </c>
      <c r="P157" s="6">
        <f>IF(O157="","",COUNTIF($O$3:$O$225,"&gt;"&amp;O157)+COUNTIF($O$3:O157,O157))</f>
        <v>34</v>
      </c>
      <c r="Q157">
        <f t="shared" si="27"/>
        <v>34</v>
      </c>
      <c r="R157" s="4">
        <f>'LIVE SOURCE'!E157</f>
        <v>35</v>
      </c>
      <c r="S157" s="4">
        <f t="shared" si="28"/>
        <v>1</v>
      </c>
      <c r="T157" t="str">
        <f>'LIVE SOURCE'!F157</f>
        <v>A</v>
      </c>
      <c r="U157" s="4">
        <f t="shared" si="29"/>
        <v>82.753100000000003</v>
      </c>
      <c r="V157" s="4">
        <f t="shared" si="30"/>
        <v>88.753100000000003</v>
      </c>
      <c r="W157" s="4">
        <f t="shared" si="31"/>
        <v>94.753100000000003</v>
      </c>
      <c r="X157" t="str">
        <f>'LIVE SOURCE'!G157</f>
        <v>RATE-ADJUSTED VETERAN</v>
      </c>
      <c r="Y157" t="str">
        <f>IF(INDEX('Draft Board'!$J$3:$J$225,Q157)="","Available",INDEX('Draft Board'!$J$3:$J$225,Q157))</f>
        <v>Available</v>
      </c>
      <c r="Z157">
        <f t="shared" si="32"/>
        <v>34</v>
      </c>
    </row>
    <row r="158" spans="1:26" x14ac:dyDescent="0.25">
      <c r="A158" t="str">
        <f>'LIVE SOURCE'!A158</f>
        <v>TE</v>
      </c>
      <c r="B158" t="str">
        <f>'LIVE SOURCE'!B158</f>
        <v>Tyler Warren</v>
      </c>
      <c r="C158" s="4">
        <f>'LIVE SOURCE'!D158</f>
        <v>87.202399999999997</v>
      </c>
      <c r="D158" s="4">
        <f>'Manual Adjustments'!G158</f>
        <v>0</v>
      </c>
      <c r="E158" s="4">
        <f t="shared" si="22"/>
        <v>87.202399999999997</v>
      </c>
      <c r="F158">
        <f>COUNTIFS($A$3:$A$225,A158,$E$3:$E$225,"&gt;"&amp;E158)+COUNTIFS($A$3:A158,A158,$E$3:E158,E158)</f>
        <v>4</v>
      </c>
      <c r="G158" s="4">
        <f>ROUND(INDEX('League Config'!$K$4:$K$9,MATCH(A158,'League Config'!$E$4:$E$9,0))*E158+INDEX('League Config'!$L$4:$L$9,MATCH(A158,'League Config'!$E$4:$E$9,0)),1)</f>
        <v>205.2</v>
      </c>
      <c r="H158">
        <f>INDEX('League Config'!$H$4:$H$9,MATCH(A158,'League Config'!$E$4:$E$9,0))</f>
        <v>13</v>
      </c>
      <c r="I158" s="4">
        <f>INDEX('League Config'!$I$4:$I$9,MATCH(A158,'League Config'!$E$4:$E$9,0))</f>
        <v>179.7</v>
      </c>
      <c r="J158" s="4">
        <f t="shared" si="23"/>
        <v>25.5</v>
      </c>
      <c r="K158" s="4">
        <f t="shared" si="24"/>
        <v>65.3</v>
      </c>
      <c r="L158" s="4">
        <f>MIN(100,MAX(0,(1-(F158-1)/(H158*1.5))*100*INDEX('League Config'!$J$4:$J$9,MATCH(A158,'League Config'!$E$4:$E$9,0))))</f>
        <v>76.15384615384616</v>
      </c>
      <c r="M158">
        <f>IF(A158="K",'League Config'!$B$14,IF(A158="DST",'League Config'!$B$15,IF(A158="QB",'League Config'!$B$16,0)))</f>
        <v>0</v>
      </c>
      <c r="N158" s="4">
        <f t="shared" si="25"/>
        <v>78.974396923076924</v>
      </c>
      <c r="O158" s="9">
        <f t="shared" si="26"/>
        <v>78.974396923076924</v>
      </c>
      <c r="P158" s="6">
        <f>IF(O158="","",COUNTIF($O$3:$O$225,"&gt;"&amp;O158)+COUNTIF($O$3:O158,O158))</f>
        <v>41</v>
      </c>
      <c r="Q158">
        <f t="shared" si="27"/>
        <v>41</v>
      </c>
      <c r="R158" s="4">
        <f>'LIVE SOURCE'!E158</f>
        <v>44</v>
      </c>
      <c r="S158" s="4">
        <f t="shared" si="28"/>
        <v>3</v>
      </c>
      <c r="T158" t="str">
        <f>'LIVE SOURCE'!F158</f>
        <v>A</v>
      </c>
      <c r="U158" s="4">
        <f t="shared" si="29"/>
        <v>81.202399999999997</v>
      </c>
      <c r="V158" s="4">
        <f t="shared" si="30"/>
        <v>87.202399999999997</v>
      </c>
      <c r="W158" s="4">
        <f t="shared" si="31"/>
        <v>93.202399999999997</v>
      </c>
      <c r="X158" t="str">
        <f>'LIVE SOURCE'!G158</f>
        <v>RATE-ADJUSTED VETERAN</v>
      </c>
      <c r="Y158" t="str">
        <f>IF(INDEX('Draft Board'!$J$3:$J$225,Q158)="","Available",INDEX('Draft Board'!$J$3:$J$225,Q158))</f>
        <v>Available</v>
      </c>
      <c r="Z158">
        <f t="shared" si="32"/>
        <v>41</v>
      </c>
    </row>
    <row r="159" spans="1:26" x14ac:dyDescent="0.25">
      <c r="A159" t="str">
        <f>'LIVE SOURCE'!A159</f>
        <v>TE</v>
      </c>
      <c r="B159" t="str">
        <f>'LIVE SOURCE'!B159</f>
        <v>George Kittle</v>
      </c>
      <c r="C159" s="4">
        <f>'LIVE SOURCE'!D159</f>
        <v>86.266400000000004</v>
      </c>
      <c r="D159" s="4">
        <f>'Manual Adjustments'!G159</f>
        <v>0</v>
      </c>
      <c r="E159" s="4">
        <f t="shared" si="22"/>
        <v>86.266400000000004</v>
      </c>
      <c r="F159">
        <f>COUNTIFS($A$3:$A$225,A159,$E$3:$E$225,"&gt;"&amp;E159)+COUNTIFS($A$3:A159,A159,$E$3:E159,E159)</f>
        <v>5</v>
      </c>
      <c r="G159" s="4">
        <f>ROUND(INDEX('League Config'!$K$4:$K$9,MATCH(A159,'League Config'!$E$4:$E$9,0))*E159+INDEX('League Config'!$L$4:$L$9,MATCH(A159,'League Config'!$E$4:$E$9,0)),1)</f>
        <v>201.9</v>
      </c>
      <c r="H159">
        <f>INDEX('League Config'!$H$4:$H$9,MATCH(A159,'League Config'!$E$4:$E$9,0))</f>
        <v>13</v>
      </c>
      <c r="I159" s="4">
        <f>INDEX('League Config'!$I$4:$I$9,MATCH(A159,'League Config'!$E$4:$E$9,0))</f>
        <v>179.7</v>
      </c>
      <c r="J159" s="4">
        <f t="shared" si="23"/>
        <v>22.2</v>
      </c>
      <c r="K159" s="4">
        <f t="shared" si="24"/>
        <v>63.32</v>
      </c>
      <c r="L159" s="4">
        <f>MIN(100,MAX(0,(1-(F159-1)/(H159*1.5))*100*INDEX('League Config'!$J$4:$J$9,MATCH(A159,'League Config'!$E$4:$E$9,0))))</f>
        <v>71.538461538461547</v>
      </c>
      <c r="M159">
        <f>IF(A159="K",'League Config'!$B$14,IF(A159="DST",'League Config'!$B$15,IF(A159="QB",'League Config'!$B$16,0)))</f>
        <v>0</v>
      </c>
      <c r="N159" s="4">
        <f t="shared" si="25"/>
        <v>77.173289230769228</v>
      </c>
      <c r="O159" s="9">
        <f t="shared" si="26"/>
        <v>77.173289230769228</v>
      </c>
      <c r="P159" s="6">
        <f>IF(O159="","",COUNTIF($O$3:$O$225,"&gt;"&amp;O159)+COUNTIF($O$3:O159,O159))</f>
        <v>45</v>
      </c>
      <c r="Q159">
        <f t="shared" si="27"/>
        <v>45</v>
      </c>
      <c r="R159" s="4">
        <f>'LIVE SOURCE'!E159</f>
        <v>53</v>
      </c>
      <c r="S159" s="4">
        <f t="shared" si="28"/>
        <v>8</v>
      </c>
      <c r="T159" t="str">
        <f>'LIVE SOURCE'!F159</f>
        <v>B</v>
      </c>
      <c r="U159" s="4">
        <f t="shared" si="29"/>
        <v>77.266400000000004</v>
      </c>
      <c r="V159" s="4">
        <f t="shared" si="30"/>
        <v>86.266400000000004</v>
      </c>
      <c r="W159" s="4">
        <f t="shared" si="31"/>
        <v>95.266400000000004</v>
      </c>
      <c r="X159" t="str">
        <f>'LIVE SOURCE'!G159</f>
        <v>RATE-ADJUSTED VETERAN</v>
      </c>
      <c r="Y159" t="str">
        <f>IF(INDEX('Draft Board'!$J$3:$J$225,Q159)="","Available",INDEX('Draft Board'!$J$3:$J$225,Q159))</f>
        <v>Available</v>
      </c>
      <c r="Z159">
        <f t="shared" si="32"/>
        <v>45</v>
      </c>
    </row>
    <row r="160" spans="1:26" x14ac:dyDescent="0.25">
      <c r="A160" t="str">
        <f>'LIVE SOURCE'!A160</f>
        <v>TE</v>
      </c>
      <c r="B160" t="str">
        <f>'LIVE SOURCE'!B160</f>
        <v>Kyle Pitts Sr.</v>
      </c>
      <c r="C160" s="4">
        <f>'LIVE SOURCE'!D160</f>
        <v>85.304500000000004</v>
      </c>
      <c r="D160" s="4">
        <f>'Manual Adjustments'!G160</f>
        <v>0</v>
      </c>
      <c r="E160" s="4">
        <f t="shared" si="22"/>
        <v>85.304500000000004</v>
      </c>
      <c r="F160">
        <f>COUNTIFS($A$3:$A$225,A160,$E$3:$E$225,"&gt;"&amp;E160)+COUNTIFS($A$3:A160,A160,$E$3:E160,E160)</f>
        <v>6</v>
      </c>
      <c r="G160" s="4">
        <f>ROUND(INDEX('League Config'!$K$4:$K$9,MATCH(A160,'League Config'!$E$4:$E$9,0))*E160+INDEX('League Config'!$L$4:$L$9,MATCH(A160,'League Config'!$E$4:$E$9,0)),1)</f>
        <v>198.6</v>
      </c>
      <c r="H160">
        <f>INDEX('League Config'!$H$4:$H$9,MATCH(A160,'League Config'!$E$4:$E$9,0))</f>
        <v>13</v>
      </c>
      <c r="I160" s="4">
        <f>INDEX('League Config'!$I$4:$I$9,MATCH(A160,'League Config'!$E$4:$E$9,0))</f>
        <v>179.7</v>
      </c>
      <c r="J160" s="4">
        <f t="shared" si="23"/>
        <v>18.899999999999999</v>
      </c>
      <c r="K160" s="4">
        <f t="shared" si="24"/>
        <v>61.339999999999996</v>
      </c>
      <c r="L160" s="4">
        <f>MIN(100,MAX(0,(1-(F160-1)/(H160*1.5))*100*INDEX('League Config'!$J$4:$J$9,MATCH(A160,'League Config'!$E$4:$E$9,0))))</f>
        <v>66.923076923076934</v>
      </c>
      <c r="M160">
        <f>IF(A160="K",'League Config'!$B$14,IF(A160="DST",'League Config'!$B$15,IF(A160="QB",'League Config'!$B$16,0)))</f>
        <v>0</v>
      </c>
      <c r="N160" s="4">
        <f t="shared" si="25"/>
        <v>75.35793653846153</v>
      </c>
      <c r="O160" s="9">
        <f t="shared" si="26"/>
        <v>75.35793653846153</v>
      </c>
      <c r="P160" s="6">
        <f>IF(O160="","",COUNTIF($O$3:$O$225,"&gt;"&amp;O160)+COUNTIF($O$3:O160,O160))</f>
        <v>50</v>
      </c>
      <c r="Q160">
        <f t="shared" si="27"/>
        <v>50</v>
      </c>
      <c r="R160" s="4">
        <f>'LIVE SOURCE'!E160</f>
        <v>62</v>
      </c>
      <c r="S160" s="4">
        <f t="shared" si="28"/>
        <v>12</v>
      </c>
      <c r="T160" t="str">
        <f>'LIVE SOURCE'!F160</f>
        <v>A</v>
      </c>
      <c r="U160" s="4">
        <f t="shared" si="29"/>
        <v>79.304500000000004</v>
      </c>
      <c r="V160" s="4">
        <f t="shared" si="30"/>
        <v>85.304500000000004</v>
      </c>
      <c r="W160" s="4">
        <f t="shared" si="31"/>
        <v>91.304500000000004</v>
      </c>
      <c r="X160" t="str">
        <f>'LIVE SOURCE'!G160</f>
        <v>RATE-ADJUSTED VETERAN</v>
      </c>
      <c r="Y160" t="str">
        <f>IF(INDEX('Draft Board'!$J$3:$J$225,Q160)="","Available",INDEX('Draft Board'!$J$3:$J$225,Q160))</f>
        <v>Available</v>
      </c>
      <c r="Z160">
        <f t="shared" si="32"/>
        <v>50</v>
      </c>
    </row>
    <row r="161" spans="1:26" x14ac:dyDescent="0.25">
      <c r="A161" t="str">
        <f>'LIVE SOURCE'!A161</f>
        <v>TE</v>
      </c>
      <c r="B161" t="str">
        <f>'LIVE SOURCE'!B161</f>
        <v>Harold Fannin Jr.</v>
      </c>
      <c r="C161" s="4">
        <f>'LIVE SOURCE'!D161</f>
        <v>84.377700000000004</v>
      </c>
      <c r="D161" s="4">
        <f>'Manual Adjustments'!G161</f>
        <v>0</v>
      </c>
      <c r="E161" s="4">
        <f t="shared" si="22"/>
        <v>84.377700000000004</v>
      </c>
      <c r="F161">
        <f>COUNTIFS($A$3:$A$225,A161,$E$3:$E$225,"&gt;"&amp;E161)+COUNTIFS($A$3:A161,A161,$E$3:E161,E161)</f>
        <v>7</v>
      </c>
      <c r="G161" s="4">
        <f>ROUND(INDEX('League Config'!$K$4:$K$9,MATCH(A161,'League Config'!$E$4:$E$9,0))*E161+INDEX('League Config'!$L$4:$L$9,MATCH(A161,'League Config'!$E$4:$E$9,0)),1)</f>
        <v>195.3</v>
      </c>
      <c r="H161">
        <f>INDEX('League Config'!$H$4:$H$9,MATCH(A161,'League Config'!$E$4:$E$9,0))</f>
        <v>13</v>
      </c>
      <c r="I161" s="4">
        <f>INDEX('League Config'!$I$4:$I$9,MATCH(A161,'League Config'!$E$4:$E$9,0))</f>
        <v>179.7</v>
      </c>
      <c r="J161" s="4">
        <f t="shared" si="23"/>
        <v>15.6</v>
      </c>
      <c r="K161" s="4">
        <f t="shared" si="24"/>
        <v>59.36</v>
      </c>
      <c r="L161" s="4">
        <f>MIN(100,MAX(0,(1-(F161-1)/(H161*1.5))*100*INDEX('League Config'!$J$4:$J$9,MATCH(A161,'League Config'!$E$4:$E$9,0))))</f>
        <v>62.307692307692307</v>
      </c>
      <c r="M161">
        <f>IF(A161="K",'League Config'!$B$14,IF(A161="DST",'League Config'!$B$15,IF(A161="QB",'League Config'!$B$16,0)))</f>
        <v>0</v>
      </c>
      <c r="N161" s="4">
        <f t="shared" si="25"/>
        <v>73.561888846153849</v>
      </c>
      <c r="O161" s="9">
        <f t="shared" si="26"/>
        <v>73.561888846153849</v>
      </c>
      <c r="P161" s="6">
        <f>IF(O161="","",COUNTIF($O$3:$O$225,"&gt;"&amp;O161)+COUNTIF($O$3:O161,O161))</f>
        <v>55</v>
      </c>
      <c r="Q161">
        <f t="shared" si="27"/>
        <v>55</v>
      </c>
      <c r="R161" s="4">
        <f>'LIVE SOURCE'!E161</f>
        <v>71</v>
      </c>
      <c r="S161" s="4">
        <f t="shared" si="28"/>
        <v>16</v>
      </c>
      <c r="T161" t="str">
        <f>'LIVE SOURCE'!F161</f>
        <v>A</v>
      </c>
      <c r="U161" s="4">
        <f t="shared" si="29"/>
        <v>78.377700000000004</v>
      </c>
      <c r="V161" s="4">
        <f t="shared" si="30"/>
        <v>84.377700000000004</v>
      </c>
      <c r="W161" s="4">
        <f t="shared" si="31"/>
        <v>90.377700000000004</v>
      </c>
      <c r="X161" t="str">
        <f>'LIVE SOURCE'!G161</f>
        <v>RATE-ADJUSTED VETERAN</v>
      </c>
      <c r="Y161" t="str">
        <f>IF(INDEX('Draft Board'!$J$3:$J$225,Q161)="","Available",INDEX('Draft Board'!$J$3:$J$225,Q161))</f>
        <v>Available</v>
      </c>
      <c r="Z161">
        <f t="shared" si="32"/>
        <v>55</v>
      </c>
    </row>
    <row r="162" spans="1:26" x14ac:dyDescent="0.25">
      <c r="A162" t="str">
        <f>'LIVE SOURCE'!A162</f>
        <v>TE</v>
      </c>
      <c r="B162" t="str">
        <f>'LIVE SOURCE'!B162</f>
        <v>Jake Ferguson</v>
      </c>
      <c r="C162" s="4">
        <f>'LIVE SOURCE'!D162</f>
        <v>84.072999999999993</v>
      </c>
      <c r="D162" s="4">
        <f>'Manual Adjustments'!G162</f>
        <v>0</v>
      </c>
      <c r="E162" s="4">
        <f t="shared" si="22"/>
        <v>84.072999999999993</v>
      </c>
      <c r="F162">
        <f>COUNTIFS($A$3:$A$225,A162,$E$3:$E$225,"&gt;"&amp;E162)+COUNTIFS($A$3:A162,A162,$E$3:E162,E162)</f>
        <v>8</v>
      </c>
      <c r="G162" s="4">
        <f>ROUND(INDEX('League Config'!$K$4:$K$9,MATCH(A162,'League Config'!$E$4:$E$9,0))*E162+INDEX('League Config'!$L$4:$L$9,MATCH(A162,'League Config'!$E$4:$E$9,0)),1)</f>
        <v>194.3</v>
      </c>
      <c r="H162">
        <f>INDEX('League Config'!$H$4:$H$9,MATCH(A162,'League Config'!$E$4:$E$9,0))</f>
        <v>13</v>
      </c>
      <c r="I162" s="4">
        <f>INDEX('League Config'!$I$4:$I$9,MATCH(A162,'League Config'!$E$4:$E$9,0))</f>
        <v>179.7</v>
      </c>
      <c r="J162" s="4">
        <f t="shared" si="23"/>
        <v>14.6</v>
      </c>
      <c r="K162" s="4">
        <f t="shared" si="24"/>
        <v>58.76</v>
      </c>
      <c r="L162" s="4">
        <f>MIN(100,MAX(0,(1-(F162-1)/(H162*1.5))*100*INDEX('League Config'!$J$4:$J$9,MATCH(A162,'League Config'!$E$4:$E$9,0))))</f>
        <v>57.692307692307693</v>
      </c>
      <c r="M162">
        <f>IF(A162="K",'League Config'!$B$14,IF(A162="DST",'League Config'!$B$15,IF(A162="QB",'League Config'!$B$16,0)))</f>
        <v>0</v>
      </c>
      <c r="N162" s="4">
        <f t="shared" si="25"/>
        <v>72.521996153846146</v>
      </c>
      <c r="O162" s="9">
        <f t="shared" si="26"/>
        <v>72.521996153846146</v>
      </c>
      <c r="P162" s="6">
        <f>IF(O162="","",COUNTIF($O$3:$O$225,"&gt;"&amp;O162)+COUNTIF($O$3:O162,O162))</f>
        <v>58</v>
      </c>
      <c r="Q162">
        <f t="shared" si="27"/>
        <v>58</v>
      </c>
      <c r="R162" s="4">
        <f>'LIVE SOURCE'!E162</f>
        <v>80</v>
      </c>
      <c r="S162" s="4">
        <f t="shared" si="28"/>
        <v>22</v>
      </c>
      <c r="T162" t="str">
        <f>'LIVE SOURCE'!F162</f>
        <v>A</v>
      </c>
      <c r="U162" s="4">
        <f t="shared" si="29"/>
        <v>78.072999999999993</v>
      </c>
      <c r="V162" s="4">
        <f t="shared" si="30"/>
        <v>84.072999999999993</v>
      </c>
      <c r="W162" s="4">
        <f t="shared" si="31"/>
        <v>90.072999999999993</v>
      </c>
      <c r="X162" t="str">
        <f>'LIVE SOURCE'!G162</f>
        <v>RATE-ADJUSTED VETERAN</v>
      </c>
      <c r="Y162" t="str">
        <f>IF(INDEX('Draft Board'!$J$3:$J$225,Q162)="","Available",INDEX('Draft Board'!$J$3:$J$225,Q162))</f>
        <v>Available</v>
      </c>
      <c r="Z162">
        <f t="shared" si="32"/>
        <v>58</v>
      </c>
    </row>
    <row r="163" spans="1:26" x14ac:dyDescent="0.25">
      <c r="A163" t="str">
        <f>'LIVE SOURCE'!A163</f>
        <v>TE</v>
      </c>
      <c r="B163" t="str">
        <f>'LIVE SOURCE'!B163</f>
        <v>Tucker Kraft</v>
      </c>
      <c r="C163" s="4">
        <f>'LIVE SOURCE'!D163</f>
        <v>83.808599999999998</v>
      </c>
      <c r="D163" s="4">
        <f>'Manual Adjustments'!G163</f>
        <v>0</v>
      </c>
      <c r="E163" s="4">
        <f t="shared" si="22"/>
        <v>83.808599999999998</v>
      </c>
      <c r="F163">
        <f>COUNTIFS($A$3:$A$225,A163,$E$3:$E$225,"&gt;"&amp;E163)+COUNTIFS($A$3:A163,A163,$E$3:E163,E163)</f>
        <v>9</v>
      </c>
      <c r="G163" s="4">
        <f>ROUND(INDEX('League Config'!$K$4:$K$9,MATCH(A163,'League Config'!$E$4:$E$9,0))*E163+INDEX('League Config'!$L$4:$L$9,MATCH(A163,'League Config'!$E$4:$E$9,0)),1)</f>
        <v>193.3</v>
      </c>
      <c r="H163">
        <f>INDEX('League Config'!$H$4:$H$9,MATCH(A163,'League Config'!$E$4:$E$9,0))</f>
        <v>13</v>
      </c>
      <c r="I163" s="4">
        <f>INDEX('League Config'!$I$4:$I$9,MATCH(A163,'League Config'!$E$4:$E$9,0))</f>
        <v>179.7</v>
      </c>
      <c r="J163" s="4">
        <f t="shared" si="23"/>
        <v>13.6</v>
      </c>
      <c r="K163" s="4">
        <f t="shared" si="24"/>
        <v>58.16</v>
      </c>
      <c r="L163" s="4">
        <f>MIN(100,MAX(0,(1-(F163-1)/(H163*1.5))*100*INDEX('League Config'!$J$4:$J$9,MATCH(A163,'League Config'!$E$4:$E$9,0))))</f>
        <v>53.07692307692308</v>
      </c>
      <c r="M163">
        <f>IF(A163="K",'League Config'!$B$14,IF(A163="DST",'League Config'!$B$15,IF(A163="QB",'League Config'!$B$16,0)))</f>
        <v>0</v>
      </c>
      <c r="N163" s="4">
        <f t="shared" si="25"/>
        <v>71.504268461538473</v>
      </c>
      <c r="O163" s="9">
        <f t="shared" si="26"/>
        <v>71.504268461538473</v>
      </c>
      <c r="P163" s="6">
        <f>IF(O163="","",COUNTIF($O$3:$O$225,"&gt;"&amp;O163)+COUNTIF($O$3:O163,O163))</f>
        <v>60</v>
      </c>
      <c r="Q163">
        <f t="shared" si="27"/>
        <v>60</v>
      </c>
      <c r="R163" s="4">
        <f>'LIVE SOURCE'!E163</f>
        <v>89</v>
      </c>
      <c r="S163" s="4">
        <f t="shared" si="28"/>
        <v>29</v>
      </c>
      <c r="T163" t="str">
        <f>'LIVE SOURCE'!F163</f>
        <v>B</v>
      </c>
      <c r="U163" s="4">
        <f t="shared" si="29"/>
        <v>74.808599999999998</v>
      </c>
      <c r="V163" s="4">
        <f t="shared" si="30"/>
        <v>83.808599999999998</v>
      </c>
      <c r="W163" s="4">
        <f t="shared" si="31"/>
        <v>92.808599999999998</v>
      </c>
      <c r="X163" t="str">
        <f>'LIVE SOURCE'!G163</f>
        <v>RATE-ADJUSTED VETERAN</v>
      </c>
      <c r="Y163" t="str">
        <f>IF(INDEX('Draft Board'!$J$3:$J$225,Q163)="","Available",INDEX('Draft Board'!$J$3:$J$225,Q163))</f>
        <v>Available</v>
      </c>
      <c r="Z163">
        <f t="shared" si="32"/>
        <v>60</v>
      </c>
    </row>
    <row r="164" spans="1:26" x14ac:dyDescent="0.25">
      <c r="A164" t="str">
        <f>'LIVE SOURCE'!A164</f>
        <v>TE</v>
      </c>
      <c r="B164" t="str">
        <f>'LIVE SOURCE'!B164</f>
        <v>Sam LaPorta</v>
      </c>
      <c r="C164" s="4">
        <f>'LIVE SOURCE'!D164</f>
        <v>82.865300000000005</v>
      </c>
      <c r="D164" s="4">
        <f>'Manual Adjustments'!G164</f>
        <v>0</v>
      </c>
      <c r="E164" s="4">
        <f t="shared" si="22"/>
        <v>82.865300000000005</v>
      </c>
      <c r="F164">
        <f>COUNTIFS($A$3:$A$225,A164,$E$3:$E$225,"&gt;"&amp;E164)+COUNTIFS($A$3:A164,A164,$E$3:E164,E164)</f>
        <v>10</v>
      </c>
      <c r="G164" s="4">
        <f>ROUND(INDEX('League Config'!$K$4:$K$9,MATCH(A164,'League Config'!$E$4:$E$9,0))*E164+INDEX('League Config'!$L$4:$L$9,MATCH(A164,'League Config'!$E$4:$E$9,0)),1)</f>
        <v>190</v>
      </c>
      <c r="H164">
        <f>INDEX('League Config'!$H$4:$H$9,MATCH(A164,'League Config'!$E$4:$E$9,0))</f>
        <v>13</v>
      </c>
      <c r="I164" s="4">
        <f>INDEX('League Config'!$I$4:$I$9,MATCH(A164,'League Config'!$E$4:$E$9,0))</f>
        <v>179.7</v>
      </c>
      <c r="J164" s="4">
        <f t="shared" si="23"/>
        <v>10.3</v>
      </c>
      <c r="K164" s="4">
        <f t="shared" si="24"/>
        <v>56.18</v>
      </c>
      <c r="L164" s="4">
        <f>MIN(100,MAX(0,(1-(F164-1)/(H164*1.5))*100*INDEX('League Config'!$J$4:$J$9,MATCH(A164,'League Config'!$E$4:$E$9,0))))</f>
        <v>48.46153846153846</v>
      </c>
      <c r="M164">
        <f>IF(A164="K",'League Config'!$B$14,IF(A164="DST",'League Config'!$B$15,IF(A164="QB",'League Config'!$B$16,0)))</f>
        <v>0</v>
      </c>
      <c r="N164" s="4">
        <f t="shared" si="25"/>
        <v>69.699145769230782</v>
      </c>
      <c r="O164" s="9">
        <f t="shared" si="26"/>
        <v>69.699145769230782</v>
      </c>
      <c r="P164" s="6">
        <f>IF(O164="","",COUNTIF($O$3:$O$225,"&gt;"&amp;O164)+COUNTIF($O$3:O164,O164))</f>
        <v>66</v>
      </c>
      <c r="Q164">
        <f t="shared" si="27"/>
        <v>66</v>
      </c>
      <c r="R164" s="4">
        <f>'LIVE SOURCE'!E164</f>
        <v>98</v>
      </c>
      <c r="S164" s="4">
        <f t="shared" si="28"/>
        <v>32</v>
      </c>
      <c r="T164" t="str">
        <f>'LIVE SOURCE'!F164</f>
        <v>B</v>
      </c>
      <c r="U164" s="4">
        <f t="shared" si="29"/>
        <v>73.865300000000005</v>
      </c>
      <c r="V164" s="4">
        <f t="shared" si="30"/>
        <v>82.865300000000005</v>
      </c>
      <c r="W164" s="4">
        <f t="shared" si="31"/>
        <v>91.865300000000005</v>
      </c>
      <c r="X164" t="str">
        <f>'LIVE SOURCE'!G164</f>
        <v>RATE-ADJUSTED VETERAN</v>
      </c>
      <c r="Y164" t="str">
        <f>IF(INDEX('Draft Board'!$J$3:$J$225,Q164)="","Available",INDEX('Draft Board'!$J$3:$J$225,Q164))</f>
        <v>Available</v>
      </c>
      <c r="Z164">
        <f t="shared" si="32"/>
        <v>66</v>
      </c>
    </row>
    <row r="165" spans="1:26" x14ac:dyDescent="0.25">
      <c r="A165" t="str">
        <f>'LIVE SOURCE'!A165</f>
        <v>TE</v>
      </c>
      <c r="B165" t="str">
        <f>'LIVE SOURCE'!B165</f>
        <v>Dalton Kincaid</v>
      </c>
      <c r="C165" s="4">
        <f>'LIVE SOURCE'!D165</f>
        <v>81.914100000000005</v>
      </c>
      <c r="D165" s="4">
        <f>'Manual Adjustments'!G165</f>
        <v>0</v>
      </c>
      <c r="E165" s="4">
        <f t="shared" si="22"/>
        <v>81.914100000000005</v>
      </c>
      <c r="F165">
        <f>COUNTIFS($A$3:$A$225,A165,$E$3:$E$225,"&gt;"&amp;E165)+COUNTIFS($A$3:A165,A165,$E$3:E165,E165)</f>
        <v>11</v>
      </c>
      <c r="G165" s="4">
        <f>ROUND(INDEX('League Config'!$K$4:$K$9,MATCH(A165,'League Config'!$E$4:$E$9,0))*E165+INDEX('League Config'!$L$4:$L$9,MATCH(A165,'League Config'!$E$4:$E$9,0)),1)</f>
        <v>186.7</v>
      </c>
      <c r="H165">
        <f>INDEX('League Config'!$H$4:$H$9,MATCH(A165,'League Config'!$E$4:$E$9,0))</f>
        <v>13</v>
      </c>
      <c r="I165" s="4">
        <f>INDEX('League Config'!$I$4:$I$9,MATCH(A165,'League Config'!$E$4:$E$9,0))</f>
        <v>179.7</v>
      </c>
      <c r="J165" s="4">
        <f t="shared" si="23"/>
        <v>7</v>
      </c>
      <c r="K165" s="4">
        <f t="shared" si="24"/>
        <v>54.2</v>
      </c>
      <c r="L165" s="4">
        <f>MIN(100,MAX(0,(1-(F165-1)/(H165*1.5))*100*INDEX('League Config'!$J$4:$J$9,MATCH(A165,'League Config'!$E$4:$E$9,0))))</f>
        <v>43.846153846153854</v>
      </c>
      <c r="M165">
        <f>IF(A165="K",'League Config'!$B$14,IF(A165="DST",'League Config'!$B$15,IF(A165="QB",'League Config'!$B$16,0)))</f>
        <v>0</v>
      </c>
      <c r="N165" s="4">
        <f t="shared" si="25"/>
        <v>67.88967807692309</v>
      </c>
      <c r="O165" s="9">
        <f t="shared" si="26"/>
        <v>67.88967807692309</v>
      </c>
      <c r="P165" s="6">
        <f>IF(O165="","",COUNTIF($O$3:$O$225,"&gt;"&amp;O165)+COUNTIF($O$3:O165,O165))</f>
        <v>69</v>
      </c>
      <c r="Q165">
        <f t="shared" si="27"/>
        <v>69</v>
      </c>
      <c r="R165" s="4">
        <f>'LIVE SOURCE'!E165</f>
        <v>107</v>
      </c>
      <c r="S165" s="4">
        <f t="shared" si="28"/>
        <v>38</v>
      </c>
      <c r="T165" t="str">
        <f>'LIVE SOURCE'!F165</f>
        <v>A</v>
      </c>
      <c r="U165" s="4">
        <f t="shared" si="29"/>
        <v>75.914100000000005</v>
      </c>
      <c r="V165" s="4">
        <f t="shared" si="30"/>
        <v>81.914100000000005</v>
      </c>
      <c r="W165" s="4">
        <f t="shared" si="31"/>
        <v>87.914100000000005</v>
      </c>
      <c r="X165" t="str">
        <f>'LIVE SOURCE'!G165</f>
        <v>RATE-ADJUSTED VETERAN</v>
      </c>
      <c r="Y165" t="str">
        <f>IF(INDEX('Draft Board'!$J$3:$J$225,Q165)="","Available",INDEX('Draft Board'!$J$3:$J$225,Q165))</f>
        <v>Available</v>
      </c>
      <c r="Z165">
        <f t="shared" si="32"/>
        <v>69</v>
      </c>
    </row>
    <row r="166" spans="1:26" x14ac:dyDescent="0.25">
      <c r="A166" t="str">
        <f>'LIVE SOURCE'!A166</f>
        <v>TE</v>
      </c>
      <c r="B166" t="str">
        <f>'LIVE SOURCE'!B166</f>
        <v>Travis Kelce</v>
      </c>
      <c r="C166" s="4">
        <f>'LIVE SOURCE'!D166</f>
        <v>81.747799999999998</v>
      </c>
      <c r="D166" s="4">
        <f>'Manual Adjustments'!G166</f>
        <v>0</v>
      </c>
      <c r="E166" s="4">
        <f t="shared" si="22"/>
        <v>81.747799999999998</v>
      </c>
      <c r="F166">
        <f>COUNTIFS($A$3:$A$225,A166,$E$3:$E$225,"&gt;"&amp;E166)+COUNTIFS($A$3:A166,A166,$E$3:E166,E166)</f>
        <v>12</v>
      </c>
      <c r="G166" s="4">
        <f>ROUND(INDEX('League Config'!$K$4:$K$9,MATCH(A166,'League Config'!$E$4:$E$9,0))*E166+INDEX('League Config'!$L$4:$L$9,MATCH(A166,'League Config'!$E$4:$E$9,0)),1)</f>
        <v>186.1</v>
      </c>
      <c r="H166">
        <f>INDEX('League Config'!$H$4:$H$9,MATCH(A166,'League Config'!$E$4:$E$9,0))</f>
        <v>13</v>
      </c>
      <c r="I166" s="4">
        <f>INDEX('League Config'!$I$4:$I$9,MATCH(A166,'League Config'!$E$4:$E$9,0))</f>
        <v>179.7</v>
      </c>
      <c r="J166" s="4">
        <f t="shared" si="23"/>
        <v>6.4</v>
      </c>
      <c r="K166" s="4">
        <f t="shared" si="24"/>
        <v>53.84</v>
      </c>
      <c r="L166" s="4">
        <f>MIN(100,MAX(0,(1-(F166-1)/(H166*1.5))*100*INDEX('League Config'!$J$4:$J$9,MATCH(A166,'League Config'!$E$4:$E$9,0))))</f>
        <v>39.230769230769234</v>
      </c>
      <c r="M166">
        <f>IF(A166="K",'League Config'!$B$14,IF(A166="DST",'League Config'!$B$15,IF(A166="QB",'League Config'!$B$16,0)))</f>
        <v>0</v>
      </c>
      <c r="N166" s="4">
        <f t="shared" si="25"/>
        <v>66.997905384615393</v>
      </c>
      <c r="O166" s="9">
        <f t="shared" si="26"/>
        <v>66.997905384615393</v>
      </c>
      <c r="P166" s="6">
        <f>IF(O166="","",COUNTIF($O$3:$O$225,"&gt;"&amp;O166)+COUNTIF($O$3:O166,O166))</f>
        <v>74</v>
      </c>
      <c r="Q166">
        <f t="shared" si="27"/>
        <v>74</v>
      </c>
      <c r="R166" s="4">
        <f>'LIVE SOURCE'!E166</f>
        <v>116</v>
      </c>
      <c r="S166" s="4">
        <f t="shared" si="28"/>
        <v>42</v>
      </c>
      <c r="T166" t="str">
        <f>'LIVE SOURCE'!F166</f>
        <v>A</v>
      </c>
      <c r="U166" s="4">
        <f t="shared" si="29"/>
        <v>75.747799999999998</v>
      </c>
      <c r="V166" s="4">
        <f t="shared" si="30"/>
        <v>81.747799999999998</v>
      </c>
      <c r="W166" s="4">
        <f t="shared" si="31"/>
        <v>87.747799999999998</v>
      </c>
      <c r="X166" t="str">
        <f>'LIVE SOURCE'!G166</f>
        <v>RATE-ADJUSTED VETERAN</v>
      </c>
      <c r="Y166" t="str">
        <f>IF(INDEX('Draft Board'!$J$3:$J$225,Q166)="","Available",INDEX('Draft Board'!$J$3:$J$225,Q166))</f>
        <v>Available</v>
      </c>
      <c r="Z166">
        <f t="shared" si="32"/>
        <v>74</v>
      </c>
    </row>
    <row r="167" spans="1:26" x14ac:dyDescent="0.25">
      <c r="A167" t="str">
        <f>'LIVE SOURCE'!A167</f>
        <v>TE</v>
      </c>
      <c r="B167" t="str">
        <f>'LIVE SOURCE'!B167</f>
        <v>Dallas Goedert</v>
      </c>
      <c r="C167" s="4">
        <f>'LIVE SOURCE'!D167</f>
        <v>79.918099999999995</v>
      </c>
      <c r="D167" s="4">
        <f>'Manual Adjustments'!G167</f>
        <v>0</v>
      </c>
      <c r="E167" s="4">
        <f t="shared" si="22"/>
        <v>79.918099999999995</v>
      </c>
      <c r="F167">
        <f>COUNTIFS($A$3:$A$225,A167,$E$3:$E$225,"&gt;"&amp;E167)+COUNTIFS($A$3:A167,A167,$E$3:E167,E167)</f>
        <v>13</v>
      </c>
      <c r="G167" s="4">
        <f>ROUND(INDEX('League Config'!$K$4:$K$9,MATCH(A167,'League Config'!$E$4:$E$9,0))*E167+INDEX('League Config'!$L$4:$L$9,MATCH(A167,'League Config'!$E$4:$E$9,0)),1)</f>
        <v>179.7</v>
      </c>
      <c r="H167">
        <f>INDEX('League Config'!$H$4:$H$9,MATCH(A167,'League Config'!$E$4:$E$9,0))</f>
        <v>13</v>
      </c>
      <c r="I167" s="4">
        <f>INDEX('League Config'!$I$4:$I$9,MATCH(A167,'League Config'!$E$4:$E$9,0))</f>
        <v>179.7</v>
      </c>
      <c r="J167" s="4">
        <f t="shared" si="23"/>
        <v>0</v>
      </c>
      <c r="K167" s="4">
        <f t="shared" si="24"/>
        <v>50</v>
      </c>
      <c r="L167" s="4">
        <f>MIN(100,MAX(0,(1-(F167-1)/(H167*1.5))*100*INDEX('League Config'!$J$4:$J$9,MATCH(A167,'League Config'!$E$4:$E$9,0))))</f>
        <v>34.615384615384613</v>
      </c>
      <c r="M167">
        <f>IF(A167="K",'League Config'!$B$14,IF(A167="DST",'League Config'!$B$15,IF(A167="QB",'League Config'!$B$16,0)))</f>
        <v>0</v>
      </c>
      <c r="N167" s="4">
        <f t="shared" si="25"/>
        <v>64.147262692307692</v>
      </c>
      <c r="O167" s="9">
        <f t="shared" si="26"/>
        <v>64.147262692307692</v>
      </c>
      <c r="P167" s="6">
        <f>IF(O167="","",COUNTIF($O$3:$O$225,"&gt;"&amp;O167)+COUNTIF($O$3:O167,O167))</f>
        <v>83</v>
      </c>
      <c r="Q167">
        <f t="shared" si="27"/>
        <v>83</v>
      </c>
      <c r="R167" s="4">
        <f>'LIVE SOURCE'!E167</f>
        <v>125</v>
      </c>
      <c r="S167" s="4">
        <f t="shared" si="28"/>
        <v>42</v>
      </c>
      <c r="T167" t="str">
        <f>'LIVE SOURCE'!F167</f>
        <v>A</v>
      </c>
      <c r="U167" s="4">
        <f t="shared" si="29"/>
        <v>73.918099999999995</v>
      </c>
      <c r="V167" s="4">
        <f t="shared" si="30"/>
        <v>79.918099999999995</v>
      </c>
      <c r="W167" s="4">
        <f t="shared" si="31"/>
        <v>85.918099999999995</v>
      </c>
      <c r="X167" t="str">
        <f>'LIVE SOURCE'!G167</f>
        <v>RATE-ADJUSTED VETERAN</v>
      </c>
      <c r="Y167" t="str">
        <f>IF(INDEX('Draft Board'!$J$3:$J$225,Q167)="","Available",INDEX('Draft Board'!$J$3:$J$225,Q167))</f>
        <v>Available</v>
      </c>
      <c r="Z167">
        <f t="shared" si="32"/>
        <v>83</v>
      </c>
    </row>
    <row r="168" spans="1:26" x14ac:dyDescent="0.25">
      <c r="A168" t="str">
        <f>'LIVE SOURCE'!A168</f>
        <v>TE</v>
      </c>
      <c r="B168" t="str">
        <f>'LIVE SOURCE'!B168</f>
        <v>Mark Andrews</v>
      </c>
      <c r="C168" s="4">
        <f>'LIVE SOURCE'!D168</f>
        <v>79.065399999999997</v>
      </c>
      <c r="D168" s="4">
        <f>'Manual Adjustments'!G168</f>
        <v>0</v>
      </c>
      <c r="E168" s="4">
        <f t="shared" si="22"/>
        <v>79.065399999999997</v>
      </c>
      <c r="F168">
        <f>COUNTIFS($A$3:$A$225,A168,$E$3:$E$225,"&gt;"&amp;E168)+COUNTIFS($A$3:A168,A168,$E$3:E168,E168)</f>
        <v>14</v>
      </c>
      <c r="G168" s="4">
        <f>ROUND(INDEX('League Config'!$K$4:$K$9,MATCH(A168,'League Config'!$E$4:$E$9,0))*E168+INDEX('League Config'!$L$4:$L$9,MATCH(A168,'League Config'!$E$4:$E$9,0)),1)</f>
        <v>176.7</v>
      </c>
      <c r="H168">
        <f>INDEX('League Config'!$H$4:$H$9,MATCH(A168,'League Config'!$E$4:$E$9,0))</f>
        <v>13</v>
      </c>
      <c r="I168" s="4">
        <f>INDEX('League Config'!$I$4:$I$9,MATCH(A168,'League Config'!$E$4:$E$9,0))</f>
        <v>179.7</v>
      </c>
      <c r="J168" s="4">
        <f t="shared" si="23"/>
        <v>-3</v>
      </c>
      <c r="K168" s="4">
        <f t="shared" si="24"/>
        <v>48.2</v>
      </c>
      <c r="L168" s="4">
        <f>MIN(100,MAX(0,(1-(F168-1)/(H168*1.5))*100*INDEX('League Config'!$J$4:$J$9,MATCH(A168,'League Config'!$E$4:$E$9,0))))</f>
        <v>30.000000000000004</v>
      </c>
      <c r="M168">
        <f>IF(A168="K",'League Config'!$B$14,IF(A168="DST",'League Config'!$B$15,IF(A168="QB",'League Config'!$B$16,0)))</f>
        <v>0</v>
      </c>
      <c r="N168" s="4">
        <f t="shared" si="25"/>
        <v>62.445970000000003</v>
      </c>
      <c r="O168" s="9">
        <f t="shared" si="26"/>
        <v>62.445970000000003</v>
      </c>
      <c r="P168" s="6">
        <f>IF(O168="","",COUNTIF($O$3:$O$225,"&gt;"&amp;O168)+COUNTIF($O$3:O168,O168))</f>
        <v>89</v>
      </c>
      <c r="Q168">
        <f t="shared" si="27"/>
        <v>89</v>
      </c>
      <c r="R168" s="4">
        <f>'LIVE SOURCE'!E168</f>
        <v>134</v>
      </c>
      <c r="S168" s="4">
        <f t="shared" si="28"/>
        <v>45</v>
      </c>
      <c r="T168" t="str">
        <f>'LIVE SOURCE'!F168</f>
        <v>A</v>
      </c>
      <c r="U168" s="4">
        <f t="shared" si="29"/>
        <v>73.065399999999997</v>
      </c>
      <c r="V168" s="4">
        <f t="shared" si="30"/>
        <v>79.065399999999997</v>
      </c>
      <c r="W168" s="4">
        <f t="shared" si="31"/>
        <v>85.065399999999997</v>
      </c>
      <c r="X168" t="str">
        <f>'LIVE SOURCE'!G168</f>
        <v>RATE-ADJUSTED VETERAN</v>
      </c>
      <c r="Y168" t="str">
        <f>IF(INDEX('Draft Board'!$J$3:$J$225,Q168)="","Available",INDEX('Draft Board'!$J$3:$J$225,Q168))</f>
        <v>Available</v>
      </c>
      <c r="Z168">
        <f t="shared" si="32"/>
        <v>89</v>
      </c>
    </row>
    <row r="169" spans="1:26" x14ac:dyDescent="0.25">
      <c r="A169" t="str">
        <f>'LIVE SOURCE'!A169</f>
        <v>TE</v>
      </c>
      <c r="B169" t="str">
        <f>'LIVE SOURCE'!B169</f>
        <v>Isaiah Likely</v>
      </c>
      <c r="C169" s="4">
        <f>'LIVE SOURCE'!D169</f>
        <v>78.579499999999996</v>
      </c>
      <c r="D169" s="4">
        <f>'Manual Adjustments'!G169</f>
        <v>0</v>
      </c>
      <c r="E169" s="4">
        <f t="shared" si="22"/>
        <v>78.579499999999996</v>
      </c>
      <c r="F169">
        <f>COUNTIFS($A$3:$A$225,A169,$E$3:$E$225,"&gt;"&amp;E169)+COUNTIFS($A$3:A169,A169,$E$3:E169,E169)</f>
        <v>15</v>
      </c>
      <c r="G169" s="4">
        <f>ROUND(INDEX('League Config'!$K$4:$K$9,MATCH(A169,'League Config'!$E$4:$E$9,0))*E169+INDEX('League Config'!$L$4:$L$9,MATCH(A169,'League Config'!$E$4:$E$9,0)),1)</f>
        <v>175</v>
      </c>
      <c r="H169">
        <f>INDEX('League Config'!$H$4:$H$9,MATCH(A169,'League Config'!$E$4:$E$9,0))</f>
        <v>13</v>
      </c>
      <c r="I169" s="4">
        <f>INDEX('League Config'!$I$4:$I$9,MATCH(A169,'League Config'!$E$4:$E$9,0))</f>
        <v>179.7</v>
      </c>
      <c r="J169" s="4">
        <f t="shared" si="23"/>
        <v>-4.7</v>
      </c>
      <c r="K169" s="4">
        <f t="shared" si="24"/>
        <v>47.18</v>
      </c>
      <c r="L169" s="4">
        <f>MIN(100,MAX(0,(1-(F169-1)/(H169*1.5))*100*INDEX('League Config'!$J$4:$J$9,MATCH(A169,'League Config'!$E$4:$E$9,0))))</f>
        <v>25.384615384615383</v>
      </c>
      <c r="M169">
        <f>IF(A169="K",'League Config'!$B$14,IF(A169="DST",'League Config'!$B$15,IF(A169="QB",'League Config'!$B$16,0)))</f>
        <v>0</v>
      </c>
      <c r="N169" s="4">
        <f t="shared" si="25"/>
        <v>61.180417307692309</v>
      </c>
      <c r="O169" s="9">
        <f t="shared" si="26"/>
        <v>61.180417307692309</v>
      </c>
      <c r="P169" s="6">
        <f>IF(O169="","",COUNTIF($O$3:$O$225,"&gt;"&amp;O169)+COUNTIF($O$3:O169,O169))</f>
        <v>94</v>
      </c>
      <c r="Q169">
        <f t="shared" si="27"/>
        <v>94</v>
      </c>
      <c r="R169" s="4">
        <f>'LIVE SOURCE'!E169</f>
        <v>143</v>
      </c>
      <c r="S169" s="4">
        <f t="shared" si="28"/>
        <v>49</v>
      </c>
      <c r="T169" t="str">
        <f>'LIVE SOURCE'!F169</f>
        <v>A</v>
      </c>
      <c r="U169" s="4">
        <f t="shared" si="29"/>
        <v>72.579499999999996</v>
      </c>
      <c r="V169" s="4">
        <f t="shared" si="30"/>
        <v>78.579499999999996</v>
      </c>
      <c r="W169" s="4">
        <f t="shared" si="31"/>
        <v>84.579499999999996</v>
      </c>
      <c r="X169" t="str">
        <f>'LIVE SOURCE'!G169</f>
        <v>RATE-ADJUSTED VETERAN</v>
      </c>
      <c r="Y169" t="str">
        <f>IF(INDEX('Draft Board'!$J$3:$J$225,Q169)="","Available",INDEX('Draft Board'!$J$3:$J$225,Q169))</f>
        <v>Available</v>
      </c>
      <c r="Z169">
        <f t="shared" si="32"/>
        <v>94</v>
      </c>
    </row>
    <row r="170" spans="1:26" x14ac:dyDescent="0.25">
      <c r="A170" t="str">
        <f>'LIVE SOURCE'!A170</f>
        <v>TE</v>
      </c>
      <c r="B170" t="str">
        <f>'LIVE SOURCE'!B170</f>
        <v>Juwan Johnson</v>
      </c>
      <c r="C170" s="4">
        <f>'LIVE SOURCE'!D170</f>
        <v>78.320300000000003</v>
      </c>
      <c r="D170" s="4">
        <f>'Manual Adjustments'!G170</f>
        <v>0</v>
      </c>
      <c r="E170" s="4">
        <f t="shared" si="22"/>
        <v>78.320300000000003</v>
      </c>
      <c r="F170">
        <f>COUNTIFS($A$3:$A$225,A170,$E$3:$E$225,"&gt;"&amp;E170)+COUNTIFS($A$3:A170,A170,$E$3:E170,E170)</f>
        <v>16</v>
      </c>
      <c r="G170" s="4">
        <f>ROUND(INDEX('League Config'!$K$4:$K$9,MATCH(A170,'League Config'!$E$4:$E$9,0))*E170+INDEX('League Config'!$L$4:$L$9,MATCH(A170,'League Config'!$E$4:$E$9,0)),1)</f>
        <v>174.1</v>
      </c>
      <c r="H170">
        <f>INDEX('League Config'!$H$4:$H$9,MATCH(A170,'League Config'!$E$4:$E$9,0))</f>
        <v>13</v>
      </c>
      <c r="I170" s="4">
        <f>INDEX('League Config'!$I$4:$I$9,MATCH(A170,'League Config'!$E$4:$E$9,0))</f>
        <v>179.7</v>
      </c>
      <c r="J170" s="4">
        <f t="shared" si="23"/>
        <v>-5.6</v>
      </c>
      <c r="K170" s="4">
        <f t="shared" si="24"/>
        <v>46.64</v>
      </c>
      <c r="L170" s="4">
        <f>MIN(100,MAX(0,(1-(F170-1)/(H170*1.5))*100*INDEX('League Config'!$J$4:$J$9,MATCH(A170,'League Config'!$E$4:$E$9,0))))</f>
        <v>20.769230769230766</v>
      </c>
      <c r="M170">
        <f>IF(A170="K",'League Config'!$B$14,IF(A170="DST",'League Config'!$B$15,IF(A170="QB",'League Config'!$B$16,0)))</f>
        <v>0</v>
      </c>
      <c r="N170" s="4">
        <f t="shared" si="25"/>
        <v>60.183549615384614</v>
      </c>
      <c r="O170" s="9">
        <f t="shared" si="26"/>
        <v>60.183549615384614</v>
      </c>
      <c r="P170" s="6">
        <f>IF(O170="","",COUNTIF($O$3:$O$225,"&gt;"&amp;O170)+COUNTIF($O$3:O170,O170))</f>
        <v>97</v>
      </c>
      <c r="Q170">
        <f t="shared" si="27"/>
        <v>97</v>
      </c>
      <c r="R170" s="4">
        <f>'LIVE SOURCE'!E170</f>
        <v>152</v>
      </c>
      <c r="S170" s="4">
        <f t="shared" si="28"/>
        <v>55</v>
      </c>
      <c r="T170" t="str">
        <f>'LIVE SOURCE'!F170</f>
        <v>A</v>
      </c>
      <c r="U170" s="4">
        <f t="shared" si="29"/>
        <v>72.320300000000003</v>
      </c>
      <c r="V170" s="4">
        <f t="shared" si="30"/>
        <v>78.320300000000003</v>
      </c>
      <c r="W170" s="4">
        <f t="shared" si="31"/>
        <v>84.320300000000003</v>
      </c>
      <c r="X170" t="str">
        <f>'LIVE SOURCE'!G170</f>
        <v>RATE-ADJUSTED VETERAN</v>
      </c>
      <c r="Y170" t="str">
        <f>IF(INDEX('Draft Board'!$J$3:$J$225,Q170)="","Available",INDEX('Draft Board'!$J$3:$J$225,Q170))</f>
        <v>Available</v>
      </c>
      <c r="Z170">
        <f t="shared" si="32"/>
        <v>97</v>
      </c>
    </row>
    <row r="171" spans="1:26" x14ac:dyDescent="0.25">
      <c r="A171" t="str">
        <f>'LIVE SOURCE'!A171</f>
        <v>TE</v>
      </c>
      <c r="B171" t="str">
        <f>'LIVE SOURCE'!B171</f>
        <v>Hunter Henry</v>
      </c>
      <c r="C171" s="4">
        <f>'LIVE SOURCE'!D171</f>
        <v>76.252600000000001</v>
      </c>
      <c r="D171" s="4">
        <f>'Manual Adjustments'!G171</f>
        <v>0</v>
      </c>
      <c r="E171" s="4">
        <f t="shared" si="22"/>
        <v>76.252600000000001</v>
      </c>
      <c r="F171">
        <f>COUNTIFS($A$3:$A$225,A171,$E$3:$E$225,"&gt;"&amp;E171)+COUNTIFS($A$3:A171,A171,$E$3:E171,E171)</f>
        <v>17</v>
      </c>
      <c r="G171" s="4">
        <f>ROUND(INDEX('League Config'!$K$4:$K$9,MATCH(A171,'League Config'!$E$4:$E$9,0))*E171+INDEX('League Config'!$L$4:$L$9,MATCH(A171,'League Config'!$E$4:$E$9,0)),1)</f>
        <v>166.9</v>
      </c>
      <c r="H171">
        <f>INDEX('League Config'!$H$4:$H$9,MATCH(A171,'League Config'!$E$4:$E$9,0))</f>
        <v>13</v>
      </c>
      <c r="I171" s="4">
        <f>INDEX('League Config'!$I$4:$I$9,MATCH(A171,'League Config'!$E$4:$E$9,0))</f>
        <v>179.7</v>
      </c>
      <c r="J171" s="4">
        <f t="shared" si="23"/>
        <v>-12.8</v>
      </c>
      <c r="K171" s="4">
        <f t="shared" si="24"/>
        <v>42.32</v>
      </c>
      <c r="L171" s="4">
        <f>MIN(100,MAX(0,(1-(F171-1)/(H171*1.5))*100*INDEX('League Config'!$J$4:$J$9,MATCH(A171,'League Config'!$E$4:$E$9,0))))</f>
        <v>16.153846153846157</v>
      </c>
      <c r="M171">
        <f>IF(A171="K",'League Config'!$B$14,IF(A171="DST",'League Config'!$B$15,IF(A171="QB",'League Config'!$B$16,0)))</f>
        <v>0</v>
      </c>
      <c r="N171" s="4">
        <f t="shared" si="25"/>
        <v>57.058006923076931</v>
      </c>
      <c r="O171" s="9">
        <f t="shared" si="26"/>
        <v>57.058006923076931</v>
      </c>
      <c r="P171" s="6">
        <f>IF(O171="","",COUNTIF($O$3:$O$225,"&gt;"&amp;O171)+COUNTIF($O$3:O171,O171))</f>
        <v>105</v>
      </c>
      <c r="Q171">
        <f t="shared" si="27"/>
        <v>105</v>
      </c>
      <c r="R171" s="4">
        <f>'LIVE SOURCE'!E171</f>
        <v>161</v>
      </c>
      <c r="S171" s="4">
        <f t="shared" si="28"/>
        <v>56</v>
      </c>
      <c r="T171" t="str">
        <f>'LIVE SOURCE'!F171</f>
        <v>A</v>
      </c>
      <c r="U171" s="4">
        <f t="shared" si="29"/>
        <v>70.252600000000001</v>
      </c>
      <c r="V171" s="4">
        <f t="shared" si="30"/>
        <v>76.252600000000001</v>
      </c>
      <c r="W171" s="4">
        <f t="shared" si="31"/>
        <v>82.252600000000001</v>
      </c>
      <c r="X171" t="str">
        <f>'LIVE SOURCE'!G171</f>
        <v>RATE-ADJUSTED VETERAN</v>
      </c>
      <c r="Y171" t="str">
        <f>IF(INDEX('Draft Board'!$J$3:$J$225,Q171)="","Available",INDEX('Draft Board'!$J$3:$J$225,Q171))</f>
        <v>Available</v>
      </c>
      <c r="Z171">
        <f t="shared" si="32"/>
        <v>105</v>
      </c>
    </row>
    <row r="172" spans="1:26" x14ac:dyDescent="0.25">
      <c r="A172" t="str">
        <f>'LIVE SOURCE'!A172</f>
        <v>TE</v>
      </c>
      <c r="B172" t="str">
        <f>'LIVE SOURCE'!B172</f>
        <v>Brenton Strange</v>
      </c>
      <c r="C172" s="4">
        <f>'LIVE SOURCE'!D172</f>
        <v>76.0321</v>
      </c>
      <c r="D172" s="4">
        <f>'Manual Adjustments'!G172</f>
        <v>0</v>
      </c>
      <c r="E172" s="4">
        <f t="shared" si="22"/>
        <v>76.0321</v>
      </c>
      <c r="F172">
        <f>COUNTIFS($A$3:$A$225,A172,$E$3:$E$225,"&gt;"&amp;E172)+COUNTIFS($A$3:A172,A172,$E$3:E172,E172)</f>
        <v>18</v>
      </c>
      <c r="G172" s="4">
        <f>ROUND(INDEX('League Config'!$K$4:$K$9,MATCH(A172,'League Config'!$E$4:$E$9,0))*E172+INDEX('League Config'!$L$4:$L$9,MATCH(A172,'League Config'!$E$4:$E$9,0)),1)</f>
        <v>166.1</v>
      </c>
      <c r="H172">
        <f>INDEX('League Config'!$H$4:$H$9,MATCH(A172,'League Config'!$E$4:$E$9,0))</f>
        <v>13</v>
      </c>
      <c r="I172" s="4">
        <f>INDEX('League Config'!$I$4:$I$9,MATCH(A172,'League Config'!$E$4:$E$9,0))</f>
        <v>179.7</v>
      </c>
      <c r="J172" s="4">
        <f t="shared" si="23"/>
        <v>-13.6</v>
      </c>
      <c r="K172" s="4">
        <f t="shared" si="24"/>
        <v>41.84</v>
      </c>
      <c r="L172" s="4">
        <f>MIN(100,MAX(0,(1-(F172-1)/(H172*1.5))*100*INDEX('League Config'!$J$4:$J$9,MATCH(A172,'League Config'!$E$4:$E$9,0))))</f>
        <v>11.538461538461538</v>
      </c>
      <c r="M172">
        <f>IF(A172="K",'League Config'!$B$14,IF(A172="DST",'League Config'!$B$15,IF(A172="QB",'League Config'!$B$16,0)))</f>
        <v>0</v>
      </c>
      <c r="N172" s="4">
        <f t="shared" si="25"/>
        <v>56.100424230769235</v>
      </c>
      <c r="O172" s="9">
        <f t="shared" si="26"/>
        <v>56.100424230769235</v>
      </c>
      <c r="P172" s="6">
        <f>IF(O172="","",COUNTIF($O$3:$O$225,"&gt;"&amp;O172)+COUNTIF($O$3:O172,O172))</f>
        <v>107</v>
      </c>
      <c r="Q172">
        <f t="shared" si="27"/>
        <v>107</v>
      </c>
      <c r="R172" s="4">
        <f>'LIVE SOURCE'!E172</f>
        <v>170</v>
      </c>
      <c r="S172" s="4">
        <f t="shared" si="28"/>
        <v>63</v>
      </c>
      <c r="T172" t="str">
        <f>'LIVE SOURCE'!F172</f>
        <v>A</v>
      </c>
      <c r="U172" s="4">
        <f t="shared" si="29"/>
        <v>70.0321</v>
      </c>
      <c r="V172" s="4">
        <f t="shared" si="30"/>
        <v>76.0321</v>
      </c>
      <c r="W172" s="4">
        <f t="shared" si="31"/>
        <v>82.0321</v>
      </c>
      <c r="X172" t="str">
        <f>'LIVE SOURCE'!G172</f>
        <v>RATE-ADJUSTED VETERAN</v>
      </c>
      <c r="Y172" t="str">
        <f>IF(INDEX('Draft Board'!$J$3:$J$225,Q172)="","Available",INDEX('Draft Board'!$J$3:$J$225,Q172))</f>
        <v>Available</v>
      </c>
      <c r="Z172">
        <f t="shared" si="32"/>
        <v>107</v>
      </c>
    </row>
    <row r="173" spans="1:26" x14ac:dyDescent="0.25">
      <c r="A173" t="str">
        <f>'LIVE SOURCE'!A173</f>
        <v>TE</v>
      </c>
      <c r="B173" t="str">
        <f>'LIVE SOURCE'!B173</f>
        <v>Chig Okonkwo</v>
      </c>
      <c r="C173" s="4">
        <f>'LIVE SOURCE'!D173</f>
        <v>75.513199999999998</v>
      </c>
      <c r="D173" s="4">
        <f>'Manual Adjustments'!G173</f>
        <v>0</v>
      </c>
      <c r="E173" s="4">
        <f t="shared" si="22"/>
        <v>75.513199999999998</v>
      </c>
      <c r="F173">
        <f>COUNTIFS($A$3:$A$225,A173,$E$3:$E$225,"&gt;"&amp;E173)+COUNTIFS($A$3:A173,A173,$E$3:E173,E173)</f>
        <v>19</v>
      </c>
      <c r="G173" s="4">
        <f>ROUND(INDEX('League Config'!$K$4:$K$9,MATCH(A173,'League Config'!$E$4:$E$9,0))*E173+INDEX('League Config'!$L$4:$L$9,MATCH(A173,'League Config'!$E$4:$E$9,0)),1)</f>
        <v>164.3</v>
      </c>
      <c r="H173">
        <f>INDEX('League Config'!$H$4:$H$9,MATCH(A173,'League Config'!$E$4:$E$9,0))</f>
        <v>13</v>
      </c>
      <c r="I173" s="4">
        <f>INDEX('League Config'!$I$4:$I$9,MATCH(A173,'League Config'!$E$4:$E$9,0))</f>
        <v>179.7</v>
      </c>
      <c r="J173" s="4">
        <f t="shared" si="23"/>
        <v>-15.4</v>
      </c>
      <c r="K173" s="4">
        <f t="shared" si="24"/>
        <v>40.76</v>
      </c>
      <c r="L173" s="4">
        <f>MIN(100,MAX(0,(1-(F173-1)/(H173*1.5))*100*INDEX('League Config'!$J$4:$J$9,MATCH(A173,'League Config'!$E$4:$E$9,0))))</f>
        <v>6.9230769230769189</v>
      </c>
      <c r="M173">
        <f>IF(A173="K",'League Config'!$B$14,IF(A173="DST",'League Config'!$B$15,IF(A173="QB",'League Config'!$B$16,0)))</f>
        <v>0</v>
      </c>
      <c r="N173" s="4">
        <f t="shared" si="25"/>
        <v>54.798721538461542</v>
      </c>
      <c r="O173" s="9">
        <f t="shared" si="26"/>
        <v>54.798721538461542</v>
      </c>
      <c r="P173" s="6">
        <f>IF(O173="","",COUNTIF($O$3:$O$225,"&gt;"&amp;O173)+COUNTIF($O$3:O173,O173))</f>
        <v>111</v>
      </c>
      <c r="Q173">
        <f t="shared" si="27"/>
        <v>111</v>
      </c>
      <c r="R173" s="4">
        <f>'LIVE SOURCE'!E173</f>
        <v>179</v>
      </c>
      <c r="S173" s="4">
        <f t="shared" si="28"/>
        <v>68</v>
      </c>
      <c r="T173" t="str">
        <f>'LIVE SOURCE'!F173</f>
        <v>A</v>
      </c>
      <c r="U173" s="4">
        <f t="shared" si="29"/>
        <v>69.513199999999998</v>
      </c>
      <c r="V173" s="4">
        <f t="shared" si="30"/>
        <v>75.513199999999998</v>
      </c>
      <c r="W173" s="4">
        <f t="shared" si="31"/>
        <v>81.513199999999998</v>
      </c>
      <c r="X173" t="str">
        <f>'LIVE SOURCE'!G173</f>
        <v>RATE-ADJUSTED VETERAN</v>
      </c>
      <c r="Y173" t="str">
        <f>IF(INDEX('Draft Board'!$J$3:$J$225,Q173)="","Available",INDEX('Draft Board'!$J$3:$J$225,Q173))</f>
        <v>Available</v>
      </c>
      <c r="Z173">
        <f t="shared" si="32"/>
        <v>111</v>
      </c>
    </row>
    <row r="174" spans="1:26" x14ac:dyDescent="0.25">
      <c r="A174" t="str">
        <f>'LIVE SOURCE'!A174</f>
        <v>TE</v>
      </c>
      <c r="B174" t="str">
        <f>'LIVE SOURCE'!B174</f>
        <v>Kenyon Sadiq</v>
      </c>
      <c r="C174" s="4">
        <f>'LIVE SOURCE'!D174</f>
        <v>74.093800000000002</v>
      </c>
      <c r="D174" s="4">
        <f>'Manual Adjustments'!G174</f>
        <v>0</v>
      </c>
      <c r="E174" s="4">
        <f t="shared" si="22"/>
        <v>74.093800000000002</v>
      </c>
      <c r="F174">
        <f>COUNTIFS($A$3:$A$225,A174,$E$3:$E$225,"&gt;"&amp;E174)+COUNTIFS($A$3:A174,A174,$E$3:E174,E174)</f>
        <v>20</v>
      </c>
      <c r="G174" s="4">
        <f>ROUND(INDEX('League Config'!$K$4:$K$9,MATCH(A174,'League Config'!$E$4:$E$9,0))*E174+INDEX('League Config'!$L$4:$L$9,MATCH(A174,'League Config'!$E$4:$E$9,0)),1)</f>
        <v>159.30000000000001</v>
      </c>
      <c r="H174">
        <f>INDEX('League Config'!$H$4:$H$9,MATCH(A174,'League Config'!$E$4:$E$9,0))</f>
        <v>13</v>
      </c>
      <c r="I174" s="4">
        <f>INDEX('League Config'!$I$4:$I$9,MATCH(A174,'League Config'!$E$4:$E$9,0))</f>
        <v>179.7</v>
      </c>
      <c r="J174" s="4">
        <f t="shared" si="23"/>
        <v>-20.399999999999999</v>
      </c>
      <c r="K174" s="4">
        <f t="shared" si="24"/>
        <v>37.760000000000005</v>
      </c>
      <c r="L174" s="4">
        <f>MIN(100,MAX(0,(1-(F174-1)/(H174*1.5))*100*INDEX('League Config'!$J$4:$J$9,MATCH(A174,'League Config'!$E$4:$E$9,0))))</f>
        <v>2.3076923076923097</v>
      </c>
      <c r="M174">
        <f>IF(A174="K",'League Config'!$B$14,IF(A174="DST",'League Config'!$B$15,IF(A174="QB",'League Config'!$B$16,0)))</f>
        <v>0</v>
      </c>
      <c r="N174" s="4">
        <f t="shared" si="25"/>
        <v>52.425743846153857</v>
      </c>
      <c r="O174" s="9">
        <f t="shared" si="26"/>
        <v>52.425743846153857</v>
      </c>
      <c r="P174" s="6">
        <f>IF(O174="","",COUNTIF($O$3:$O$225,"&gt;"&amp;O174)+COUNTIF($O$3:O174,O174))</f>
        <v>120</v>
      </c>
      <c r="Q174">
        <f t="shared" si="27"/>
        <v>120</v>
      </c>
      <c r="R174" s="4">
        <f>'LIVE SOURCE'!E174</f>
        <v>188</v>
      </c>
      <c r="S174" s="4">
        <f t="shared" si="28"/>
        <v>68</v>
      </c>
      <c r="T174" t="str">
        <f>'LIVE SOURCE'!F174</f>
        <v>B</v>
      </c>
      <c r="U174" s="4">
        <f t="shared" si="29"/>
        <v>65.093800000000002</v>
      </c>
      <c r="V174" s="4">
        <f t="shared" si="30"/>
        <v>74.093800000000002</v>
      </c>
      <c r="W174" s="4">
        <f t="shared" si="31"/>
        <v>83.093800000000002</v>
      </c>
      <c r="X174" t="str">
        <f>'LIVE SOURCE'!G174</f>
        <v>ROOKIE ENGINE</v>
      </c>
      <c r="Y174" t="str">
        <f>IF(INDEX('Draft Board'!$J$3:$J$225,Q174)="","Available",INDEX('Draft Board'!$J$3:$J$225,Q174))</f>
        <v>Available</v>
      </c>
      <c r="Z174">
        <f t="shared" si="32"/>
        <v>120</v>
      </c>
    </row>
    <row r="175" spans="1:26" x14ac:dyDescent="0.25">
      <c r="A175" t="str">
        <f>'LIVE SOURCE'!A175</f>
        <v>TE</v>
      </c>
      <c r="B175" t="str">
        <f>'LIVE SOURCE'!B175</f>
        <v>T.J. Hockenson</v>
      </c>
      <c r="C175" s="4">
        <f>'LIVE SOURCE'!D175</f>
        <v>73.852699999999999</v>
      </c>
      <c r="D175" s="4">
        <f>'Manual Adjustments'!G175</f>
        <v>0</v>
      </c>
      <c r="E175" s="4">
        <f t="shared" si="22"/>
        <v>73.852699999999999</v>
      </c>
      <c r="F175">
        <f>COUNTIFS($A$3:$A$225,A175,$E$3:$E$225,"&gt;"&amp;E175)+COUNTIFS($A$3:A175,A175,$E$3:E175,E175)</f>
        <v>21</v>
      </c>
      <c r="G175" s="4">
        <f>ROUND(INDEX('League Config'!$K$4:$K$9,MATCH(A175,'League Config'!$E$4:$E$9,0))*E175+INDEX('League Config'!$L$4:$L$9,MATCH(A175,'League Config'!$E$4:$E$9,0)),1)</f>
        <v>158.5</v>
      </c>
      <c r="H175">
        <f>INDEX('League Config'!$H$4:$H$9,MATCH(A175,'League Config'!$E$4:$E$9,0))</f>
        <v>13</v>
      </c>
      <c r="I175" s="4">
        <f>INDEX('League Config'!$I$4:$I$9,MATCH(A175,'League Config'!$E$4:$E$9,0))</f>
        <v>179.7</v>
      </c>
      <c r="J175" s="4">
        <f t="shared" si="23"/>
        <v>-21.2</v>
      </c>
      <c r="K175" s="4">
        <f t="shared" si="24"/>
        <v>37.28</v>
      </c>
      <c r="L175" s="4">
        <f>MIN(100,MAX(0,(1-(F175-1)/(H175*1.5))*100*INDEX('League Config'!$J$4:$J$9,MATCH(A175,'League Config'!$E$4:$E$9,0))))</f>
        <v>0</v>
      </c>
      <c r="M175">
        <f>IF(A175="K",'League Config'!$B$14,IF(A175="DST",'League Config'!$B$15,IF(A175="QB",'League Config'!$B$16,0)))</f>
        <v>0</v>
      </c>
      <c r="N175" s="4">
        <f t="shared" si="25"/>
        <v>51.802985</v>
      </c>
      <c r="O175" s="9">
        <f t="shared" si="26"/>
        <v>51.802985</v>
      </c>
      <c r="P175" s="6">
        <f>IF(O175="","",COUNTIF($O$3:$O$225,"&gt;"&amp;O175)+COUNTIF($O$3:O175,O175))</f>
        <v>121</v>
      </c>
      <c r="Q175">
        <f t="shared" si="27"/>
        <v>121</v>
      </c>
      <c r="R175" s="4">
        <f>'LIVE SOURCE'!E175</f>
        <v>197</v>
      </c>
      <c r="S175" s="4">
        <f t="shared" si="28"/>
        <v>76</v>
      </c>
      <c r="T175" t="str">
        <f>'LIVE SOURCE'!F175</f>
        <v>A</v>
      </c>
      <c r="U175" s="4">
        <f t="shared" si="29"/>
        <v>67.852699999999999</v>
      </c>
      <c r="V175" s="4">
        <f t="shared" si="30"/>
        <v>73.852699999999999</v>
      </c>
      <c r="W175" s="4">
        <f t="shared" si="31"/>
        <v>79.852699999999999</v>
      </c>
      <c r="X175" t="str">
        <f>'LIVE SOURCE'!G175</f>
        <v>RATE-ADJUSTED VETERAN</v>
      </c>
      <c r="Y175" t="str">
        <f>IF(INDEX('Draft Board'!$J$3:$J$225,Q175)="","Available",INDEX('Draft Board'!$J$3:$J$225,Q175))</f>
        <v>Available</v>
      </c>
      <c r="Z175">
        <f t="shared" si="32"/>
        <v>121</v>
      </c>
    </row>
    <row r="176" spans="1:26" x14ac:dyDescent="0.25">
      <c r="A176" t="str">
        <f>'LIVE SOURCE'!A176</f>
        <v>TE</v>
      </c>
      <c r="B176" t="str">
        <f>'LIVE SOURCE'!B176</f>
        <v>Dalton Schultz</v>
      </c>
      <c r="C176" s="4">
        <f>'LIVE SOURCE'!D176</f>
        <v>73.279499999999999</v>
      </c>
      <c r="D176" s="4">
        <f>'Manual Adjustments'!G176</f>
        <v>0</v>
      </c>
      <c r="E176" s="4">
        <f t="shared" si="22"/>
        <v>73.279499999999999</v>
      </c>
      <c r="F176">
        <f>COUNTIFS($A$3:$A$225,A176,$E$3:$E$225,"&gt;"&amp;E176)+COUNTIFS($A$3:A176,A176,$E$3:E176,E176)</f>
        <v>22</v>
      </c>
      <c r="G176" s="4">
        <f>ROUND(INDEX('League Config'!$K$4:$K$9,MATCH(A176,'League Config'!$E$4:$E$9,0))*E176+INDEX('League Config'!$L$4:$L$9,MATCH(A176,'League Config'!$E$4:$E$9,0)),1)</f>
        <v>156.5</v>
      </c>
      <c r="H176">
        <f>INDEX('League Config'!$H$4:$H$9,MATCH(A176,'League Config'!$E$4:$E$9,0))</f>
        <v>13</v>
      </c>
      <c r="I176" s="4">
        <f>INDEX('League Config'!$I$4:$I$9,MATCH(A176,'League Config'!$E$4:$E$9,0))</f>
        <v>179.7</v>
      </c>
      <c r="J176" s="4">
        <f t="shared" si="23"/>
        <v>-23.2</v>
      </c>
      <c r="K176" s="4">
        <f t="shared" si="24"/>
        <v>36.08</v>
      </c>
      <c r="L176" s="4">
        <f>MIN(100,MAX(0,(1-(F176-1)/(H176*1.5))*100*INDEX('League Config'!$J$4:$J$9,MATCH(A176,'League Config'!$E$4:$E$9,0))))</f>
        <v>0</v>
      </c>
      <c r="M176">
        <f>IF(A176="K",'League Config'!$B$14,IF(A176="DST",'League Config'!$B$15,IF(A176="QB",'League Config'!$B$16,0)))</f>
        <v>0</v>
      </c>
      <c r="N176" s="4">
        <f t="shared" si="25"/>
        <v>51.127724999999998</v>
      </c>
      <c r="O176" s="9">
        <f t="shared" si="26"/>
        <v>51.127724999999998</v>
      </c>
      <c r="P176" s="6">
        <f>IF(O176="","",COUNTIF($O$3:$O$225,"&gt;"&amp;O176)+COUNTIF($O$3:O176,O176))</f>
        <v>124</v>
      </c>
      <c r="Q176">
        <f t="shared" si="27"/>
        <v>124</v>
      </c>
      <c r="R176" s="4">
        <f>'LIVE SOURCE'!E176</f>
        <v>206</v>
      </c>
      <c r="S176" s="4">
        <f t="shared" si="28"/>
        <v>82</v>
      </c>
      <c r="T176" t="str">
        <f>'LIVE SOURCE'!F176</f>
        <v>A</v>
      </c>
      <c r="U176" s="4">
        <f t="shared" si="29"/>
        <v>67.279499999999999</v>
      </c>
      <c r="V176" s="4">
        <f t="shared" si="30"/>
        <v>73.279499999999999</v>
      </c>
      <c r="W176" s="4">
        <f t="shared" si="31"/>
        <v>79.279499999999999</v>
      </c>
      <c r="X176" t="str">
        <f>'LIVE SOURCE'!G176</f>
        <v>RATE-ADJUSTED VETERAN</v>
      </c>
      <c r="Y176" t="str">
        <f>IF(INDEX('Draft Board'!$J$3:$J$225,Q176)="","Available",INDEX('Draft Board'!$J$3:$J$225,Q176))</f>
        <v>Available</v>
      </c>
      <c r="Z176">
        <f t="shared" si="32"/>
        <v>124</v>
      </c>
    </row>
    <row r="177" spans="1:26" x14ac:dyDescent="0.25">
      <c r="A177" t="str">
        <f>'LIVE SOURCE'!A177</f>
        <v>TE</v>
      </c>
      <c r="B177" t="str">
        <f>'LIVE SOURCE'!B177</f>
        <v>Oronde Gadsden II</v>
      </c>
      <c r="C177" s="4">
        <f>'LIVE SOURCE'!D177</f>
        <v>72.513800000000003</v>
      </c>
      <c r="D177" s="4">
        <f>'Manual Adjustments'!G177</f>
        <v>0</v>
      </c>
      <c r="E177" s="4">
        <f t="shared" si="22"/>
        <v>72.513800000000003</v>
      </c>
      <c r="F177">
        <f>COUNTIFS($A$3:$A$225,A177,$E$3:$E$225,"&gt;"&amp;E177)+COUNTIFS($A$3:A177,A177,$E$3:E177,E177)</f>
        <v>23</v>
      </c>
      <c r="G177" s="4">
        <f>ROUND(INDEX('League Config'!$K$4:$K$9,MATCH(A177,'League Config'!$E$4:$E$9,0))*E177+INDEX('League Config'!$L$4:$L$9,MATCH(A177,'League Config'!$E$4:$E$9,0)),1)</f>
        <v>153.80000000000001</v>
      </c>
      <c r="H177">
        <f>INDEX('League Config'!$H$4:$H$9,MATCH(A177,'League Config'!$E$4:$E$9,0))</f>
        <v>13</v>
      </c>
      <c r="I177" s="4">
        <f>INDEX('League Config'!$I$4:$I$9,MATCH(A177,'League Config'!$E$4:$E$9,0))</f>
        <v>179.7</v>
      </c>
      <c r="J177" s="4">
        <f t="shared" si="23"/>
        <v>-25.9</v>
      </c>
      <c r="K177" s="4">
        <f t="shared" si="24"/>
        <v>34.46</v>
      </c>
      <c r="L177" s="4">
        <f>MIN(100,MAX(0,(1-(F177-1)/(H177*1.5))*100*INDEX('League Config'!$J$4:$J$9,MATCH(A177,'League Config'!$E$4:$E$9,0))))</f>
        <v>0</v>
      </c>
      <c r="M177">
        <f>IF(A177="K",'League Config'!$B$14,IF(A177="DST",'League Config'!$B$15,IF(A177="QB",'League Config'!$B$16,0)))</f>
        <v>0</v>
      </c>
      <c r="N177" s="4">
        <f t="shared" si="25"/>
        <v>50.220590000000009</v>
      </c>
      <c r="O177" s="9">
        <f t="shared" si="26"/>
        <v>50.220590000000009</v>
      </c>
      <c r="P177" s="6">
        <f>IF(O177="","",COUNTIF($O$3:$O$225,"&gt;"&amp;O177)+COUNTIF($O$3:O177,O177))</f>
        <v>126</v>
      </c>
      <c r="Q177">
        <f t="shared" si="27"/>
        <v>126</v>
      </c>
      <c r="R177" s="4">
        <f>'LIVE SOURCE'!E177</f>
        <v>215</v>
      </c>
      <c r="S177" s="4">
        <f t="shared" si="28"/>
        <v>89</v>
      </c>
      <c r="T177" t="str">
        <f>'LIVE SOURCE'!F177</f>
        <v>A</v>
      </c>
      <c r="U177" s="4">
        <f t="shared" si="29"/>
        <v>66.513800000000003</v>
      </c>
      <c r="V177" s="4">
        <f t="shared" si="30"/>
        <v>72.513800000000003</v>
      </c>
      <c r="W177" s="4">
        <f t="shared" si="31"/>
        <v>78.513800000000003</v>
      </c>
      <c r="X177" t="str">
        <f>'LIVE SOURCE'!G177</f>
        <v>RATE-ADJUSTED VETERAN</v>
      </c>
      <c r="Y177" t="str">
        <f>IF(INDEX('Draft Board'!$J$3:$J$225,Q177)="","Available",INDEX('Draft Board'!$J$3:$J$225,Q177))</f>
        <v>Available</v>
      </c>
      <c r="Z177">
        <f t="shared" si="32"/>
        <v>126</v>
      </c>
    </row>
    <row r="178" spans="1:26" x14ac:dyDescent="0.25">
      <c r="A178" t="str">
        <f>'LIVE SOURCE'!A178</f>
        <v>TE</v>
      </c>
      <c r="B178" t="str">
        <f>'LIVE SOURCE'!B178</f>
        <v>AJ Barner</v>
      </c>
      <c r="C178" s="4">
        <f>'LIVE SOURCE'!D178</f>
        <v>70.124499999999998</v>
      </c>
      <c r="D178" s="4">
        <f>'Manual Adjustments'!G178</f>
        <v>0</v>
      </c>
      <c r="E178" s="4">
        <f t="shared" si="22"/>
        <v>70.124499999999998</v>
      </c>
      <c r="F178">
        <f>COUNTIFS($A$3:$A$225,A178,$E$3:$E$225,"&gt;"&amp;E178)+COUNTIFS($A$3:A178,A178,$E$3:E178,E178)</f>
        <v>24</v>
      </c>
      <c r="G178" s="4">
        <f>ROUND(INDEX('League Config'!$K$4:$K$9,MATCH(A178,'League Config'!$E$4:$E$9,0))*E178+INDEX('League Config'!$L$4:$L$9,MATCH(A178,'League Config'!$E$4:$E$9,0)),1)</f>
        <v>145.4</v>
      </c>
      <c r="H178">
        <f>INDEX('League Config'!$H$4:$H$9,MATCH(A178,'League Config'!$E$4:$E$9,0))</f>
        <v>13</v>
      </c>
      <c r="I178" s="4">
        <f>INDEX('League Config'!$I$4:$I$9,MATCH(A178,'League Config'!$E$4:$E$9,0))</f>
        <v>179.7</v>
      </c>
      <c r="J178" s="4">
        <f t="shared" si="23"/>
        <v>-34.299999999999997</v>
      </c>
      <c r="K178" s="4">
        <f t="shared" si="24"/>
        <v>29.42</v>
      </c>
      <c r="L178" s="4">
        <f>MIN(100,MAX(0,(1-(F178-1)/(H178*1.5))*100*INDEX('League Config'!$J$4:$J$9,MATCH(A178,'League Config'!$E$4:$E$9,0))))</f>
        <v>0</v>
      </c>
      <c r="M178">
        <f>IF(A178="K",'League Config'!$B$14,IF(A178="DST",'League Config'!$B$15,IF(A178="QB",'League Config'!$B$16,0)))</f>
        <v>0</v>
      </c>
      <c r="N178" s="4">
        <f t="shared" si="25"/>
        <v>47.394475</v>
      </c>
      <c r="O178" s="9">
        <f t="shared" si="26"/>
        <v>47.394475</v>
      </c>
      <c r="P178" s="6">
        <f>IF(O178="","",COUNTIF($O$3:$O$225,"&gt;"&amp;O178)+COUNTIF($O$3:O178,O178))</f>
        <v>135</v>
      </c>
      <c r="Q178">
        <f t="shared" si="27"/>
        <v>155</v>
      </c>
      <c r="R178" s="4">
        <f>'LIVE SOURCE'!E178</f>
        <v>224</v>
      </c>
      <c r="S178" s="4">
        <f t="shared" si="28"/>
        <v>69</v>
      </c>
      <c r="T178" t="str">
        <f>'LIVE SOURCE'!F178</f>
        <v>A</v>
      </c>
      <c r="U178" s="4">
        <f t="shared" si="29"/>
        <v>64.124499999999998</v>
      </c>
      <c r="V178" s="4">
        <f t="shared" si="30"/>
        <v>70.124499999999998</v>
      </c>
      <c r="W178" s="4">
        <f t="shared" si="31"/>
        <v>76.124499999999998</v>
      </c>
      <c r="X178" t="str">
        <f>'LIVE SOURCE'!G178</f>
        <v>RATE-ADJUSTED VETERAN</v>
      </c>
      <c r="Y178" t="str">
        <f>IF(INDEX('Draft Board'!$J$3:$J$225,Q178)="","Available",INDEX('Draft Board'!$J$3:$J$225,Q178))</f>
        <v>Available</v>
      </c>
      <c r="Z178">
        <f t="shared" si="32"/>
        <v>155</v>
      </c>
    </row>
    <row r="179" spans="1:26" x14ac:dyDescent="0.25">
      <c r="A179" t="str">
        <f>'LIVE SOURCE'!A179</f>
        <v>TE</v>
      </c>
      <c r="B179" t="str">
        <f>'LIVE SOURCE'!B179</f>
        <v>Cade Otton</v>
      </c>
      <c r="C179" s="4">
        <f>'LIVE SOURCE'!D179</f>
        <v>66.649000000000001</v>
      </c>
      <c r="D179" s="4">
        <f>'Manual Adjustments'!G179</f>
        <v>0</v>
      </c>
      <c r="E179" s="4">
        <f t="shared" si="22"/>
        <v>66.649000000000001</v>
      </c>
      <c r="F179">
        <f>COUNTIFS($A$3:$A$225,A179,$E$3:$E$225,"&gt;"&amp;E179)+COUNTIFS($A$3:A179,A179,$E$3:E179,E179)</f>
        <v>25</v>
      </c>
      <c r="G179" s="4">
        <f>ROUND(INDEX('League Config'!$K$4:$K$9,MATCH(A179,'League Config'!$E$4:$E$9,0))*E179+INDEX('League Config'!$L$4:$L$9,MATCH(A179,'League Config'!$E$4:$E$9,0)),1)</f>
        <v>133.30000000000001</v>
      </c>
      <c r="H179">
        <f>INDEX('League Config'!$H$4:$H$9,MATCH(A179,'League Config'!$E$4:$E$9,0))</f>
        <v>13</v>
      </c>
      <c r="I179" s="4">
        <f>INDEX('League Config'!$I$4:$I$9,MATCH(A179,'League Config'!$E$4:$E$9,0))</f>
        <v>179.7</v>
      </c>
      <c r="J179" s="4">
        <f t="shared" si="23"/>
        <v>-46.4</v>
      </c>
      <c r="K179" s="4">
        <f t="shared" si="24"/>
        <v>22.16</v>
      </c>
      <c r="L179" s="4">
        <f>MIN(100,MAX(0,(1-(F179-1)/(H179*1.5))*100*INDEX('League Config'!$J$4:$J$9,MATCH(A179,'League Config'!$E$4:$E$9,0))))</f>
        <v>0</v>
      </c>
      <c r="M179">
        <f>IF(A179="K",'League Config'!$B$14,IF(A179="DST",'League Config'!$B$15,IF(A179="QB",'League Config'!$B$16,0)))</f>
        <v>0</v>
      </c>
      <c r="N179" s="4">
        <f t="shared" si="25"/>
        <v>43.304950000000005</v>
      </c>
      <c r="O179" s="9">
        <f t="shared" si="26"/>
        <v>43.304950000000005</v>
      </c>
      <c r="P179" s="6">
        <f>IF(O179="","",COUNTIF($O$3:$O$225,"&gt;"&amp;O179)+COUNTIF($O$3:O179,O179))</f>
        <v>144</v>
      </c>
      <c r="Q179">
        <f t="shared" si="27"/>
        <v>164</v>
      </c>
      <c r="R179" s="4">
        <f>'LIVE SOURCE'!E179</f>
        <v>233</v>
      </c>
      <c r="S179" s="4">
        <f t="shared" si="28"/>
        <v>69</v>
      </c>
      <c r="T179" t="str">
        <f>'LIVE SOURCE'!F179</f>
        <v>A</v>
      </c>
      <c r="U179" s="4">
        <f t="shared" si="29"/>
        <v>60.649000000000001</v>
      </c>
      <c r="V179" s="4">
        <f t="shared" si="30"/>
        <v>66.649000000000001</v>
      </c>
      <c r="W179" s="4">
        <f t="shared" si="31"/>
        <v>72.649000000000001</v>
      </c>
      <c r="X179" t="str">
        <f>'LIVE SOURCE'!G179</f>
        <v>RATE-ADJUSTED VETERAN</v>
      </c>
      <c r="Y179" t="str">
        <f>IF(INDEX('Draft Board'!$J$3:$J$225,Q179)="","Available",INDEX('Draft Board'!$J$3:$J$225,Q179))</f>
        <v>Available</v>
      </c>
      <c r="Z179">
        <f t="shared" si="32"/>
        <v>164</v>
      </c>
    </row>
    <row r="180" spans="1:26" x14ac:dyDescent="0.25">
      <c r="A180" t="str">
        <f>'LIVE SOURCE'!A180</f>
        <v>TE</v>
      </c>
      <c r="B180" t="str">
        <f>'LIVE SOURCE'!B180</f>
        <v>Gunnar Helm</v>
      </c>
      <c r="C180" s="4">
        <f>'LIVE SOURCE'!D180</f>
        <v>66.622299999999996</v>
      </c>
      <c r="D180" s="4">
        <f>'Manual Adjustments'!G180</f>
        <v>0</v>
      </c>
      <c r="E180" s="4">
        <f t="shared" si="22"/>
        <v>66.622299999999996</v>
      </c>
      <c r="F180">
        <f>COUNTIFS($A$3:$A$225,A180,$E$3:$E$225,"&gt;"&amp;E180)+COUNTIFS($A$3:A180,A180,$E$3:E180,E180)</f>
        <v>26</v>
      </c>
      <c r="G180" s="4">
        <f>ROUND(INDEX('League Config'!$K$4:$K$9,MATCH(A180,'League Config'!$E$4:$E$9,0))*E180+INDEX('League Config'!$L$4:$L$9,MATCH(A180,'League Config'!$E$4:$E$9,0)),1)</f>
        <v>133.19999999999999</v>
      </c>
      <c r="H180">
        <f>INDEX('League Config'!$H$4:$H$9,MATCH(A180,'League Config'!$E$4:$E$9,0))</f>
        <v>13</v>
      </c>
      <c r="I180" s="4">
        <f>INDEX('League Config'!$I$4:$I$9,MATCH(A180,'League Config'!$E$4:$E$9,0))</f>
        <v>179.7</v>
      </c>
      <c r="J180" s="4">
        <f t="shared" si="23"/>
        <v>-46.5</v>
      </c>
      <c r="K180" s="4">
        <f t="shared" si="24"/>
        <v>22.1</v>
      </c>
      <c r="L180" s="4">
        <f>MIN(100,MAX(0,(1-(F180-1)/(H180*1.5))*100*INDEX('League Config'!$J$4:$J$9,MATCH(A180,'League Config'!$E$4:$E$9,0))))</f>
        <v>0</v>
      </c>
      <c r="M180">
        <f>IF(A180="K",'League Config'!$B$14,IF(A180="DST",'League Config'!$B$15,IF(A180="QB",'League Config'!$B$16,0)))</f>
        <v>0</v>
      </c>
      <c r="N180" s="4">
        <f t="shared" si="25"/>
        <v>43.272265000000004</v>
      </c>
      <c r="O180" s="9">
        <f t="shared" si="26"/>
        <v>43.272265000000004</v>
      </c>
      <c r="P180" s="6">
        <f>IF(O180="","",COUNTIF($O$3:$O$225,"&gt;"&amp;O180)+COUNTIF($O$3:O180,O180))</f>
        <v>145</v>
      </c>
      <c r="Q180">
        <f t="shared" si="27"/>
        <v>165</v>
      </c>
      <c r="R180" s="4">
        <f>'LIVE SOURCE'!E180</f>
        <v>242</v>
      </c>
      <c r="S180" s="4">
        <f t="shared" si="28"/>
        <v>77</v>
      </c>
      <c r="T180" t="str">
        <f>'LIVE SOURCE'!F180</f>
        <v>A</v>
      </c>
      <c r="U180" s="4">
        <f t="shared" si="29"/>
        <v>60.622299999999996</v>
      </c>
      <c r="V180" s="4">
        <f t="shared" si="30"/>
        <v>66.622299999999996</v>
      </c>
      <c r="W180" s="4">
        <f t="shared" si="31"/>
        <v>72.622299999999996</v>
      </c>
      <c r="X180" t="str">
        <f>'LIVE SOURCE'!G180</f>
        <v>RATE-ADJUSTED VETERAN</v>
      </c>
      <c r="Y180" t="str">
        <f>IF(INDEX('Draft Board'!$J$3:$J$225,Q180)="","Available",INDEX('Draft Board'!$J$3:$J$225,Q180))</f>
        <v>Available</v>
      </c>
      <c r="Z180">
        <f t="shared" si="32"/>
        <v>165</v>
      </c>
    </row>
    <row r="181" spans="1:26" x14ac:dyDescent="0.25">
      <c r="A181" t="str">
        <f>'LIVE SOURCE'!A181</f>
        <v>TE</v>
      </c>
      <c r="B181" t="str">
        <f>'LIVE SOURCE'!B181</f>
        <v>Terrance Ferguson</v>
      </c>
      <c r="C181" s="4">
        <f>'LIVE SOURCE'!D181</f>
        <v>64.362099999999998</v>
      </c>
      <c r="D181" s="4">
        <f>'Manual Adjustments'!G181</f>
        <v>0</v>
      </c>
      <c r="E181" s="4">
        <f t="shared" si="22"/>
        <v>64.362099999999998</v>
      </c>
      <c r="F181">
        <f>COUNTIFS($A$3:$A$225,A181,$E$3:$E$225,"&gt;"&amp;E181)+COUNTIFS($A$3:A181,A181,$E$3:E181,E181)</f>
        <v>27</v>
      </c>
      <c r="G181" s="4">
        <f>ROUND(INDEX('League Config'!$K$4:$K$9,MATCH(A181,'League Config'!$E$4:$E$9,0))*E181+INDEX('League Config'!$L$4:$L$9,MATCH(A181,'League Config'!$E$4:$E$9,0)),1)</f>
        <v>125.3</v>
      </c>
      <c r="H181">
        <f>INDEX('League Config'!$H$4:$H$9,MATCH(A181,'League Config'!$E$4:$E$9,0))</f>
        <v>13</v>
      </c>
      <c r="I181" s="4">
        <f>INDEX('League Config'!$I$4:$I$9,MATCH(A181,'League Config'!$E$4:$E$9,0))</f>
        <v>179.7</v>
      </c>
      <c r="J181" s="4">
        <f t="shared" si="23"/>
        <v>-54.4</v>
      </c>
      <c r="K181" s="4">
        <f t="shared" si="24"/>
        <v>17.36</v>
      </c>
      <c r="L181" s="4">
        <f>MIN(100,MAX(0,(1-(F181-1)/(H181*1.5))*100*INDEX('League Config'!$J$4:$J$9,MATCH(A181,'League Config'!$E$4:$E$9,0))))</f>
        <v>0</v>
      </c>
      <c r="M181">
        <f>IF(A181="K",'League Config'!$B$14,IF(A181="DST",'League Config'!$B$15,IF(A181="QB",'League Config'!$B$16,0)))</f>
        <v>0</v>
      </c>
      <c r="N181" s="4">
        <f t="shared" si="25"/>
        <v>40.607154999999999</v>
      </c>
      <c r="O181" s="9">
        <f t="shared" si="26"/>
        <v>40.607154999999999</v>
      </c>
      <c r="P181" s="6">
        <f>IF(O181="","",COUNTIF($O$3:$O$225,"&gt;"&amp;O181)+COUNTIF($O$3:O181,O181))</f>
        <v>154</v>
      </c>
      <c r="Q181">
        <f t="shared" si="27"/>
        <v>174</v>
      </c>
      <c r="R181" s="4">
        <f>'LIVE SOURCE'!E181</f>
        <v>251</v>
      </c>
      <c r="S181" s="4">
        <f t="shared" si="28"/>
        <v>77</v>
      </c>
      <c r="T181" t="str">
        <f>'LIVE SOURCE'!F181</f>
        <v>A</v>
      </c>
      <c r="U181" s="4">
        <f t="shared" si="29"/>
        <v>58.362099999999998</v>
      </c>
      <c r="V181" s="4">
        <f t="shared" si="30"/>
        <v>64.362099999999998</v>
      </c>
      <c r="W181" s="4">
        <f t="shared" si="31"/>
        <v>70.362099999999998</v>
      </c>
      <c r="X181" t="str">
        <f>'LIVE SOURCE'!G181</f>
        <v>RATE-ADJUSTED VETERAN</v>
      </c>
      <c r="Y181" t="str">
        <f>IF(INDEX('Draft Board'!$J$3:$J$225,Q181)="","Available",INDEX('Draft Board'!$J$3:$J$225,Q181))</f>
        <v>Available</v>
      </c>
      <c r="Z181">
        <f t="shared" si="32"/>
        <v>174</v>
      </c>
    </row>
    <row r="182" spans="1:26" x14ac:dyDescent="0.25">
      <c r="A182" t="str">
        <f>'LIVE SOURCE'!A182</f>
        <v>K</v>
      </c>
      <c r="B182" t="str">
        <f>'LIVE SOURCE'!B182</f>
        <v>Brandon Aubrey</v>
      </c>
      <c r="C182" s="4">
        <f>'LIVE SOURCE'!D182</f>
        <v>94</v>
      </c>
      <c r="D182" s="4">
        <f>'Manual Adjustments'!G182</f>
        <v>0</v>
      </c>
      <c r="E182" s="4">
        <f t="shared" si="22"/>
        <v>94</v>
      </c>
      <c r="F182">
        <f>COUNTIFS($A$3:$A$225,A182,$E$3:$E$225,"&gt;"&amp;E182)+COUNTIFS($A$3:A182,A182,$E$3:E182,E182)</f>
        <v>1</v>
      </c>
      <c r="G182" s="4">
        <f>ROUND(INDEX('League Config'!$K$4:$K$9,MATCH(A182,'League Config'!$E$4:$E$9,0))*E182+INDEX('League Config'!$L$4:$L$9,MATCH(A182,'League Config'!$E$4:$E$9,0)),1)</f>
        <v>148</v>
      </c>
      <c r="H182">
        <f>INDEX('League Config'!$H$4:$H$9,MATCH(A182,'League Config'!$E$4:$E$9,0))</f>
        <v>10</v>
      </c>
      <c r="I182" s="4">
        <f>INDEX('League Config'!$I$4:$I$9,MATCH(A182,'League Config'!$E$4:$E$9,0))</f>
        <v>108.4</v>
      </c>
      <c r="J182" s="4">
        <f t="shared" si="23"/>
        <v>39.6</v>
      </c>
      <c r="K182" s="4">
        <f t="shared" si="24"/>
        <v>73.760000000000005</v>
      </c>
      <c r="L182" s="4">
        <f>MIN(100,MAX(0,(1-(F182-1)/(H182*1.5))*100*INDEX('League Config'!$J$4:$J$9,MATCH(A182,'League Config'!$E$4:$E$9,0))))</f>
        <v>55.000000000000007</v>
      </c>
      <c r="M182">
        <f>IF(A182="K",'League Config'!$B$14,IF(A182="DST",'League Config'!$B$15,IF(A182="QB",'League Config'!$B$16,0)))</f>
        <v>18</v>
      </c>
      <c r="N182" s="4">
        <f t="shared" si="25"/>
        <v>64.078000000000003</v>
      </c>
      <c r="O182" s="9" t="str">
        <f t="shared" si="26"/>
        <v/>
      </c>
      <c r="P182" s="6" t="str">
        <f>IF(O182="","",COUNTIF($O$3:$O$225,"&gt;"&amp;O182)+COUNTIF($O$3:O182,O182))</f>
        <v/>
      </c>
      <c r="Q182">
        <f t="shared" si="27"/>
        <v>141</v>
      </c>
      <c r="R182" s="4">
        <f>'LIVE SOURCE'!E182</f>
        <v>155</v>
      </c>
      <c r="S182" s="4">
        <f t="shared" si="28"/>
        <v>14</v>
      </c>
      <c r="T182" t="str">
        <f>'LIVE SOURCE'!F182</f>
        <v>B</v>
      </c>
      <c r="U182" s="4">
        <f t="shared" si="29"/>
        <v>85</v>
      </c>
      <c r="V182" s="4">
        <f t="shared" si="30"/>
        <v>94</v>
      </c>
      <c r="W182" s="4">
        <f t="shared" si="31"/>
        <v>100</v>
      </c>
      <c r="X182" t="str">
        <f>'LIVE SOURCE'!G182</f>
        <v>KICKER MODEL</v>
      </c>
      <c r="Y182" t="str">
        <f>IF(INDEX('Draft Board'!$J$3:$J$225,Q182)="","Available",INDEX('Draft Board'!$J$3:$J$225,Q182))</f>
        <v>Available</v>
      </c>
      <c r="Z182">
        <f t="shared" si="32"/>
        <v>141</v>
      </c>
    </row>
    <row r="183" spans="1:26" x14ac:dyDescent="0.25">
      <c r="A183" t="str">
        <f>'LIVE SOURCE'!A183</f>
        <v>K</v>
      </c>
      <c r="B183" t="str">
        <f>'LIVE SOURCE'!B183</f>
        <v>Ka'imi Fairbairn</v>
      </c>
      <c r="C183" s="4">
        <f>'LIVE SOURCE'!D183</f>
        <v>91.8</v>
      </c>
      <c r="D183" s="4">
        <f>'Manual Adjustments'!G183</f>
        <v>0</v>
      </c>
      <c r="E183" s="4">
        <f t="shared" si="22"/>
        <v>91.8</v>
      </c>
      <c r="F183">
        <f>COUNTIFS($A$3:$A$225,A183,$E$3:$E$225,"&gt;"&amp;E183)+COUNTIFS($A$3:A183,A183,$E$3:E183,E183)</f>
        <v>2</v>
      </c>
      <c r="G183" s="4">
        <f>ROUND(INDEX('League Config'!$K$4:$K$9,MATCH(A183,'League Config'!$E$4:$E$9,0))*E183+INDEX('League Config'!$L$4:$L$9,MATCH(A183,'League Config'!$E$4:$E$9,0)),1)</f>
        <v>143.6</v>
      </c>
      <c r="H183">
        <f>INDEX('League Config'!$H$4:$H$9,MATCH(A183,'League Config'!$E$4:$E$9,0))</f>
        <v>10</v>
      </c>
      <c r="I183" s="4">
        <f>INDEX('League Config'!$I$4:$I$9,MATCH(A183,'League Config'!$E$4:$E$9,0))</f>
        <v>108.4</v>
      </c>
      <c r="J183" s="4">
        <f t="shared" si="23"/>
        <v>35.200000000000003</v>
      </c>
      <c r="K183" s="4">
        <f t="shared" si="24"/>
        <v>71.12</v>
      </c>
      <c r="L183" s="4">
        <f>MIN(100,MAX(0,(1-(F183-1)/(H183*1.5))*100*INDEX('League Config'!$J$4:$J$9,MATCH(A183,'League Config'!$E$4:$E$9,0))))</f>
        <v>51.333333333333336</v>
      </c>
      <c r="M183">
        <f>IF(A183="K",'League Config'!$B$14,IF(A183="DST",'League Config'!$B$15,IF(A183="QB",'League Config'!$B$16,0)))</f>
        <v>18</v>
      </c>
      <c r="N183" s="4">
        <f t="shared" si="25"/>
        <v>61.52600000000001</v>
      </c>
      <c r="O183" s="9" t="str">
        <f t="shared" si="26"/>
        <v/>
      </c>
      <c r="P183" s="6" t="str">
        <f>IF(O183="","",COUNTIF($O$3:$O$225,"&gt;"&amp;O183)+COUNTIF($O$3:O183,O183))</f>
        <v/>
      </c>
      <c r="Q183">
        <f t="shared" si="27"/>
        <v>142</v>
      </c>
      <c r="R183" s="4">
        <f>'LIVE SOURCE'!E183</f>
        <v>160</v>
      </c>
      <c r="S183" s="4">
        <f t="shared" si="28"/>
        <v>18</v>
      </c>
      <c r="T183" t="str">
        <f>'LIVE SOURCE'!F183</f>
        <v>B</v>
      </c>
      <c r="U183" s="4">
        <f t="shared" si="29"/>
        <v>82.8</v>
      </c>
      <c r="V183" s="4">
        <f t="shared" si="30"/>
        <v>91.8</v>
      </c>
      <c r="W183" s="4">
        <f t="shared" si="31"/>
        <v>100</v>
      </c>
      <c r="X183" t="str">
        <f>'LIVE SOURCE'!G183</f>
        <v>KICKER MODEL</v>
      </c>
      <c r="Y183" t="str">
        <f>IF(INDEX('Draft Board'!$J$3:$J$225,Q183)="","Available",INDEX('Draft Board'!$J$3:$J$225,Q183))</f>
        <v>Available</v>
      </c>
      <c r="Z183">
        <f t="shared" si="32"/>
        <v>142</v>
      </c>
    </row>
    <row r="184" spans="1:26" x14ac:dyDescent="0.25">
      <c r="A184" t="str">
        <f>'LIVE SOURCE'!A184</f>
        <v>K</v>
      </c>
      <c r="B184" t="str">
        <f>'LIVE SOURCE'!B184</f>
        <v>Cameron Dicker</v>
      </c>
      <c r="C184" s="4">
        <f>'LIVE SOURCE'!D184</f>
        <v>89.6</v>
      </c>
      <c r="D184" s="4">
        <f>'Manual Adjustments'!G184</f>
        <v>0</v>
      </c>
      <c r="E184" s="4">
        <f t="shared" si="22"/>
        <v>89.6</v>
      </c>
      <c r="F184">
        <f>COUNTIFS($A$3:$A$225,A184,$E$3:$E$225,"&gt;"&amp;E184)+COUNTIFS($A$3:A184,A184,$E$3:E184,E184)</f>
        <v>3</v>
      </c>
      <c r="G184" s="4">
        <f>ROUND(INDEX('League Config'!$K$4:$K$9,MATCH(A184,'League Config'!$E$4:$E$9,0))*E184+INDEX('League Config'!$L$4:$L$9,MATCH(A184,'League Config'!$E$4:$E$9,0)),1)</f>
        <v>139.19999999999999</v>
      </c>
      <c r="H184">
        <f>INDEX('League Config'!$H$4:$H$9,MATCH(A184,'League Config'!$E$4:$E$9,0))</f>
        <v>10</v>
      </c>
      <c r="I184" s="4">
        <f>INDEX('League Config'!$I$4:$I$9,MATCH(A184,'League Config'!$E$4:$E$9,0))</f>
        <v>108.4</v>
      </c>
      <c r="J184" s="4">
        <f t="shared" si="23"/>
        <v>30.8</v>
      </c>
      <c r="K184" s="4">
        <f t="shared" si="24"/>
        <v>68.48</v>
      </c>
      <c r="L184" s="4">
        <f>MIN(100,MAX(0,(1-(F184-1)/(H184*1.5))*100*INDEX('League Config'!$J$4:$J$9,MATCH(A184,'League Config'!$E$4:$E$9,0))))</f>
        <v>47.666666666666671</v>
      </c>
      <c r="M184">
        <f>IF(A184="K",'League Config'!$B$14,IF(A184="DST",'League Config'!$B$15,IF(A184="QB",'League Config'!$B$16,0)))</f>
        <v>18</v>
      </c>
      <c r="N184" s="4">
        <f t="shared" si="25"/>
        <v>58.974000000000004</v>
      </c>
      <c r="O184" s="9" t="str">
        <f t="shared" si="26"/>
        <v/>
      </c>
      <c r="P184" s="6" t="str">
        <f>IF(O184="","",COUNTIF($O$3:$O$225,"&gt;"&amp;O184)+COUNTIF($O$3:O184,O184))</f>
        <v/>
      </c>
      <c r="Q184">
        <f t="shared" si="27"/>
        <v>143</v>
      </c>
      <c r="R184" s="4">
        <f>'LIVE SOURCE'!E184</f>
        <v>165</v>
      </c>
      <c r="S184" s="4">
        <f t="shared" si="28"/>
        <v>22</v>
      </c>
      <c r="T184" t="str">
        <f>'LIVE SOURCE'!F184</f>
        <v>B</v>
      </c>
      <c r="U184" s="4">
        <f t="shared" si="29"/>
        <v>80.599999999999994</v>
      </c>
      <c r="V184" s="4">
        <f t="shared" si="30"/>
        <v>89.6</v>
      </c>
      <c r="W184" s="4">
        <f t="shared" si="31"/>
        <v>98.6</v>
      </c>
      <c r="X184" t="str">
        <f>'LIVE SOURCE'!G184</f>
        <v>KICKER MODEL</v>
      </c>
      <c r="Y184" t="str">
        <f>IF(INDEX('Draft Board'!$J$3:$J$225,Q184)="","Available",INDEX('Draft Board'!$J$3:$J$225,Q184))</f>
        <v>Available</v>
      </c>
      <c r="Z184">
        <f t="shared" si="32"/>
        <v>143</v>
      </c>
    </row>
    <row r="185" spans="1:26" x14ac:dyDescent="0.25">
      <c r="A185" t="str">
        <f>'LIVE SOURCE'!A185</f>
        <v>K</v>
      </c>
      <c r="B185" t="str">
        <f>'LIVE SOURCE'!B185</f>
        <v>Jason Myers</v>
      </c>
      <c r="C185" s="4">
        <f>'LIVE SOURCE'!D185</f>
        <v>87.4</v>
      </c>
      <c r="D185" s="4">
        <f>'Manual Adjustments'!G185</f>
        <v>0</v>
      </c>
      <c r="E185" s="4">
        <f t="shared" si="22"/>
        <v>87.4</v>
      </c>
      <c r="F185">
        <f>COUNTIFS($A$3:$A$225,A185,$E$3:$E$225,"&gt;"&amp;E185)+COUNTIFS($A$3:A185,A185,$E$3:E185,E185)</f>
        <v>4</v>
      </c>
      <c r="G185" s="4">
        <f>ROUND(INDEX('League Config'!$K$4:$K$9,MATCH(A185,'League Config'!$E$4:$E$9,0))*E185+INDEX('League Config'!$L$4:$L$9,MATCH(A185,'League Config'!$E$4:$E$9,0)),1)</f>
        <v>134.80000000000001</v>
      </c>
      <c r="H185">
        <f>INDEX('League Config'!$H$4:$H$9,MATCH(A185,'League Config'!$E$4:$E$9,0))</f>
        <v>10</v>
      </c>
      <c r="I185" s="4">
        <f>INDEX('League Config'!$I$4:$I$9,MATCH(A185,'League Config'!$E$4:$E$9,0))</f>
        <v>108.4</v>
      </c>
      <c r="J185" s="4">
        <f t="shared" si="23"/>
        <v>26.4</v>
      </c>
      <c r="K185" s="4">
        <f t="shared" si="24"/>
        <v>65.84</v>
      </c>
      <c r="L185" s="4">
        <f>MIN(100,MAX(0,(1-(F185-1)/(H185*1.5))*100*INDEX('League Config'!$J$4:$J$9,MATCH(A185,'League Config'!$E$4:$E$9,0))))</f>
        <v>44</v>
      </c>
      <c r="M185">
        <f>IF(A185="K",'League Config'!$B$14,IF(A185="DST",'League Config'!$B$15,IF(A185="QB",'League Config'!$B$16,0)))</f>
        <v>18</v>
      </c>
      <c r="N185" s="4">
        <f t="shared" si="25"/>
        <v>56.421999999999997</v>
      </c>
      <c r="O185" s="9" t="str">
        <f t="shared" si="26"/>
        <v/>
      </c>
      <c r="P185" s="6" t="str">
        <f>IF(O185="","",COUNTIF($O$3:$O$225,"&gt;"&amp;O185)+COUNTIF($O$3:O185,O185))</f>
        <v/>
      </c>
      <c r="Q185">
        <f t="shared" si="27"/>
        <v>144</v>
      </c>
      <c r="R185" s="4">
        <f>'LIVE SOURCE'!E185</f>
        <v>170</v>
      </c>
      <c r="S185" s="4">
        <f t="shared" si="28"/>
        <v>26</v>
      </c>
      <c r="T185" t="str">
        <f>'LIVE SOURCE'!F185</f>
        <v>B</v>
      </c>
      <c r="U185" s="4">
        <f t="shared" si="29"/>
        <v>78.400000000000006</v>
      </c>
      <c r="V185" s="4">
        <f t="shared" si="30"/>
        <v>87.4</v>
      </c>
      <c r="W185" s="4">
        <f t="shared" si="31"/>
        <v>96.4</v>
      </c>
      <c r="X185" t="str">
        <f>'LIVE SOURCE'!G185</f>
        <v>KICKER MODEL</v>
      </c>
      <c r="Y185" t="str">
        <f>IF(INDEX('Draft Board'!$J$3:$J$225,Q185)="","Available",INDEX('Draft Board'!$J$3:$J$225,Q185))</f>
        <v>Available</v>
      </c>
      <c r="Z185">
        <f t="shared" si="32"/>
        <v>144</v>
      </c>
    </row>
    <row r="186" spans="1:26" x14ac:dyDescent="0.25">
      <c r="A186" t="str">
        <f>'LIVE SOURCE'!A186</f>
        <v>K</v>
      </c>
      <c r="B186" t="str">
        <f>'LIVE SOURCE'!B186</f>
        <v>Cam Little</v>
      </c>
      <c r="C186" s="4">
        <f>'LIVE SOURCE'!D186</f>
        <v>85.2</v>
      </c>
      <c r="D186" s="4">
        <f>'Manual Adjustments'!G186</f>
        <v>0</v>
      </c>
      <c r="E186" s="4">
        <f t="shared" si="22"/>
        <v>85.2</v>
      </c>
      <c r="F186">
        <f>COUNTIFS($A$3:$A$225,A186,$E$3:$E$225,"&gt;"&amp;E186)+COUNTIFS($A$3:A186,A186,$E$3:E186,E186)</f>
        <v>5</v>
      </c>
      <c r="G186" s="4">
        <f>ROUND(INDEX('League Config'!$K$4:$K$9,MATCH(A186,'League Config'!$E$4:$E$9,0))*E186+INDEX('League Config'!$L$4:$L$9,MATCH(A186,'League Config'!$E$4:$E$9,0)),1)</f>
        <v>130.4</v>
      </c>
      <c r="H186">
        <f>INDEX('League Config'!$H$4:$H$9,MATCH(A186,'League Config'!$E$4:$E$9,0))</f>
        <v>10</v>
      </c>
      <c r="I186" s="4">
        <f>INDEX('League Config'!$I$4:$I$9,MATCH(A186,'League Config'!$E$4:$E$9,0))</f>
        <v>108.4</v>
      </c>
      <c r="J186" s="4">
        <f t="shared" si="23"/>
        <v>22</v>
      </c>
      <c r="K186" s="4">
        <f t="shared" si="24"/>
        <v>63.2</v>
      </c>
      <c r="L186" s="4">
        <f>MIN(100,MAX(0,(1-(F186-1)/(H186*1.5))*100*INDEX('League Config'!$J$4:$J$9,MATCH(A186,'League Config'!$E$4:$E$9,0))))</f>
        <v>40.333333333333343</v>
      </c>
      <c r="M186">
        <f>IF(A186="K",'League Config'!$B$14,IF(A186="DST",'League Config'!$B$15,IF(A186="QB",'League Config'!$B$16,0)))</f>
        <v>18</v>
      </c>
      <c r="N186" s="4">
        <f t="shared" si="25"/>
        <v>53.870000000000005</v>
      </c>
      <c r="O186" s="9" t="str">
        <f t="shared" si="26"/>
        <v/>
      </c>
      <c r="P186" s="6" t="str">
        <f>IF(O186="","",COUNTIF($O$3:$O$225,"&gt;"&amp;O186)+COUNTIF($O$3:O186,O186))</f>
        <v/>
      </c>
      <c r="Q186">
        <f t="shared" si="27"/>
        <v>145</v>
      </c>
      <c r="R186" s="4">
        <f>'LIVE SOURCE'!E186</f>
        <v>175</v>
      </c>
      <c r="S186" s="4">
        <f t="shared" si="28"/>
        <v>30</v>
      </c>
      <c r="T186" t="str">
        <f>'LIVE SOURCE'!F186</f>
        <v>B</v>
      </c>
      <c r="U186" s="4">
        <f t="shared" si="29"/>
        <v>76.2</v>
      </c>
      <c r="V186" s="4">
        <f t="shared" si="30"/>
        <v>85.2</v>
      </c>
      <c r="W186" s="4">
        <f t="shared" si="31"/>
        <v>94.2</v>
      </c>
      <c r="X186" t="str">
        <f>'LIVE SOURCE'!G186</f>
        <v>KICKER MODEL</v>
      </c>
      <c r="Y186" t="str">
        <f>IF(INDEX('Draft Board'!$J$3:$J$225,Q186)="","Available",INDEX('Draft Board'!$J$3:$J$225,Q186))</f>
        <v>Available</v>
      </c>
      <c r="Z186">
        <f t="shared" si="32"/>
        <v>145</v>
      </c>
    </row>
    <row r="187" spans="1:26" x14ac:dyDescent="0.25">
      <c r="A187" t="str">
        <f>'LIVE SOURCE'!A187</f>
        <v>K</v>
      </c>
      <c r="B187" t="str">
        <f>'LIVE SOURCE'!B187</f>
        <v>Eddy Pineiro</v>
      </c>
      <c r="C187" s="4">
        <f>'LIVE SOURCE'!D187</f>
        <v>83</v>
      </c>
      <c r="D187" s="4">
        <f>'Manual Adjustments'!G187</f>
        <v>0</v>
      </c>
      <c r="E187" s="4">
        <f t="shared" si="22"/>
        <v>83</v>
      </c>
      <c r="F187">
        <f>COUNTIFS($A$3:$A$225,A187,$E$3:$E$225,"&gt;"&amp;E187)+COUNTIFS($A$3:A187,A187,$E$3:E187,E187)</f>
        <v>6</v>
      </c>
      <c r="G187" s="4">
        <f>ROUND(INDEX('League Config'!$K$4:$K$9,MATCH(A187,'League Config'!$E$4:$E$9,0))*E187+INDEX('League Config'!$L$4:$L$9,MATCH(A187,'League Config'!$E$4:$E$9,0)),1)</f>
        <v>126</v>
      </c>
      <c r="H187">
        <f>INDEX('League Config'!$H$4:$H$9,MATCH(A187,'League Config'!$E$4:$E$9,0))</f>
        <v>10</v>
      </c>
      <c r="I187" s="4">
        <f>INDEX('League Config'!$I$4:$I$9,MATCH(A187,'League Config'!$E$4:$E$9,0))</f>
        <v>108.4</v>
      </c>
      <c r="J187" s="4">
        <f t="shared" si="23"/>
        <v>17.600000000000001</v>
      </c>
      <c r="K187" s="4">
        <f t="shared" si="24"/>
        <v>60.56</v>
      </c>
      <c r="L187" s="4">
        <f>MIN(100,MAX(0,(1-(F187-1)/(H187*1.5))*100*INDEX('League Config'!$J$4:$J$9,MATCH(A187,'League Config'!$E$4:$E$9,0))))</f>
        <v>36.666666666666671</v>
      </c>
      <c r="M187">
        <f>IF(A187="K",'League Config'!$B$14,IF(A187="DST",'League Config'!$B$15,IF(A187="QB",'League Config'!$B$16,0)))</f>
        <v>18</v>
      </c>
      <c r="N187" s="4">
        <f t="shared" si="25"/>
        <v>51.318000000000012</v>
      </c>
      <c r="O187" s="9" t="str">
        <f t="shared" si="26"/>
        <v/>
      </c>
      <c r="P187" s="6" t="str">
        <f>IF(O187="","",COUNTIF($O$3:$O$225,"&gt;"&amp;O187)+COUNTIF($O$3:O187,O187))</f>
        <v/>
      </c>
      <c r="Q187">
        <f t="shared" si="27"/>
        <v>146</v>
      </c>
      <c r="R187" s="4">
        <f>'LIVE SOURCE'!E187</f>
        <v>180</v>
      </c>
      <c r="S187" s="4">
        <f t="shared" si="28"/>
        <v>34</v>
      </c>
      <c r="T187" t="str">
        <f>'LIVE SOURCE'!F187</f>
        <v>B</v>
      </c>
      <c r="U187" s="4">
        <f t="shared" si="29"/>
        <v>74</v>
      </c>
      <c r="V187" s="4">
        <f t="shared" si="30"/>
        <v>83</v>
      </c>
      <c r="W187" s="4">
        <f t="shared" si="31"/>
        <v>92</v>
      </c>
      <c r="X187" t="str">
        <f>'LIVE SOURCE'!G187</f>
        <v>KICKER MODEL</v>
      </c>
      <c r="Y187" t="str">
        <f>IF(INDEX('Draft Board'!$J$3:$J$225,Q187)="","Available",INDEX('Draft Board'!$J$3:$J$225,Q187))</f>
        <v>Available</v>
      </c>
      <c r="Z187">
        <f t="shared" si="32"/>
        <v>146</v>
      </c>
    </row>
    <row r="188" spans="1:26" x14ac:dyDescent="0.25">
      <c r="A188" t="str">
        <f>'LIVE SOURCE'!A188</f>
        <v>K</v>
      </c>
      <c r="B188" t="str">
        <f>'LIVE SOURCE'!B188</f>
        <v>Tyler Loop</v>
      </c>
      <c r="C188" s="4">
        <f>'LIVE SOURCE'!D188</f>
        <v>80.8</v>
      </c>
      <c r="D188" s="4">
        <f>'Manual Adjustments'!G188</f>
        <v>0</v>
      </c>
      <c r="E188" s="4">
        <f t="shared" si="22"/>
        <v>80.8</v>
      </c>
      <c r="F188">
        <f>COUNTIFS($A$3:$A$225,A188,$E$3:$E$225,"&gt;"&amp;E188)+COUNTIFS($A$3:A188,A188,$E$3:E188,E188)</f>
        <v>7</v>
      </c>
      <c r="G188" s="4">
        <f>ROUND(INDEX('League Config'!$K$4:$K$9,MATCH(A188,'League Config'!$E$4:$E$9,0))*E188+INDEX('League Config'!$L$4:$L$9,MATCH(A188,'League Config'!$E$4:$E$9,0)),1)</f>
        <v>121.6</v>
      </c>
      <c r="H188">
        <f>INDEX('League Config'!$H$4:$H$9,MATCH(A188,'League Config'!$E$4:$E$9,0))</f>
        <v>10</v>
      </c>
      <c r="I188" s="4">
        <f>INDEX('League Config'!$I$4:$I$9,MATCH(A188,'League Config'!$E$4:$E$9,0))</f>
        <v>108.4</v>
      </c>
      <c r="J188" s="4">
        <f t="shared" si="23"/>
        <v>13.2</v>
      </c>
      <c r="K188" s="4">
        <f t="shared" si="24"/>
        <v>57.92</v>
      </c>
      <c r="L188" s="4">
        <f>MIN(100,MAX(0,(1-(F188-1)/(H188*1.5))*100*INDEX('League Config'!$J$4:$J$9,MATCH(A188,'League Config'!$E$4:$E$9,0))))</f>
        <v>33</v>
      </c>
      <c r="M188">
        <f>IF(A188="K",'League Config'!$B$14,IF(A188="DST",'League Config'!$B$15,IF(A188="QB",'League Config'!$B$16,0)))</f>
        <v>18</v>
      </c>
      <c r="N188" s="4">
        <f t="shared" si="25"/>
        <v>48.766000000000005</v>
      </c>
      <c r="O188" s="9" t="str">
        <f t="shared" si="26"/>
        <v/>
      </c>
      <c r="P188" s="6" t="str">
        <f>IF(O188="","",COUNTIF($O$3:$O$225,"&gt;"&amp;O188)+COUNTIF($O$3:O188,O188))</f>
        <v/>
      </c>
      <c r="Q188">
        <f t="shared" si="27"/>
        <v>147</v>
      </c>
      <c r="R188" s="4">
        <f>'LIVE SOURCE'!E188</f>
        <v>185</v>
      </c>
      <c r="S188" s="4">
        <f t="shared" si="28"/>
        <v>38</v>
      </c>
      <c r="T188" t="str">
        <f>'LIVE SOURCE'!F188</f>
        <v>B</v>
      </c>
      <c r="U188" s="4">
        <f t="shared" si="29"/>
        <v>71.8</v>
      </c>
      <c r="V188" s="4">
        <f t="shared" si="30"/>
        <v>80.8</v>
      </c>
      <c r="W188" s="4">
        <f t="shared" si="31"/>
        <v>89.8</v>
      </c>
      <c r="X188" t="str">
        <f>'LIVE SOURCE'!G188</f>
        <v>KICKER MODEL</v>
      </c>
      <c r="Y188" t="str">
        <f>IF(INDEX('Draft Board'!$J$3:$J$225,Q188)="","Available",INDEX('Draft Board'!$J$3:$J$225,Q188))</f>
        <v>Available</v>
      </c>
      <c r="Z188">
        <f t="shared" si="32"/>
        <v>147</v>
      </c>
    </row>
    <row r="189" spans="1:26" x14ac:dyDescent="0.25">
      <c r="A189" t="str">
        <f>'LIVE SOURCE'!A189</f>
        <v>K</v>
      </c>
      <c r="B189" t="str">
        <f>'LIVE SOURCE'!B189</f>
        <v>Harrison Mevis</v>
      </c>
      <c r="C189" s="4">
        <f>'LIVE SOURCE'!D189</f>
        <v>78.599999999999994</v>
      </c>
      <c r="D189" s="4">
        <f>'Manual Adjustments'!G189</f>
        <v>0</v>
      </c>
      <c r="E189" s="4">
        <f t="shared" si="22"/>
        <v>78.599999999999994</v>
      </c>
      <c r="F189">
        <f>COUNTIFS($A$3:$A$225,A189,$E$3:$E$225,"&gt;"&amp;E189)+COUNTIFS($A$3:A189,A189,$E$3:E189,E189)</f>
        <v>8</v>
      </c>
      <c r="G189" s="4">
        <f>ROUND(INDEX('League Config'!$K$4:$K$9,MATCH(A189,'League Config'!$E$4:$E$9,0))*E189+INDEX('League Config'!$L$4:$L$9,MATCH(A189,'League Config'!$E$4:$E$9,0)),1)</f>
        <v>117.2</v>
      </c>
      <c r="H189">
        <f>INDEX('League Config'!$H$4:$H$9,MATCH(A189,'League Config'!$E$4:$E$9,0))</f>
        <v>10</v>
      </c>
      <c r="I189" s="4">
        <f>INDEX('League Config'!$I$4:$I$9,MATCH(A189,'League Config'!$E$4:$E$9,0))</f>
        <v>108.4</v>
      </c>
      <c r="J189" s="4">
        <f t="shared" si="23"/>
        <v>8.8000000000000007</v>
      </c>
      <c r="K189" s="4">
        <f t="shared" si="24"/>
        <v>55.28</v>
      </c>
      <c r="L189" s="4">
        <f>MIN(100,MAX(0,(1-(F189-1)/(H189*1.5))*100*INDEX('League Config'!$J$4:$J$9,MATCH(A189,'League Config'!$E$4:$E$9,0))))</f>
        <v>29.333333333333336</v>
      </c>
      <c r="M189">
        <f>IF(A189="K",'League Config'!$B$14,IF(A189="DST",'League Config'!$B$15,IF(A189="QB",'League Config'!$B$16,0)))</f>
        <v>18</v>
      </c>
      <c r="N189" s="4">
        <f t="shared" si="25"/>
        <v>46.213999999999999</v>
      </c>
      <c r="O189" s="9" t="str">
        <f t="shared" si="26"/>
        <v/>
      </c>
      <c r="P189" s="6" t="str">
        <f>IF(O189="","",COUNTIF($O$3:$O$225,"&gt;"&amp;O189)+COUNTIF($O$3:O189,O189))</f>
        <v/>
      </c>
      <c r="Q189">
        <f t="shared" si="27"/>
        <v>148</v>
      </c>
      <c r="R189" s="4">
        <f>'LIVE SOURCE'!E189</f>
        <v>190</v>
      </c>
      <c r="S189" s="4">
        <f t="shared" si="28"/>
        <v>42</v>
      </c>
      <c r="T189" t="str">
        <f>'LIVE SOURCE'!F189</f>
        <v>B</v>
      </c>
      <c r="U189" s="4">
        <f t="shared" si="29"/>
        <v>69.599999999999994</v>
      </c>
      <c r="V189" s="4">
        <f t="shared" si="30"/>
        <v>78.599999999999994</v>
      </c>
      <c r="W189" s="4">
        <f t="shared" si="31"/>
        <v>87.6</v>
      </c>
      <c r="X189" t="str">
        <f>'LIVE SOURCE'!G189</f>
        <v>KICKER MODEL</v>
      </c>
      <c r="Y189" t="str">
        <f>IF(INDEX('Draft Board'!$J$3:$J$225,Q189)="","Available",INDEX('Draft Board'!$J$3:$J$225,Q189))</f>
        <v>Available</v>
      </c>
      <c r="Z189">
        <f t="shared" si="32"/>
        <v>148</v>
      </c>
    </row>
    <row r="190" spans="1:26" x14ac:dyDescent="0.25">
      <c r="A190" t="str">
        <f>'LIVE SOURCE'!A190</f>
        <v>K</v>
      </c>
      <c r="B190" t="str">
        <f>'LIVE SOURCE'!B190</f>
        <v>Chase McLaughlin</v>
      </c>
      <c r="C190" s="4">
        <f>'LIVE SOURCE'!D190</f>
        <v>76.400000000000006</v>
      </c>
      <c r="D190" s="4">
        <f>'Manual Adjustments'!G190</f>
        <v>0</v>
      </c>
      <c r="E190" s="4">
        <f t="shared" si="22"/>
        <v>76.400000000000006</v>
      </c>
      <c r="F190">
        <f>COUNTIFS($A$3:$A$225,A190,$E$3:$E$225,"&gt;"&amp;E190)+COUNTIFS($A$3:A190,A190,$E$3:E190,E190)</f>
        <v>9</v>
      </c>
      <c r="G190" s="4">
        <f>ROUND(INDEX('League Config'!$K$4:$K$9,MATCH(A190,'League Config'!$E$4:$E$9,0))*E190+INDEX('League Config'!$L$4:$L$9,MATCH(A190,'League Config'!$E$4:$E$9,0)),1)</f>
        <v>112.8</v>
      </c>
      <c r="H190">
        <f>INDEX('League Config'!$H$4:$H$9,MATCH(A190,'League Config'!$E$4:$E$9,0))</f>
        <v>10</v>
      </c>
      <c r="I190" s="4">
        <f>INDEX('League Config'!$I$4:$I$9,MATCH(A190,'League Config'!$E$4:$E$9,0))</f>
        <v>108.4</v>
      </c>
      <c r="J190" s="4">
        <f t="shared" si="23"/>
        <v>4.4000000000000004</v>
      </c>
      <c r="K190" s="4">
        <f t="shared" si="24"/>
        <v>52.64</v>
      </c>
      <c r="L190" s="4">
        <f>MIN(100,MAX(0,(1-(F190-1)/(H190*1.5))*100*INDEX('League Config'!$J$4:$J$9,MATCH(A190,'League Config'!$E$4:$E$9,0))))</f>
        <v>25.666666666666668</v>
      </c>
      <c r="M190">
        <f>IF(A190="K",'League Config'!$B$14,IF(A190="DST",'League Config'!$B$15,IF(A190="QB",'League Config'!$B$16,0)))</f>
        <v>18</v>
      </c>
      <c r="N190" s="4">
        <f t="shared" si="25"/>
        <v>43.662000000000006</v>
      </c>
      <c r="O190" s="9" t="str">
        <f t="shared" si="26"/>
        <v/>
      </c>
      <c r="P190" s="6" t="str">
        <f>IF(O190="","",COUNTIF($O$3:$O$225,"&gt;"&amp;O190)+COUNTIF($O$3:O190,O190))</f>
        <v/>
      </c>
      <c r="Q190">
        <f t="shared" si="27"/>
        <v>149</v>
      </c>
      <c r="R190" s="4">
        <f>'LIVE SOURCE'!E190</f>
        <v>195</v>
      </c>
      <c r="S190" s="4">
        <f t="shared" si="28"/>
        <v>46</v>
      </c>
      <c r="T190" t="str">
        <f>'LIVE SOURCE'!F190</f>
        <v>B</v>
      </c>
      <c r="U190" s="4">
        <f t="shared" si="29"/>
        <v>67.400000000000006</v>
      </c>
      <c r="V190" s="4">
        <f t="shared" si="30"/>
        <v>76.400000000000006</v>
      </c>
      <c r="W190" s="4">
        <f t="shared" si="31"/>
        <v>85.4</v>
      </c>
      <c r="X190" t="str">
        <f>'LIVE SOURCE'!G190</f>
        <v>KICKER MODEL</v>
      </c>
      <c r="Y190" t="str">
        <f>IF(INDEX('Draft Board'!$J$3:$J$225,Q190)="","Available",INDEX('Draft Board'!$J$3:$J$225,Q190))</f>
        <v>Available</v>
      </c>
      <c r="Z190">
        <f t="shared" si="32"/>
        <v>149</v>
      </c>
    </row>
    <row r="191" spans="1:26" x14ac:dyDescent="0.25">
      <c r="A191" t="str">
        <f>'LIVE SOURCE'!A191</f>
        <v>K</v>
      </c>
      <c r="B191" t="str">
        <f>'LIVE SOURCE'!B191</f>
        <v>Cairo Santos</v>
      </c>
      <c r="C191" s="4">
        <f>'LIVE SOURCE'!D191</f>
        <v>74.2</v>
      </c>
      <c r="D191" s="4">
        <f>'Manual Adjustments'!G191</f>
        <v>0</v>
      </c>
      <c r="E191" s="4">
        <f t="shared" si="22"/>
        <v>74.2</v>
      </c>
      <c r="F191">
        <f>COUNTIFS($A$3:$A$225,A191,$E$3:$E$225,"&gt;"&amp;E191)+COUNTIFS($A$3:A191,A191,$E$3:E191,E191)</f>
        <v>10</v>
      </c>
      <c r="G191" s="4">
        <f>ROUND(INDEX('League Config'!$K$4:$K$9,MATCH(A191,'League Config'!$E$4:$E$9,0))*E191+INDEX('League Config'!$L$4:$L$9,MATCH(A191,'League Config'!$E$4:$E$9,0)),1)</f>
        <v>108.4</v>
      </c>
      <c r="H191">
        <f>INDEX('League Config'!$H$4:$H$9,MATCH(A191,'League Config'!$E$4:$E$9,0))</f>
        <v>10</v>
      </c>
      <c r="I191" s="4">
        <f>INDEX('League Config'!$I$4:$I$9,MATCH(A191,'League Config'!$E$4:$E$9,0))</f>
        <v>108.4</v>
      </c>
      <c r="J191" s="4">
        <f t="shared" si="23"/>
        <v>0</v>
      </c>
      <c r="K191" s="4">
        <f t="shared" si="24"/>
        <v>50</v>
      </c>
      <c r="L191" s="4">
        <f>MIN(100,MAX(0,(1-(F191-1)/(H191*1.5))*100*INDEX('League Config'!$J$4:$J$9,MATCH(A191,'League Config'!$E$4:$E$9,0))))</f>
        <v>22</v>
      </c>
      <c r="M191">
        <f>IF(A191="K",'League Config'!$B$14,IF(A191="DST",'League Config'!$B$15,IF(A191="QB",'League Config'!$B$16,0)))</f>
        <v>18</v>
      </c>
      <c r="N191" s="4">
        <f t="shared" si="25"/>
        <v>41.11</v>
      </c>
      <c r="O191" s="9" t="str">
        <f t="shared" si="26"/>
        <v/>
      </c>
      <c r="P191" s="6" t="str">
        <f>IF(O191="","",COUNTIF($O$3:$O$225,"&gt;"&amp;O191)+COUNTIF($O$3:O191,O191))</f>
        <v/>
      </c>
      <c r="Q191">
        <f t="shared" si="27"/>
        <v>150</v>
      </c>
      <c r="R191" s="4">
        <f>'LIVE SOURCE'!E191</f>
        <v>200</v>
      </c>
      <c r="S191" s="4">
        <f t="shared" si="28"/>
        <v>50</v>
      </c>
      <c r="T191" t="str">
        <f>'LIVE SOURCE'!F191</f>
        <v>B</v>
      </c>
      <c r="U191" s="4">
        <f t="shared" si="29"/>
        <v>65.2</v>
      </c>
      <c r="V191" s="4">
        <f t="shared" si="30"/>
        <v>74.2</v>
      </c>
      <c r="W191" s="4">
        <f t="shared" si="31"/>
        <v>83.2</v>
      </c>
      <c r="X191" t="str">
        <f>'LIVE SOURCE'!G191</f>
        <v>KICKER MODEL</v>
      </c>
      <c r="Y191" t="str">
        <f>IF(INDEX('Draft Board'!$J$3:$J$225,Q191)="","Available",INDEX('Draft Board'!$J$3:$J$225,Q191))</f>
        <v>Available</v>
      </c>
      <c r="Z191">
        <f t="shared" si="32"/>
        <v>150</v>
      </c>
    </row>
    <row r="192" spans="1:26" x14ac:dyDescent="0.25">
      <c r="A192" t="str">
        <f>'LIVE SOURCE'!A192</f>
        <v>K</v>
      </c>
      <c r="B192" t="str">
        <f>'LIVE SOURCE'!B192</f>
        <v>Andy Borregales</v>
      </c>
      <c r="C192" s="4">
        <f>'LIVE SOURCE'!D192</f>
        <v>72</v>
      </c>
      <c r="D192" s="4">
        <f>'Manual Adjustments'!G192</f>
        <v>0</v>
      </c>
      <c r="E192" s="4">
        <f t="shared" si="22"/>
        <v>72</v>
      </c>
      <c r="F192">
        <f>COUNTIFS($A$3:$A$225,A192,$E$3:$E$225,"&gt;"&amp;E192)+COUNTIFS($A$3:A192,A192,$E$3:E192,E192)</f>
        <v>11</v>
      </c>
      <c r="G192" s="4">
        <f>ROUND(INDEX('League Config'!$K$4:$K$9,MATCH(A192,'League Config'!$E$4:$E$9,0))*E192+INDEX('League Config'!$L$4:$L$9,MATCH(A192,'League Config'!$E$4:$E$9,0)),1)</f>
        <v>104</v>
      </c>
      <c r="H192">
        <f>INDEX('League Config'!$H$4:$H$9,MATCH(A192,'League Config'!$E$4:$E$9,0))</f>
        <v>10</v>
      </c>
      <c r="I192" s="4">
        <f>INDEX('League Config'!$I$4:$I$9,MATCH(A192,'League Config'!$E$4:$E$9,0))</f>
        <v>108.4</v>
      </c>
      <c r="J192" s="4">
        <f t="shared" si="23"/>
        <v>-4.4000000000000004</v>
      </c>
      <c r="K192" s="4">
        <f t="shared" si="24"/>
        <v>47.36</v>
      </c>
      <c r="L192" s="4">
        <f>MIN(100,MAX(0,(1-(F192-1)/(H192*1.5))*100*INDEX('League Config'!$J$4:$J$9,MATCH(A192,'League Config'!$E$4:$E$9,0))))</f>
        <v>18.333333333333336</v>
      </c>
      <c r="M192">
        <f>IF(A192="K",'League Config'!$B$14,IF(A192="DST",'League Config'!$B$15,IF(A192="QB",'League Config'!$B$16,0)))</f>
        <v>18</v>
      </c>
      <c r="N192" s="4">
        <f t="shared" si="25"/>
        <v>38.558</v>
      </c>
      <c r="O192" s="9" t="str">
        <f t="shared" si="26"/>
        <v/>
      </c>
      <c r="P192" s="6" t="str">
        <f>IF(O192="","",COUNTIF($O$3:$O$225,"&gt;"&amp;O192)+COUNTIF($O$3:O192,O192))</f>
        <v/>
      </c>
      <c r="Q192">
        <f t="shared" si="27"/>
        <v>222</v>
      </c>
      <c r="R192" s="4">
        <f>'LIVE SOURCE'!E192</f>
        <v>205</v>
      </c>
      <c r="S192" s="4">
        <f t="shared" si="28"/>
        <v>-17</v>
      </c>
      <c r="T192" t="str">
        <f>'LIVE SOURCE'!F192</f>
        <v>B</v>
      </c>
      <c r="U192" s="4">
        <f t="shared" si="29"/>
        <v>63</v>
      </c>
      <c r="V192" s="4">
        <f t="shared" si="30"/>
        <v>72</v>
      </c>
      <c r="W192" s="4">
        <f t="shared" si="31"/>
        <v>81</v>
      </c>
      <c r="X192" t="str">
        <f>'LIVE SOURCE'!G192</f>
        <v>KICKER MODEL</v>
      </c>
      <c r="Y192" t="str">
        <f>IF(INDEX('Draft Board'!$J$3:$J$225,Q192)="","Available",INDEX('Draft Board'!$J$3:$J$225,Q192))</f>
        <v>Available</v>
      </c>
      <c r="Z192">
        <f t="shared" si="32"/>
        <v>222</v>
      </c>
    </row>
    <row r="193" spans="1:26" x14ac:dyDescent="0.25">
      <c r="A193" t="str">
        <f>'LIVE SOURCE'!A193</f>
        <v>K</v>
      </c>
      <c r="B193" t="str">
        <f>'LIVE SOURCE'!B193</f>
        <v>Evan McPherson</v>
      </c>
      <c r="C193" s="4">
        <f>'LIVE SOURCE'!D193</f>
        <v>69.8</v>
      </c>
      <c r="D193" s="4">
        <f>'Manual Adjustments'!G193</f>
        <v>0</v>
      </c>
      <c r="E193" s="4">
        <f t="shared" si="22"/>
        <v>69.8</v>
      </c>
      <c r="F193">
        <f>COUNTIFS($A$3:$A$225,A193,$E$3:$E$225,"&gt;"&amp;E193)+COUNTIFS($A$3:A193,A193,$E$3:E193,E193)</f>
        <v>12</v>
      </c>
      <c r="G193" s="4">
        <f>ROUND(INDEX('League Config'!$K$4:$K$9,MATCH(A193,'League Config'!$E$4:$E$9,0))*E193+INDEX('League Config'!$L$4:$L$9,MATCH(A193,'League Config'!$E$4:$E$9,0)),1)</f>
        <v>99.6</v>
      </c>
      <c r="H193">
        <f>INDEX('League Config'!$H$4:$H$9,MATCH(A193,'League Config'!$E$4:$E$9,0))</f>
        <v>10</v>
      </c>
      <c r="I193" s="4">
        <f>INDEX('League Config'!$I$4:$I$9,MATCH(A193,'League Config'!$E$4:$E$9,0))</f>
        <v>108.4</v>
      </c>
      <c r="J193" s="4">
        <f t="shared" si="23"/>
        <v>-8.8000000000000007</v>
      </c>
      <c r="K193" s="4">
        <f t="shared" si="24"/>
        <v>44.72</v>
      </c>
      <c r="L193" s="4">
        <f>MIN(100,MAX(0,(1-(F193-1)/(H193*1.5))*100*INDEX('League Config'!$J$4:$J$9,MATCH(A193,'League Config'!$E$4:$E$9,0))))</f>
        <v>14.66666666666667</v>
      </c>
      <c r="M193">
        <f>IF(A193="K",'League Config'!$B$14,IF(A193="DST",'League Config'!$B$15,IF(A193="QB",'League Config'!$B$16,0)))</f>
        <v>18</v>
      </c>
      <c r="N193" s="4">
        <f t="shared" si="25"/>
        <v>36.006</v>
      </c>
      <c r="O193" s="9" t="str">
        <f t="shared" si="26"/>
        <v/>
      </c>
      <c r="P193" s="6" t="str">
        <f>IF(O193="","",COUNTIF($O$3:$O$225,"&gt;"&amp;O193)+COUNTIF($O$3:O193,O193))</f>
        <v/>
      </c>
      <c r="Q193">
        <f t="shared" si="27"/>
        <v>223</v>
      </c>
      <c r="R193" s="4">
        <f>'LIVE SOURCE'!E193</f>
        <v>210</v>
      </c>
      <c r="S193" s="4">
        <f t="shared" si="28"/>
        <v>-13</v>
      </c>
      <c r="T193" t="str">
        <f>'LIVE SOURCE'!F193</f>
        <v>B</v>
      </c>
      <c r="U193" s="4">
        <f t="shared" si="29"/>
        <v>60.8</v>
      </c>
      <c r="V193" s="4">
        <f t="shared" si="30"/>
        <v>69.8</v>
      </c>
      <c r="W193" s="4">
        <f t="shared" si="31"/>
        <v>78.8</v>
      </c>
      <c r="X193" t="str">
        <f>'LIVE SOURCE'!G193</f>
        <v>KICKER MODEL</v>
      </c>
      <c r="Y193" t="str">
        <f>IF(INDEX('Draft Board'!$J$3:$J$225,Q193)="","Available",INDEX('Draft Board'!$J$3:$J$225,Q193))</f>
        <v>Available</v>
      </c>
      <c r="Z193">
        <f t="shared" si="32"/>
        <v>223</v>
      </c>
    </row>
    <row r="194" spans="1:26" x14ac:dyDescent="0.25">
      <c r="A194" t="str">
        <f>'LIVE SOURCE'!A194</f>
        <v>DST</v>
      </c>
      <c r="B194" t="str">
        <f>'LIVE SOURCE'!B194</f>
        <v>Houston Texans</v>
      </c>
      <c r="C194" s="4">
        <f>'LIVE SOURCE'!D194</f>
        <v>93</v>
      </c>
      <c r="D194" s="4">
        <f>'Manual Adjustments'!G194</f>
        <v>0</v>
      </c>
      <c r="E194" s="4">
        <f t="shared" si="22"/>
        <v>93</v>
      </c>
      <c r="F194">
        <f>COUNTIFS($A$3:$A$225,A194,$E$3:$E$225,"&gt;"&amp;E194)+COUNTIFS($A$3:A194,A194,$E$3:E194,E194)</f>
        <v>1</v>
      </c>
      <c r="G194" s="4">
        <f>ROUND(INDEX('League Config'!$K$4:$K$9,MATCH(A194,'League Config'!$E$4:$E$9,0))*E194+INDEX('League Config'!$L$4:$L$9,MATCH(A194,'League Config'!$E$4:$E$9,0)),1)</f>
        <v>117.4</v>
      </c>
      <c r="H194">
        <f>INDEX('League Config'!$H$4:$H$9,MATCH(A194,'League Config'!$E$4:$E$9,0))</f>
        <v>10</v>
      </c>
      <c r="I194" s="4">
        <f>INDEX('League Config'!$I$4:$I$9,MATCH(A194,'League Config'!$E$4:$E$9,0))</f>
        <v>99.6</v>
      </c>
      <c r="J194" s="4">
        <f t="shared" si="23"/>
        <v>17.8</v>
      </c>
      <c r="K194" s="4">
        <f t="shared" si="24"/>
        <v>60.68</v>
      </c>
      <c r="L194" s="4">
        <f>MIN(100,MAX(0,(1-(F194-1)/(H194*1.5))*100*INDEX('League Config'!$J$4:$J$9,MATCH(A194,'League Config'!$E$4:$E$9,0))))</f>
        <v>50</v>
      </c>
      <c r="M194">
        <f>IF(A194="K",'League Config'!$B$14,IF(A194="DST",'League Config'!$B$15,IF(A194="QB",'League Config'!$B$16,0)))</f>
        <v>20</v>
      </c>
      <c r="N194" s="4">
        <f t="shared" si="25"/>
        <v>56.854000000000013</v>
      </c>
      <c r="O194" s="9" t="str">
        <f t="shared" si="26"/>
        <v/>
      </c>
      <c r="P194" s="6" t="str">
        <f>IF(O194="","",COUNTIF($O$3:$O$225,"&gt;"&amp;O194)+COUNTIF($O$3:O194,O194))</f>
        <v/>
      </c>
      <c r="Q194">
        <f t="shared" si="27"/>
        <v>131</v>
      </c>
      <c r="R194" s="4">
        <f>'LIVE SOURCE'!E194</f>
        <v>160</v>
      </c>
      <c r="S194" s="4">
        <f t="shared" si="28"/>
        <v>29</v>
      </c>
      <c r="T194" t="str">
        <f>'LIVE SOURCE'!F194</f>
        <v>B</v>
      </c>
      <c r="U194" s="4">
        <f t="shared" si="29"/>
        <v>84</v>
      </c>
      <c r="V194" s="4">
        <f t="shared" si="30"/>
        <v>93</v>
      </c>
      <c r="W194" s="4">
        <f t="shared" si="31"/>
        <v>100</v>
      </c>
      <c r="X194" t="str">
        <f>'LIVE SOURCE'!G194</f>
        <v>DST MODEL</v>
      </c>
      <c r="Y194" t="str">
        <f>IF(INDEX('Draft Board'!$J$3:$J$225,Q194)="","Available",INDEX('Draft Board'!$J$3:$J$225,Q194))</f>
        <v>Available</v>
      </c>
      <c r="Z194">
        <f t="shared" si="32"/>
        <v>131</v>
      </c>
    </row>
    <row r="195" spans="1:26" x14ac:dyDescent="0.25">
      <c r="A195" t="str">
        <f>'LIVE SOURCE'!A195</f>
        <v>DST</v>
      </c>
      <c r="B195" t="str">
        <f>'LIVE SOURCE'!B195</f>
        <v>Denver Broncos</v>
      </c>
      <c r="C195" s="4">
        <f>'LIVE SOURCE'!D195</f>
        <v>91.9</v>
      </c>
      <c r="D195" s="4">
        <f>'Manual Adjustments'!G195</f>
        <v>0</v>
      </c>
      <c r="E195" s="4">
        <f t="shared" ref="E195:E225" si="33">MAX(40,MIN(100,C195+D195))</f>
        <v>91.9</v>
      </c>
      <c r="F195">
        <f>COUNTIFS($A$3:$A$225,A195,$E$3:$E$225,"&gt;"&amp;E195)+COUNTIFS($A$3:A195,A195,$E$3:E195,E195)</f>
        <v>2</v>
      </c>
      <c r="G195" s="4">
        <f>ROUND(INDEX('League Config'!$K$4:$K$9,MATCH(A195,'League Config'!$E$4:$E$9,0))*E195+INDEX('League Config'!$L$4:$L$9,MATCH(A195,'League Config'!$E$4:$E$9,0)),1)</f>
        <v>115.4</v>
      </c>
      <c r="H195">
        <f>INDEX('League Config'!$H$4:$H$9,MATCH(A195,'League Config'!$E$4:$E$9,0))</f>
        <v>10</v>
      </c>
      <c r="I195" s="4">
        <f>INDEX('League Config'!$I$4:$I$9,MATCH(A195,'League Config'!$E$4:$E$9,0))</f>
        <v>99.6</v>
      </c>
      <c r="J195" s="4">
        <f t="shared" ref="J195:J225" si="34">ROUND(G195-I195,1)</f>
        <v>15.8</v>
      </c>
      <c r="K195" s="4">
        <f t="shared" ref="K195:K225" si="35">MAX(0,MIN(100,50+J195*0.6))</f>
        <v>59.480000000000004</v>
      </c>
      <c r="L195" s="4">
        <f>MIN(100,MAX(0,(1-(F195-1)/(H195*1.5))*100*INDEX('League Config'!$J$4:$J$9,MATCH(A195,'League Config'!$E$4:$E$9,0))))</f>
        <v>46.666666666666664</v>
      </c>
      <c r="M195">
        <f>IF(A195="K",'League Config'!$B$14,IF(A195="DST",'League Config'!$B$15,IF(A195="QB",'League Config'!$B$16,0)))</f>
        <v>20</v>
      </c>
      <c r="N195" s="4">
        <f t="shared" ref="N195:N225" si="36">MIN(100,MAX(0,0.55*E195+0.3*K195+0.15*L195-M195))</f>
        <v>55.38900000000001</v>
      </c>
      <c r="O195" s="9" t="str">
        <f t="shared" ref="O195:O225" si="37">IF(OR(A195="K",A195="DST"),"",N195)</f>
        <v/>
      </c>
      <c r="P195" s="6" t="str">
        <f>IF(O195="","",COUNTIF($O$3:$O$225,"&gt;"&amp;O195)+COUNTIF($O$3:O195,O195))</f>
        <v/>
      </c>
      <c r="Q195">
        <f t="shared" ref="Q195:Q225" si="38">IF(A195="DST",IF(F195&lt;=GateSize,DstStart-1+F195,NSkill+2*GateSize+F195-GateSize),IF(A195="K",IF(F195&lt;=GateSize,KStart-1+F195,NSkill+GateSize+NDst+F195-GateSize),IF(P195&lt;=DstStart-1,P195,P195+2*GateSize)))</f>
        <v>132</v>
      </c>
      <c r="R195" s="4">
        <f>'LIVE SOURCE'!E195</f>
        <v>164</v>
      </c>
      <c r="S195" s="4">
        <f t="shared" ref="S195:S225" si="39">R195-Q195</f>
        <v>32</v>
      </c>
      <c r="T195" t="str">
        <f>'LIVE SOURCE'!F195</f>
        <v>B</v>
      </c>
      <c r="U195" s="4">
        <f t="shared" ref="U195:U225" si="40">MAX(40,E195-IF(T195="A",6,IF(T195="B",9,12)))</f>
        <v>82.9</v>
      </c>
      <c r="V195" s="4">
        <f t="shared" ref="V195:V225" si="41">E195</f>
        <v>91.9</v>
      </c>
      <c r="W195" s="4">
        <f t="shared" ref="W195:W225" si="42">MIN(100,E195+IF(T195="A",6,IF(T195="B",9,12)))</f>
        <v>100</v>
      </c>
      <c r="X195" t="str">
        <f>'LIVE SOURCE'!G195</f>
        <v>DST MODEL</v>
      </c>
      <c r="Y195" t="str">
        <f>IF(INDEX('Draft Board'!$J$3:$J$225,Q195)="","Available",INDEX('Draft Board'!$J$3:$J$225,Q195))</f>
        <v>Available</v>
      </c>
      <c r="Z195">
        <f t="shared" ref="Z195:Z225" si="43">IF(Y195&lt;&gt;"Available","",1+COUNTIFS($Y$3:$Y$225,"Available",$Q$3:$Q$225,"&lt;"&amp;Q195))</f>
        <v>132</v>
      </c>
    </row>
    <row r="196" spans="1:26" x14ac:dyDescent="0.25">
      <c r="A196" t="str">
        <f>'LIVE SOURCE'!A196</f>
        <v>DST</v>
      </c>
      <c r="B196" t="str">
        <f>'LIVE SOURCE'!B196</f>
        <v>Seattle Seahawks</v>
      </c>
      <c r="C196" s="4">
        <f>'LIVE SOURCE'!D196</f>
        <v>90.8</v>
      </c>
      <c r="D196" s="4">
        <f>'Manual Adjustments'!G196</f>
        <v>0</v>
      </c>
      <c r="E196" s="4">
        <f t="shared" si="33"/>
        <v>90.8</v>
      </c>
      <c r="F196">
        <f>COUNTIFS($A$3:$A$225,A196,$E$3:$E$225,"&gt;"&amp;E196)+COUNTIFS($A$3:A196,A196,$E$3:E196,E196)</f>
        <v>3</v>
      </c>
      <c r="G196" s="4">
        <f>ROUND(INDEX('League Config'!$K$4:$K$9,MATCH(A196,'League Config'!$E$4:$E$9,0))*E196+INDEX('League Config'!$L$4:$L$9,MATCH(A196,'League Config'!$E$4:$E$9,0)),1)</f>
        <v>113.4</v>
      </c>
      <c r="H196">
        <f>INDEX('League Config'!$H$4:$H$9,MATCH(A196,'League Config'!$E$4:$E$9,0))</f>
        <v>10</v>
      </c>
      <c r="I196" s="4">
        <f>INDEX('League Config'!$I$4:$I$9,MATCH(A196,'League Config'!$E$4:$E$9,0))</f>
        <v>99.6</v>
      </c>
      <c r="J196" s="4">
        <f t="shared" si="34"/>
        <v>13.8</v>
      </c>
      <c r="K196" s="4">
        <f t="shared" si="35"/>
        <v>58.28</v>
      </c>
      <c r="L196" s="4">
        <f>MIN(100,MAX(0,(1-(F196-1)/(H196*1.5))*100*INDEX('League Config'!$J$4:$J$9,MATCH(A196,'League Config'!$E$4:$E$9,0))))</f>
        <v>43.333333333333336</v>
      </c>
      <c r="M196">
        <f>IF(A196="K",'League Config'!$B$14,IF(A196="DST",'League Config'!$B$15,IF(A196="QB",'League Config'!$B$16,0)))</f>
        <v>20</v>
      </c>
      <c r="N196" s="4">
        <f t="shared" si="36"/>
        <v>53.924000000000007</v>
      </c>
      <c r="O196" s="9" t="str">
        <f t="shared" si="37"/>
        <v/>
      </c>
      <c r="P196" s="6" t="str">
        <f>IF(O196="","",COUNTIF($O$3:$O$225,"&gt;"&amp;O196)+COUNTIF($O$3:O196,O196))</f>
        <v/>
      </c>
      <c r="Q196">
        <f t="shared" si="38"/>
        <v>133</v>
      </c>
      <c r="R196" s="4">
        <f>'LIVE SOURCE'!E196</f>
        <v>168</v>
      </c>
      <c r="S196" s="4">
        <f t="shared" si="39"/>
        <v>35</v>
      </c>
      <c r="T196" t="str">
        <f>'LIVE SOURCE'!F196</f>
        <v>B</v>
      </c>
      <c r="U196" s="4">
        <f t="shared" si="40"/>
        <v>81.8</v>
      </c>
      <c r="V196" s="4">
        <f t="shared" si="41"/>
        <v>90.8</v>
      </c>
      <c r="W196" s="4">
        <f t="shared" si="42"/>
        <v>99.8</v>
      </c>
      <c r="X196" t="str">
        <f>'LIVE SOURCE'!G196</f>
        <v>DST MODEL</v>
      </c>
      <c r="Y196" t="str">
        <f>IF(INDEX('Draft Board'!$J$3:$J$225,Q196)="","Available",INDEX('Draft Board'!$J$3:$J$225,Q196))</f>
        <v>Available</v>
      </c>
      <c r="Z196">
        <f t="shared" si="43"/>
        <v>133</v>
      </c>
    </row>
    <row r="197" spans="1:26" x14ac:dyDescent="0.25">
      <c r="A197" t="str">
        <f>'LIVE SOURCE'!A197</f>
        <v>DST</v>
      </c>
      <c r="B197" t="str">
        <f>'LIVE SOURCE'!B197</f>
        <v>Los Angeles Rams</v>
      </c>
      <c r="C197" s="4">
        <f>'LIVE SOURCE'!D197</f>
        <v>89.7</v>
      </c>
      <c r="D197" s="4">
        <f>'Manual Adjustments'!G197</f>
        <v>0</v>
      </c>
      <c r="E197" s="4">
        <f t="shared" si="33"/>
        <v>89.7</v>
      </c>
      <c r="F197">
        <f>COUNTIFS($A$3:$A$225,A197,$E$3:$E$225,"&gt;"&amp;E197)+COUNTIFS($A$3:A197,A197,$E$3:E197,E197)</f>
        <v>4</v>
      </c>
      <c r="G197" s="4">
        <f>ROUND(INDEX('League Config'!$K$4:$K$9,MATCH(A197,'League Config'!$E$4:$E$9,0))*E197+INDEX('League Config'!$L$4:$L$9,MATCH(A197,'League Config'!$E$4:$E$9,0)),1)</f>
        <v>111.5</v>
      </c>
      <c r="H197">
        <f>INDEX('League Config'!$H$4:$H$9,MATCH(A197,'League Config'!$E$4:$E$9,0))</f>
        <v>10</v>
      </c>
      <c r="I197" s="4">
        <f>INDEX('League Config'!$I$4:$I$9,MATCH(A197,'League Config'!$E$4:$E$9,0))</f>
        <v>99.6</v>
      </c>
      <c r="J197" s="4">
        <f t="shared" si="34"/>
        <v>11.9</v>
      </c>
      <c r="K197" s="4">
        <f t="shared" si="35"/>
        <v>57.14</v>
      </c>
      <c r="L197" s="4">
        <f>MIN(100,MAX(0,(1-(F197-1)/(H197*1.5))*100*INDEX('League Config'!$J$4:$J$9,MATCH(A197,'League Config'!$E$4:$E$9,0))))</f>
        <v>40</v>
      </c>
      <c r="M197">
        <f>IF(A197="K",'League Config'!$B$14,IF(A197="DST",'League Config'!$B$15,IF(A197="QB",'League Config'!$B$16,0)))</f>
        <v>20</v>
      </c>
      <c r="N197" s="4">
        <f t="shared" si="36"/>
        <v>52.477000000000004</v>
      </c>
      <c r="O197" s="9" t="str">
        <f t="shared" si="37"/>
        <v/>
      </c>
      <c r="P197" s="6" t="str">
        <f>IF(O197="","",COUNTIF($O$3:$O$225,"&gt;"&amp;O197)+COUNTIF($O$3:O197,O197))</f>
        <v/>
      </c>
      <c r="Q197">
        <f t="shared" si="38"/>
        <v>134</v>
      </c>
      <c r="R197" s="4">
        <f>'LIVE SOURCE'!E197</f>
        <v>172</v>
      </c>
      <c r="S197" s="4">
        <f t="shared" si="39"/>
        <v>38</v>
      </c>
      <c r="T197" t="str">
        <f>'LIVE SOURCE'!F197</f>
        <v>B</v>
      </c>
      <c r="U197" s="4">
        <f t="shared" si="40"/>
        <v>80.7</v>
      </c>
      <c r="V197" s="4">
        <f t="shared" si="41"/>
        <v>89.7</v>
      </c>
      <c r="W197" s="4">
        <f t="shared" si="42"/>
        <v>98.7</v>
      </c>
      <c r="X197" t="str">
        <f>'LIVE SOURCE'!G197</f>
        <v>DST MODEL</v>
      </c>
      <c r="Y197" t="str">
        <f>IF(INDEX('Draft Board'!$J$3:$J$225,Q197)="","Available",INDEX('Draft Board'!$J$3:$J$225,Q197))</f>
        <v>Available</v>
      </c>
      <c r="Z197">
        <f t="shared" si="43"/>
        <v>134</v>
      </c>
    </row>
    <row r="198" spans="1:26" x14ac:dyDescent="0.25">
      <c r="A198" t="str">
        <f>'LIVE SOURCE'!A198</f>
        <v>DST</v>
      </c>
      <c r="B198" t="str">
        <f>'LIVE SOURCE'!B198</f>
        <v>Philadelphia Eagles</v>
      </c>
      <c r="C198" s="4">
        <f>'LIVE SOURCE'!D198</f>
        <v>88.6</v>
      </c>
      <c r="D198" s="4">
        <f>'Manual Adjustments'!G198</f>
        <v>0</v>
      </c>
      <c r="E198" s="4">
        <f t="shared" si="33"/>
        <v>88.6</v>
      </c>
      <c r="F198">
        <f>COUNTIFS($A$3:$A$225,A198,$E$3:$E$225,"&gt;"&amp;E198)+COUNTIFS($A$3:A198,A198,$E$3:E198,E198)</f>
        <v>5</v>
      </c>
      <c r="G198" s="4">
        <f>ROUND(INDEX('League Config'!$K$4:$K$9,MATCH(A198,'League Config'!$E$4:$E$9,0))*E198+INDEX('League Config'!$L$4:$L$9,MATCH(A198,'League Config'!$E$4:$E$9,0)),1)</f>
        <v>109.5</v>
      </c>
      <c r="H198">
        <f>INDEX('League Config'!$H$4:$H$9,MATCH(A198,'League Config'!$E$4:$E$9,0))</f>
        <v>10</v>
      </c>
      <c r="I198" s="4">
        <f>INDEX('League Config'!$I$4:$I$9,MATCH(A198,'League Config'!$E$4:$E$9,0))</f>
        <v>99.6</v>
      </c>
      <c r="J198" s="4">
        <f t="shared" si="34"/>
        <v>9.9</v>
      </c>
      <c r="K198" s="4">
        <f t="shared" si="35"/>
        <v>55.94</v>
      </c>
      <c r="L198" s="4">
        <f>MIN(100,MAX(0,(1-(F198-1)/(H198*1.5))*100*INDEX('League Config'!$J$4:$J$9,MATCH(A198,'League Config'!$E$4:$E$9,0))))</f>
        <v>36.666666666666671</v>
      </c>
      <c r="M198">
        <f>IF(A198="K",'League Config'!$B$14,IF(A198="DST",'League Config'!$B$15,IF(A198="QB",'League Config'!$B$16,0)))</f>
        <v>20</v>
      </c>
      <c r="N198" s="4">
        <f t="shared" si="36"/>
        <v>51.012</v>
      </c>
      <c r="O198" s="9" t="str">
        <f t="shared" si="37"/>
        <v/>
      </c>
      <c r="P198" s="6" t="str">
        <f>IF(O198="","",COUNTIF($O$3:$O$225,"&gt;"&amp;O198)+COUNTIF($O$3:O198,O198))</f>
        <v/>
      </c>
      <c r="Q198">
        <f t="shared" si="38"/>
        <v>135</v>
      </c>
      <c r="R198" s="4">
        <f>'LIVE SOURCE'!E198</f>
        <v>176</v>
      </c>
      <c r="S198" s="4">
        <f t="shared" si="39"/>
        <v>41</v>
      </c>
      <c r="T198" t="str">
        <f>'LIVE SOURCE'!F198</f>
        <v>B</v>
      </c>
      <c r="U198" s="4">
        <f t="shared" si="40"/>
        <v>79.599999999999994</v>
      </c>
      <c r="V198" s="4">
        <f t="shared" si="41"/>
        <v>88.6</v>
      </c>
      <c r="W198" s="4">
        <f t="shared" si="42"/>
        <v>97.6</v>
      </c>
      <c r="X198" t="str">
        <f>'LIVE SOURCE'!G198</f>
        <v>DST MODEL</v>
      </c>
      <c r="Y198" t="str">
        <f>IF(INDEX('Draft Board'!$J$3:$J$225,Q198)="","Available",INDEX('Draft Board'!$J$3:$J$225,Q198))</f>
        <v>Available</v>
      </c>
      <c r="Z198">
        <f t="shared" si="43"/>
        <v>135</v>
      </c>
    </row>
    <row r="199" spans="1:26" x14ac:dyDescent="0.25">
      <c r="A199" t="str">
        <f>'LIVE SOURCE'!A199</f>
        <v>DST</v>
      </c>
      <c r="B199" t="str">
        <f>'LIVE SOURCE'!B199</f>
        <v>Minnesota Vikings</v>
      </c>
      <c r="C199" s="4">
        <f>'LIVE SOURCE'!D199</f>
        <v>87.5</v>
      </c>
      <c r="D199" s="4">
        <f>'Manual Adjustments'!G199</f>
        <v>0</v>
      </c>
      <c r="E199" s="4">
        <f t="shared" si="33"/>
        <v>87.5</v>
      </c>
      <c r="F199">
        <f>COUNTIFS($A$3:$A$225,A199,$E$3:$E$225,"&gt;"&amp;E199)+COUNTIFS($A$3:A199,A199,$E$3:E199,E199)</f>
        <v>6</v>
      </c>
      <c r="G199" s="4">
        <f>ROUND(INDEX('League Config'!$K$4:$K$9,MATCH(A199,'League Config'!$E$4:$E$9,0))*E199+INDEX('League Config'!$L$4:$L$9,MATCH(A199,'League Config'!$E$4:$E$9,0)),1)</f>
        <v>107.5</v>
      </c>
      <c r="H199">
        <f>INDEX('League Config'!$H$4:$H$9,MATCH(A199,'League Config'!$E$4:$E$9,0))</f>
        <v>10</v>
      </c>
      <c r="I199" s="4">
        <f>INDEX('League Config'!$I$4:$I$9,MATCH(A199,'League Config'!$E$4:$E$9,0))</f>
        <v>99.6</v>
      </c>
      <c r="J199" s="4">
        <f t="shared" si="34"/>
        <v>7.9</v>
      </c>
      <c r="K199" s="4">
        <f t="shared" si="35"/>
        <v>54.74</v>
      </c>
      <c r="L199" s="4">
        <f>MIN(100,MAX(0,(1-(F199-1)/(H199*1.5))*100*INDEX('League Config'!$J$4:$J$9,MATCH(A199,'League Config'!$E$4:$E$9,0))))</f>
        <v>33.333333333333336</v>
      </c>
      <c r="M199">
        <f>IF(A199="K",'League Config'!$B$14,IF(A199="DST",'League Config'!$B$15,IF(A199="QB",'League Config'!$B$16,0)))</f>
        <v>20</v>
      </c>
      <c r="N199" s="4">
        <f t="shared" si="36"/>
        <v>49.547000000000011</v>
      </c>
      <c r="O199" s="9" t="str">
        <f t="shared" si="37"/>
        <v/>
      </c>
      <c r="P199" s="6" t="str">
        <f>IF(O199="","",COUNTIF($O$3:$O$225,"&gt;"&amp;O199)+COUNTIF($O$3:O199,O199))</f>
        <v/>
      </c>
      <c r="Q199">
        <f t="shared" si="38"/>
        <v>136</v>
      </c>
      <c r="R199" s="4">
        <f>'LIVE SOURCE'!E199</f>
        <v>180</v>
      </c>
      <c r="S199" s="4">
        <f t="shared" si="39"/>
        <v>44</v>
      </c>
      <c r="T199" t="str">
        <f>'LIVE SOURCE'!F199</f>
        <v>B</v>
      </c>
      <c r="U199" s="4">
        <f t="shared" si="40"/>
        <v>78.5</v>
      </c>
      <c r="V199" s="4">
        <f t="shared" si="41"/>
        <v>87.5</v>
      </c>
      <c r="W199" s="4">
        <f t="shared" si="42"/>
        <v>96.5</v>
      </c>
      <c r="X199" t="str">
        <f>'LIVE SOURCE'!G199</f>
        <v>DST MODEL</v>
      </c>
      <c r="Y199" t="str">
        <f>IF(INDEX('Draft Board'!$J$3:$J$225,Q199)="","Available",INDEX('Draft Board'!$J$3:$J$225,Q199))</f>
        <v>Available</v>
      </c>
      <c r="Z199">
        <f t="shared" si="43"/>
        <v>136</v>
      </c>
    </row>
    <row r="200" spans="1:26" x14ac:dyDescent="0.25">
      <c r="A200" t="str">
        <f>'LIVE SOURCE'!A200</f>
        <v>DST</v>
      </c>
      <c r="B200" t="str">
        <f>'LIVE SOURCE'!B200</f>
        <v>New England Patriots</v>
      </c>
      <c r="C200" s="4">
        <f>'LIVE SOURCE'!D200</f>
        <v>86.4</v>
      </c>
      <c r="D200" s="4">
        <f>'Manual Adjustments'!G200</f>
        <v>0</v>
      </c>
      <c r="E200" s="4">
        <f t="shared" si="33"/>
        <v>86.4</v>
      </c>
      <c r="F200">
        <f>COUNTIFS($A$3:$A$225,A200,$E$3:$E$225,"&gt;"&amp;E200)+COUNTIFS($A$3:A200,A200,$E$3:E200,E200)</f>
        <v>7</v>
      </c>
      <c r="G200" s="4">
        <f>ROUND(INDEX('League Config'!$K$4:$K$9,MATCH(A200,'League Config'!$E$4:$E$9,0))*E200+INDEX('League Config'!$L$4:$L$9,MATCH(A200,'League Config'!$E$4:$E$9,0)),1)</f>
        <v>105.5</v>
      </c>
      <c r="H200">
        <f>INDEX('League Config'!$H$4:$H$9,MATCH(A200,'League Config'!$E$4:$E$9,0))</f>
        <v>10</v>
      </c>
      <c r="I200" s="4">
        <f>INDEX('League Config'!$I$4:$I$9,MATCH(A200,'League Config'!$E$4:$E$9,0))</f>
        <v>99.6</v>
      </c>
      <c r="J200" s="4">
        <f t="shared" si="34"/>
        <v>5.9</v>
      </c>
      <c r="K200" s="4">
        <f t="shared" si="35"/>
        <v>53.54</v>
      </c>
      <c r="L200" s="4">
        <f>MIN(100,MAX(0,(1-(F200-1)/(H200*1.5))*100*INDEX('League Config'!$J$4:$J$9,MATCH(A200,'League Config'!$E$4:$E$9,0))))</f>
        <v>30</v>
      </c>
      <c r="M200">
        <f>IF(A200="K",'League Config'!$B$14,IF(A200="DST",'League Config'!$B$15,IF(A200="QB",'League Config'!$B$16,0)))</f>
        <v>20</v>
      </c>
      <c r="N200" s="4">
        <f t="shared" si="36"/>
        <v>48.082000000000008</v>
      </c>
      <c r="O200" s="9" t="str">
        <f t="shared" si="37"/>
        <v/>
      </c>
      <c r="P200" s="6" t="str">
        <f>IF(O200="","",COUNTIF($O$3:$O$225,"&gt;"&amp;O200)+COUNTIF($O$3:O200,O200))</f>
        <v/>
      </c>
      <c r="Q200">
        <f t="shared" si="38"/>
        <v>137</v>
      </c>
      <c r="R200" s="4">
        <f>'LIVE SOURCE'!E200</f>
        <v>184</v>
      </c>
      <c r="S200" s="4">
        <f t="shared" si="39"/>
        <v>47</v>
      </c>
      <c r="T200" t="str">
        <f>'LIVE SOURCE'!F200</f>
        <v>B</v>
      </c>
      <c r="U200" s="4">
        <f t="shared" si="40"/>
        <v>77.400000000000006</v>
      </c>
      <c r="V200" s="4">
        <f t="shared" si="41"/>
        <v>86.4</v>
      </c>
      <c r="W200" s="4">
        <f t="shared" si="42"/>
        <v>95.4</v>
      </c>
      <c r="X200" t="str">
        <f>'LIVE SOURCE'!G200</f>
        <v>DST MODEL</v>
      </c>
      <c r="Y200" t="str">
        <f>IF(INDEX('Draft Board'!$J$3:$J$225,Q200)="","Available",INDEX('Draft Board'!$J$3:$J$225,Q200))</f>
        <v>Available</v>
      </c>
      <c r="Z200">
        <f t="shared" si="43"/>
        <v>137</v>
      </c>
    </row>
    <row r="201" spans="1:26" x14ac:dyDescent="0.25">
      <c r="A201" t="str">
        <f>'LIVE SOURCE'!A201</f>
        <v>DST</v>
      </c>
      <c r="B201" t="str">
        <f>'LIVE SOURCE'!B201</f>
        <v>Jacksonville Jaguars</v>
      </c>
      <c r="C201" s="4">
        <f>'LIVE SOURCE'!D201</f>
        <v>85.3</v>
      </c>
      <c r="D201" s="4">
        <f>'Manual Adjustments'!G201</f>
        <v>0</v>
      </c>
      <c r="E201" s="4">
        <f t="shared" si="33"/>
        <v>85.3</v>
      </c>
      <c r="F201">
        <f>COUNTIFS($A$3:$A$225,A201,$E$3:$E$225,"&gt;"&amp;E201)+COUNTIFS($A$3:A201,A201,$E$3:E201,E201)</f>
        <v>8</v>
      </c>
      <c r="G201" s="4">
        <f>ROUND(INDEX('League Config'!$K$4:$K$9,MATCH(A201,'League Config'!$E$4:$E$9,0))*E201+INDEX('League Config'!$L$4:$L$9,MATCH(A201,'League Config'!$E$4:$E$9,0)),1)</f>
        <v>103.5</v>
      </c>
      <c r="H201">
        <f>INDEX('League Config'!$H$4:$H$9,MATCH(A201,'League Config'!$E$4:$E$9,0))</f>
        <v>10</v>
      </c>
      <c r="I201" s="4">
        <f>INDEX('League Config'!$I$4:$I$9,MATCH(A201,'League Config'!$E$4:$E$9,0))</f>
        <v>99.6</v>
      </c>
      <c r="J201" s="4">
        <f t="shared" si="34"/>
        <v>3.9</v>
      </c>
      <c r="K201" s="4">
        <f t="shared" si="35"/>
        <v>52.34</v>
      </c>
      <c r="L201" s="4">
        <f>MIN(100,MAX(0,(1-(F201-1)/(H201*1.5))*100*INDEX('League Config'!$J$4:$J$9,MATCH(A201,'League Config'!$E$4:$E$9,0))))</f>
        <v>26.666666666666668</v>
      </c>
      <c r="M201">
        <f>IF(A201="K",'League Config'!$B$14,IF(A201="DST",'League Config'!$B$15,IF(A201="QB",'League Config'!$B$16,0)))</f>
        <v>20</v>
      </c>
      <c r="N201" s="4">
        <f t="shared" si="36"/>
        <v>46.61699999999999</v>
      </c>
      <c r="O201" s="9" t="str">
        <f t="shared" si="37"/>
        <v/>
      </c>
      <c r="P201" s="6" t="str">
        <f>IF(O201="","",COUNTIF($O$3:$O$225,"&gt;"&amp;O201)+COUNTIF($O$3:O201,O201))</f>
        <v/>
      </c>
      <c r="Q201">
        <f t="shared" si="38"/>
        <v>138</v>
      </c>
      <c r="R201" s="4">
        <f>'LIVE SOURCE'!E201</f>
        <v>188</v>
      </c>
      <c r="S201" s="4">
        <f t="shared" si="39"/>
        <v>50</v>
      </c>
      <c r="T201" t="str">
        <f>'LIVE SOURCE'!F201</f>
        <v>B</v>
      </c>
      <c r="U201" s="4">
        <f t="shared" si="40"/>
        <v>76.3</v>
      </c>
      <c r="V201" s="4">
        <f t="shared" si="41"/>
        <v>85.3</v>
      </c>
      <c r="W201" s="4">
        <f t="shared" si="42"/>
        <v>94.3</v>
      </c>
      <c r="X201" t="str">
        <f>'LIVE SOURCE'!G201</f>
        <v>DST MODEL</v>
      </c>
      <c r="Y201" t="str">
        <f>IF(INDEX('Draft Board'!$J$3:$J$225,Q201)="","Available",INDEX('Draft Board'!$J$3:$J$225,Q201))</f>
        <v>Available</v>
      </c>
      <c r="Z201">
        <f t="shared" si="43"/>
        <v>138</v>
      </c>
    </row>
    <row r="202" spans="1:26" x14ac:dyDescent="0.25">
      <c r="A202" t="str">
        <f>'LIVE SOURCE'!A202</f>
        <v>DST</v>
      </c>
      <c r="B202" t="str">
        <f>'LIVE SOURCE'!B202</f>
        <v>Pittsburgh Steelers</v>
      </c>
      <c r="C202" s="4">
        <f>'LIVE SOURCE'!D202</f>
        <v>84.2</v>
      </c>
      <c r="D202" s="4">
        <f>'Manual Adjustments'!G202</f>
        <v>0</v>
      </c>
      <c r="E202" s="4">
        <f t="shared" si="33"/>
        <v>84.2</v>
      </c>
      <c r="F202">
        <f>COUNTIFS($A$3:$A$225,A202,$E$3:$E$225,"&gt;"&amp;E202)+COUNTIFS($A$3:A202,A202,$E$3:E202,E202)</f>
        <v>9</v>
      </c>
      <c r="G202" s="4">
        <f>ROUND(INDEX('League Config'!$K$4:$K$9,MATCH(A202,'League Config'!$E$4:$E$9,0))*E202+INDEX('League Config'!$L$4:$L$9,MATCH(A202,'League Config'!$E$4:$E$9,0)),1)</f>
        <v>101.6</v>
      </c>
      <c r="H202">
        <f>INDEX('League Config'!$H$4:$H$9,MATCH(A202,'League Config'!$E$4:$E$9,0))</f>
        <v>10</v>
      </c>
      <c r="I202" s="4">
        <f>INDEX('League Config'!$I$4:$I$9,MATCH(A202,'League Config'!$E$4:$E$9,0))</f>
        <v>99.6</v>
      </c>
      <c r="J202" s="4">
        <f t="shared" si="34"/>
        <v>2</v>
      </c>
      <c r="K202" s="4">
        <f t="shared" si="35"/>
        <v>51.2</v>
      </c>
      <c r="L202" s="4">
        <f>MIN(100,MAX(0,(1-(F202-1)/(H202*1.5))*100*INDEX('League Config'!$J$4:$J$9,MATCH(A202,'League Config'!$E$4:$E$9,0))))</f>
        <v>23.333333333333332</v>
      </c>
      <c r="M202">
        <f>IF(A202="K",'League Config'!$B$14,IF(A202="DST",'League Config'!$B$15,IF(A202="QB",'League Config'!$B$16,0)))</f>
        <v>20</v>
      </c>
      <c r="N202" s="4">
        <f t="shared" si="36"/>
        <v>45.17</v>
      </c>
      <c r="O202" s="9" t="str">
        <f t="shared" si="37"/>
        <v/>
      </c>
      <c r="P202" s="6" t="str">
        <f>IF(O202="","",COUNTIF($O$3:$O$225,"&gt;"&amp;O202)+COUNTIF($O$3:O202,O202))</f>
        <v/>
      </c>
      <c r="Q202">
        <f t="shared" si="38"/>
        <v>139</v>
      </c>
      <c r="R202" s="4">
        <f>'LIVE SOURCE'!E202</f>
        <v>192</v>
      </c>
      <c r="S202" s="4">
        <f t="shared" si="39"/>
        <v>53</v>
      </c>
      <c r="T202" t="str">
        <f>'LIVE SOURCE'!F202</f>
        <v>B</v>
      </c>
      <c r="U202" s="4">
        <f t="shared" si="40"/>
        <v>75.2</v>
      </c>
      <c r="V202" s="4">
        <f t="shared" si="41"/>
        <v>84.2</v>
      </c>
      <c r="W202" s="4">
        <f t="shared" si="42"/>
        <v>93.2</v>
      </c>
      <c r="X202" t="str">
        <f>'LIVE SOURCE'!G202</f>
        <v>DST MODEL</v>
      </c>
      <c r="Y202" t="str">
        <f>IF(INDEX('Draft Board'!$J$3:$J$225,Q202)="","Available",INDEX('Draft Board'!$J$3:$J$225,Q202))</f>
        <v>Available</v>
      </c>
      <c r="Z202">
        <f t="shared" si="43"/>
        <v>139</v>
      </c>
    </row>
    <row r="203" spans="1:26" x14ac:dyDescent="0.25">
      <c r="A203" t="str">
        <f>'LIVE SOURCE'!A203</f>
        <v>DST</v>
      </c>
      <c r="B203" t="str">
        <f>'LIVE SOURCE'!B203</f>
        <v>Los Angeles Chargers</v>
      </c>
      <c r="C203" s="4">
        <f>'LIVE SOURCE'!D203</f>
        <v>83.1</v>
      </c>
      <c r="D203" s="4">
        <f>'Manual Adjustments'!G203</f>
        <v>0</v>
      </c>
      <c r="E203" s="4">
        <f t="shared" si="33"/>
        <v>83.1</v>
      </c>
      <c r="F203">
        <f>COUNTIFS($A$3:$A$225,A203,$E$3:$E$225,"&gt;"&amp;E203)+COUNTIFS($A$3:A203,A203,$E$3:E203,E203)</f>
        <v>10</v>
      </c>
      <c r="G203" s="4">
        <f>ROUND(INDEX('League Config'!$K$4:$K$9,MATCH(A203,'League Config'!$E$4:$E$9,0))*E203+INDEX('League Config'!$L$4:$L$9,MATCH(A203,'League Config'!$E$4:$E$9,0)),1)</f>
        <v>99.6</v>
      </c>
      <c r="H203">
        <f>INDEX('League Config'!$H$4:$H$9,MATCH(A203,'League Config'!$E$4:$E$9,0))</f>
        <v>10</v>
      </c>
      <c r="I203" s="4">
        <f>INDEX('League Config'!$I$4:$I$9,MATCH(A203,'League Config'!$E$4:$E$9,0))</f>
        <v>99.6</v>
      </c>
      <c r="J203" s="4">
        <f t="shared" si="34"/>
        <v>0</v>
      </c>
      <c r="K203" s="4">
        <f t="shared" si="35"/>
        <v>50</v>
      </c>
      <c r="L203" s="4">
        <f>MIN(100,MAX(0,(1-(F203-1)/(H203*1.5))*100*INDEX('League Config'!$J$4:$J$9,MATCH(A203,'League Config'!$E$4:$E$9,0))))</f>
        <v>20</v>
      </c>
      <c r="M203">
        <f>IF(A203="K",'League Config'!$B$14,IF(A203="DST",'League Config'!$B$15,IF(A203="QB",'League Config'!$B$16,0)))</f>
        <v>20</v>
      </c>
      <c r="N203" s="4">
        <f t="shared" si="36"/>
        <v>43.704999999999998</v>
      </c>
      <c r="O203" s="9" t="str">
        <f t="shared" si="37"/>
        <v/>
      </c>
      <c r="P203" s="6" t="str">
        <f>IF(O203="","",COUNTIF($O$3:$O$225,"&gt;"&amp;O203)+COUNTIF($O$3:O203,O203))</f>
        <v/>
      </c>
      <c r="Q203">
        <f t="shared" si="38"/>
        <v>140</v>
      </c>
      <c r="R203" s="4">
        <f>'LIVE SOURCE'!E203</f>
        <v>196</v>
      </c>
      <c r="S203" s="4">
        <f t="shared" si="39"/>
        <v>56</v>
      </c>
      <c r="T203" t="str">
        <f>'LIVE SOURCE'!F203</f>
        <v>B</v>
      </c>
      <c r="U203" s="4">
        <f t="shared" si="40"/>
        <v>74.099999999999994</v>
      </c>
      <c r="V203" s="4">
        <f t="shared" si="41"/>
        <v>83.1</v>
      </c>
      <c r="W203" s="4">
        <f t="shared" si="42"/>
        <v>92.1</v>
      </c>
      <c r="X203" t="str">
        <f>'LIVE SOURCE'!G203</f>
        <v>DST MODEL</v>
      </c>
      <c r="Y203" t="str">
        <f>IF(INDEX('Draft Board'!$J$3:$J$225,Q203)="","Available",INDEX('Draft Board'!$J$3:$J$225,Q203))</f>
        <v>Available</v>
      </c>
      <c r="Z203">
        <f t="shared" si="43"/>
        <v>140</v>
      </c>
    </row>
    <row r="204" spans="1:26" x14ac:dyDescent="0.25">
      <c r="A204" t="str">
        <f>'LIVE SOURCE'!A204</f>
        <v>DST</v>
      </c>
      <c r="B204" t="str">
        <f>'LIVE SOURCE'!B204</f>
        <v>Baltimore Ravens</v>
      </c>
      <c r="C204" s="4">
        <f>'LIVE SOURCE'!D204</f>
        <v>82</v>
      </c>
      <c r="D204" s="4">
        <f>'Manual Adjustments'!G204</f>
        <v>0</v>
      </c>
      <c r="E204" s="4">
        <f t="shared" si="33"/>
        <v>82</v>
      </c>
      <c r="F204">
        <f>COUNTIFS($A$3:$A$225,A204,$E$3:$E$225,"&gt;"&amp;E204)+COUNTIFS($A$3:A204,A204,$E$3:E204,E204)</f>
        <v>11</v>
      </c>
      <c r="G204" s="4">
        <f>ROUND(INDEX('League Config'!$K$4:$K$9,MATCH(A204,'League Config'!$E$4:$E$9,0))*E204+INDEX('League Config'!$L$4:$L$9,MATCH(A204,'League Config'!$E$4:$E$9,0)),1)</f>
        <v>97.6</v>
      </c>
      <c r="H204">
        <f>INDEX('League Config'!$H$4:$H$9,MATCH(A204,'League Config'!$E$4:$E$9,0))</f>
        <v>10</v>
      </c>
      <c r="I204" s="4">
        <f>INDEX('League Config'!$I$4:$I$9,MATCH(A204,'League Config'!$E$4:$E$9,0))</f>
        <v>99.6</v>
      </c>
      <c r="J204" s="4">
        <f t="shared" si="34"/>
        <v>-2</v>
      </c>
      <c r="K204" s="4">
        <f t="shared" si="35"/>
        <v>48.8</v>
      </c>
      <c r="L204" s="4">
        <f>MIN(100,MAX(0,(1-(F204-1)/(H204*1.5))*100*INDEX('League Config'!$J$4:$J$9,MATCH(A204,'League Config'!$E$4:$E$9,0))))</f>
        <v>16.666666666666668</v>
      </c>
      <c r="M204">
        <f>IF(A204="K",'League Config'!$B$14,IF(A204="DST",'League Config'!$B$15,IF(A204="QB",'League Config'!$B$16,0)))</f>
        <v>20</v>
      </c>
      <c r="N204" s="4">
        <f t="shared" si="36"/>
        <v>42.24</v>
      </c>
      <c r="O204" s="9" t="str">
        <f t="shared" si="37"/>
        <v/>
      </c>
      <c r="P204" s="6" t="str">
        <f>IF(O204="","",COUNTIF($O$3:$O$225,"&gt;"&amp;O204)+COUNTIF($O$3:O204,O204))</f>
        <v/>
      </c>
      <c r="Q204">
        <f t="shared" si="38"/>
        <v>200</v>
      </c>
      <c r="R204" s="4">
        <f>'LIVE SOURCE'!E204</f>
        <v>200</v>
      </c>
      <c r="S204" s="4">
        <f t="shared" si="39"/>
        <v>0</v>
      </c>
      <c r="T204" t="str">
        <f>'LIVE SOURCE'!F204</f>
        <v>B</v>
      </c>
      <c r="U204" s="4">
        <f t="shared" si="40"/>
        <v>73</v>
      </c>
      <c r="V204" s="4">
        <f t="shared" si="41"/>
        <v>82</v>
      </c>
      <c r="W204" s="4">
        <f t="shared" si="42"/>
        <v>91</v>
      </c>
      <c r="X204" t="str">
        <f>'LIVE SOURCE'!G204</f>
        <v>DST MODEL</v>
      </c>
      <c r="Y204" t="str">
        <f>IF(INDEX('Draft Board'!$J$3:$J$225,Q204)="","Available",INDEX('Draft Board'!$J$3:$J$225,Q204))</f>
        <v>Available</v>
      </c>
      <c r="Z204">
        <f t="shared" si="43"/>
        <v>200</v>
      </c>
    </row>
    <row r="205" spans="1:26" x14ac:dyDescent="0.25">
      <c r="A205" t="str">
        <f>'LIVE SOURCE'!A205</f>
        <v>DST</v>
      </c>
      <c r="B205" t="str">
        <f>'LIVE SOURCE'!B205</f>
        <v>Green Bay Packers</v>
      </c>
      <c r="C205" s="4">
        <f>'LIVE SOURCE'!D205</f>
        <v>80.900000000000006</v>
      </c>
      <c r="D205" s="4">
        <f>'Manual Adjustments'!G205</f>
        <v>0</v>
      </c>
      <c r="E205" s="4">
        <f t="shared" si="33"/>
        <v>80.900000000000006</v>
      </c>
      <c r="F205">
        <f>COUNTIFS($A$3:$A$225,A205,$E$3:$E$225,"&gt;"&amp;E205)+COUNTIFS($A$3:A205,A205,$E$3:E205,E205)</f>
        <v>12</v>
      </c>
      <c r="G205" s="4">
        <f>ROUND(INDEX('League Config'!$K$4:$K$9,MATCH(A205,'League Config'!$E$4:$E$9,0))*E205+INDEX('League Config'!$L$4:$L$9,MATCH(A205,'League Config'!$E$4:$E$9,0)),1)</f>
        <v>95.6</v>
      </c>
      <c r="H205">
        <f>INDEX('League Config'!$H$4:$H$9,MATCH(A205,'League Config'!$E$4:$E$9,0))</f>
        <v>10</v>
      </c>
      <c r="I205" s="4">
        <f>INDEX('League Config'!$I$4:$I$9,MATCH(A205,'League Config'!$E$4:$E$9,0))</f>
        <v>99.6</v>
      </c>
      <c r="J205" s="4">
        <f t="shared" si="34"/>
        <v>-4</v>
      </c>
      <c r="K205" s="4">
        <f t="shared" si="35"/>
        <v>47.6</v>
      </c>
      <c r="L205" s="4">
        <f>MIN(100,MAX(0,(1-(F205-1)/(H205*1.5))*100*INDEX('League Config'!$J$4:$J$9,MATCH(A205,'League Config'!$E$4:$E$9,0))))</f>
        <v>13.333333333333336</v>
      </c>
      <c r="M205">
        <f>IF(A205="K",'League Config'!$B$14,IF(A205="DST",'League Config'!$B$15,IF(A205="QB",'League Config'!$B$16,0)))</f>
        <v>20</v>
      </c>
      <c r="N205" s="4">
        <f t="shared" si="36"/>
        <v>40.775000000000006</v>
      </c>
      <c r="O205" s="9" t="str">
        <f t="shared" si="37"/>
        <v/>
      </c>
      <c r="P205" s="6" t="str">
        <f>IF(O205="","",COUNTIF($O$3:$O$225,"&gt;"&amp;O205)+COUNTIF($O$3:O205,O205))</f>
        <v/>
      </c>
      <c r="Q205">
        <f t="shared" si="38"/>
        <v>201</v>
      </c>
      <c r="R205" s="4">
        <f>'LIVE SOURCE'!E205</f>
        <v>204</v>
      </c>
      <c r="S205" s="4">
        <f t="shared" si="39"/>
        <v>3</v>
      </c>
      <c r="T205" t="str">
        <f>'LIVE SOURCE'!F205</f>
        <v>B</v>
      </c>
      <c r="U205" s="4">
        <f t="shared" si="40"/>
        <v>71.900000000000006</v>
      </c>
      <c r="V205" s="4">
        <f t="shared" si="41"/>
        <v>80.900000000000006</v>
      </c>
      <c r="W205" s="4">
        <f t="shared" si="42"/>
        <v>89.9</v>
      </c>
      <c r="X205" t="str">
        <f>'LIVE SOURCE'!G205</f>
        <v>DST MODEL</v>
      </c>
      <c r="Y205" t="str">
        <f>IF(INDEX('Draft Board'!$J$3:$J$225,Q205)="","Available",INDEX('Draft Board'!$J$3:$J$225,Q205))</f>
        <v>Available</v>
      </c>
      <c r="Z205">
        <f t="shared" si="43"/>
        <v>201</v>
      </c>
    </row>
    <row r="206" spans="1:26" x14ac:dyDescent="0.25">
      <c r="A206" t="str">
        <f>'LIVE SOURCE'!A206</f>
        <v>DST</v>
      </c>
      <c r="B206" t="str">
        <f>'LIVE SOURCE'!B206</f>
        <v>Detroit Lions</v>
      </c>
      <c r="C206" s="4">
        <f>'LIVE SOURCE'!D206</f>
        <v>79.8</v>
      </c>
      <c r="D206" s="4">
        <f>'Manual Adjustments'!G206</f>
        <v>0</v>
      </c>
      <c r="E206" s="4">
        <f t="shared" si="33"/>
        <v>79.8</v>
      </c>
      <c r="F206">
        <f>COUNTIFS($A$3:$A$225,A206,$E$3:$E$225,"&gt;"&amp;E206)+COUNTIFS($A$3:A206,A206,$E$3:E206,E206)</f>
        <v>13</v>
      </c>
      <c r="G206" s="4">
        <f>ROUND(INDEX('League Config'!$K$4:$K$9,MATCH(A206,'League Config'!$E$4:$E$9,0))*E206+INDEX('League Config'!$L$4:$L$9,MATCH(A206,'League Config'!$E$4:$E$9,0)),1)</f>
        <v>93.6</v>
      </c>
      <c r="H206">
        <f>INDEX('League Config'!$H$4:$H$9,MATCH(A206,'League Config'!$E$4:$E$9,0))</f>
        <v>10</v>
      </c>
      <c r="I206" s="4">
        <f>INDEX('League Config'!$I$4:$I$9,MATCH(A206,'League Config'!$E$4:$E$9,0))</f>
        <v>99.6</v>
      </c>
      <c r="J206" s="4">
        <f t="shared" si="34"/>
        <v>-6</v>
      </c>
      <c r="K206" s="4">
        <f t="shared" si="35"/>
        <v>46.4</v>
      </c>
      <c r="L206" s="4">
        <f>MIN(100,MAX(0,(1-(F206-1)/(H206*1.5))*100*INDEX('League Config'!$J$4:$J$9,MATCH(A206,'League Config'!$E$4:$E$9,0))))</f>
        <v>9.9999999999999982</v>
      </c>
      <c r="M206">
        <f>IF(A206="K",'League Config'!$B$14,IF(A206="DST",'League Config'!$B$15,IF(A206="QB",'League Config'!$B$16,0)))</f>
        <v>20</v>
      </c>
      <c r="N206" s="4">
        <f t="shared" si="36"/>
        <v>39.31</v>
      </c>
      <c r="O206" s="9" t="str">
        <f t="shared" si="37"/>
        <v/>
      </c>
      <c r="P206" s="6" t="str">
        <f>IF(O206="","",COUNTIF($O$3:$O$225,"&gt;"&amp;O206)+COUNTIF($O$3:O206,O206))</f>
        <v/>
      </c>
      <c r="Q206">
        <f t="shared" si="38"/>
        <v>202</v>
      </c>
      <c r="R206" s="4">
        <f>'LIVE SOURCE'!E206</f>
        <v>208</v>
      </c>
      <c r="S206" s="4">
        <f t="shared" si="39"/>
        <v>6</v>
      </c>
      <c r="T206" t="str">
        <f>'LIVE SOURCE'!F206</f>
        <v>B</v>
      </c>
      <c r="U206" s="4">
        <f t="shared" si="40"/>
        <v>70.8</v>
      </c>
      <c r="V206" s="4">
        <f t="shared" si="41"/>
        <v>79.8</v>
      </c>
      <c r="W206" s="4">
        <f t="shared" si="42"/>
        <v>88.8</v>
      </c>
      <c r="X206" t="str">
        <f>'LIVE SOURCE'!G206</f>
        <v>DST MODEL</v>
      </c>
      <c r="Y206" t="str">
        <f>IF(INDEX('Draft Board'!$J$3:$J$225,Q206)="","Available",INDEX('Draft Board'!$J$3:$J$225,Q206))</f>
        <v>Available</v>
      </c>
      <c r="Z206">
        <f t="shared" si="43"/>
        <v>202</v>
      </c>
    </row>
    <row r="207" spans="1:26" x14ac:dyDescent="0.25">
      <c r="A207" t="str">
        <f>'LIVE SOURCE'!A207</f>
        <v>DST</v>
      </c>
      <c r="B207" t="str">
        <f>'LIVE SOURCE'!B207</f>
        <v>Buffalo Bills</v>
      </c>
      <c r="C207" s="4">
        <f>'LIVE SOURCE'!D207</f>
        <v>78.7</v>
      </c>
      <c r="D207" s="4">
        <f>'Manual Adjustments'!G207</f>
        <v>0</v>
      </c>
      <c r="E207" s="4">
        <f t="shared" si="33"/>
        <v>78.7</v>
      </c>
      <c r="F207">
        <f>COUNTIFS($A$3:$A$225,A207,$E$3:$E$225,"&gt;"&amp;E207)+COUNTIFS($A$3:A207,A207,$E$3:E207,E207)</f>
        <v>14</v>
      </c>
      <c r="G207" s="4">
        <f>ROUND(INDEX('League Config'!$K$4:$K$9,MATCH(A207,'League Config'!$E$4:$E$9,0))*E207+INDEX('League Config'!$L$4:$L$9,MATCH(A207,'League Config'!$E$4:$E$9,0)),1)</f>
        <v>91.7</v>
      </c>
      <c r="H207">
        <f>INDEX('League Config'!$H$4:$H$9,MATCH(A207,'League Config'!$E$4:$E$9,0))</f>
        <v>10</v>
      </c>
      <c r="I207" s="4">
        <f>INDEX('League Config'!$I$4:$I$9,MATCH(A207,'League Config'!$E$4:$E$9,0))</f>
        <v>99.6</v>
      </c>
      <c r="J207" s="4">
        <f t="shared" si="34"/>
        <v>-7.9</v>
      </c>
      <c r="K207" s="4">
        <f t="shared" si="35"/>
        <v>45.26</v>
      </c>
      <c r="L207" s="4">
        <f>MIN(100,MAX(0,(1-(F207-1)/(H207*1.5))*100*INDEX('League Config'!$J$4:$J$9,MATCH(A207,'League Config'!$E$4:$E$9,0))))</f>
        <v>6.6666666666666652</v>
      </c>
      <c r="M207">
        <f>IF(A207="K",'League Config'!$B$14,IF(A207="DST",'League Config'!$B$15,IF(A207="QB",'League Config'!$B$16,0)))</f>
        <v>20</v>
      </c>
      <c r="N207" s="4">
        <f t="shared" si="36"/>
        <v>37.863</v>
      </c>
      <c r="O207" s="9" t="str">
        <f t="shared" si="37"/>
        <v/>
      </c>
      <c r="P207" s="6" t="str">
        <f>IF(O207="","",COUNTIF($O$3:$O$225,"&gt;"&amp;O207)+COUNTIF($O$3:O207,O207))</f>
        <v/>
      </c>
      <c r="Q207">
        <f t="shared" si="38"/>
        <v>203</v>
      </c>
      <c r="R207" s="4">
        <f>'LIVE SOURCE'!E207</f>
        <v>212</v>
      </c>
      <c r="S207" s="4">
        <f t="shared" si="39"/>
        <v>9</v>
      </c>
      <c r="T207" t="str">
        <f>'LIVE SOURCE'!F207</f>
        <v>B</v>
      </c>
      <c r="U207" s="4">
        <f t="shared" si="40"/>
        <v>69.7</v>
      </c>
      <c r="V207" s="4">
        <f t="shared" si="41"/>
        <v>78.7</v>
      </c>
      <c r="W207" s="4">
        <f t="shared" si="42"/>
        <v>87.7</v>
      </c>
      <c r="X207" t="str">
        <f>'LIVE SOURCE'!G207</f>
        <v>DST MODEL</v>
      </c>
      <c r="Y207" t="str">
        <f>IF(INDEX('Draft Board'!$J$3:$J$225,Q207)="","Available",INDEX('Draft Board'!$J$3:$J$225,Q207))</f>
        <v>Available</v>
      </c>
      <c r="Z207">
        <f t="shared" si="43"/>
        <v>203</v>
      </c>
    </row>
    <row r="208" spans="1:26" x14ac:dyDescent="0.25">
      <c r="A208" t="str">
        <f>'LIVE SOURCE'!A208</f>
        <v>DST</v>
      </c>
      <c r="B208" t="str">
        <f>'LIVE SOURCE'!B208</f>
        <v>Kansas City Chiefs</v>
      </c>
      <c r="C208" s="4">
        <f>'LIVE SOURCE'!D208</f>
        <v>77.599999999999994</v>
      </c>
      <c r="D208" s="4">
        <f>'Manual Adjustments'!G208</f>
        <v>0</v>
      </c>
      <c r="E208" s="4">
        <f t="shared" si="33"/>
        <v>77.599999999999994</v>
      </c>
      <c r="F208">
        <f>COUNTIFS($A$3:$A$225,A208,$E$3:$E$225,"&gt;"&amp;E208)+COUNTIFS($A$3:A208,A208,$E$3:E208,E208)</f>
        <v>15</v>
      </c>
      <c r="G208" s="4">
        <f>ROUND(INDEX('League Config'!$K$4:$K$9,MATCH(A208,'League Config'!$E$4:$E$9,0))*E208+INDEX('League Config'!$L$4:$L$9,MATCH(A208,'League Config'!$E$4:$E$9,0)),1)</f>
        <v>89.7</v>
      </c>
      <c r="H208">
        <f>INDEX('League Config'!$H$4:$H$9,MATCH(A208,'League Config'!$E$4:$E$9,0))</f>
        <v>10</v>
      </c>
      <c r="I208" s="4">
        <f>INDEX('League Config'!$I$4:$I$9,MATCH(A208,'League Config'!$E$4:$E$9,0))</f>
        <v>99.6</v>
      </c>
      <c r="J208" s="4">
        <f t="shared" si="34"/>
        <v>-9.9</v>
      </c>
      <c r="K208" s="4">
        <f t="shared" si="35"/>
        <v>44.06</v>
      </c>
      <c r="L208" s="4">
        <f>MIN(100,MAX(0,(1-(F208-1)/(H208*1.5))*100*INDEX('League Config'!$J$4:$J$9,MATCH(A208,'League Config'!$E$4:$E$9,0))))</f>
        <v>3.3333333333333326</v>
      </c>
      <c r="M208">
        <f>IF(A208="K",'League Config'!$B$14,IF(A208="DST",'League Config'!$B$15,IF(A208="QB",'League Config'!$B$16,0)))</f>
        <v>20</v>
      </c>
      <c r="N208" s="4">
        <f t="shared" si="36"/>
        <v>36.397999999999996</v>
      </c>
      <c r="O208" s="9" t="str">
        <f t="shared" si="37"/>
        <v/>
      </c>
      <c r="P208" s="6" t="str">
        <f>IF(O208="","",COUNTIF($O$3:$O$225,"&gt;"&amp;O208)+COUNTIF($O$3:O208,O208))</f>
        <v/>
      </c>
      <c r="Q208">
        <f t="shared" si="38"/>
        <v>204</v>
      </c>
      <c r="R208" s="4">
        <f>'LIVE SOURCE'!E208</f>
        <v>216</v>
      </c>
      <c r="S208" s="4">
        <f t="shared" si="39"/>
        <v>12</v>
      </c>
      <c r="T208" t="str">
        <f>'LIVE SOURCE'!F208</f>
        <v>B</v>
      </c>
      <c r="U208" s="4">
        <f t="shared" si="40"/>
        <v>68.599999999999994</v>
      </c>
      <c r="V208" s="4">
        <f t="shared" si="41"/>
        <v>77.599999999999994</v>
      </c>
      <c r="W208" s="4">
        <f t="shared" si="42"/>
        <v>86.6</v>
      </c>
      <c r="X208" t="str">
        <f>'LIVE SOURCE'!G208</f>
        <v>DST MODEL</v>
      </c>
      <c r="Y208" t="str">
        <f>IF(INDEX('Draft Board'!$J$3:$J$225,Q208)="","Available",INDEX('Draft Board'!$J$3:$J$225,Q208))</f>
        <v>Available</v>
      </c>
      <c r="Z208">
        <f t="shared" si="43"/>
        <v>204</v>
      </c>
    </row>
    <row r="209" spans="1:26" x14ac:dyDescent="0.25">
      <c r="A209" t="str">
        <f>'LIVE SOURCE'!A209</f>
        <v>DST</v>
      </c>
      <c r="B209" t="str">
        <f>'LIVE SOURCE'!B209</f>
        <v>Cleveland Browns</v>
      </c>
      <c r="C209" s="4">
        <f>'LIVE SOURCE'!D209</f>
        <v>76.5</v>
      </c>
      <c r="D209" s="4">
        <f>'Manual Adjustments'!G209</f>
        <v>0</v>
      </c>
      <c r="E209" s="4">
        <f t="shared" si="33"/>
        <v>76.5</v>
      </c>
      <c r="F209">
        <f>COUNTIFS($A$3:$A$225,A209,$E$3:$E$225,"&gt;"&amp;E209)+COUNTIFS($A$3:A209,A209,$E$3:E209,E209)</f>
        <v>16</v>
      </c>
      <c r="G209" s="4">
        <f>ROUND(INDEX('League Config'!$K$4:$K$9,MATCH(A209,'League Config'!$E$4:$E$9,0))*E209+INDEX('League Config'!$L$4:$L$9,MATCH(A209,'League Config'!$E$4:$E$9,0)),1)</f>
        <v>87.7</v>
      </c>
      <c r="H209">
        <f>INDEX('League Config'!$H$4:$H$9,MATCH(A209,'League Config'!$E$4:$E$9,0))</f>
        <v>10</v>
      </c>
      <c r="I209" s="4">
        <f>INDEX('League Config'!$I$4:$I$9,MATCH(A209,'League Config'!$E$4:$E$9,0))</f>
        <v>99.6</v>
      </c>
      <c r="J209" s="4">
        <f t="shared" si="34"/>
        <v>-11.9</v>
      </c>
      <c r="K209" s="4">
        <f t="shared" si="35"/>
        <v>42.86</v>
      </c>
      <c r="L209" s="4">
        <f>MIN(100,MAX(0,(1-(F209-1)/(H209*1.5))*100*INDEX('League Config'!$J$4:$J$9,MATCH(A209,'League Config'!$E$4:$E$9,0))))</f>
        <v>0</v>
      </c>
      <c r="M209">
        <f>IF(A209="K",'League Config'!$B$14,IF(A209="DST",'League Config'!$B$15,IF(A209="QB",'League Config'!$B$16,0)))</f>
        <v>20</v>
      </c>
      <c r="N209" s="4">
        <f t="shared" si="36"/>
        <v>34.933</v>
      </c>
      <c r="O209" s="9" t="str">
        <f t="shared" si="37"/>
        <v/>
      </c>
      <c r="P209" s="6" t="str">
        <f>IF(O209="","",COUNTIF($O$3:$O$225,"&gt;"&amp;O209)+COUNTIF($O$3:O209,O209))</f>
        <v/>
      </c>
      <c r="Q209">
        <f t="shared" si="38"/>
        <v>205</v>
      </c>
      <c r="R209" s="4">
        <f>'LIVE SOURCE'!E209</f>
        <v>220</v>
      </c>
      <c r="S209" s="4">
        <f t="shared" si="39"/>
        <v>15</v>
      </c>
      <c r="T209" t="str">
        <f>'LIVE SOURCE'!F209</f>
        <v>B</v>
      </c>
      <c r="U209" s="4">
        <f t="shared" si="40"/>
        <v>67.5</v>
      </c>
      <c r="V209" s="4">
        <f t="shared" si="41"/>
        <v>76.5</v>
      </c>
      <c r="W209" s="4">
        <f t="shared" si="42"/>
        <v>85.5</v>
      </c>
      <c r="X209" t="str">
        <f>'LIVE SOURCE'!G209</f>
        <v>DST MODEL</v>
      </c>
      <c r="Y209" t="str">
        <f>IF(INDEX('Draft Board'!$J$3:$J$225,Q209)="","Available",INDEX('Draft Board'!$J$3:$J$225,Q209))</f>
        <v>Available</v>
      </c>
      <c r="Z209">
        <f t="shared" si="43"/>
        <v>205</v>
      </c>
    </row>
    <row r="210" spans="1:26" x14ac:dyDescent="0.25">
      <c r="A210" t="str">
        <f>'LIVE SOURCE'!A210</f>
        <v>DST</v>
      </c>
      <c r="B210" t="str">
        <f>'LIVE SOURCE'!B210</f>
        <v>San Francisco 49ers</v>
      </c>
      <c r="C210" s="4">
        <f>'LIVE SOURCE'!D210</f>
        <v>75.400000000000006</v>
      </c>
      <c r="D210" s="4">
        <f>'Manual Adjustments'!G210</f>
        <v>0</v>
      </c>
      <c r="E210" s="4">
        <f t="shared" si="33"/>
        <v>75.400000000000006</v>
      </c>
      <c r="F210">
        <f>COUNTIFS($A$3:$A$225,A210,$E$3:$E$225,"&gt;"&amp;E210)+COUNTIFS($A$3:A210,A210,$E$3:E210,E210)</f>
        <v>17</v>
      </c>
      <c r="G210" s="4">
        <f>ROUND(INDEX('League Config'!$K$4:$K$9,MATCH(A210,'League Config'!$E$4:$E$9,0))*E210+INDEX('League Config'!$L$4:$L$9,MATCH(A210,'League Config'!$E$4:$E$9,0)),1)</f>
        <v>85.7</v>
      </c>
      <c r="H210">
        <f>INDEX('League Config'!$H$4:$H$9,MATCH(A210,'League Config'!$E$4:$E$9,0))</f>
        <v>10</v>
      </c>
      <c r="I210" s="4">
        <f>INDEX('League Config'!$I$4:$I$9,MATCH(A210,'League Config'!$E$4:$E$9,0))</f>
        <v>99.6</v>
      </c>
      <c r="J210" s="4">
        <f t="shared" si="34"/>
        <v>-13.9</v>
      </c>
      <c r="K210" s="4">
        <f t="shared" si="35"/>
        <v>41.66</v>
      </c>
      <c r="L210" s="4">
        <f>MIN(100,MAX(0,(1-(F210-1)/(H210*1.5))*100*INDEX('League Config'!$J$4:$J$9,MATCH(A210,'League Config'!$E$4:$E$9,0))))</f>
        <v>0</v>
      </c>
      <c r="M210">
        <f>IF(A210="K",'League Config'!$B$14,IF(A210="DST",'League Config'!$B$15,IF(A210="QB",'League Config'!$B$16,0)))</f>
        <v>20</v>
      </c>
      <c r="N210" s="4">
        <f t="shared" si="36"/>
        <v>33.968000000000004</v>
      </c>
      <c r="O210" s="9" t="str">
        <f t="shared" si="37"/>
        <v/>
      </c>
      <c r="P210" s="6" t="str">
        <f>IF(O210="","",COUNTIF($O$3:$O$225,"&gt;"&amp;O210)+COUNTIF($O$3:O210,O210))</f>
        <v/>
      </c>
      <c r="Q210">
        <f t="shared" si="38"/>
        <v>206</v>
      </c>
      <c r="R210" s="4">
        <f>'LIVE SOURCE'!E210</f>
        <v>224</v>
      </c>
      <c r="S210" s="4">
        <f t="shared" si="39"/>
        <v>18</v>
      </c>
      <c r="T210" t="str">
        <f>'LIVE SOURCE'!F210</f>
        <v>B</v>
      </c>
      <c r="U210" s="4">
        <f t="shared" si="40"/>
        <v>66.400000000000006</v>
      </c>
      <c r="V210" s="4">
        <f t="shared" si="41"/>
        <v>75.400000000000006</v>
      </c>
      <c r="W210" s="4">
        <f t="shared" si="42"/>
        <v>84.4</v>
      </c>
      <c r="X210" t="str">
        <f>'LIVE SOURCE'!G210</f>
        <v>DST MODEL</v>
      </c>
      <c r="Y210" t="str">
        <f>IF(INDEX('Draft Board'!$J$3:$J$225,Q210)="","Available",INDEX('Draft Board'!$J$3:$J$225,Q210))</f>
        <v>Available</v>
      </c>
      <c r="Z210">
        <f t="shared" si="43"/>
        <v>206</v>
      </c>
    </row>
    <row r="211" spans="1:26" x14ac:dyDescent="0.25">
      <c r="A211" t="str">
        <f>'LIVE SOURCE'!A211</f>
        <v>DST</v>
      </c>
      <c r="B211" t="str">
        <f>'LIVE SOURCE'!B211</f>
        <v>New Orleans Saints</v>
      </c>
      <c r="C211" s="4">
        <f>'LIVE SOURCE'!D211</f>
        <v>74.3</v>
      </c>
      <c r="D211" s="4">
        <f>'Manual Adjustments'!G211</f>
        <v>0</v>
      </c>
      <c r="E211" s="4">
        <f t="shared" si="33"/>
        <v>74.3</v>
      </c>
      <c r="F211">
        <f>COUNTIFS($A$3:$A$225,A211,$E$3:$E$225,"&gt;"&amp;E211)+COUNTIFS($A$3:A211,A211,$E$3:E211,E211)</f>
        <v>18</v>
      </c>
      <c r="G211" s="4">
        <f>ROUND(INDEX('League Config'!$K$4:$K$9,MATCH(A211,'League Config'!$E$4:$E$9,0))*E211+INDEX('League Config'!$L$4:$L$9,MATCH(A211,'League Config'!$E$4:$E$9,0)),1)</f>
        <v>83.7</v>
      </c>
      <c r="H211">
        <f>INDEX('League Config'!$H$4:$H$9,MATCH(A211,'League Config'!$E$4:$E$9,0))</f>
        <v>10</v>
      </c>
      <c r="I211" s="4">
        <f>INDEX('League Config'!$I$4:$I$9,MATCH(A211,'League Config'!$E$4:$E$9,0))</f>
        <v>99.6</v>
      </c>
      <c r="J211" s="4">
        <f t="shared" si="34"/>
        <v>-15.9</v>
      </c>
      <c r="K211" s="4">
        <f t="shared" si="35"/>
        <v>40.46</v>
      </c>
      <c r="L211" s="4">
        <f>MIN(100,MAX(0,(1-(F211-1)/(H211*1.5))*100*INDEX('League Config'!$J$4:$J$9,MATCH(A211,'League Config'!$E$4:$E$9,0))))</f>
        <v>0</v>
      </c>
      <c r="M211">
        <f>IF(A211="K",'League Config'!$B$14,IF(A211="DST",'League Config'!$B$15,IF(A211="QB",'League Config'!$B$16,0)))</f>
        <v>20</v>
      </c>
      <c r="N211" s="4">
        <f t="shared" si="36"/>
        <v>33.003</v>
      </c>
      <c r="O211" s="9" t="str">
        <f t="shared" si="37"/>
        <v/>
      </c>
      <c r="P211" s="6" t="str">
        <f>IF(O211="","",COUNTIF($O$3:$O$225,"&gt;"&amp;O211)+COUNTIF($O$3:O211,O211))</f>
        <v/>
      </c>
      <c r="Q211">
        <f t="shared" si="38"/>
        <v>207</v>
      </c>
      <c r="R211" s="4">
        <f>'LIVE SOURCE'!E211</f>
        <v>228</v>
      </c>
      <c r="S211" s="4">
        <f t="shared" si="39"/>
        <v>21</v>
      </c>
      <c r="T211" t="str">
        <f>'LIVE SOURCE'!F211</f>
        <v>B</v>
      </c>
      <c r="U211" s="4">
        <f t="shared" si="40"/>
        <v>65.3</v>
      </c>
      <c r="V211" s="4">
        <f t="shared" si="41"/>
        <v>74.3</v>
      </c>
      <c r="W211" s="4">
        <f t="shared" si="42"/>
        <v>83.3</v>
      </c>
      <c r="X211" t="str">
        <f>'LIVE SOURCE'!G211</f>
        <v>DST MODEL</v>
      </c>
      <c r="Y211" t="str">
        <f>IF(INDEX('Draft Board'!$J$3:$J$225,Q211)="","Available",INDEX('Draft Board'!$J$3:$J$225,Q211))</f>
        <v>Available</v>
      </c>
      <c r="Z211">
        <f t="shared" si="43"/>
        <v>207</v>
      </c>
    </row>
    <row r="212" spans="1:26" x14ac:dyDescent="0.25">
      <c r="A212" t="str">
        <f>'LIVE SOURCE'!A212</f>
        <v>DST</v>
      </c>
      <c r="B212" t="str">
        <f>'LIVE SOURCE'!B212</f>
        <v>Atlanta Falcons</v>
      </c>
      <c r="C212" s="4">
        <f>'LIVE SOURCE'!D212</f>
        <v>73.2</v>
      </c>
      <c r="D212" s="4">
        <f>'Manual Adjustments'!G212</f>
        <v>0</v>
      </c>
      <c r="E212" s="4">
        <f t="shared" si="33"/>
        <v>73.2</v>
      </c>
      <c r="F212">
        <f>COUNTIFS($A$3:$A$225,A212,$E$3:$E$225,"&gt;"&amp;E212)+COUNTIFS($A$3:A212,A212,$E$3:E212,E212)</f>
        <v>19</v>
      </c>
      <c r="G212" s="4">
        <f>ROUND(INDEX('League Config'!$K$4:$K$9,MATCH(A212,'League Config'!$E$4:$E$9,0))*E212+INDEX('League Config'!$L$4:$L$9,MATCH(A212,'League Config'!$E$4:$E$9,0)),1)</f>
        <v>81.8</v>
      </c>
      <c r="H212">
        <f>INDEX('League Config'!$H$4:$H$9,MATCH(A212,'League Config'!$E$4:$E$9,0))</f>
        <v>10</v>
      </c>
      <c r="I212" s="4">
        <f>INDEX('League Config'!$I$4:$I$9,MATCH(A212,'League Config'!$E$4:$E$9,0))</f>
        <v>99.6</v>
      </c>
      <c r="J212" s="4">
        <f t="shared" si="34"/>
        <v>-17.8</v>
      </c>
      <c r="K212" s="4">
        <f t="shared" si="35"/>
        <v>39.32</v>
      </c>
      <c r="L212" s="4">
        <f>MIN(100,MAX(0,(1-(F212-1)/(H212*1.5))*100*INDEX('League Config'!$J$4:$J$9,MATCH(A212,'League Config'!$E$4:$E$9,0))))</f>
        <v>0</v>
      </c>
      <c r="M212">
        <f>IF(A212="K",'League Config'!$B$14,IF(A212="DST",'League Config'!$B$15,IF(A212="QB",'League Config'!$B$16,0)))</f>
        <v>20</v>
      </c>
      <c r="N212" s="4">
        <f t="shared" si="36"/>
        <v>32.056000000000004</v>
      </c>
      <c r="O212" s="9" t="str">
        <f t="shared" si="37"/>
        <v/>
      </c>
      <c r="P212" s="6" t="str">
        <f>IF(O212="","",COUNTIF($O$3:$O$225,"&gt;"&amp;O212)+COUNTIF($O$3:O212,O212))</f>
        <v/>
      </c>
      <c r="Q212">
        <f t="shared" si="38"/>
        <v>208</v>
      </c>
      <c r="R212" s="4">
        <f>'LIVE SOURCE'!E212</f>
        <v>232</v>
      </c>
      <c r="S212" s="4">
        <f t="shared" si="39"/>
        <v>24</v>
      </c>
      <c r="T212" t="str">
        <f>'LIVE SOURCE'!F212</f>
        <v>B</v>
      </c>
      <c r="U212" s="4">
        <f t="shared" si="40"/>
        <v>64.2</v>
      </c>
      <c r="V212" s="4">
        <f t="shared" si="41"/>
        <v>73.2</v>
      </c>
      <c r="W212" s="4">
        <f t="shared" si="42"/>
        <v>82.2</v>
      </c>
      <c r="X212" t="str">
        <f>'LIVE SOURCE'!G212</f>
        <v>DST MODEL</v>
      </c>
      <c r="Y212" t="str">
        <f>IF(INDEX('Draft Board'!$J$3:$J$225,Q212)="","Available",INDEX('Draft Board'!$J$3:$J$225,Q212))</f>
        <v>Available</v>
      </c>
      <c r="Z212">
        <f t="shared" si="43"/>
        <v>208</v>
      </c>
    </row>
    <row r="213" spans="1:26" x14ac:dyDescent="0.25">
      <c r="A213" t="str">
        <f>'LIVE SOURCE'!A213</f>
        <v>DST</v>
      </c>
      <c r="B213" t="str">
        <f>'LIVE SOURCE'!B213</f>
        <v>Chicago Bears</v>
      </c>
      <c r="C213" s="4">
        <f>'LIVE SOURCE'!D213</f>
        <v>72.099999999999994</v>
      </c>
      <c r="D213" s="4">
        <f>'Manual Adjustments'!G213</f>
        <v>0</v>
      </c>
      <c r="E213" s="4">
        <f t="shared" si="33"/>
        <v>72.099999999999994</v>
      </c>
      <c r="F213">
        <f>COUNTIFS($A$3:$A$225,A213,$E$3:$E$225,"&gt;"&amp;E213)+COUNTIFS($A$3:A213,A213,$E$3:E213,E213)</f>
        <v>20</v>
      </c>
      <c r="G213" s="4">
        <f>ROUND(INDEX('League Config'!$K$4:$K$9,MATCH(A213,'League Config'!$E$4:$E$9,0))*E213+INDEX('League Config'!$L$4:$L$9,MATCH(A213,'League Config'!$E$4:$E$9,0)),1)</f>
        <v>79.8</v>
      </c>
      <c r="H213">
        <f>INDEX('League Config'!$H$4:$H$9,MATCH(A213,'League Config'!$E$4:$E$9,0))</f>
        <v>10</v>
      </c>
      <c r="I213" s="4">
        <f>INDEX('League Config'!$I$4:$I$9,MATCH(A213,'League Config'!$E$4:$E$9,0))</f>
        <v>99.6</v>
      </c>
      <c r="J213" s="4">
        <f t="shared" si="34"/>
        <v>-19.8</v>
      </c>
      <c r="K213" s="4">
        <f t="shared" si="35"/>
        <v>38.119999999999997</v>
      </c>
      <c r="L213" s="4">
        <f>MIN(100,MAX(0,(1-(F213-1)/(H213*1.5))*100*INDEX('League Config'!$J$4:$J$9,MATCH(A213,'League Config'!$E$4:$E$9,0))))</f>
        <v>0</v>
      </c>
      <c r="M213">
        <f>IF(A213="K",'League Config'!$B$14,IF(A213="DST",'League Config'!$B$15,IF(A213="QB",'League Config'!$B$16,0)))</f>
        <v>20</v>
      </c>
      <c r="N213" s="4">
        <f t="shared" si="36"/>
        <v>31.091000000000001</v>
      </c>
      <c r="O213" s="9" t="str">
        <f t="shared" si="37"/>
        <v/>
      </c>
      <c r="P213" s="6" t="str">
        <f>IF(O213="","",COUNTIF($O$3:$O$225,"&gt;"&amp;O213)+COUNTIF($O$3:O213,O213))</f>
        <v/>
      </c>
      <c r="Q213">
        <f t="shared" si="38"/>
        <v>209</v>
      </c>
      <c r="R213" s="4">
        <f>'LIVE SOURCE'!E213</f>
        <v>236</v>
      </c>
      <c r="S213" s="4">
        <f t="shared" si="39"/>
        <v>27</v>
      </c>
      <c r="T213" t="str">
        <f>'LIVE SOURCE'!F213</f>
        <v>B</v>
      </c>
      <c r="U213" s="4">
        <f t="shared" si="40"/>
        <v>63.099999999999994</v>
      </c>
      <c r="V213" s="4">
        <f t="shared" si="41"/>
        <v>72.099999999999994</v>
      </c>
      <c r="W213" s="4">
        <f t="shared" si="42"/>
        <v>81.099999999999994</v>
      </c>
      <c r="X213" t="str">
        <f>'LIVE SOURCE'!G213</f>
        <v>DST MODEL</v>
      </c>
      <c r="Y213" t="str">
        <f>IF(INDEX('Draft Board'!$J$3:$J$225,Q213)="","Available",INDEX('Draft Board'!$J$3:$J$225,Q213))</f>
        <v>Available</v>
      </c>
      <c r="Z213">
        <f t="shared" si="43"/>
        <v>209</v>
      </c>
    </row>
    <row r="214" spans="1:26" x14ac:dyDescent="0.25">
      <c r="A214" t="str">
        <f>'LIVE SOURCE'!A214</f>
        <v>DST</v>
      </c>
      <c r="B214" t="str">
        <f>'LIVE SOURCE'!B214</f>
        <v>Indianapolis Colts</v>
      </c>
      <c r="C214" s="4">
        <f>'LIVE SOURCE'!D214</f>
        <v>71</v>
      </c>
      <c r="D214" s="4">
        <f>'Manual Adjustments'!G214</f>
        <v>0</v>
      </c>
      <c r="E214" s="4">
        <f t="shared" si="33"/>
        <v>71</v>
      </c>
      <c r="F214">
        <f>COUNTIFS($A$3:$A$225,A214,$E$3:$E$225,"&gt;"&amp;E214)+COUNTIFS($A$3:A214,A214,$E$3:E214,E214)</f>
        <v>21</v>
      </c>
      <c r="G214" s="4">
        <f>ROUND(INDEX('League Config'!$K$4:$K$9,MATCH(A214,'League Config'!$E$4:$E$9,0))*E214+INDEX('League Config'!$L$4:$L$9,MATCH(A214,'League Config'!$E$4:$E$9,0)),1)</f>
        <v>77.8</v>
      </c>
      <c r="H214">
        <f>INDEX('League Config'!$H$4:$H$9,MATCH(A214,'League Config'!$E$4:$E$9,0))</f>
        <v>10</v>
      </c>
      <c r="I214" s="4">
        <f>INDEX('League Config'!$I$4:$I$9,MATCH(A214,'League Config'!$E$4:$E$9,0))</f>
        <v>99.6</v>
      </c>
      <c r="J214" s="4">
        <f t="shared" si="34"/>
        <v>-21.8</v>
      </c>
      <c r="K214" s="4">
        <f t="shared" si="35"/>
        <v>36.92</v>
      </c>
      <c r="L214" s="4">
        <f>MIN(100,MAX(0,(1-(F214-1)/(H214*1.5))*100*INDEX('League Config'!$J$4:$J$9,MATCH(A214,'League Config'!$E$4:$E$9,0))))</f>
        <v>0</v>
      </c>
      <c r="M214">
        <f>IF(A214="K",'League Config'!$B$14,IF(A214="DST",'League Config'!$B$15,IF(A214="QB",'League Config'!$B$16,0)))</f>
        <v>20</v>
      </c>
      <c r="N214" s="4">
        <f t="shared" si="36"/>
        <v>30.126000000000005</v>
      </c>
      <c r="O214" s="9" t="str">
        <f t="shared" si="37"/>
        <v/>
      </c>
      <c r="P214" s="6" t="str">
        <f>IF(O214="","",COUNTIF($O$3:$O$225,"&gt;"&amp;O214)+COUNTIF($O$3:O214,O214))</f>
        <v/>
      </c>
      <c r="Q214">
        <f t="shared" si="38"/>
        <v>210</v>
      </c>
      <c r="R214" s="4">
        <f>'LIVE SOURCE'!E214</f>
        <v>240</v>
      </c>
      <c r="S214" s="4">
        <f t="shared" si="39"/>
        <v>30</v>
      </c>
      <c r="T214" t="str">
        <f>'LIVE SOURCE'!F214</f>
        <v>B</v>
      </c>
      <c r="U214" s="4">
        <f t="shared" si="40"/>
        <v>62</v>
      </c>
      <c r="V214" s="4">
        <f t="shared" si="41"/>
        <v>71</v>
      </c>
      <c r="W214" s="4">
        <f t="shared" si="42"/>
        <v>80</v>
      </c>
      <c r="X214" t="str">
        <f>'LIVE SOURCE'!G214</f>
        <v>DST MODEL</v>
      </c>
      <c r="Y214" t="str">
        <f>IF(INDEX('Draft Board'!$J$3:$J$225,Q214)="","Available",INDEX('Draft Board'!$J$3:$J$225,Q214))</f>
        <v>Available</v>
      </c>
      <c r="Z214">
        <f t="shared" si="43"/>
        <v>210</v>
      </c>
    </row>
    <row r="215" spans="1:26" x14ac:dyDescent="0.25">
      <c r="A215" t="str">
        <f>'LIVE SOURCE'!A215</f>
        <v>DST</v>
      </c>
      <c r="B215" t="str">
        <f>'LIVE SOURCE'!B215</f>
        <v>New York Giants</v>
      </c>
      <c r="C215" s="4">
        <f>'LIVE SOURCE'!D215</f>
        <v>69.900000000000006</v>
      </c>
      <c r="D215" s="4">
        <f>'Manual Adjustments'!G215</f>
        <v>0</v>
      </c>
      <c r="E215" s="4">
        <f t="shared" si="33"/>
        <v>69.900000000000006</v>
      </c>
      <c r="F215">
        <f>COUNTIFS($A$3:$A$225,A215,$E$3:$E$225,"&gt;"&amp;E215)+COUNTIFS($A$3:A215,A215,$E$3:E215,E215)</f>
        <v>22</v>
      </c>
      <c r="G215" s="4">
        <f>ROUND(INDEX('League Config'!$K$4:$K$9,MATCH(A215,'League Config'!$E$4:$E$9,0))*E215+INDEX('League Config'!$L$4:$L$9,MATCH(A215,'League Config'!$E$4:$E$9,0)),1)</f>
        <v>75.8</v>
      </c>
      <c r="H215">
        <f>INDEX('League Config'!$H$4:$H$9,MATCH(A215,'League Config'!$E$4:$E$9,0))</f>
        <v>10</v>
      </c>
      <c r="I215" s="4">
        <f>INDEX('League Config'!$I$4:$I$9,MATCH(A215,'League Config'!$E$4:$E$9,0))</f>
        <v>99.6</v>
      </c>
      <c r="J215" s="4">
        <f t="shared" si="34"/>
        <v>-23.8</v>
      </c>
      <c r="K215" s="4">
        <f t="shared" si="35"/>
        <v>35.72</v>
      </c>
      <c r="L215" s="4">
        <f>MIN(100,MAX(0,(1-(F215-1)/(H215*1.5))*100*INDEX('League Config'!$J$4:$J$9,MATCH(A215,'League Config'!$E$4:$E$9,0))))</f>
        <v>0</v>
      </c>
      <c r="M215">
        <f>IF(A215="K",'League Config'!$B$14,IF(A215="DST",'League Config'!$B$15,IF(A215="QB",'League Config'!$B$16,0)))</f>
        <v>20</v>
      </c>
      <c r="N215" s="4">
        <f t="shared" si="36"/>
        <v>29.161000000000008</v>
      </c>
      <c r="O215" s="9" t="str">
        <f t="shared" si="37"/>
        <v/>
      </c>
      <c r="P215" s="6" t="str">
        <f>IF(O215="","",COUNTIF($O$3:$O$225,"&gt;"&amp;O215)+COUNTIF($O$3:O215,O215))</f>
        <v/>
      </c>
      <c r="Q215">
        <f t="shared" si="38"/>
        <v>211</v>
      </c>
      <c r="R215" s="4">
        <f>'LIVE SOURCE'!E215</f>
        <v>244</v>
      </c>
      <c r="S215" s="4">
        <f t="shared" si="39"/>
        <v>33</v>
      </c>
      <c r="T215" t="str">
        <f>'LIVE SOURCE'!F215</f>
        <v>B</v>
      </c>
      <c r="U215" s="4">
        <f t="shared" si="40"/>
        <v>60.900000000000006</v>
      </c>
      <c r="V215" s="4">
        <f t="shared" si="41"/>
        <v>69.900000000000006</v>
      </c>
      <c r="W215" s="4">
        <f t="shared" si="42"/>
        <v>78.900000000000006</v>
      </c>
      <c r="X215" t="str">
        <f>'LIVE SOURCE'!G215</f>
        <v>DST MODEL</v>
      </c>
      <c r="Y215" t="str">
        <f>IF(INDEX('Draft Board'!$J$3:$J$225,Q215)="","Available",INDEX('Draft Board'!$J$3:$J$225,Q215))</f>
        <v>Available</v>
      </c>
      <c r="Z215">
        <f t="shared" si="43"/>
        <v>211</v>
      </c>
    </row>
    <row r="216" spans="1:26" x14ac:dyDescent="0.25">
      <c r="A216" t="str">
        <f>'LIVE SOURCE'!A216</f>
        <v>DST</v>
      </c>
      <c r="B216" t="str">
        <f>'LIVE SOURCE'!B216</f>
        <v>Tampa Bay Buccaneers</v>
      </c>
      <c r="C216" s="4">
        <f>'LIVE SOURCE'!D216</f>
        <v>68.8</v>
      </c>
      <c r="D216" s="4">
        <f>'Manual Adjustments'!G216</f>
        <v>0</v>
      </c>
      <c r="E216" s="4">
        <f t="shared" si="33"/>
        <v>68.8</v>
      </c>
      <c r="F216">
        <f>COUNTIFS($A$3:$A$225,A216,$E$3:$E$225,"&gt;"&amp;E216)+COUNTIFS($A$3:A216,A216,$E$3:E216,E216)</f>
        <v>23</v>
      </c>
      <c r="G216" s="4">
        <f>ROUND(INDEX('League Config'!$K$4:$K$9,MATCH(A216,'League Config'!$E$4:$E$9,0))*E216+INDEX('League Config'!$L$4:$L$9,MATCH(A216,'League Config'!$E$4:$E$9,0)),1)</f>
        <v>73.8</v>
      </c>
      <c r="H216">
        <f>INDEX('League Config'!$H$4:$H$9,MATCH(A216,'League Config'!$E$4:$E$9,0))</f>
        <v>10</v>
      </c>
      <c r="I216" s="4">
        <f>INDEX('League Config'!$I$4:$I$9,MATCH(A216,'League Config'!$E$4:$E$9,0))</f>
        <v>99.6</v>
      </c>
      <c r="J216" s="4">
        <f t="shared" si="34"/>
        <v>-25.8</v>
      </c>
      <c r="K216" s="4">
        <f t="shared" si="35"/>
        <v>34.519999999999996</v>
      </c>
      <c r="L216" s="4">
        <f>MIN(100,MAX(0,(1-(F216-1)/(H216*1.5))*100*INDEX('League Config'!$J$4:$J$9,MATCH(A216,'League Config'!$E$4:$E$9,0))))</f>
        <v>0</v>
      </c>
      <c r="M216">
        <f>IF(A216="K",'League Config'!$B$14,IF(A216="DST",'League Config'!$B$15,IF(A216="QB",'League Config'!$B$16,0)))</f>
        <v>20</v>
      </c>
      <c r="N216" s="4">
        <f t="shared" si="36"/>
        <v>28.195999999999998</v>
      </c>
      <c r="O216" s="9" t="str">
        <f t="shared" si="37"/>
        <v/>
      </c>
      <c r="P216" s="6" t="str">
        <f>IF(O216="","",COUNTIF($O$3:$O$225,"&gt;"&amp;O216)+COUNTIF($O$3:O216,O216))</f>
        <v/>
      </c>
      <c r="Q216">
        <f t="shared" si="38"/>
        <v>212</v>
      </c>
      <c r="R216" s="4">
        <f>'LIVE SOURCE'!E216</f>
        <v>248</v>
      </c>
      <c r="S216" s="4">
        <f t="shared" si="39"/>
        <v>36</v>
      </c>
      <c r="T216" t="str">
        <f>'LIVE SOURCE'!F216</f>
        <v>B</v>
      </c>
      <c r="U216" s="4">
        <f t="shared" si="40"/>
        <v>59.8</v>
      </c>
      <c r="V216" s="4">
        <f t="shared" si="41"/>
        <v>68.8</v>
      </c>
      <c r="W216" s="4">
        <f t="shared" si="42"/>
        <v>77.8</v>
      </c>
      <c r="X216" t="str">
        <f>'LIVE SOURCE'!G216</f>
        <v>DST MODEL</v>
      </c>
      <c r="Y216" t="str">
        <f>IF(INDEX('Draft Board'!$J$3:$J$225,Q216)="","Available",INDEX('Draft Board'!$J$3:$J$225,Q216))</f>
        <v>Available</v>
      </c>
      <c r="Z216">
        <f t="shared" si="43"/>
        <v>212</v>
      </c>
    </row>
    <row r="217" spans="1:26" x14ac:dyDescent="0.25">
      <c r="A217" t="str">
        <f>'LIVE SOURCE'!A217</f>
        <v>DST</v>
      </c>
      <c r="B217" t="str">
        <f>'LIVE SOURCE'!B217</f>
        <v>Dallas Cowboys</v>
      </c>
      <c r="C217" s="4">
        <f>'LIVE SOURCE'!D217</f>
        <v>67.7</v>
      </c>
      <c r="D217" s="4">
        <f>'Manual Adjustments'!G217</f>
        <v>0</v>
      </c>
      <c r="E217" s="4">
        <f t="shared" si="33"/>
        <v>67.7</v>
      </c>
      <c r="F217">
        <f>COUNTIFS($A$3:$A$225,A217,$E$3:$E$225,"&gt;"&amp;E217)+COUNTIFS($A$3:A217,A217,$E$3:E217,E217)</f>
        <v>24</v>
      </c>
      <c r="G217" s="4">
        <f>ROUND(INDEX('League Config'!$K$4:$K$9,MATCH(A217,'League Config'!$E$4:$E$9,0))*E217+INDEX('League Config'!$L$4:$L$9,MATCH(A217,'League Config'!$E$4:$E$9,0)),1)</f>
        <v>71.900000000000006</v>
      </c>
      <c r="H217">
        <f>INDEX('League Config'!$H$4:$H$9,MATCH(A217,'League Config'!$E$4:$E$9,0))</f>
        <v>10</v>
      </c>
      <c r="I217" s="4">
        <f>INDEX('League Config'!$I$4:$I$9,MATCH(A217,'League Config'!$E$4:$E$9,0))</f>
        <v>99.6</v>
      </c>
      <c r="J217" s="4">
        <f t="shared" si="34"/>
        <v>-27.7</v>
      </c>
      <c r="K217" s="4">
        <f t="shared" si="35"/>
        <v>33.380000000000003</v>
      </c>
      <c r="L217" s="4">
        <f>MIN(100,MAX(0,(1-(F217-1)/(H217*1.5))*100*INDEX('League Config'!$J$4:$J$9,MATCH(A217,'League Config'!$E$4:$E$9,0))))</f>
        <v>0</v>
      </c>
      <c r="M217">
        <f>IF(A217="K",'League Config'!$B$14,IF(A217="DST",'League Config'!$B$15,IF(A217="QB",'League Config'!$B$16,0)))</f>
        <v>20</v>
      </c>
      <c r="N217" s="4">
        <f t="shared" si="36"/>
        <v>27.249000000000009</v>
      </c>
      <c r="O217" s="9" t="str">
        <f t="shared" si="37"/>
        <v/>
      </c>
      <c r="P217" s="6" t="str">
        <f>IF(O217="","",COUNTIF($O$3:$O$225,"&gt;"&amp;O217)+COUNTIF($O$3:O217,O217))</f>
        <v/>
      </c>
      <c r="Q217">
        <f t="shared" si="38"/>
        <v>213</v>
      </c>
      <c r="R217" s="4">
        <f>'LIVE SOURCE'!E217</f>
        <v>252</v>
      </c>
      <c r="S217" s="4">
        <f t="shared" si="39"/>
        <v>39</v>
      </c>
      <c r="T217" t="str">
        <f>'LIVE SOURCE'!F217</f>
        <v>B</v>
      </c>
      <c r="U217" s="4">
        <f t="shared" si="40"/>
        <v>58.7</v>
      </c>
      <c r="V217" s="4">
        <f t="shared" si="41"/>
        <v>67.7</v>
      </c>
      <c r="W217" s="4">
        <f t="shared" si="42"/>
        <v>76.7</v>
      </c>
      <c r="X217" t="str">
        <f>'LIVE SOURCE'!G217</f>
        <v>DST MODEL</v>
      </c>
      <c r="Y217" t="str">
        <f>IF(INDEX('Draft Board'!$J$3:$J$225,Q217)="","Available",INDEX('Draft Board'!$J$3:$J$225,Q217))</f>
        <v>Available</v>
      </c>
      <c r="Z217">
        <f t="shared" si="43"/>
        <v>213</v>
      </c>
    </row>
    <row r="218" spans="1:26" x14ac:dyDescent="0.25">
      <c r="A218" t="str">
        <f>'LIVE SOURCE'!A218</f>
        <v>DST</v>
      </c>
      <c r="B218" t="str">
        <f>'LIVE SOURCE'!B218</f>
        <v>Carolina Panthers</v>
      </c>
      <c r="C218" s="4">
        <f>'LIVE SOURCE'!D218</f>
        <v>66.599999999999994</v>
      </c>
      <c r="D218" s="4">
        <f>'Manual Adjustments'!G218</f>
        <v>0</v>
      </c>
      <c r="E218" s="4">
        <f t="shared" si="33"/>
        <v>66.599999999999994</v>
      </c>
      <c r="F218">
        <f>COUNTIFS($A$3:$A$225,A218,$E$3:$E$225,"&gt;"&amp;E218)+COUNTIFS($A$3:A218,A218,$E$3:E218,E218)</f>
        <v>25</v>
      </c>
      <c r="G218" s="4">
        <f>ROUND(INDEX('League Config'!$K$4:$K$9,MATCH(A218,'League Config'!$E$4:$E$9,0))*E218+INDEX('League Config'!$L$4:$L$9,MATCH(A218,'League Config'!$E$4:$E$9,0)),1)</f>
        <v>69.900000000000006</v>
      </c>
      <c r="H218">
        <f>INDEX('League Config'!$H$4:$H$9,MATCH(A218,'League Config'!$E$4:$E$9,0))</f>
        <v>10</v>
      </c>
      <c r="I218" s="4">
        <f>INDEX('League Config'!$I$4:$I$9,MATCH(A218,'League Config'!$E$4:$E$9,0))</f>
        <v>99.6</v>
      </c>
      <c r="J218" s="4">
        <f t="shared" si="34"/>
        <v>-29.7</v>
      </c>
      <c r="K218" s="4">
        <f t="shared" si="35"/>
        <v>32.18</v>
      </c>
      <c r="L218" s="4">
        <f>MIN(100,MAX(0,(1-(F218-1)/(H218*1.5))*100*INDEX('League Config'!$J$4:$J$9,MATCH(A218,'League Config'!$E$4:$E$9,0))))</f>
        <v>0</v>
      </c>
      <c r="M218">
        <f>IF(A218="K",'League Config'!$B$14,IF(A218="DST",'League Config'!$B$15,IF(A218="QB",'League Config'!$B$16,0)))</f>
        <v>20</v>
      </c>
      <c r="N218" s="4">
        <f t="shared" si="36"/>
        <v>26.284000000000006</v>
      </c>
      <c r="O218" s="9" t="str">
        <f t="shared" si="37"/>
        <v/>
      </c>
      <c r="P218" s="6" t="str">
        <f>IF(O218="","",COUNTIF($O$3:$O$225,"&gt;"&amp;O218)+COUNTIF($O$3:O218,O218))</f>
        <v/>
      </c>
      <c r="Q218">
        <f t="shared" si="38"/>
        <v>214</v>
      </c>
      <c r="R218" s="4">
        <f>'LIVE SOURCE'!E218</f>
        <v>256</v>
      </c>
      <c r="S218" s="4">
        <f t="shared" si="39"/>
        <v>42</v>
      </c>
      <c r="T218" t="str">
        <f>'LIVE SOURCE'!F218</f>
        <v>B</v>
      </c>
      <c r="U218" s="4">
        <f t="shared" si="40"/>
        <v>57.599999999999994</v>
      </c>
      <c r="V218" s="4">
        <f t="shared" si="41"/>
        <v>66.599999999999994</v>
      </c>
      <c r="W218" s="4">
        <f t="shared" si="42"/>
        <v>75.599999999999994</v>
      </c>
      <c r="X218" t="str">
        <f>'LIVE SOURCE'!G218</f>
        <v>DST MODEL</v>
      </c>
      <c r="Y218" t="str">
        <f>IF(INDEX('Draft Board'!$J$3:$J$225,Q218)="","Available",INDEX('Draft Board'!$J$3:$J$225,Q218))</f>
        <v>Available</v>
      </c>
      <c r="Z218">
        <f t="shared" si="43"/>
        <v>214</v>
      </c>
    </row>
    <row r="219" spans="1:26" x14ac:dyDescent="0.25">
      <c r="A219" t="str">
        <f>'LIVE SOURCE'!A219</f>
        <v>DST</v>
      </c>
      <c r="B219" t="str">
        <f>'LIVE SOURCE'!B219</f>
        <v>Tennessee Titans</v>
      </c>
      <c r="C219" s="4">
        <f>'LIVE SOURCE'!D219</f>
        <v>65.5</v>
      </c>
      <c r="D219" s="4">
        <f>'Manual Adjustments'!G219</f>
        <v>0</v>
      </c>
      <c r="E219" s="4">
        <f t="shared" si="33"/>
        <v>65.5</v>
      </c>
      <c r="F219">
        <f>COUNTIFS($A$3:$A$225,A219,$E$3:$E$225,"&gt;"&amp;E219)+COUNTIFS($A$3:A219,A219,$E$3:E219,E219)</f>
        <v>26</v>
      </c>
      <c r="G219" s="4">
        <f>ROUND(INDEX('League Config'!$K$4:$K$9,MATCH(A219,'League Config'!$E$4:$E$9,0))*E219+INDEX('League Config'!$L$4:$L$9,MATCH(A219,'League Config'!$E$4:$E$9,0)),1)</f>
        <v>67.900000000000006</v>
      </c>
      <c r="H219">
        <f>INDEX('League Config'!$H$4:$H$9,MATCH(A219,'League Config'!$E$4:$E$9,0))</f>
        <v>10</v>
      </c>
      <c r="I219" s="4">
        <f>INDEX('League Config'!$I$4:$I$9,MATCH(A219,'League Config'!$E$4:$E$9,0))</f>
        <v>99.6</v>
      </c>
      <c r="J219" s="4">
        <f t="shared" si="34"/>
        <v>-31.7</v>
      </c>
      <c r="K219" s="4">
        <f t="shared" si="35"/>
        <v>30.98</v>
      </c>
      <c r="L219" s="4">
        <f>MIN(100,MAX(0,(1-(F219-1)/(H219*1.5))*100*INDEX('League Config'!$J$4:$J$9,MATCH(A219,'League Config'!$E$4:$E$9,0))))</f>
        <v>0</v>
      </c>
      <c r="M219">
        <f>IF(A219="K",'League Config'!$B$14,IF(A219="DST",'League Config'!$B$15,IF(A219="QB",'League Config'!$B$16,0)))</f>
        <v>20</v>
      </c>
      <c r="N219" s="4">
        <f t="shared" si="36"/>
        <v>25.319000000000003</v>
      </c>
      <c r="O219" s="9" t="str">
        <f t="shared" si="37"/>
        <v/>
      </c>
      <c r="P219" s="6" t="str">
        <f>IF(O219="","",COUNTIF($O$3:$O$225,"&gt;"&amp;O219)+COUNTIF($O$3:O219,O219))</f>
        <v/>
      </c>
      <c r="Q219">
        <f t="shared" si="38"/>
        <v>215</v>
      </c>
      <c r="R219" s="4">
        <f>'LIVE SOURCE'!E219</f>
        <v>260</v>
      </c>
      <c r="S219" s="4">
        <f t="shared" si="39"/>
        <v>45</v>
      </c>
      <c r="T219" t="str">
        <f>'LIVE SOURCE'!F219</f>
        <v>B</v>
      </c>
      <c r="U219" s="4">
        <f t="shared" si="40"/>
        <v>56.5</v>
      </c>
      <c r="V219" s="4">
        <f t="shared" si="41"/>
        <v>65.5</v>
      </c>
      <c r="W219" s="4">
        <f t="shared" si="42"/>
        <v>74.5</v>
      </c>
      <c r="X219" t="str">
        <f>'LIVE SOURCE'!G219</f>
        <v>DST MODEL</v>
      </c>
      <c r="Y219" t="str">
        <f>IF(INDEX('Draft Board'!$J$3:$J$225,Q219)="","Available",INDEX('Draft Board'!$J$3:$J$225,Q219))</f>
        <v>Available</v>
      </c>
      <c r="Z219">
        <f t="shared" si="43"/>
        <v>215</v>
      </c>
    </row>
    <row r="220" spans="1:26" x14ac:dyDescent="0.25">
      <c r="A220" t="str">
        <f>'LIVE SOURCE'!A220</f>
        <v>DST</v>
      </c>
      <c r="B220" t="str">
        <f>'LIVE SOURCE'!B220</f>
        <v>Miami Dolphins</v>
      </c>
      <c r="C220" s="4">
        <f>'LIVE SOURCE'!D220</f>
        <v>64.400000000000006</v>
      </c>
      <c r="D220" s="4">
        <f>'Manual Adjustments'!G220</f>
        <v>0</v>
      </c>
      <c r="E220" s="4">
        <f t="shared" si="33"/>
        <v>64.400000000000006</v>
      </c>
      <c r="F220">
        <f>COUNTIFS($A$3:$A$225,A220,$E$3:$E$225,"&gt;"&amp;E220)+COUNTIFS($A$3:A220,A220,$E$3:E220,E220)</f>
        <v>27</v>
      </c>
      <c r="G220" s="4">
        <f>ROUND(INDEX('League Config'!$K$4:$K$9,MATCH(A220,'League Config'!$E$4:$E$9,0))*E220+INDEX('League Config'!$L$4:$L$9,MATCH(A220,'League Config'!$E$4:$E$9,0)),1)</f>
        <v>65.900000000000006</v>
      </c>
      <c r="H220">
        <f>INDEX('League Config'!$H$4:$H$9,MATCH(A220,'League Config'!$E$4:$E$9,0))</f>
        <v>10</v>
      </c>
      <c r="I220" s="4">
        <f>INDEX('League Config'!$I$4:$I$9,MATCH(A220,'League Config'!$E$4:$E$9,0))</f>
        <v>99.6</v>
      </c>
      <c r="J220" s="4">
        <f t="shared" si="34"/>
        <v>-33.700000000000003</v>
      </c>
      <c r="K220" s="4">
        <f t="shared" si="35"/>
        <v>29.779999999999998</v>
      </c>
      <c r="L220" s="4">
        <f>MIN(100,MAX(0,(1-(F220-1)/(H220*1.5))*100*INDEX('League Config'!$J$4:$J$9,MATCH(A220,'League Config'!$E$4:$E$9,0))))</f>
        <v>0</v>
      </c>
      <c r="M220">
        <f>IF(A220="K",'League Config'!$B$14,IF(A220="DST",'League Config'!$B$15,IF(A220="QB",'League Config'!$B$16,0)))</f>
        <v>20</v>
      </c>
      <c r="N220" s="4">
        <f t="shared" si="36"/>
        <v>24.354000000000006</v>
      </c>
      <c r="O220" s="9" t="str">
        <f t="shared" si="37"/>
        <v/>
      </c>
      <c r="P220" s="6" t="str">
        <f>IF(O220="","",COUNTIF($O$3:$O$225,"&gt;"&amp;O220)+COUNTIF($O$3:O220,O220))</f>
        <v/>
      </c>
      <c r="Q220">
        <f t="shared" si="38"/>
        <v>216</v>
      </c>
      <c r="R220" s="4">
        <f>'LIVE SOURCE'!E220</f>
        <v>264</v>
      </c>
      <c r="S220" s="4">
        <f t="shared" si="39"/>
        <v>48</v>
      </c>
      <c r="T220" t="str">
        <f>'LIVE SOURCE'!F220</f>
        <v>B</v>
      </c>
      <c r="U220" s="4">
        <f t="shared" si="40"/>
        <v>55.400000000000006</v>
      </c>
      <c r="V220" s="4">
        <f t="shared" si="41"/>
        <v>64.400000000000006</v>
      </c>
      <c r="W220" s="4">
        <f t="shared" si="42"/>
        <v>73.400000000000006</v>
      </c>
      <c r="X220" t="str">
        <f>'LIVE SOURCE'!G220</f>
        <v>DST MODEL</v>
      </c>
      <c r="Y220" t="str">
        <f>IF(INDEX('Draft Board'!$J$3:$J$225,Q220)="","Available",INDEX('Draft Board'!$J$3:$J$225,Q220))</f>
        <v>Available</v>
      </c>
      <c r="Z220">
        <f t="shared" si="43"/>
        <v>216</v>
      </c>
    </row>
    <row r="221" spans="1:26" x14ac:dyDescent="0.25">
      <c r="A221" t="str">
        <f>'LIVE SOURCE'!A221</f>
        <v>DST</v>
      </c>
      <c r="B221" t="str">
        <f>'LIVE SOURCE'!B221</f>
        <v>Washington Commanders</v>
      </c>
      <c r="C221" s="4">
        <f>'LIVE SOURCE'!D221</f>
        <v>63.3</v>
      </c>
      <c r="D221" s="4">
        <f>'Manual Adjustments'!G221</f>
        <v>0</v>
      </c>
      <c r="E221" s="4">
        <f t="shared" si="33"/>
        <v>63.3</v>
      </c>
      <c r="F221">
        <f>COUNTIFS($A$3:$A$225,A221,$E$3:$E$225,"&gt;"&amp;E221)+COUNTIFS($A$3:A221,A221,$E$3:E221,E221)</f>
        <v>28</v>
      </c>
      <c r="G221" s="4">
        <f>ROUND(INDEX('League Config'!$K$4:$K$9,MATCH(A221,'League Config'!$E$4:$E$9,0))*E221+INDEX('League Config'!$L$4:$L$9,MATCH(A221,'League Config'!$E$4:$E$9,0)),1)</f>
        <v>63.9</v>
      </c>
      <c r="H221">
        <f>INDEX('League Config'!$H$4:$H$9,MATCH(A221,'League Config'!$E$4:$E$9,0))</f>
        <v>10</v>
      </c>
      <c r="I221" s="4">
        <f>INDEX('League Config'!$I$4:$I$9,MATCH(A221,'League Config'!$E$4:$E$9,0))</f>
        <v>99.6</v>
      </c>
      <c r="J221" s="4">
        <f t="shared" si="34"/>
        <v>-35.700000000000003</v>
      </c>
      <c r="K221" s="4">
        <f t="shared" si="35"/>
        <v>28.58</v>
      </c>
      <c r="L221" s="4">
        <f>MIN(100,MAX(0,(1-(F221-1)/(H221*1.5))*100*INDEX('League Config'!$J$4:$J$9,MATCH(A221,'League Config'!$E$4:$E$9,0))))</f>
        <v>0</v>
      </c>
      <c r="M221">
        <f>IF(A221="K",'League Config'!$B$14,IF(A221="DST",'League Config'!$B$15,IF(A221="QB",'League Config'!$B$16,0)))</f>
        <v>20</v>
      </c>
      <c r="N221" s="4">
        <f t="shared" si="36"/>
        <v>23.388999999999996</v>
      </c>
      <c r="O221" s="9" t="str">
        <f t="shared" si="37"/>
        <v/>
      </c>
      <c r="P221" s="6" t="str">
        <f>IF(O221="","",COUNTIF($O$3:$O$225,"&gt;"&amp;O221)+COUNTIF($O$3:O221,O221))</f>
        <v/>
      </c>
      <c r="Q221">
        <f t="shared" si="38"/>
        <v>217</v>
      </c>
      <c r="R221" s="4">
        <f>'LIVE SOURCE'!E221</f>
        <v>268</v>
      </c>
      <c r="S221" s="4">
        <f t="shared" si="39"/>
        <v>51</v>
      </c>
      <c r="T221" t="str">
        <f>'LIVE SOURCE'!F221</f>
        <v>B</v>
      </c>
      <c r="U221" s="4">
        <f t="shared" si="40"/>
        <v>54.3</v>
      </c>
      <c r="V221" s="4">
        <f t="shared" si="41"/>
        <v>63.3</v>
      </c>
      <c r="W221" s="4">
        <f t="shared" si="42"/>
        <v>72.3</v>
      </c>
      <c r="X221" t="str">
        <f>'LIVE SOURCE'!G221</f>
        <v>DST MODEL</v>
      </c>
      <c r="Y221" t="str">
        <f>IF(INDEX('Draft Board'!$J$3:$J$225,Q221)="","Available",INDEX('Draft Board'!$J$3:$J$225,Q221))</f>
        <v>Available</v>
      </c>
      <c r="Z221">
        <f t="shared" si="43"/>
        <v>217</v>
      </c>
    </row>
    <row r="222" spans="1:26" x14ac:dyDescent="0.25">
      <c r="A222" t="str">
        <f>'LIVE SOURCE'!A222</f>
        <v>DST</v>
      </c>
      <c r="B222" t="str">
        <f>'LIVE SOURCE'!B222</f>
        <v>New York Jets</v>
      </c>
      <c r="C222" s="4">
        <f>'LIVE SOURCE'!D222</f>
        <v>62.2</v>
      </c>
      <c r="D222" s="4">
        <f>'Manual Adjustments'!G222</f>
        <v>0</v>
      </c>
      <c r="E222" s="4">
        <f t="shared" si="33"/>
        <v>62.2</v>
      </c>
      <c r="F222">
        <f>COUNTIFS($A$3:$A$225,A222,$E$3:$E$225,"&gt;"&amp;E222)+COUNTIFS($A$3:A222,A222,$E$3:E222,E222)</f>
        <v>29</v>
      </c>
      <c r="G222" s="4">
        <f>ROUND(INDEX('League Config'!$K$4:$K$9,MATCH(A222,'League Config'!$E$4:$E$9,0))*E222+INDEX('League Config'!$L$4:$L$9,MATCH(A222,'League Config'!$E$4:$E$9,0)),1)</f>
        <v>62</v>
      </c>
      <c r="H222">
        <f>INDEX('League Config'!$H$4:$H$9,MATCH(A222,'League Config'!$E$4:$E$9,0))</f>
        <v>10</v>
      </c>
      <c r="I222" s="4">
        <f>INDEX('League Config'!$I$4:$I$9,MATCH(A222,'League Config'!$E$4:$E$9,0))</f>
        <v>99.6</v>
      </c>
      <c r="J222" s="4">
        <f t="shared" si="34"/>
        <v>-37.6</v>
      </c>
      <c r="K222" s="4">
        <f t="shared" si="35"/>
        <v>27.44</v>
      </c>
      <c r="L222" s="4">
        <f>MIN(100,MAX(0,(1-(F222-1)/(H222*1.5))*100*INDEX('League Config'!$J$4:$J$9,MATCH(A222,'League Config'!$E$4:$E$9,0))))</f>
        <v>0</v>
      </c>
      <c r="M222">
        <f>IF(A222="K",'League Config'!$B$14,IF(A222="DST",'League Config'!$B$15,IF(A222="QB",'League Config'!$B$16,0)))</f>
        <v>20</v>
      </c>
      <c r="N222" s="4">
        <f t="shared" si="36"/>
        <v>22.442</v>
      </c>
      <c r="O222" s="9" t="str">
        <f t="shared" si="37"/>
        <v/>
      </c>
      <c r="P222" s="6" t="str">
        <f>IF(O222="","",COUNTIF($O$3:$O$225,"&gt;"&amp;O222)+COUNTIF($O$3:O222,O222))</f>
        <v/>
      </c>
      <c r="Q222">
        <f t="shared" si="38"/>
        <v>218</v>
      </c>
      <c r="R222" s="4">
        <f>'LIVE SOURCE'!E222</f>
        <v>272</v>
      </c>
      <c r="S222" s="4">
        <f t="shared" si="39"/>
        <v>54</v>
      </c>
      <c r="T222" t="str">
        <f>'LIVE SOURCE'!F222</f>
        <v>B</v>
      </c>
      <c r="U222" s="4">
        <f t="shared" si="40"/>
        <v>53.2</v>
      </c>
      <c r="V222" s="4">
        <f t="shared" si="41"/>
        <v>62.2</v>
      </c>
      <c r="W222" s="4">
        <f t="shared" si="42"/>
        <v>71.2</v>
      </c>
      <c r="X222" t="str">
        <f>'LIVE SOURCE'!G222</f>
        <v>DST MODEL</v>
      </c>
      <c r="Y222" t="str">
        <f>IF(INDEX('Draft Board'!$J$3:$J$225,Q222)="","Available",INDEX('Draft Board'!$J$3:$J$225,Q222))</f>
        <v>Available</v>
      </c>
      <c r="Z222">
        <f t="shared" si="43"/>
        <v>218</v>
      </c>
    </row>
    <row r="223" spans="1:26" x14ac:dyDescent="0.25">
      <c r="A223" t="str">
        <f>'LIVE SOURCE'!A223</f>
        <v>DST</v>
      </c>
      <c r="B223" t="str">
        <f>'LIVE SOURCE'!B223</f>
        <v>Arizona Cardinals</v>
      </c>
      <c r="C223" s="4">
        <f>'LIVE SOURCE'!D223</f>
        <v>61.1</v>
      </c>
      <c r="D223" s="4">
        <f>'Manual Adjustments'!G223</f>
        <v>0</v>
      </c>
      <c r="E223" s="4">
        <f t="shared" si="33"/>
        <v>61.1</v>
      </c>
      <c r="F223">
        <f>COUNTIFS($A$3:$A$225,A223,$E$3:$E$225,"&gt;"&amp;E223)+COUNTIFS($A$3:A223,A223,$E$3:E223,E223)</f>
        <v>30</v>
      </c>
      <c r="G223" s="4">
        <f>ROUND(INDEX('League Config'!$K$4:$K$9,MATCH(A223,'League Config'!$E$4:$E$9,0))*E223+INDEX('League Config'!$L$4:$L$9,MATCH(A223,'League Config'!$E$4:$E$9,0)),1)</f>
        <v>60</v>
      </c>
      <c r="H223">
        <f>INDEX('League Config'!$H$4:$H$9,MATCH(A223,'League Config'!$E$4:$E$9,0))</f>
        <v>10</v>
      </c>
      <c r="I223" s="4">
        <f>INDEX('League Config'!$I$4:$I$9,MATCH(A223,'League Config'!$E$4:$E$9,0))</f>
        <v>99.6</v>
      </c>
      <c r="J223" s="4">
        <f t="shared" si="34"/>
        <v>-39.6</v>
      </c>
      <c r="K223" s="4">
        <f t="shared" si="35"/>
        <v>26.24</v>
      </c>
      <c r="L223" s="4">
        <f>MIN(100,MAX(0,(1-(F223-1)/(H223*1.5))*100*INDEX('League Config'!$J$4:$J$9,MATCH(A223,'League Config'!$E$4:$E$9,0))))</f>
        <v>0</v>
      </c>
      <c r="M223">
        <f>IF(A223="K",'League Config'!$B$14,IF(A223="DST",'League Config'!$B$15,IF(A223="QB",'League Config'!$B$16,0)))</f>
        <v>20</v>
      </c>
      <c r="N223" s="4">
        <f t="shared" si="36"/>
        <v>21.477000000000004</v>
      </c>
      <c r="O223" s="9" t="str">
        <f t="shared" si="37"/>
        <v/>
      </c>
      <c r="P223" s="6" t="str">
        <f>IF(O223="","",COUNTIF($O$3:$O$225,"&gt;"&amp;O223)+COUNTIF($O$3:O223,O223))</f>
        <v/>
      </c>
      <c r="Q223">
        <f t="shared" si="38"/>
        <v>219</v>
      </c>
      <c r="R223" s="4">
        <f>'LIVE SOURCE'!E223</f>
        <v>276</v>
      </c>
      <c r="S223" s="4">
        <f t="shared" si="39"/>
        <v>57</v>
      </c>
      <c r="T223" t="str">
        <f>'LIVE SOURCE'!F223</f>
        <v>B</v>
      </c>
      <c r="U223" s="4">
        <f t="shared" si="40"/>
        <v>52.1</v>
      </c>
      <c r="V223" s="4">
        <f t="shared" si="41"/>
        <v>61.1</v>
      </c>
      <c r="W223" s="4">
        <f t="shared" si="42"/>
        <v>70.099999999999994</v>
      </c>
      <c r="X223" t="str">
        <f>'LIVE SOURCE'!G223</f>
        <v>DST MODEL</v>
      </c>
      <c r="Y223" t="str">
        <f>IF(INDEX('Draft Board'!$J$3:$J$225,Q223)="","Available",INDEX('Draft Board'!$J$3:$J$225,Q223))</f>
        <v>Available</v>
      </c>
      <c r="Z223">
        <f t="shared" si="43"/>
        <v>219</v>
      </c>
    </row>
    <row r="224" spans="1:26" x14ac:dyDescent="0.25">
      <c r="A224" t="str">
        <f>'LIVE SOURCE'!A224</f>
        <v>DST</v>
      </c>
      <c r="B224" t="str">
        <f>'LIVE SOURCE'!B224</f>
        <v>Cincinnati Bengals</v>
      </c>
      <c r="C224" s="4">
        <f>'LIVE SOURCE'!D224</f>
        <v>60</v>
      </c>
      <c r="D224" s="4">
        <f>'Manual Adjustments'!G224</f>
        <v>0</v>
      </c>
      <c r="E224" s="4">
        <f t="shared" si="33"/>
        <v>60</v>
      </c>
      <c r="F224">
        <f>COUNTIFS($A$3:$A$225,A224,$E$3:$E$225,"&gt;"&amp;E224)+COUNTIFS($A$3:A224,A224,$E$3:E224,E224)</f>
        <v>31</v>
      </c>
      <c r="G224" s="4">
        <f>ROUND(INDEX('League Config'!$K$4:$K$9,MATCH(A224,'League Config'!$E$4:$E$9,0))*E224+INDEX('League Config'!$L$4:$L$9,MATCH(A224,'League Config'!$E$4:$E$9,0)),1)</f>
        <v>58</v>
      </c>
      <c r="H224">
        <f>INDEX('League Config'!$H$4:$H$9,MATCH(A224,'League Config'!$E$4:$E$9,0))</f>
        <v>10</v>
      </c>
      <c r="I224" s="4">
        <f>INDEX('League Config'!$I$4:$I$9,MATCH(A224,'League Config'!$E$4:$E$9,0))</f>
        <v>99.6</v>
      </c>
      <c r="J224" s="4">
        <f t="shared" si="34"/>
        <v>-41.6</v>
      </c>
      <c r="K224" s="4">
        <f t="shared" si="35"/>
        <v>25.04</v>
      </c>
      <c r="L224" s="4">
        <f>MIN(100,MAX(0,(1-(F224-1)/(H224*1.5))*100*INDEX('League Config'!$J$4:$J$9,MATCH(A224,'League Config'!$E$4:$E$9,0))))</f>
        <v>0</v>
      </c>
      <c r="M224">
        <f>IF(A224="K",'League Config'!$B$14,IF(A224="DST",'League Config'!$B$15,IF(A224="QB",'League Config'!$B$16,0)))</f>
        <v>20</v>
      </c>
      <c r="N224" s="4">
        <f t="shared" si="36"/>
        <v>20.512</v>
      </c>
      <c r="O224" s="9" t="str">
        <f t="shared" si="37"/>
        <v/>
      </c>
      <c r="P224" s="6" t="str">
        <f>IF(O224="","",COUNTIF($O$3:$O$225,"&gt;"&amp;O224)+COUNTIF($O$3:O224,O224))</f>
        <v/>
      </c>
      <c r="Q224">
        <f t="shared" si="38"/>
        <v>220</v>
      </c>
      <c r="R224" s="4">
        <f>'LIVE SOURCE'!E224</f>
        <v>280</v>
      </c>
      <c r="S224" s="4">
        <f t="shared" si="39"/>
        <v>60</v>
      </c>
      <c r="T224" t="str">
        <f>'LIVE SOURCE'!F224</f>
        <v>B</v>
      </c>
      <c r="U224" s="4">
        <f t="shared" si="40"/>
        <v>51</v>
      </c>
      <c r="V224" s="4">
        <f t="shared" si="41"/>
        <v>60</v>
      </c>
      <c r="W224" s="4">
        <f t="shared" si="42"/>
        <v>69</v>
      </c>
      <c r="X224" t="str">
        <f>'LIVE SOURCE'!G224</f>
        <v>DST MODEL</v>
      </c>
      <c r="Y224" t="str">
        <f>IF(INDEX('Draft Board'!$J$3:$J$225,Q224)="","Available",INDEX('Draft Board'!$J$3:$J$225,Q224))</f>
        <v>Available</v>
      </c>
      <c r="Z224">
        <f t="shared" si="43"/>
        <v>220</v>
      </c>
    </row>
    <row r="225" spans="1:26" x14ac:dyDescent="0.25">
      <c r="A225" t="str">
        <f>'LIVE SOURCE'!A225</f>
        <v>DST</v>
      </c>
      <c r="B225" t="str">
        <f>'LIVE SOURCE'!B225</f>
        <v>Las Vegas Raiders</v>
      </c>
      <c r="C225" s="4">
        <f>'LIVE SOURCE'!D225</f>
        <v>58.9</v>
      </c>
      <c r="D225" s="4">
        <f>'Manual Adjustments'!G225</f>
        <v>0</v>
      </c>
      <c r="E225" s="4">
        <f t="shared" si="33"/>
        <v>58.9</v>
      </c>
      <c r="F225">
        <f>COUNTIFS($A$3:$A$225,A225,$E$3:$E$225,"&gt;"&amp;E225)+COUNTIFS($A$3:A225,A225,$E$3:E225,E225)</f>
        <v>32</v>
      </c>
      <c r="G225" s="4">
        <f>ROUND(INDEX('League Config'!$K$4:$K$9,MATCH(A225,'League Config'!$E$4:$E$9,0))*E225+INDEX('League Config'!$L$4:$L$9,MATCH(A225,'League Config'!$E$4:$E$9,0)),1)</f>
        <v>56</v>
      </c>
      <c r="H225">
        <f>INDEX('League Config'!$H$4:$H$9,MATCH(A225,'League Config'!$E$4:$E$9,0))</f>
        <v>10</v>
      </c>
      <c r="I225" s="4">
        <f>INDEX('League Config'!$I$4:$I$9,MATCH(A225,'League Config'!$E$4:$E$9,0))</f>
        <v>99.6</v>
      </c>
      <c r="J225" s="4">
        <f t="shared" si="34"/>
        <v>-43.6</v>
      </c>
      <c r="K225" s="4">
        <f t="shared" si="35"/>
        <v>23.84</v>
      </c>
      <c r="L225" s="4">
        <f>MIN(100,MAX(0,(1-(F225-1)/(H225*1.5))*100*INDEX('League Config'!$J$4:$J$9,MATCH(A225,'League Config'!$E$4:$E$9,0))))</f>
        <v>0</v>
      </c>
      <c r="M225">
        <f>IF(A225="K",'League Config'!$B$14,IF(A225="DST",'League Config'!$B$15,IF(A225="QB",'League Config'!$B$16,0)))</f>
        <v>20</v>
      </c>
      <c r="N225" s="4">
        <f t="shared" si="36"/>
        <v>19.547000000000004</v>
      </c>
      <c r="O225" s="9" t="str">
        <f t="shared" si="37"/>
        <v/>
      </c>
      <c r="P225" s="6" t="str">
        <f>IF(O225="","",COUNTIF($O$3:$O$225,"&gt;"&amp;O225)+COUNTIF($O$3:O225,O225))</f>
        <v/>
      </c>
      <c r="Q225">
        <f t="shared" si="38"/>
        <v>221</v>
      </c>
      <c r="R225" s="4">
        <f>'LIVE SOURCE'!E225</f>
        <v>284</v>
      </c>
      <c r="S225" s="4">
        <f t="shared" si="39"/>
        <v>63</v>
      </c>
      <c r="T225" t="str">
        <f>'LIVE SOURCE'!F225</f>
        <v>B</v>
      </c>
      <c r="U225" s="4">
        <f t="shared" si="40"/>
        <v>49.9</v>
      </c>
      <c r="V225" s="4">
        <f t="shared" si="41"/>
        <v>58.9</v>
      </c>
      <c r="W225" s="4">
        <f t="shared" si="42"/>
        <v>67.900000000000006</v>
      </c>
      <c r="X225" t="str">
        <f>'LIVE SOURCE'!G225</f>
        <v>DST MODEL</v>
      </c>
      <c r="Y225" t="str">
        <f>IF(INDEX('Draft Board'!$J$3:$J$225,Q225)="","Available",INDEX('Draft Board'!$J$3:$J$225,Q225))</f>
        <v>Available</v>
      </c>
      <c r="Z225">
        <f t="shared" si="43"/>
        <v>221</v>
      </c>
    </row>
  </sheetData>
  <conditionalFormatting sqref="S3:S225">
    <cfRule type="cellIs" dxfId="4" priority="1" operator="greaterThan">
      <formula>10</formula>
    </cfRule>
    <cfRule type="cellIs" dxfId="3" priority="2" operator="lessThan">
      <formula>-10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70AD47"/>
  </sheetPr>
  <dimension ref="A1:G42"/>
  <sheetViews>
    <sheetView workbookViewId="0"/>
  </sheetViews>
  <sheetFormatPr defaultRowHeight="15" x14ac:dyDescent="0.25"/>
  <cols>
    <col min="1" max="1" width="14" customWidth="1"/>
    <col min="2" max="2" width="22" customWidth="1"/>
    <col min="3" max="3" width="13" customWidth="1"/>
    <col min="4" max="4" width="12" customWidth="1"/>
    <col min="5" max="5" width="26" customWidth="1"/>
    <col min="6" max="6" width="10" customWidth="1"/>
    <col min="7" max="7" width="8" customWidth="1"/>
  </cols>
  <sheetData>
    <row r="1" spans="1:7" ht="18.75" x14ac:dyDescent="0.3">
      <c r="A1" s="1" t="s">
        <v>596</v>
      </c>
    </row>
    <row r="2" spans="1:7" x14ac:dyDescent="0.25">
      <c r="A2" s="2" t="s">
        <v>597</v>
      </c>
    </row>
    <row r="4" spans="1:7" x14ac:dyDescent="0.25">
      <c r="A4" s="7" t="s">
        <v>598</v>
      </c>
      <c r="B4" s="7" t="s">
        <v>18</v>
      </c>
      <c r="D4" s="7" t="s">
        <v>599</v>
      </c>
      <c r="E4" s="7" t="s">
        <v>600</v>
      </c>
      <c r="F4" s="7" t="s">
        <v>601</v>
      </c>
    </row>
    <row r="5" spans="1:7" x14ac:dyDescent="0.25">
      <c r="A5" t="s">
        <v>602</v>
      </c>
      <c r="B5" s="5">
        <v>1</v>
      </c>
      <c r="D5" t="s">
        <v>603</v>
      </c>
      <c r="E5" t="s">
        <v>604</v>
      </c>
      <c r="F5" t="s">
        <v>605</v>
      </c>
    </row>
    <row r="6" spans="1:7" x14ac:dyDescent="0.25">
      <c r="A6" t="s">
        <v>28</v>
      </c>
      <c r="B6">
        <f>'League Config'!$B$4</f>
        <v>10</v>
      </c>
      <c r="D6" t="s">
        <v>606</v>
      </c>
      <c r="E6" t="s">
        <v>607</v>
      </c>
      <c r="F6" t="s">
        <v>608</v>
      </c>
    </row>
    <row r="7" spans="1:7" x14ac:dyDescent="0.25">
      <c r="A7" t="s">
        <v>609</v>
      </c>
      <c r="B7">
        <f>SUM('League Config'!$B$6:$B$13)</f>
        <v>15</v>
      </c>
      <c r="D7" t="s">
        <v>610</v>
      </c>
      <c r="E7" t="s">
        <v>611</v>
      </c>
      <c r="F7" t="s">
        <v>612</v>
      </c>
    </row>
    <row r="10" spans="1:7" x14ac:dyDescent="0.25">
      <c r="A10" s="10" t="s">
        <v>613</v>
      </c>
    </row>
    <row r="11" spans="1:7" x14ac:dyDescent="0.25">
      <c r="A11" s="7" t="s">
        <v>12</v>
      </c>
      <c r="B11" s="7" t="s">
        <v>64</v>
      </c>
      <c r="C11" s="7" t="s">
        <v>3</v>
      </c>
      <c r="D11" s="7" t="s">
        <v>8</v>
      </c>
      <c r="E11" s="7" t="s">
        <v>2</v>
      </c>
      <c r="F11" s="7" t="s">
        <v>614</v>
      </c>
      <c r="G11" s="7" t="s">
        <v>615</v>
      </c>
    </row>
    <row r="12" spans="1:7" x14ac:dyDescent="0.25">
      <c r="A12">
        <v>1</v>
      </c>
      <c r="B12" t="str">
        <f>IFERROR(INDEX('Draft Engine'!$B$3:$B$225,MATCH($A12,'Draft Engine'!$Z$3:$Z$225,0)),"")</f>
        <v>Puka Nacua</v>
      </c>
      <c r="C12" t="str">
        <f>IFERROR(INDEX('Draft Engine'!$A$3:$A$225,MATCH($A12,'Draft Engine'!$Z$3:$Z$225,0)),"")</f>
        <v>WR</v>
      </c>
      <c r="D12">
        <f>IFERROR(ROUND(INDEX('Draft Engine'!$N$3:$N$225,MATCH($A12,'Draft Engine'!$Z$3:$Z$225,0)),1),"")</f>
        <v>99.2</v>
      </c>
      <c r="E12">
        <f>IFERROR(INDEX('Draft Engine'!$Q$3:$Q$225,MATCH($A12,'Draft Engine'!$Z$3:$Z$225,0)),"")</f>
        <v>1</v>
      </c>
      <c r="F12">
        <f>IFERROR(INDEX('Draft Engine'!$R$3:$R$225,MATCH($A12,'Draft Engine'!$Z$3:$Z$225,0)),"")</f>
        <v>3.8</v>
      </c>
      <c r="G12">
        <f>IFERROR(INDEX('Draft Engine'!$S$3:$S$225,MATCH($A12,'Draft Engine'!$Z$3:$Z$225,0)),"")</f>
        <v>2.8</v>
      </c>
    </row>
    <row r="13" spans="1:7" x14ac:dyDescent="0.25">
      <c r="A13">
        <v>2</v>
      </c>
      <c r="B13" t="str">
        <f>IFERROR(INDEX('Draft Engine'!$B$3:$B$225,MATCH($A13,'Draft Engine'!$Z$3:$Z$225,0)),"")</f>
        <v>Bijan Robinson</v>
      </c>
      <c r="C13" t="str">
        <f>IFERROR(INDEX('Draft Engine'!$A$3:$A$225,MATCH($A13,'Draft Engine'!$Z$3:$Z$225,0)),"")</f>
        <v>RB</v>
      </c>
      <c r="D13">
        <f>IFERROR(ROUND(INDEX('Draft Engine'!$N$3:$N$225,MATCH($A13,'Draft Engine'!$Z$3:$Z$225,0)),1),"")</f>
        <v>98.6</v>
      </c>
      <c r="E13">
        <f>IFERROR(INDEX('Draft Engine'!$Q$3:$Q$225,MATCH($A13,'Draft Engine'!$Z$3:$Z$225,0)),"")</f>
        <v>2</v>
      </c>
      <c r="F13">
        <f>IFERROR(INDEX('Draft Engine'!$R$3:$R$225,MATCH($A13,'Draft Engine'!$Z$3:$Z$225,0)),"")</f>
        <v>1.8</v>
      </c>
      <c r="G13">
        <f>IFERROR(INDEX('Draft Engine'!$S$3:$S$225,MATCH($A13,'Draft Engine'!$Z$3:$Z$225,0)),"")</f>
        <v>-0.19999999999999996</v>
      </c>
    </row>
    <row r="14" spans="1:7" x14ac:dyDescent="0.25">
      <c r="A14">
        <v>3</v>
      </c>
      <c r="B14" t="str">
        <f>IFERROR(INDEX('Draft Engine'!$B$3:$B$225,MATCH($A14,'Draft Engine'!$Z$3:$Z$225,0)),"")</f>
        <v>Ja'Marr Chase</v>
      </c>
      <c r="C14" t="str">
        <f>IFERROR(INDEX('Draft Engine'!$A$3:$A$225,MATCH($A14,'Draft Engine'!$Z$3:$Z$225,0)),"")</f>
        <v>WR</v>
      </c>
      <c r="D14">
        <f>IFERROR(ROUND(INDEX('Draft Engine'!$N$3:$N$225,MATCH($A14,'Draft Engine'!$Z$3:$Z$225,0)),1),"")</f>
        <v>98.2</v>
      </c>
      <c r="E14">
        <f>IFERROR(INDEX('Draft Engine'!$Q$3:$Q$225,MATCH($A14,'Draft Engine'!$Z$3:$Z$225,0)),"")</f>
        <v>3</v>
      </c>
      <c r="F14">
        <f>IFERROR(INDEX('Draft Engine'!$R$3:$R$225,MATCH($A14,'Draft Engine'!$Z$3:$Z$225,0)),"")</f>
        <v>3.2</v>
      </c>
      <c r="G14">
        <f>IFERROR(INDEX('Draft Engine'!$S$3:$S$225,MATCH($A14,'Draft Engine'!$Z$3:$Z$225,0)),"")</f>
        <v>0.20000000000000018</v>
      </c>
    </row>
    <row r="15" spans="1:7" x14ac:dyDescent="0.25">
      <c r="A15">
        <v>4</v>
      </c>
      <c r="B15" t="str">
        <f>IFERROR(INDEX('Draft Engine'!$B$3:$B$225,MATCH($A15,'Draft Engine'!$Z$3:$Z$225,0)),"")</f>
        <v>Jahmyr Gibbs</v>
      </c>
      <c r="C15" t="str">
        <f>IFERROR(INDEX('Draft Engine'!$A$3:$A$225,MATCH($A15,'Draft Engine'!$Z$3:$Z$225,0)),"")</f>
        <v>RB</v>
      </c>
      <c r="D15">
        <f>IFERROR(ROUND(INDEX('Draft Engine'!$N$3:$N$225,MATCH($A15,'Draft Engine'!$Z$3:$Z$225,0)),1),"")</f>
        <v>98</v>
      </c>
      <c r="E15">
        <f>IFERROR(INDEX('Draft Engine'!$Q$3:$Q$225,MATCH($A15,'Draft Engine'!$Z$3:$Z$225,0)),"")</f>
        <v>4</v>
      </c>
      <c r="F15">
        <f>IFERROR(INDEX('Draft Engine'!$R$3:$R$225,MATCH($A15,'Draft Engine'!$Z$3:$Z$225,0)),"")</f>
        <v>1.2</v>
      </c>
      <c r="G15">
        <f>IFERROR(INDEX('Draft Engine'!$S$3:$S$225,MATCH($A15,'Draft Engine'!$Z$3:$Z$225,0)),"")</f>
        <v>-2.8</v>
      </c>
    </row>
    <row r="16" spans="1:7" x14ac:dyDescent="0.25">
      <c r="A16">
        <v>5</v>
      </c>
      <c r="B16" t="str">
        <f>IFERROR(INDEX('Draft Engine'!$B$3:$B$225,MATCH($A16,'Draft Engine'!$Z$3:$Z$225,0)),"")</f>
        <v>Christian McCaffrey</v>
      </c>
      <c r="C16" t="str">
        <f>IFERROR(INDEX('Draft Engine'!$A$3:$A$225,MATCH($A16,'Draft Engine'!$Z$3:$Z$225,0)),"")</f>
        <v>RB</v>
      </c>
      <c r="D16">
        <f>IFERROR(ROUND(INDEX('Draft Engine'!$N$3:$N$225,MATCH($A16,'Draft Engine'!$Z$3:$Z$225,0)),1),"")</f>
        <v>96.8</v>
      </c>
      <c r="E16">
        <f>IFERROR(INDEX('Draft Engine'!$Q$3:$Q$225,MATCH($A16,'Draft Engine'!$Z$3:$Z$225,0)),"")</f>
        <v>5</v>
      </c>
      <c r="F16">
        <f>IFERROR(INDEX('Draft Engine'!$R$3:$R$225,MATCH($A16,'Draft Engine'!$Z$3:$Z$225,0)),"")</f>
        <v>7</v>
      </c>
      <c r="G16">
        <f>IFERROR(INDEX('Draft Engine'!$S$3:$S$225,MATCH($A16,'Draft Engine'!$Z$3:$Z$225,0)),"")</f>
        <v>2</v>
      </c>
    </row>
    <row r="17" spans="1:7" x14ac:dyDescent="0.25">
      <c r="A17">
        <v>6</v>
      </c>
      <c r="B17" t="str">
        <f>IFERROR(INDEX('Draft Engine'!$B$3:$B$225,MATCH($A17,'Draft Engine'!$Z$3:$Z$225,0)),"")</f>
        <v>Jaxon Smith-Njigba</v>
      </c>
      <c r="C17" t="str">
        <f>IFERROR(INDEX('Draft Engine'!$A$3:$A$225,MATCH($A17,'Draft Engine'!$Z$3:$Z$225,0)),"")</f>
        <v>WR</v>
      </c>
      <c r="D17">
        <f>IFERROR(ROUND(INDEX('Draft Engine'!$N$3:$N$225,MATCH($A17,'Draft Engine'!$Z$3:$Z$225,0)),1),"")</f>
        <v>96.7</v>
      </c>
      <c r="E17">
        <f>IFERROR(INDEX('Draft Engine'!$Q$3:$Q$225,MATCH($A17,'Draft Engine'!$Z$3:$Z$225,0)),"")</f>
        <v>6</v>
      </c>
      <c r="F17">
        <f>IFERROR(INDEX('Draft Engine'!$R$3:$R$225,MATCH($A17,'Draft Engine'!$Z$3:$Z$225,0)),"")</f>
        <v>5.4</v>
      </c>
      <c r="G17">
        <f>IFERROR(INDEX('Draft Engine'!$S$3:$S$225,MATCH($A17,'Draft Engine'!$Z$3:$Z$225,0)),"")</f>
        <v>-0.59999999999999964</v>
      </c>
    </row>
    <row r="18" spans="1:7" x14ac:dyDescent="0.25">
      <c r="A18">
        <v>7</v>
      </c>
      <c r="B18" t="str">
        <f>IFERROR(INDEX('Draft Engine'!$B$3:$B$225,MATCH($A18,'Draft Engine'!$Z$3:$Z$225,0)),"")</f>
        <v>Amon-Ra St. Brown</v>
      </c>
      <c r="C18" t="str">
        <f>IFERROR(INDEX('Draft Engine'!$A$3:$A$225,MATCH($A18,'Draft Engine'!$Z$3:$Z$225,0)),"")</f>
        <v>WR</v>
      </c>
      <c r="D18">
        <f>IFERROR(ROUND(INDEX('Draft Engine'!$N$3:$N$225,MATCH($A18,'Draft Engine'!$Z$3:$Z$225,0)),1),"")</f>
        <v>96.1</v>
      </c>
      <c r="E18">
        <f>IFERROR(INDEX('Draft Engine'!$Q$3:$Q$225,MATCH($A18,'Draft Engine'!$Z$3:$Z$225,0)),"")</f>
        <v>7</v>
      </c>
      <c r="F18">
        <f>IFERROR(INDEX('Draft Engine'!$R$3:$R$225,MATCH($A18,'Draft Engine'!$Z$3:$Z$225,0)),"")</f>
        <v>6</v>
      </c>
      <c r="G18">
        <f>IFERROR(INDEX('Draft Engine'!$S$3:$S$225,MATCH($A18,'Draft Engine'!$Z$3:$Z$225,0)),"")</f>
        <v>-1</v>
      </c>
    </row>
    <row r="19" spans="1:7" x14ac:dyDescent="0.25">
      <c r="A19">
        <v>8</v>
      </c>
      <c r="B19" t="str">
        <f>IFERROR(INDEX('Draft Engine'!$B$3:$B$225,MATCH($A19,'Draft Engine'!$Z$3:$Z$225,0)),"")</f>
        <v>Jonathan Taylor</v>
      </c>
      <c r="C19" t="str">
        <f>IFERROR(INDEX('Draft Engine'!$A$3:$A$225,MATCH($A19,'Draft Engine'!$Z$3:$Z$225,0)),"")</f>
        <v>RB</v>
      </c>
      <c r="D19">
        <f>IFERROR(ROUND(INDEX('Draft Engine'!$N$3:$N$225,MATCH($A19,'Draft Engine'!$Z$3:$Z$225,0)),1),"")</f>
        <v>94.7</v>
      </c>
      <c r="E19">
        <f>IFERROR(INDEX('Draft Engine'!$Q$3:$Q$225,MATCH($A19,'Draft Engine'!$Z$3:$Z$225,0)),"")</f>
        <v>8</v>
      </c>
      <c r="F19">
        <f>IFERROR(INDEX('Draft Engine'!$R$3:$R$225,MATCH($A19,'Draft Engine'!$Z$3:$Z$225,0)),"")</f>
        <v>11</v>
      </c>
      <c r="G19">
        <f>IFERROR(INDEX('Draft Engine'!$S$3:$S$225,MATCH($A19,'Draft Engine'!$Z$3:$Z$225,0)),"")</f>
        <v>3</v>
      </c>
    </row>
    <row r="20" spans="1:7" x14ac:dyDescent="0.25">
      <c r="A20">
        <v>9</v>
      </c>
      <c r="B20" t="str">
        <f>IFERROR(INDEX('Draft Engine'!$B$3:$B$225,MATCH($A20,'Draft Engine'!$Z$3:$Z$225,0)),"")</f>
        <v>Nico Collins</v>
      </c>
      <c r="C20" t="str">
        <f>IFERROR(INDEX('Draft Engine'!$A$3:$A$225,MATCH($A20,'Draft Engine'!$Z$3:$Z$225,0)),"")</f>
        <v>WR</v>
      </c>
      <c r="D20">
        <f>IFERROR(ROUND(INDEX('Draft Engine'!$N$3:$N$225,MATCH($A20,'Draft Engine'!$Z$3:$Z$225,0)),1),"")</f>
        <v>93.8</v>
      </c>
      <c r="E20">
        <f>IFERROR(INDEX('Draft Engine'!$Q$3:$Q$225,MATCH($A20,'Draft Engine'!$Z$3:$Z$225,0)),"")</f>
        <v>9</v>
      </c>
      <c r="F20">
        <f>IFERROR(INDEX('Draft Engine'!$R$3:$R$225,MATCH($A20,'Draft Engine'!$Z$3:$Z$225,0)),"")</f>
        <v>12</v>
      </c>
      <c r="G20">
        <f>IFERROR(INDEX('Draft Engine'!$S$3:$S$225,MATCH($A20,'Draft Engine'!$Z$3:$Z$225,0)),"")</f>
        <v>3</v>
      </c>
    </row>
    <row r="21" spans="1:7" x14ac:dyDescent="0.25">
      <c r="A21">
        <v>10</v>
      </c>
      <c r="B21" t="str">
        <f>IFERROR(INDEX('Draft Engine'!$B$3:$B$225,MATCH($A21,'Draft Engine'!$Z$3:$Z$225,0)),"")</f>
        <v>Trey McBride</v>
      </c>
      <c r="C21" t="str">
        <f>IFERROR(INDEX('Draft Engine'!$A$3:$A$225,MATCH($A21,'Draft Engine'!$Z$3:$Z$225,0)),"")</f>
        <v>TE</v>
      </c>
      <c r="D21">
        <f>IFERROR(ROUND(INDEX('Draft Engine'!$N$3:$N$225,MATCH($A21,'Draft Engine'!$Z$3:$Z$225,0)),1),"")</f>
        <v>93.5</v>
      </c>
      <c r="E21">
        <f>IFERROR(INDEX('Draft Engine'!$Q$3:$Q$225,MATCH($A21,'Draft Engine'!$Z$3:$Z$225,0)),"")</f>
        <v>10</v>
      </c>
      <c r="F21">
        <f>IFERROR(INDEX('Draft Engine'!$R$3:$R$225,MATCH($A21,'Draft Engine'!$Z$3:$Z$225,0)),"")</f>
        <v>17</v>
      </c>
      <c r="G21">
        <f>IFERROR(INDEX('Draft Engine'!$S$3:$S$225,MATCH($A21,'Draft Engine'!$Z$3:$Z$225,0)),"")</f>
        <v>7</v>
      </c>
    </row>
    <row r="24" spans="1:7" x14ac:dyDescent="0.25">
      <c r="A24" s="10" t="s">
        <v>616</v>
      </c>
    </row>
    <row r="25" spans="1:7" x14ac:dyDescent="0.25">
      <c r="A25" s="7" t="s">
        <v>3</v>
      </c>
      <c r="B25" s="7" t="s">
        <v>64</v>
      </c>
      <c r="C25" s="7" t="s">
        <v>578</v>
      </c>
      <c r="D25" s="7" t="s">
        <v>8</v>
      </c>
    </row>
    <row r="26" spans="1:7" x14ac:dyDescent="0.25">
      <c r="A26" t="s">
        <v>30</v>
      </c>
      <c r="B26" t="str">
        <f>IFERROR(INDEX('Draft Engine'!$B$3:$B$225,MATCH(_xlfn.AGGREGATE(15,6,'Draft Engine'!$Q$3:$Q$34/('Draft Engine'!$Y$3:$Y$34="Available"),1),'Draft Engine'!$Q$3:$Q$225,0)),"None left")</f>
        <v>Josh Allen</v>
      </c>
      <c r="C26">
        <f>IFERROR(_xlfn.AGGREGATE(15,6,'Draft Engine'!$Q$3:$Q$34/('Draft Engine'!$Y$3:$Y$34="Available"),1),"")</f>
        <v>12</v>
      </c>
      <c r="D26">
        <f>IFERROR(ROUND(INDEX('Draft Engine'!$N$3:$N$225,MATCH(_xlfn.AGGREGATE(15,6,'Draft Engine'!$Q$3:$Q$34/('Draft Engine'!$Y$3:$Y$34="Available"),1),'Draft Engine'!$Q$3:$Q$225,0)),1),"")</f>
        <v>90.7</v>
      </c>
    </row>
    <row r="27" spans="1:7" x14ac:dyDescent="0.25">
      <c r="A27" t="s">
        <v>34</v>
      </c>
      <c r="B27" t="str">
        <f>IFERROR(INDEX('Draft Engine'!$B$3:$B$225,MATCH(_xlfn.AGGREGATE(15,6,'Draft Engine'!$Q$35:$Q$84/('Draft Engine'!$Y$35:$Y$84="Available"),1),'Draft Engine'!$Q$3:$Q$225,0)),"None left")</f>
        <v>Bijan Robinson</v>
      </c>
      <c r="C27">
        <f>IFERROR(_xlfn.AGGREGATE(15,6,'Draft Engine'!$Q$35:$Q$84/('Draft Engine'!$Y$35:$Y$84="Available"),1),"")</f>
        <v>2</v>
      </c>
      <c r="D27">
        <f>IFERROR(ROUND(INDEX('Draft Engine'!$N$3:$N$225,MATCH(_xlfn.AGGREGATE(15,6,'Draft Engine'!$Q$35:$Q$84/('Draft Engine'!$Y$35:$Y$84="Available"),1),'Draft Engine'!$Q$3:$Q$225,0)),1),"")</f>
        <v>98.6</v>
      </c>
    </row>
    <row r="28" spans="1:7" x14ac:dyDescent="0.25">
      <c r="A28" t="s">
        <v>37</v>
      </c>
      <c r="B28" t="str">
        <f>IFERROR(INDEX('Draft Engine'!$B$3:$B$225,MATCH(_xlfn.AGGREGATE(15,6,'Draft Engine'!$Q$85:$Q$154/('Draft Engine'!$Y$85:$Y$154="Available"),1),'Draft Engine'!$Q$3:$Q$225,0)),"None left")</f>
        <v>Puka Nacua</v>
      </c>
      <c r="C28">
        <f>IFERROR(_xlfn.AGGREGATE(15,6,'Draft Engine'!$Q$85:$Q$154/('Draft Engine'!$Y$85:$Y$154="Available"),1),"")</f>
        <v>1</v>
      </c>
      <c r="D28">
        <f>IFERROR(ROUND(INDEX('Draft Engine'!$N$3:$N$225,MATCH(_xlfn.AGGREGATE(15,6,'Draft Engine'!$Q$85:$Q$154/('Draft Engine'!$Y$85:$Y$154="Available"),1),'Draft Engine'!$Q$3:$Q$225,0)),1),"")</f>
        <v>99.2</v>
      </c>
    </row>
    <row r="29" spans="1:7" x14ac:dyDescent="0.25">
      <c r="A29" t="s">
        <v>39</v>
      </c>
      <c r="B29" t="str">
        <f>IFERROR(INDEX('Draft Engine'!$B$3:$B$225,MATCH(_xlfn.AGGREGATE(15,6,'Draft Engine'!$Q$155:$Q$181/('Draft Engine'!$Y$155:$Y$181="Available"),1),'Draft Engine'!$Q$3:$Q$225,0)),"None left")</f>
        <v>Trey McBride</v>
      </c>
      <c r="C29">
        <f>IFERROR(_xlfn.AGGREGATE(15,6,'Draft Engine'!$Q$155:$Q$181/('Draft Engine'!$Y$155:$Y$181="Available"),1),"")</f>
        <v>10</v>
      </c>
      <c r="D29">
        <f>IFERROR(ROUND(INDEX('Draft Engine'!$N$3:$N$225,MATCH(_xlfn.AGGREGATE(15,6,'Draft Engine'!$Q$155:$Q$181/('Draft Engine'!$Y$155:$Y$181="Available"),1),'Draft Engine'!$Q$3:$Q$225,0)),1),"")</f>
        <v>93.5</v>
      </c>
    </row>
    <row r="30" spans="1:7" x14ac:dyDescent="0.25">
      <c r="A30" t="s">
        <v>41</v>
      </c>
      <c r="B30" t="str">
        <f>IFERROR(INDEX('Draft Engine'!$B$3:$B$225,MATCH(_xlfn.AGGREGATE(15,6,'Draft Engine'!$Q$182:$Q$193/('Draft Engine'!$Y$182:$Y$193="Available"),1),'Draft Engine'!$Q$3:$Q$225,0)),"None left")</f>
        <v>Brandon Aubrey</v>
      </c>
      <c r="C30">
        <f>IFERROR(_xlfn.AGGREGATE(15,6,'Draft Engine'!$Q$182:$Q$193/('Draft Engine'!$Y$182:$Y$193="Available"),1),"")</f>
        <v>141</v>
      </c>
      <c r="D30">
        <f>IFERROR(ROUND(INDEX('Draft Engine'!$N$3:$N$225,MATCH(_xlfn.AGGREGATE(15,6,'Draft Engine'!$Q$182:$Q$193/('Draft Engine'!$Y$182:$Y$193="Available"),1),'Draft Engine'!$Q$3:$Q$225,0)),1),"")</f>
        <v>64.099999999999994</v>
      </c>
    </row>
    <row r="31" spans="1:7" x14ac:dyDescent="0.25">
      <c r="A31" t="s">
        <v>43</v>
      </c>
      <c r="B31" t="str">
        <f>IFERROR(INDEX('Draft Engine'!$B$3:$B$225,MATCH(_xlfn.AGGREGATE(15,6,'Draft Engine'!$Q$194:$Q$225/('Draft Engine'!$Y$194:$Y$225="Available"),1),'Draft Engine'!$Q$3:$Q$225,0)),"None left")</f>
        <v>Houston Texans</v>
      </c>
      <c r="C31">
        <f>IFERROR(_xlfn.AGGREGATE(15,6,'Draft Engine'!$Q$194:$Q$225/('Draft Engine'!$Y$194:$Y$225="Available"),1),"")</f>
        <v>131</v>
      </c>
      <c r="D31">
        <f>IFERROR(ROUND(INDEX('Draft Engine'!$N$3:$N$225,MATCH(_xlfn.AGGREGATE(15,6,'Draft Engine'!$Q$194:$Q$225/('Draft Engine'!$Y$194:$Y$225="Available"),1),'Draft Engine'!$Q$3:$Q$225,0)),1),"")</f>
        <v>56.9</v>
      </c>
    </row>
    <row r="34" spans="1:2" x14ac:dyDescent="0.25">
      <c r="A34" s="10" t="s">
        <v>617</v>
      </c>
    </row>
    <row r="35" spans="1:2" x14ac:dyDescent="0.25">
      <c r="A35" s="7" t="s">
        <v>3</v>
      </c>
      <c r="B35" s="7" t="s">
        <v>618</v>
      </c>
    </row>
    <row r="36" spans="1:2" x14ac:dyDescent="0.25">
      <c r="A36" t="s">
        <v>30</v>
      </c>
      <c r="B36">
        <f>COUNTIFS('Draft Engine'!$A$3:$A$225,"QB",'Draft Engine'!$Y$3:$Y$225,"My Pick")</f>
        <v>0</v>
      </c>
    </row>
    <row r="37" spans="1:2" x14ac:dyDescent="0.25">
      <c r="A37" t="s">
        <v>34</v>
      </c>
      <c r="B37">
        <f>COUNTIFS('Draft Engine'!$A$3:$A$225,"RB",'Draft Engine'!$Y$3:$Y$225,"My Pick")</f>
        <v>0</v>
      </c>
    </row>
    <row r="38" spans="1:2" x14ac:dyDescent="0.25">
      <c r="A38" t="s">
        <v>37</v>
      </c>
      <c r="B38">
        <f>COUNTIFS('Draft Engine'!$A$3:$A$225,"WR",'Draft Engine'!$Y$3:$Y$225,"My Pick")</f>
        <v>0</v>
      </c>
    </row>
    <row r="39" spans="1:2" x14ac:dyDescent="0.25">
      <c r="A39" t="s">
        <v>39</v>
      </c>
      <c r="B39">
        <f>COUNTIFS('Draft Engine'!$A$3:$A$225,"TE",'Draft Engine'!$Y$3:$Y$225,"My Pick")</f>
        <v>0</v>
      </c>
    </row>
    <row r="40" spans="1:2" x14ac:dyDescent="0.25">
      <c r="A40" t="s">
        <v>41</v>
      </c>
      <c r="B40">
        <f>COUNTIFS('Draft Engine'!$A$3:$A$225,"K",'Draft Engine'!$Y$3:$Y$225,"My Pick")</f>
        <v>0</v>
      </c>
    </row>
    <row r="41" spans="1:2" x14ac:dyDescent="0.25">
      <c r="A41" t="s">
        <v>43</v>
      </c>
      <c r="B41">
        <f>COUNTIFS('Draft Engine'!$A$3:$A$225,"DST",'Draft Engine'!$Y$3:$Y$225,"My Pick")</f>
        <v>0</v>
      </c>
    </row>
    <row r="42" spans="1:2" x14ac:dyDescent="0.25">
      <c r="A42" t="s">
        <v>619</v>
      </c>
      <c r="B42">
        <f>COUNTIF('Draft Engine'!$Y$3:$Y$225,"My Pick")</f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C000"/>
  </sheetPr>
  <dimension ref="A1:M225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8" customWidth="1"/>
    <col min="2" max="2" width="6" customWidth="1"/>
    <col min="3" max="3" width="8" customWidth="1"/>
    <col min="4" max="4" width="22" customWidth="1"/>
    <col min="5" max="5" width="10" customWidth="1"/>
    <col min="6" max="6" width="55" customWidth="1"/>
    <col min="7" max="7" width="65" customWidth="1"/>
    <col min="8" max="8" width="55" customWidth="1"/>
    <col min="9" max="9" width="10" customWidth="1"/>
    <col min="10" max="10" width="9" customWidth="1"/>
    <col min="11" max="11" width="10" customWidth="1"/>
    <col min="12" max="12" width="22" customWidth="1"/>
    <col min="13" max="13" width="6" customWidth="1"/>
  </cols>
  <sheetData>
    <row r="1" spans="1:13" ht="18.75" x14ac:dyDescent="0.3">
      <c r="A1" s="1" t="s">
        <v>620</v>
      </c>
    </row>
    <row r="2" spans="1:13" ht="27.95" customHeight="1" x14ac:dyDescent="0.25">
      <c r="A2" s="3" t="s">
        <v>2</v>
      </c>
      <c r="B2" s="3" t="s">
        <v>3</v>
      </c>
      <c r="C2" s="3" t="s">
        <v>4</v>
      </c>
      <c r="D2" s="3" t="s">
        <v>5</v>
      </c>
      <c r="E2" s="3" t="s">
        <v>6</v>
      </c>
      <c r="F2" s="3" t="s">
        <v>13</v>
      </c>
      <c r="G2" s="3" t="s">
        <v>621</v>
      </c>
      <c r="H2" s="3" t="s">
        <v>622</v>
      </c>
      <c r="I2" s="3" t="s">
        <v>9</v>
      </c>
      <c r="J2" s="3" t="s">
        <v>10</v>
      </c>
      <c r="K2" s="3" t="s">
        <v>77</v>
      </c>
      <c r="L2" s="3" t="s">
        <v>78</v>
      </c>
      <c r="M2" s="3" t="s">
        <v>14</v>
      </c>
    </row>
    <row r="3" spans="1:13" x14ac:dyDescent="0.25">
      <c r="A3">
        <f>1</f>
        <v>1</v>
      </c>
      <c r="B3" t="str">
        <f>INDEX('Draft Engine'!$A$3:$A$225,$M3)</f>
        <v>WR</v>
      </c>
      <c r="C3">
        <f>INDEX('Draft Engine'!$F$3:$F$225,$M3)</f>
        <v>1</v>
      </c>
      <c r="D3" t="str">
        <f>INDEX('Draft Engine'!$B$3:$B$225,$M3)</f>
        <v>Puka Nacua</v>
      </c>
      <c r="E3" s="4">
        <f>INDEX('Draft Engine'!$E$3:$E$225,$M3)</f>
        <v>98.485900000000001</v>
      </c>
      <c r="F3" t="str">
        <f>INDEX('LIVE SOURCE'!$H$3:$H$225,$M3)</f>
        <v>Elite WR1 and first-round caliber target with overall WR1 upside.</v>
      </c>
      <c r="G3" t="str">
        <f>INDEX('LIVE SOURCE'!$I$3:$I$225,$M3)</f>
        <v>He produced 23.5 PPR/FP points per game across 16 games. The workload/efficiency profile gives the model a rate-based reason to keep him here.</v>
      </c>
      <c r="H3" t="str">
        <f>INDEX('LIVE SOURCE'!$J$3:$J$225,$M3)</f>
        <v>Target competition, quarterback efficiency and touchdown regression are the main downside paths.</v>
      </c>
      <c r="I3">
        <f>INDEX('Draft Engine'!$R$3:$R$225,$M3)</f>
        <v>3.8</v>
      </c>
      <c r="J3">
        <f>INDEX('Draft Engine'!$S$3:$S$225,$M3)</f>
        <v>2.8</v>
      </c>
      <c r="K3" t="str">
        <f>INDEX('Draft Engine'!$T$3:$T$225,$M3)</f>
        <v>A</v>
      </c>
      <c r="L3" t="str">
        <f>INDEX('Draft Engine'!$X$3:$X$225,$M3)</f>
        <v>HISTORY FALLBACK</v>
      </c>
      <c r="M3" s="6">
        <f>MATCH($A3,'Draft Engine'!$Q$3:$Q$225,0)</f>
        <v>84</v>
      </c>
    </row>
    <row r="4" spans="1:13" x14ac:dyDescent="0.25">
      <c r="A4">
        <f>2</f>
        <v>2</v>
      </c>
      <c r="B4" t="str">
        <f>INDEX('Draft Engine'!$A$3:$A$225,$M4)</f>
        <v>RB</v>
      </c>
      <c r="C4">
        <f>INDEX('Draft Engine'!$F$3:$F$225,$M4)</f>
        <v>1</v>
      </c>
      <c r="D4" t="str">
        <f>INDEX('Draft Engine'!$B$3:$B$225,$M4)</f>
        <v>Bijan Robinson</v>
      </c>
      <c r="E4" s="4">
        <f>INDEX('Draft Engine'!$E$3:$E$225,$M4)</f>
        <v>97.3673</v>
      </c>
      <c r="F4" t="str">
        <f>INDEX('LIVE SOURCE'!$H$3:$H$225,$M4)</f>
        <v>Elite RB1 and first-round roster anchor with league-winning ceiling.</v>
      </c>
      <c r="G4" t="str">
        <f>INDEX('LIVE SOURCE'!$I$3:$I$225,$M4)</f>
        <v>He produced 21.8 PPR/FP points per game across 17 games. The workload/efficiency profile gives the model a rate-based reason to keep him here.</v>
      </c>
      <c r="H4" t="str">
        <f>INDEX('LIVE SOURCE'!$J$3:$J$225,$M4)</f>
        <v>Touchdown variance, receiving-role changes and backfield competition are the main downside paths.</v>
      </c>
      <c r="I4">
        <f>INDEX('Draft Engine'!$R$3:$R$225,$M4)</f>
        <v>1.8</v>
      </c>
      <c r="J4">
        <f>INDEX('Draft Engine'!$S$3:$S$225,$M4)</f>
        <v>-0.19999999999999996</v>
      </c>
      <c r="K4" t="str">
        <f>INDEX('Draft Engine'!$T$3:$T$225,$M4)</f>
        <v>A</v>
      </c>
      <c r="L4" t="str">
        <f>INDEX('Draft Engine'!$X$3:$X$225,$M4)</f>
        <v>RATE-ADJUSTED VETERAN</v>
      </c>
      <c r="M4" s="6">
        <f>MATCH($A4,'Draft Engine'!$Q$3:$Q$225,0)</f>
        <v>33</v>
      </c>
    </row>
    <row r="5" spans="1:13" x14ac:dyDescent="0.25">
      <c r="A5">
        <f>3</f>
        <v>3</v>
      </c>
      <c r="B5" t="str">
        <f>INDEX('Draft Engine'!$A$3:$A$225,$M5)</f>
        <v>WR</v>
      </c>
      <c r="C5">
        <f>INDEX('Draft Engine'!$F$3:$F$225,$M5)</f>
        <v>2</v>
      </c>
      <c r="D5" t="str">
        <f>INDEX('Draft Engine'!$B$3:$B$225,$M5)</f>
        <v>Ja'Marr Chase</v>
      </c>
      <c r="E5" s="4">
        <f>INDEX('Draft Engine'!$E$3:$E$225,$M5)</f>
        <v>96.732299999999995</v>
      </c>
      <c r="F5" t="str">
        <f>INDEX('LIVE SOURCE'!$H$3:$H$225,$M5)</f>
        <v>Elite WR1 and first-round caliber target with overall WR1 upside.</v>
      </c>
      <c r="G5" t="str">
        <f>INDEX('LIVE SOURCE'!$I$3:$I$225,$M5)</f>
        <v>He produced 19.6 PPR/FP points per game across 16 games. The workload/efficiency profile gives the model a rate-based reason to keep him here.</v>
      </c>
      <c r="H5" t="str">
        <f>INDEX('LIVE SOURCE'!$J$3:$J$225,$M5)</f>
        <v>Target competition, quarterback efficiency and touchdown regression are the main downside paths.</v>
      </c>
      <c r="I5">
        <f>INDEX('Draft Engine'!$R$3:$R$225,$M5)</f>
        <v>3.2</v>
      </c>
      <c r="J5">
        <f>INDEX('Draft Engine'!$S$3:$S$225,$M5)</f>
        <v>0.20000000000000018</v>
      </c>
      <c r="K5" t="str">
        <f>INDEX('Draft Engine'!$T$3:$T$225,$M5)</f>
        <v>A</v>
      </c>
      <c r="L5" t="str">
        <f>INDEX('Draft Engine'!$X$3:$X$225,$M5)</f>
        <v>HISTORY FALLBACK</v>
      </c>
      <c r="M5" s="6">
        <f>MATCH($A5,'Draft Engine'!$Q$3:$Q$225,0)</f>
        <v>83</v>
      </c>
    </row>
    <row r="6" spans="1:13" x14ac:dyDescent="0.25">
      <c r="A6">
        <f>4</f>
        <v>4</v>
      </c>
      <c r="B6" t="str">
        <f>INDEX('Draft Engine'!$A$3:$A$225,$M6)</f>
        <v>RB</v>
      </c>
      <c r="C6">
        <f>INDEX('Draft Engine'!$F$3:$F$225,$M6)</f>
        <v>2</v>
      </c>
      <c r="D6" t="str">
        <f>INDEX('Draft Engine'!$B$3:$B$225,$M6)</f>
        <v>Jahmyr Gibbs</v>
      </c>
      <c r="E6" s="4">
        <f>INDEX('Draft Engine'!$E$3:$E$225,$M6)</f>
        <v>96.332300000000004</v>
      </c>
      <c r="F6" t="str">
        <f>INDEX('LIVE SOURCE'!$H$3:$H$225,$M6)</f>
        <v>Elite RB1 and first-round roster anchor with league-winning ceiling.</v>
      </c>
      <c r="G6" t="str">
        <f>INDEX('LIVE SOURCE'!$I$3:$I$225,$M6)</f>
        <v>He produced 21.6 PPR/FP points per game across 17 games. The workload/efficiency profile gives the model a rate-based reason to keep him here.</v>
      </c>
      <c r="H6" t="str">
        <f>INDEX('LIVE SOURCE'!$J$3:$J$225,$M6)</f>
        <v>Touchdown variance, receiving-role changes and backfield competition are the main downside paths.</v>
      </c>
      <c r="I6">
        <f>INDEX('Draft Engine'!$R$3:$R$225,$M6)</f>
        <v>1.2</v>
      </c>
      <c r="J6">
        <f>INDEX('Draft Engine'!$S$3:$S$225,$M6)</f>
        <v>-2.8</v>
      </c>
      <c r="K6" t="str">
        <f>INDEX('Draft Engine'!$T$3:$T$225,$M6)</f>
        <v>A</v>
      </c>
      <c r="L6" t="str">
        <f>INDEX('Draft Engine'!$X$3:$X$225,$M6)</f>
        <v>RATE-ADJUSTED VETERAN</v>
      </c>
      <c r="M6" s="6">
        <f>MATCH($A6,'Draft Engine'!$Q$3:$Q$225,0)</f>
        <v>34</v>
      </c>
    </row>
    <row r="7" spans="1:13" x14ac:dyDescent="0.25">
      <c r="A7">
        <f>5</f>
        <v>5</v>
      </c>
      <c r="B7" t="str">
        <f>INDEX('Draft Engine'!$A$3:$A$225,$M7)</f>
        <v>RB</v>
      </c>
      <c r="C7">
        <f>INDEX('Draft Engine'!$F$3:$F$225,$M7)</f>
        <v>3</v>
      </c>
      <c r="D7" t="str">
        <f>INDEX('Draft Engine'!$B$3:$B$225,$M7)</f>
        <v>Christian McCaffrey</v>
      </c>
      <c r="E7" s="4">
        <f>INDEX('Draft Engine'!$E$3:$E$225,$M7)</f>
        <v>94.244699999999995</v>
      </c>
      <c r="F7" t="str">
        <f>INDEX('LIVE SOURCE'!$H$3:$H$225,$M7)</f>
        <v>Elite RB1 and first-round roster anchor with league-winning ceiling.</v>
      </c>
      <c r="G7" t="str">
        <f>INDEX('LIVE SOURCE'!$I$3:$I$225,$M7)</f>
        <v>He produced 24.5 PPR/FP points per game across 17 games. The workload/efficiency profile gives the model a rate-based reason to keep him here.</v>
      </c>
      <c r="H7" t="str">
        <f>INDEX('LIVE SOURCE'!$J$3:$J$225,$M7)</f>
        <v>Touchdown variance, receiving-role changes and backfield competition are the main downside paths.</v>
      </c>
      <c r="I7">
        <f>INDEX('Draft Engine'!$R$3:$R$225,$M7)</f>
        <v>7</v>
      </c>
      <c r="J7">
        <f>INDEX('Draft Engine'!$S$3:$S$225,$M7)</f>
        <v>2</v>
      </c>
      <c r="K7" t="str">
        <f>INDEX('Draft Engine'!$T$3:$T$225,$M7)</f>
        <v>A</v>
      </c>
      <c r="L7" t="str">
        <f>INDEX('Draft Engine'!$X$3:$X$225,$M7)</f>
        <v>RATE-ADJUSTED VETERAN</v>
      </c>
      <c r="M7" s="6">
        <f>MATCH($A7,'Draft Engine'!$Q$3:$Q$225,0)</f>
        <v>35</v>
      </c>
    </row>
    <row r="8" spans="1:13" x14ac:dyDescent="0.25">
      <c r="A8">
        <f>6</f>
        <v>6</v>
      </c>
      <c r="B8" t="str">
        <f>INDEX('Draft Engine'!$A$3:$A$225,$M8)</f>
        <v>WR</v>
      </c>
      <c r="C8">
        <f>INDEX('Draft Engine'!$F$3:$F$225,$M8)</f>
        <v>3</v>
      </c>
      <c r="D8" t="str">
        <f>INDEX('Draft Engine'!$B$3:$B$225,$M8)</f>
        <v>Jaxon Smith-Njigba</v>
      </c>
      <c r="E8" s="4">
        <f>INDEX('Draft Engine'!$E$3:$E$225,$M8)</f>
        <v>94.079899999999995</v>
      </c>
      <c r="F8" t="str">
        <f>INDEX('LIVE SOURCE'!$H$3:$H$225,$M8)</f>
        <v>Elite WR1 and first-round caliber target with overall WR1 upside.</v>
      </c>
      <c r="G8" t="str">
        <f>INDEX('LIVE SOURCE'!$I$3:$I$225,$M8)</f>
        <v>He produced 21.2 PPR/FP points per game across 17 games. The workload/efficiency profile gives the model a rate-based reason to keep him here.</v>
      </c>
      <c r="H8" t="str">
        <f>INDEX('LIVE SOURCE'!$J$3:$J$225,$M8)</f>
        <v>Target competition, quarterback efficiency and touchdown regression are the main downside paths.</v>
      </c>
      <c r="I8">
        <f>INDEX('Draft Engine'!$R$3:$R$225,$M8)</f>
        <v>5.4</v>
      </c>
      <c r="J8">
        <f>INDEX('Draft Engine'!$S$3:$S$225,$M8)</f>
        <v>-0.59999999999999964</v>
      </c>
      <c r="K8" t="str">
        <f>INDEX('Draft Engine'!$T$3:$T$225,$M8)</f>
        <v>A</v>
      </c>
      <c r="L8" t="str">
        <f>INDEX('Draft Engine'!$X$3:$X$225,$M8)</f>
        <v>HISTORY FALLBACK</v>
      </c>
      <c r="M8" s="6">
        <f>MATCH($A8,'Draft Engine'!$Q$3:$Q$225,0)</f>
        <v>85</v>
      </c>
    </row>
    <row r="9" spans="1:13" x14ac:dyDescent="0.25">
      <c r="A9">
        <f>7</f>
        <v>7</v>
      </c>
      <c r="B9" t="str">
        <f>INDEX('Draft Engine'!$A$3:$A$225,$M9)</f>
        <v>WR</v>
      </c>
      <c r="C9">
        <f>INDEX('Draft Engine'!$F$3:$F$225,$M9)</f>
        <v>4</v>
      </c>
      <c r="D9" t="str">
        <f>INDEX('Draft Engine'!$B$3:$B$225,$M9)</f>
        <v>Amon-Ra St. Brown</v>
      </c>
      <c r="E9" s="4">
        <f>INDEX('Draft Engine'!$E$3:$E$225,$M9)</f>
        <v>93.263900000000007</v>
      </c>
      <c r="F9" t="str">
        <f>INDEX('LIVE SOURCE'!$H$3:$H$225,$M9)</f>
        <v>Elite WR1 and first-round caliber target with overall WR1 upside.</v>
      </c>
      <c r="G9" t="str">
        <f>INDEX('LIVE SOURCE'!$I$3:$I$225,$M9)</f>
        <v>He produced 19.1 PPR/FP points per game across 17 games. The workload/efficiency profile gives the model a rate-based reason to keep him here.</v>
      </c>
      <c r="H9" t="str">
        <f>INDEX('LIVE SOURCE'!$J$3:$J$225,$M9)</f>
        <v>Target competition, quarterback efficiency and touchdown regression are the main downside paths.</v>
      </c>
      <c r="I9">
        <f>INDEX('Draft Engine'!$R$3:$R$225,$M9)</f>
        <v>6</v>
      </c>
      <c r="J9">
        <f>INDEX('Draft Engine'!$S$3:$S$225,$M9)</f>
        <v>-1</v>
      </c>
      <c r="K9" t="str">
        <f>INDEX('Draft Engine'!$T$3:$T$225,$M9)</f>
        <v>A</v>
      </c>
      <c r="L9" t="str">
        <f>INDEX('Draft Engine'!$X$3:$X$225,$M9)</f>
        <v>HISTORY FALLBACK</v>
      </c>
      <c r="M9" s="6">
        <f>MATCH($A9,'Draft Engine'!$Q$3:$Q$225,0)</f>
        <v>86</v>
      </c>
    </row>
    <row r="10" spans="1:13" x14ac:dyDescent="0.25">
      <c r="A10">
        <f>8</f>
        <v>8</v>
      </c>
      <c r="B10" t="str">
        <f>INDEX('Draft Engine'!$A$3:$A$225,$M10)</f>
        <v>RB</v>
      </c>
      <c r="C10">
        <f>INDEX('Draft Engine'!$F$3:$F$225,$M10)</f>
        <v>4</v>
      </c>
      <c r="D10" t="str">
        <f>INDEX('Draft Engine'!$B$3:$B$225,$M10)</f>
        <v>Jonathan Taylor</v>
      </c>
      <c r="E10" s="4">
        <f>INDEX('Draft Engine'!$E$3:$E$225,$M10)</f>
        <v>92.147000000000006</v>
      </c>
      <c r="F10" t="str">
        <f>INDEX('LIVE SOURCE'!$H$3:$H$225,$M10)</f>
        <v>Elite RB1 and first-round roster anchor with league-winning ceiling.</v>
      </c>
      <c r="G10" t="str">
        <f>INDEX('LIVE SOURCE'!$I$3:$I$225,$M10)</f>
        <v>He produced 21.3 PPR/FP points per game across 17 games. The workload/efficiency profile gives the model a rate-based reason to keep him here.</v>
      </c>
      <c r="H10" t="str">
        <f>INDEX('LIVE SOURCE'!$J$3:$J$225,$M10)</f>
        <v>Touchdown variance, receiving-role changes and backfield competition are the main downside paths.</v>
      </c>
      <c r="I10">
        <f>INDEX('Draft Engine'!$R$3:$R$225,$M10)</f>
        <v>11</v>
      </c>
      <c r="J10">
        <f>INDEX('Draft Engine'!$S$3:$S$225,$M10)</f>
        <v>3</v>
      </c>
      <c r="K10" t="str">
        <f>INDEX('Draft Engine'!$T$3:$T$225,$M10)</f>
        <v>A</v>
      </c>
      <c r="L10" t="str">
        <f>INDEX('Draft Engine'!$X$3:$X$225,$M10)</f>
        <v>RATE-ADJUSTED VETERAN</v>
      </c>
      <c r="M10" s="6">
        <f>MATCH($A10,'Draft Engine'!$Q$3:$Q$225,0)</f>
        <v>36</v>
      </c>
    </row>
    <row r="11" spans="1:13" x14ac:dyDescent="0.25">
      <c r="A11">
        <f>9</f>
        <v>9</v>
      </c>
      <c r="B11" t="str">
        <f>INDEX('Draft Engine'!$A$3:$A$225,$M11)</f>
        <v>WR</v>
      </c>
      <c r="C11">
        <f>INDEX('Draft Engine'!$F$3:$F$225,$M11)</f>
        <v>5</v>
      </c>
      <c r="D11" t="str">
        <f>INDEX('Draft Engine'!$B$3:$B$225,$M11)</f>
        <v>Nico Collins</v>
      </c>
      <c r="E11" s="4">
        <f>INDEX('Draft Engine'!$E$3:$E$225,$M11)</f>
        <v>91.492500000000007</v>
      </c>
      <c r="F11" t="str">
        <f>INDEX('LIVE SOURCE'!$H$3:$H$225,$M11)</f>
        <v>Elite WR1 and first-round caliber target with overall WR1 upside.</v>
      </c>
      <c r="G11" t="str">
        <f>INDEX('LIVE SOURCE'!$I$3:$I$225,$M11)</f>
        <v>He produced 15.0 PPR/FP points per game across 15 games. The workload/efficiency profile gives the model a rate-based reason to keep him here.</v>
      </c>
      <c r="H11" t="str">
        <f>INDEX('LIVE SOURCE'!$J$3:$J$225,$M11)</f>
        <v>Target competition, quarterback efficiency and touchdown regression are the main downside paths.</v>
      </c>
      <c r="I11">
        <f>INDEX('Draft Engine'!$R$3:$R$225,$M11)</f>
        <v>12</v>
      </c>
      <c r="J11">
        <f>INDEX('Draft Engine'!$S$3:$S$225,$M11)</f>
        <v>3</v>
      </c>
      <c r="K11" t="str">
        <f>INDEX('Draft Engine'!$T$3:$T$225,$M11)</f>
        <v>B</v>
      </c>
      <c r="L11" t="str">
        <f>INDEX('Draft Engine'!$X$3:$X$225,$M11)</f>
        <v>HISTORY FALLBACK</v>
      </c>
      <c r="M11" s="6">
        <f>MATCH($A11,'Draft Engine'!$Q$3:$Q$225,0)</f>
        <v>92</v>
      </c>
    </row>
    <row r="12" spans="1:13" x14ac:dyDescent="0.25">
      <c r="A12">
        <f>10</f>
        <v>10</v>
      </c>
      <c r="B12" t="str">
        <f>INDEX('Draft Engine'!$A$3:$A$225,$M12)</f>
        <v>TE</v>
      </c>
      <c r="C12">
        <f>INDEX('Draft Engine'!$F$3:$F$225,$M12)</f>
        <v>1</v>
      </c>
      <c r="D12" t="str">
        <f>INDEX('Draft Engine'!$B$3:$B$225,$M12)</f>
        <v>Trey McBride</v>
      </c>
      <c r="E12" s="4">
        <f>INDEX('Draft Engine'!$E$3:$E$225,$M12)</f>
        <v>97.737099999999998</v>
      </c>
      <c r="F12" t="str">
        <f>INDEX('LIVE SOURCE'!$H$3:$H$225,$M12)</f>
        <v>Elite difference-making TE; positional advantage is the expectation.</v>
      </c>
      <c r="G12" t="str">
        <f>INDEX('LIVE SOURCE'!$I$3:$I$225,$M12)</f>
        <v>He produced 18.6 PPR/FP points per game across 17 games. The workload/efficiency profile gives the model a rate-based reason to keep him here. Market price is favorable around ADP 17 versus model overall rank 5.</v>
      </c>
      <c r="H12" t="str">
        <f>INDEX('LIVE SOURCE'!$J$3:$J$225,$M12)</f>
        <v>Route share, target volume and touchdown volatility are the main swing factors.</v>
      </c>
      <c r="I12">
        <f>INDEX('Draft Engine'!$R$3:$R$225,$M12)</f>
        <v>17</v>
      </c>
      <c r="J12">
        <f>INDEX('Draft Engine'!$S$3:$S$225,$M12)</f>
        <v>7</v>
      </c>
      <c r="K12" t="str">
        <f>INDEX('Draft Engine'!$T$3:$T$225,$M12)</f>
        <v>A</v>
      </c>
      <c r="L12" t="str">
        <f>INDEX('Draft Engine'!$X$3:$X$225,$M12)</f>
        <v>RATE-ADJUSTED VETERAN</v>
      </c>
      <c r="M12" s="6">
        <f>MATCH($A12,'Draft Engine'!$Q$3:$Q$225,0)</f>
        <v>153</v>
      </c>
    </row>
    <row r="13" spans="1:13" x14ac:dyDescent="0.25">
      <c r="A13">
        <f>11</f>
        <v>11</v>
      </c>
      <c r="B13" t="str">
        <f>INDEX('Draft Engine'!$A$3:$A$225,$M13)</f>
        <v>RB</v>
      </c>
      <c r="C13">
        <f>INDEX('Draft Engine'!$F$3:$F$225,$M13)</f>
        <v>5</v>
      </c>
      <c r="D13" t="str">
        <f>INDEX('Draft Engine'!$B$3:$B$225,$M13)</f>
        <v>Jeremiyah Love</v>
      </c>
      <c r="E13" s="4">
        <f>INDEX('Draft Engine'!$E$3:$E$225,$M13)</f>
        <v>90.865899999999996</v>
      </c>
      <c r="F13" t="str">
        <f>INDEX('LIVE SOURCE'!$H$3:$H$225,$M13)</f>
        <v>Elite RB1 and first-round roster anchor with league-winning ceiling.</v>
      </c>
      <c r="G13" t="str">
        <f>INDEX('LIVE SOURCE'!$I$3:$I$225,$M13)</f>
        <v>Rookie score 98.0, backed by No. 3 draft capital and a 6.73 NFL prospect grade. The 2026 role projection is strong enough to replace missing NFL history.</v>
      </c>
      <c r="H13" t="str">
        <f>INDEX('LIVE SOURCE'!$J$3:$J$225,$M13)</f>
        <v>NFL translation and exact weekly role are the main variables; preseason first-team usage can move this rating quickly.</v>
      </c>
      <c r="I13">
        <f>INDEX('Draft Engine'!$R$3:$R$225,$M13)</f>
        <v>18.8</v>
      </c>
      <c r="J13">
        <f>INDEX('Draft Engine'!$S$3:$S$225,$M13)</f>
        <v>7.8000000000000007</v>
      </c>
      <c r="K13" t="str">
        <f>INDEX('Draft Engine'!$T$3:$T$225,$M13)</f>
        <v>B</v>
      </c>
      <c r="L13" t="str">
        <f>INDEX('Draft Engine'!$X$3:$X$225,$M13)</f>
        <v>ROOKIE ENGINE</v>
      </c>
      <c r="M13" s="6">
        <f>MATCH($A13,'Draft Engine'!$Q$3:$Q$225,0)</f>
        <v>37</v>
      </c>
    </row>
    <row r="14" spans="1:13" x14ac:dyDescent="0.25">
      <c r="A14">
        <f>12</f>
        <v>12</v>
      </c>
      <c r="B14" t="str">
        <f>INDEX('Draft Engine'!$A$3:$A$225,$M14)</f>
        <v>QB</v>
      </c>
      <c r="C14">
        <f>INDEX('Draft Engine'!$F$3:$F$225,$M14)</f>
        <v>1</v>
      </c>
      <c r="D14" t="str">
        <f>INDEX('Draft Engine'!$B$3:$B$225,$M14)</f>
        <v>Josh Allen</v>
      </c>
      <c r="E14" s="4">
        <f>INDEX('Draft Engine'!$E$3:$E$225,$M14)</f>
        <v>97.309899999999999</v>
      </c>
      <c r="F14" t="str">
        <f>INDEX('LIVE SOURCE'!$H$3:$H$225,$M14)</f>
        <v>Elite QB1; weekly top-5 expectation with overall QB1 upside.</v>
      </c>
      <c r="G14" t="str">
        <f>INDEX('LIVE SOURCE'!$I$3:$I$225,$M14)</f>
        <v>He produced 22.0 PPR/FP points per game across 17 games. The workload/efficiency profile gives the model a rate-based reason to keep him here. Market price is favorable around ADP 23 versus model overall rank 10.</v>
      </c>
      <c r="H14" t="str">
        <f>INDEX('LIVE SOURCE'!$J$3:$J$225,$M14)</f>
        <v>Passing-TD efficiency, rushing volume and supporting-cast health are the main swing factors.</v>
      </c>
      <c r="I14">
        <f>INDEX('Draft Engine'!$R$3:$R$225,$M14)</f>
        <v>23</v>
      </c>
      <c r="J14">
        <f>INDEX('Draft Engine'!$S$3:$S$225,$M14)</f>
        <v>11</v>
      </c>
      <c r="K14" t="str">
        <f>INDEX('Draft Engine'!$T$3:$T$225,$M14)</f>
        <v>A</v>
      </c>
      <c r="L14" t="str">
        <f>INDEX('Draft Engine'!$X$3:$X$225,$M14)</f>
        <v>RATE-ADJUSTED VETERAN</v>
      </c>
      <c r="M14" s="6">
        <f>MATCH($A14,'Draft Engine'!$Q$3:$Q$225,0)</f>
        <v>1</v>
      </c>
    </row>
    <row r="15" spans="1:13" x14ac:dyDescent="0.25">
      <c r="A15">
        <f>13</f>
        <v>13</v>
      </c>
      <c r="B15" t="str">
        <f>INDEX('Draft Engine'!$A$3:$A$225,$M15)</f>
        <v>WR</v>
      </c>
      <c r="C15">
        <f>INDEX('Draft Engine'!$F$3:$F$225,$M15)</f>
        <v>6</v>
      </c>
      <c r="D15" t="str">
        <f>INDEX('Draft Engine'!$B$3:$B$225,$M15)</f>
        <v>Chris Olave</v>
      </c>
      <c r="E15" s="4">
        <f>INDEX('Draft Engine'!$E$3:$E$225,$M15)</f>
        <v>88.907499999999999</v>
      </c>
      <c r="F15" t="str">
        <f>INDEX('LIVE SOURCE'!$H$3:$H$225,$M15)</f>
        <v>Strong WR1; bankable weekly starter with spike-week ceiling.</v>
      </c>
      <c r="G15" t="str">
        <f>INDEX('LIVE SOURCE'!$I$3:$I$225,$M15)</f>
        <v>He produced 16.9 PPR/FP points per game across 16 games. The workload/efficiency profile gives the model a rate-based reason to keep him here.</v>
      </c>
      <c r="H15" t="str">
        <f>INDEX('LIVE SOURCE'!$J$3:$J$225,$M15)</f>
        <v>Target competition, quarterback efficiency and touchdown regression are the main downside paths.</v>
      </c>
      <c r="I15">
        <f>INDEX('Draft Engine'!$R$3:$R$225,$M15)</f>
        <v>19</v>
      </c>
      <c r="J15">
        <f>INDEX('Draft Engine'!$S$3:$S$225,$M15)</f>
        <v>6</v>
      </c>
      <c r="K15" t="str">
        <f>INDEX('Draft Engine'!$T$3:$T$225,$M15)</f>
        <v>B</v>
      </c>
      <c r="L15" t="str">
        <f>INDEX('Draft Engine'!$X$3:$X$225,$M15)</f>
        <v>HISTORY FALLBACK</v>
      </c>
      <c r="M15" s="6">
        <f>MATCH($A15,'Draft Engine'!$Q$3:$Q$225,0)</f>
        <v>94</v>
      </c>
    </row>
    <row r="16" spans="1:13" x14ac:dyDescent="0.25">
      <c r="A16">
        <f>14</f>
        <v>14</v>
      </c>
      <c r="B16" t="str">
        <f>INDEX('Draft Engine'!$A$3:$A$225,$M16)</f>
        <v>RB</v>
      </c>
      <c r="C16">
        <f>INDEX('Draft Engine'!$F$3:$F$225,$M16)</f>
        <v>6</v>
      </c>
      <c r="D16" t="str">
        <f>INDEX('Draft Engine'!$B$3:$B$225,$M16)</f>
        <v>Omarion Hampton</v>
      </c>
      <c r="E16" s="4">
        <f>INDEX('Draft Engine'!$E$3:$E$225,$M16)</f>
        <v>88.642099999999999</v>
      </c>
      <c r="F16" t="str">
        <f>INDEX('LIVE SOURCE'!$H$3:$H$225,$M16)</f>
        <v>Strong RB1; weekly top-12 expectation with multi-touchdown ceiling.</v>
      </c>
      <c r="G16" t="str">
        <f>INDEX('LIVE SOURCE'!$I$3:$I$225,$M16)</f>
        <v>He produced 15.1 PPR/FP points per game across 9 games. The workload/efficiency profile gives the model a rate-based reason to keep him here.</v>
      </c>
      <c r="H16" t="str">
        <f>INDEX('LIVE SOURCE'!$J$3:$J$225,$M16)</f>
        <v>Availability/sample risk is elevated after only 9 games; talent is not being punished as heavily as durability.</v>
      </c>
      <c r="I16">
        <f>INDEX('Draft Engine'!$R$3:$R$225,$M16)</f>
        <v>23</v>
      </c>
      <c r="J16">
        <f>INDEX('Draft Engine'!$S$3:$S$225,$M16)</f>
        <v>9</v>
      </c>
      <c r="K16" t="str">
        <f>INDEX('Draft Engine'!$T$3:$T$225,$M16)</f>
        <v>B</v>
      </c>
      <c r="L16" t="str">
        <f>INDEX('Draft Engine'!$X$3:$X$225,$M16)</f>
        <v>RATE-ADJUSTED VETERAN</v>
      </c>
      <c r="M16" s="6">
        <f>MATCH($A16,'Draft Engine'!$Q$3:$Q$225,0)</f>
        <v>38</v>
      </c>
    </row>
    <row r="17" spans="1:13" x14ac:dyDescent="0.25">
      <c r="A17">
        <f>15</f>
        <v>15</v>
      </c>
      <c r="B17" t="str">
        <f>INDEX('Draft Engine'!$A$3:$A$225,$M17)</f>
        <v>TE</v>
      </c>
      <c r="C17">
        <f>INDEX('Draft Engine'!$F$3:$F$225,$M17)</f>
        <v>2</v>
      </c>
      <c r="D17" t="str">
        <f>INDEX('Draft Engine'!$B$3:$B$225,$M17)</f>
        <v>Brock Bowers</v>
      </c>
      <c r="E17" s="4">
        <f>INDEX('Draft Engine'!$E$3:$E$225,$M17)</f>
        <v>94.884600000000006</v>
      </c>
      <c r="F17" t="str">
        <f>INDEX('LIVE SOURCE'!$H$3:$H$225,$M17)</f>
        <v>Elite difference-making TE; positional advantage is the expectation.</v>
      </c>
      <c r="G17" t="str">
        <f>INDEX('LIVE SOURCE'!$I$3:$I$225,$M17)</f>
        <v>He produced 14.7 PPR/FP points per game across 12 games. The workload/efficiency profile gives the model a rate-based reason to keep him here.</v>
      </c>
      <c r="H17" t="str">
        <f>INDEX('LIVE SOURCE'!$J$3:$J$225,$M17)</f>
        <v>Route share, target volume and touchdown volatility are the main swing factors.</v>
      </c>
      <c r="I17">
        <f>INDEX('Draft Engine'!$R$3:$R$225,$M17)</f>
        <v>20</v>
      </c>
      <c r="J17">
        <f>INDEX('Draft Engine'!$S$3:$S$225,$M17)</f>
        <v>5</v>
      </c>
      <c r="K17" t="str">
        <f>INDEX('Draft Engine'!$T$3:$T$225,$M17)</f>
        <v>A</v>
      </c>
      <c r="L17" t="str">
        <f>INDEX('Draft Engine'!$X$3:$X$225,$M17)</f>
        <v>RATE-ADJUSTED VETERAN</v>
      </c>
      <c r="M17" s="6">
        <f>MATCH($A17,'Draft Engine'!$Q$3:$Q$225,0)</f>
        <v>154</v>
      </c>
    </row>
    <row r="18" spans="1:13" x14ac:dyDescent="0.25">
      <c r="A18">
        <f>16</f>
        <v>16</v>
      </c>
      <c r="B18" t="str">
        <f>INDEX('Draft Engine'!$A$3:$A$225,$M18)</f>
        <v>RB</v>
      </c>
      <c r="C18">
        <f>INDEX('Draft Engine'!$F$3:$F$225,$M18)</f>
        <v>7</v>
      </c>
      <c r="D18" t="str">
        <f>INDEX('Draft Engine'!$B$3:$B$225,$M18)</f>
        <v>De'Von Achane</v>
      </c>
      <c r="E18" s="4">
        <f>INDEX('Draft Engine'!$E$3:$E$225,$M18)</f>
        <v>87.944000000000003</v>
      </c>
      <c r="F18" t="str">
        <f>INDEX('LIVE SOURCE'!$H$3:$H$225,$M18)</f>
        <v>Strong RB1; weekly top-12 expectation with multi-touchdown ceiling.</v>
      </c>
      <c r="G18" t="str">
        <f>INDEX('LIVE SOURCE'!$I$3:$I$225,$M18)</f>
        <v>He produced 20.2 PPR/FP points per game across 16 games. The workload/efficiency profile gives the model a rate-based reason to keep him here.</v>
      </c>
      <c r="H18" t="str">
        <f>INDEX('LIVE SOURCE'!$J$3:$J$225,$M18)</f>
        <v>Touchdown variance, receiving-role changes and backfield competition are the main downside paths.</v>
      </c>
      <c r="I18">
        <f>INDEX('Draft Engine'!$R$3:$R$225,$M18)</f>
        <v>18</v>
      </c>
      <c r="J18">
        <f>INDEX('Draft Engine'!$S$3:$S$225,$M18)</f>
        <v>2</v>
      </c>
      <c r="K18" t="str">
        <f>INDEX('Draft Engine'!$T$3:$T$225,$M18)</f>
        <v>A</v>
      </c>
      <c r="L18" t="str">
        <f>INDEX('Draft Engine'!$X$3:$X$225,$M18)</f>
        <v>RATE-ADJUSTED VETERAN</v>
      </c>
      <c r="M18" s="6">
        <f>MATCH($A18,'Draft Engine'!$Q$3:$Q$225,0)</f>
        <v>39</v>
      </c>
    </row>
    <row r="19" spans="1:13" x14ac:dyDescent="0.25">
      <c r="A19">
        <f>17</f>
        <v>17</v>
      </c>
      <c r="B19" t="str">
        <f>INDEX('Draft Engine'!$A$3:$A$225,$M19)</f>
        <v>RB</v>
      </c>
      <c r="C19">
        <f>INDEX('Draft Engine'!$F$3:$F$225,$M19)</f>
        <v>8</v>
      </c>
      <c r="D19" t="str">
        <f>INDEX('Draft Engine'!$B$3:$B$225,$M19)</f>
        <v>Kenneth Walker III</v>
      </c>
      <c r="E19" s="4">
        <f>INDEX('Draft Engine'!$E$3:$E$225,$M19)</f>
        <v>87.292599999999993</v>
      </c>
      <c r="F19" t="str">
        <f>INDEX('LIVE SOURCE'!$H$3:$H$225,$M19)</f>
        <v>Strong RB1; weekly top-12 expectation with multi-touchdown ceiling.</v>
      </c>
      <c r="G19" t="str">
        <f>INDEX('LIVE SOURCE'!$I$3:$I$225,$M19)</f>
        <v>He produced 11.3 PPR/FP points per game across 17 games. The workload/efficiency profile gives the model a rate-based reason to keep him here. Market price is favorable around ADP 31 versus model overall rank 16.</v>
      </c>
      <c r="H19" t="str">
        <f>INDEX('LIVE SOURCE'!$J$3:$J$225,$M19)</f>
        <v>Touchdown variance, receiving-role changes and backfield competition are the main downside paths.</v>
      </c>
      <c r="I19">
        <f>INDEX('Draft Engine'!$R$3:$R$225,$M19)</f>
        <v>31.4</v>
      </c>
      <c r="J19">
        <f>INDEX('Draft Engine'!$S$3:$S$225,$M19)</f>
        <v>14.399999999999999</v>
      </c>
      <c r="K19" t="str">
        <f>INDEX('Draft Engine'!$T$3:$T$225,$M19)</f>
        <v>A</v>
      </c>
      <c r="L19" t="str">
        <f>INDEX('Draft Engine'!$X$3:$X$225,$M19)</f>
        <v>RATE-ADJUSTED VETERAN</v>
      </c>
      <c r="M19" s="6">
        <f>MATCH($A19,'Draft Engine'!$Q$3:$Q$225,0)</f>
        <v>40</v>
      </c>
    </row>
    <row r="20" spans="1:13" x14ac:dyDescent="0.25">
      <c r="A20">
        <f>18</f>
        <v>18</v>
      </c>
      <c r="B20" t="str">
        <f>INDEX('Draft Engine'!$A$3:$A$225,$M20)</f>
        <v>WR</v>
      </c>
      <c r="C20">
        <f>INDEX('Draft Engine'!$F$3:$F$225,$M20)</f>
        <v>7</v>
      </c>
      <c r="D20" t="str">
        <f>INDEX('Draft Engine'!$B$3:$B$225,$M20)</f>
        <v>Drake London</v>
      </c>
      <c r="E20" s="4">
        <f>INDEX('Draft Engine'!$E$3:$E$225,$M20)</f>
        <v>87.510599999999997</v>
      </c>
      <c r="F20" t="str">
        <f>INDEX('LIVE SOURCE'!$H$3:$H$225,$M20)</f>
        <v>Strong WR1; bankable weekly starter with spike-week ceiling.</v>
      </c>
      <c r="G20" t="str">
        <f>INDEX('LIVE SOURCE'!$I$3:$I$225,$M20)</f>
        <v>He produced 16.9 PPR/FP points per game across 12 games. The workload/efficiency profile gives the model a rate-based reason to keep him here.</v>
      </c>
      <c r="H20" t="str">
        <f>INDEX('LIVE SOURCE'!$J$3:$J$225,$M20)</f>
        <v>Target competition, quarterback efficiency and touchdown regression are the main downside paths.</v>
      </c>
      <c r="I20">
        <f>INDEX('Draft Engine'!$R$3:$R$225,$M20)</f>
        <v>10</v>
      </c>
      <c r="J20">
        <f>INDEX('Draft Engine'!$S$3:$S$225,$M20)</f>
        <v>-8</v>
      </c>
      <c r="K20" t="str">
        <f>INDEX('Draft Engine'!$T$3:$T$225,$M20)</f>
        <v>A</v>
      </c>
      <c r="L20" t="str">
        <f>INDEX('Draft Engine'!$X$3:$X$225,$M20)</f>
        <v>HISTORY FALLBACK</v>
      </c>
      <c r="M20" s="6">
        <f>MATCH($A20,'Draft Engine'!$Q$3:$Q$225,0)</f>
        <v>91</v>
      </c>
    </row>
    <row r="21" spans="1:13" x14ac:dyDescent="0.25">
      <c r="A21">
        <f>19</f>
        <v>19</v>
      </c>
      <c r="B21" t="str">
        <f>INDEX('Draft Engine'!$A$3:$A$225,$M21)</f>
        <v>WR</v>
      </c>
      <c r="C21">
        <f>INDEX('Draft Engine'!$F$3:$F$225,$M21)</f>
        <v>8</v>
      </c>
      <c r="D21" t="str">
        <f>INDEX('Draft Engine'!$B$3:$B$225,$M21)</f>
        <v>DeVonta Smith</v>
      </c>
      <c r="E21" s="4">
        <f>INDEX('Draft Engine'!$E$3:$E$225,$M21)</f>
        <v>87.487499999999997</v>
      </c>
      <c r="F21" t="str">
        <f>INDEX('LIVE SOURCE'!$H$3:$H$225,$M21)</f>
        <v>Strong WR1; bankable weekly starter with spike-week ceiling.</v>
      </c>
      <c r="G21" t="str">
        <f>INDEX('LIVE SOURCE'!$I$3:$I$225,$M21)</f>
        <v>He produced 11.8 PPR/FP points per game across 17 games. The workload/efficiency profile gives the model a rate-based reason to keep him here.</v>
      </c>
      <c r="H21" t="str">
        <f>INDEX('LIVE SOURCE'!$J$3:$J$225,$M21)</f>
        <v>Target competition, quarterback efficiency and touchdown regression are the main downside paths.</v>
      </c>
      <c r="I21">
        <f>INDEX('Draft Engine'!$R$3:$R$225,$M21)</f>
        <v>24</v>
      </c>
      <c r="J21">
        <f>INDEX('Draft Engine'!$S$3:$S$225,$M21)</f>
        <v>5</v>
      </c>
      <c r="K21" t="str">
        <f>INDEX('Draft Engine'!$T$3:$T$225,$M21)</f>
        <v>B</v>
      </c>
      <c r="L21" t="str">
        <f>INDEX('Draft Engine'!$X$3:$X$225,$M21)</f>
        <v>HISTORY FALLBACK</v>
      </c>
      <c r="M21" s="6">
        <f>MATCH($A21,'Draft Engine'!$Q$3:$Q$225,0)</f>
        <v>98</v>
      </c>
    </row>
    <row r="22" spans="1:13" x14ac:dyDescent="0.25">
      <c r="A22">
        <f>20</f>
        <v>20</v>
      </c>
      <c r="B22" t="str">
        <f>INDEX('Draft Engine'!$A$3:$A$225,$M22)</f>
        <v>RB</v>
      </c>
      <c r="C22">
        <f>INDEX('Draft Engine'!$F$3:$F$225,$M22)</f>
        <v>9</v>
      </c>
      <c r="D22" t="str">
        <f>INDEX('Draft Engine'!$B$3:$B$225,$M22)</f>
        <v>James Cook III</v>
      </c>
      <c r="E22" s="4">
        <f>INDEX('Draft Engine'!$E$3:$E$225,$M22)</f>
        <v>87.058000000000007</v>
      </c>
      <c r="F22" t="str">
        <f>INDEX('LIVE SOURCE'!$H$3:$H$225,$M22)</f>
        <v>Strong RB1; weekly top-12 expectation with multi-touchdown ceiling.</v>
      </c>
      <c r="G22" t="str">
        <f>INDEX('LIVE SOURCE'!$I$3:$I$225,$M22)</f>
        <v>He produced 17.7 PPR/FP points per game across 17 games. The workload/efficiency profile gives the model a rate-based reason to keep him here.</v>
      </c>
      <c r="H22" t="str">
        <f>INDEX('LIVE SOURCE'!$J$3:$J$225,$M22)</f>
        <v>Touchdown variance, receiving-role changes and backfield competition are the main downside paths.</v>
      </c>
      <c r="I22">
        <f>INDEX('Draft Engine'!$R$3:$R$225,$M22)</f>
        <v>15</v>
      </c>
      <c r="J22">
        <f>INDEX('Draft Engine'!$S$3:$S$225,$M22)</f>
        <v>-5</v>
      </c>
      <c r="K22" t="str">
        <f>INDEX('Draft Engine'!$T$3:$T$225,$M22)</f>
        <v>A</v>
      </c>
      <c r="L22" t="str">
        <f>INDEX('Draft Engine'!$X$3:$X$225,$M22)</f>
        <v>RATE-ADJUSTED VETERAN</v>
      </c>
      <c r="M22" s="6">
        <f>MATCH($A22,'Draft Engine'!$Q$3:$Q$225,0)</f>
        <v>41</v>
      </c>
    </row>
    <row r="23" spans="1:13" x14ac:dyDescent="0.25">
      <c r="A23">
        <f>21</f>
        <v>21</v>
      </c>
      <c r="B23" t="str">
        <f>INDEX('Draft Engine'!$A$3:$A$225,$M23)</f>
        <v>WR</v>
      </c>
      <c r="C23">
        <f>INDEX('Draft Engine'!$F$3:$F$225,$M23)</f>
        <v>9</v>
      </c>
      <c r="D23" t="str">
        <f>INDEX('Draft Engine'!$B$3:$B$225,$M23)</f>
        <v>Zay Flowers</v>
      </c>
      <c r="E23" s="4">
        <f>INDEX('Draft Engine'!$E$3:$E$225,$M23)</f>
        <v>86.57</v>
      </c>
      <c r="F23" t="str">
        <f>INDEX('LIVE SOURCE'!$H$3:$H$225,$M23)</f>
        <v>Strong WR1; bankable weekly starter with spike-week ceiling.</v>
      </c>
      <c r="G23" t="str">
        <f>INDEX('LIVE SOURCE'!$I$3:$I$225,$M23)</f>
        <v>He produced 14.4 PPR/FP points per game across 17 games. The workload/efficiency profile gives the model a rate-based reason to keep him here. Market price is favorable around ADP 65 versus model overall rank 32.</v>
      </c>
      <c r="H23" t="str">
        <f>INDEX('LIVE SOURCE'!$J$3:$J$225,$M23)</f>
        <v>Target competition, quarterback efficiency and touchdown regression are the main downside paths.</v>
      </c>
      <c r="I23">
        <f>INDEX('Draft Engine'!$R$3:$R$225,$M23)</f>
        <v>65.400000000000006</v>
      </c>
      <c r="J23">
        <f>INDEX('Draft Engine'!$S$3:$S$225,$M23)</f>
        <v>44.400000000000006</v>
      </c>
      <c r="K23" t="str">
        <f>INDEX('Draft Engine'!$T$3:$T$225,$M23)</f>
        <v>B</v>
      </c>
      <c r="L23" t="str">
        <f>INDEX('Draft Engine'!$X$3:$X$225,$M23)</f>
        <v>HISTORY FALLBACK</v>
      </c>
      <c r="M23" s="6">
        <f>MATCH($A23,'Draft Engine'!$Q$3:$Q$225,0)</f>
        <v>99</v>
      </c>
    </row>
    <row r="24" spans="1:13" x14ac:dyDescent="0.25">
      <c r="A24">
        <f>22</f>
        <v>22</v>
      </c>
      <c r="B24" t="str">
        <f>INDEX('Draft Engine'!$A$3:$A$225,$M24)</f>
        <v>RB</v>
      </c>
      <c r="C24">
        <f>INDEX('Draft Engine'!$F$3:$F$225,$M24)</f>
        <v>10</v>
      </c>
      <c r="D24" t="str">
        <f>INDEX('Draft Engine'!$B$3:$B$225,$M24)</f>
        <v>Kyren Williams</v>
      </c>
      <c r="E24" s="4">
        <f>INDEX('Draft Engine'!$E$3:$E$225,$M24)</f>
        <v>85.948599999999999</v>
      </c>
      <c r="F24" t="str">
        <f>INDEX('LIVE SOURCE'!$H$3:$H$225,$M24)</f>
        <v>Strong RB1; weekly top-12 expectation with multi-touchdown ceiling.</v>
      </c>
      <c r="G24" t="str">
        <f>INDEX('LIVE SOURCE'!$I$3:$I$225,$M24)</f>
        <v>He produced 15.5 PPR/FP points per game across 17 games. The workload/efficiency profile gives the model a rate-based reason to keep him here. Market price is favorable around ADP 40 versus model overall rank 21.</v>
      </c>
      <c r="H24" t="str">
        <f>INDEX('LIVE SOURCE'!$J$3:$J$225,$M24)</f>
        <v>Touchdown variance, receiving-role changes and backfield competition are the main downside paths.</v>
      </c>
      <c r="I24">
        <f>INDEX('Draft Engine'!$R$3:$R$225,$M24)</f>
        <v>39.799999999999997</v>
      </c>
      <c r="J24">
        <f>INDEX('Draft Engine'!$S$3:$S$225,$M24)</f>
        <v>17.799999999999997</v>
      </c>
      <c r="K24" t="str">
        <f>INDEX('Draft Engine'!$T$3:$T$225,$M24)</f>
        <v>A</v>
      </c>
      <c r="L24" t="str">
        <f>INDEX('Draft Engine'!$X$3:$X$225,$M24)</f>
        <v>RATE-ADJUSTED VETERAN</v>
      </c>
      <c r="M24" s="6">
        <f>MATCH($A24,'Draft Engine'!$Q$3:$Q$225,0)</f>
        <v>42</v>
      </c>
    </row>
    <row r="25" spans="1:13" x14ac:dyDescent="0.25">
      <c r="A25">
        <f>23</f>
        <v>23</v>
      </c>
      <c r="B25" t="str">
        <f>INDEX('Draft Engine'!$A$3:$A$225,$M25)</f>
        <v>WR</v>
      </c>
      <c r="C25">
        <f>INDEX('Draft Engine'!$F$3:$F$225,$M25)</f>
        <v>10</v>
      </c>
      <c r="D25" t="str">
        <f>INDEX('Draft Engine'!$B$3:$B$225,$M25)</f>
        <v>Garrett Wilson</v>
      </c>
      <c r="E25" s="4">
        <f>INDEX('Draft Engine'!$E$3:$E$225,$M25)</f>
        <v>86.155000000000001</v>
      </c>
      <c r="F25" t="str">
        <f>INDEX('LIVE SOURCE'!$H$3:$H$225,$M25)</f>
        <v>Strong WR1; bankable weekly starter with spike-week ceiling.</v>
      </c>
      <c r="G25" t="str">
        <f>INDEX('LIVE SOURCE'!$I$3:$I$225,$M25)</f>
        <v>He produced 14.2 PPR/FP points per game across 7 games. The workload/efficiency profile gives the model a rate-based reason to keep him here. Market price is favorable around ADP 58 versus model overall rank 31.</v>
      </c>
      <c r="H25" t="str">
        <f>INDEX('LIVE SOURCE'!$J$3:$J$225,$M25)</f>
        <v>Availability/sample risk is elevated after only 7 games; talent is not being punished as heavily as durability.</v>
      </c>
      <c r="I25">
        <f>INDEX('Draft Engine'!$R$3:$R$225,$M25)</f>
        <v>57.6</v>
      </c>
      <c r="J25">
        <f>INDEX('Draft Engine'!$S$3:$S$225,$M25)</f>
        <v>34.6</v>
      </c>
      <c r="K25" t="str">
        <f>INDEX('Draft Engine'!$T$3:$T$225,$M25)</f>
        <v>B</v>
      </c>
      <c r="L25" t="str">
        <f>INDEX('Draft Engine'!$X$3:$X$225,$M25)</f>
        <v>HISTORY FALLBACK</v>
      </c>
      <c r="M25" s="6">
        <f>MATCH($A25,'Draft Engine'!$Q$3:$Q$225,0)</f>
        <v>97</v>
      </c>
    </row>
    <row r="26" spans="1:13" x14ac:dyDescent="0.25">
      <c r="A26">
        <f>24</f>
        <v>24</v>
      </c>
      <c r="B26" t="str">
        <f>INDEX('Draft Engine'!$A$3:$A$225,$M26)</f>
        <v>RB</v>
      </c>
      <c r="C26">
        <f>INDEX('Draft Engine'!$F$3:$F$225,$M26)</f>
        <v>11</v>
      </c>
      <c r="D26" t="str">
        <f>INDEX('Draft Engine'!$B$3:$B$225,$M26)</f>
        <v>Breece Hall</v>
      </c>
      <c r="E26" s="4">
        <f>INDEX('Draft Engine'!$E$3:$E$225,$M26)</f>
        <v>85.895200000000003</v>
      </c>
      <c r="F26" t="str">
        <f>INDEX('LIVE SOURCE'!$H$3:$H$225,$M26)</f>
        <v>Strong RB1; weekly top-12 expectation with multi-touchdown ceiling.</v>
      </c>
      <c r="G26" t="str">
        <f>INDEX('LIVE SOURCE'!$I$3:$I$225,$M26)</f>
        <v>He produced 12.9 PPR/FP points per game across 16 games. The workload/efficiency profile gives the model a rate-based reason to keep him here. Market price is favorable around ADP 44 versus model overall rank 23.</v>
      </c>
      <c r="H26" t="str">
        <f>INDEX('LIVE SOURCE'!$J$3:$J$225,$M26)</f>
        <v>Touchdown variance, receiving-role changes and backfield competition are the main downside paths.</v>
      </c>
      <c r="I26">
        <f>INDEX('Draft Engine'!$R$3:$R$225,$M26)</f>
        <v>44</v>
      </c>
      <c r="J26">
        <f>INDEX('Draft Engine'!$S$3:$S$225,$M26)</f>
        <v>20</v>
      </c>
      <c r="K26" t="str">
        <f>INDEX('Draft Engine'!$T$3:$T$225,$M26)</f>
        <v>A</v>
      </c>
      <c r="L26" t="str">
        <f>INDEX('Draft Engine'!$X$3:$X$225,$M26)</f>
        <v>RATE-ADJUSTED VETERAN</v>
      </c>
      <c r="M26" s="6">
        <f>MATCH($A26,'Draft Engine'!$Q$3:$Q$225,0)</f>
        <v>43</v>
      </c>
    </row>
    <row r="27" spans="1:13" x14ac:dyDescent="0.25">
      <c r="A27">
        <f>25</f>
        <v>25</v>
      </c>
      <c r="B27" t="str">
        <f>INDEX('Draft Engine'!$A$3:$A$225,$M27)</f>
        <v>RB</v>
      </c>
      <c r="C27">
        <f>INDEX('Draft Engine'!$F$3:$F$225,$M27)</f>
        <v>12</v>
      </c>
      <c r="D27" t="str">
        <f>INDEX('Draft Engine'!$B$3:$B$225,$M27)</f>
        <v>Ashton Jeanty</v>
      </c>
      <c r="E27" s="4">
        <f>INDEX('Draft Engine'!$E$3:$E$225,$M27)</f>
        <v>85.843299999999999</v>
      </c>
      <c r="F27" t="str">
        <f>INDEX('LIVE SOURCE'!$H$3:$H$225,$M27)</f>
        <v>Strong RB1; weekly top-12 expectation with multi-touchdown ceiling.</v>
      </c>
      <c r="G27" t="str">
        <f>INDEX('LIVE SOURCE'!$I$3:$I$225,$M27)</f>
        <v>He produced 14.4 PPR/FP points per game across 17 games. The workload/efficiency profile gives the model a rate-based reason to keep him here. The market is more aggressive at ADP 13 versus model overall rank 24, so price matters.</v>
      </c>
      <c r="H27" t="str">
        <f>INDEX('LIVE SOURCE'!$J$3:$J$225,$M27)</f>
        <v>Price is the biggest risk: the market currently asks you to draft him earlier than the model prefers.</v>
      </c>
      <c r="I27">
        <f>INDEX('Draft Engine'!$R$3:$R$225,$M27)</f>
        <v>13</v>
      </c>
      <c r="J27">
        <f>INDEX('Draft Engine'!$S$3:$S$225,$M27)</f>
        <v>-12</v>
      </c>
      <c r="K27" t="str">
        <f>INDEX('Draft Engine'!$T$3:$T$225,$M27)</f>
        <v>A</v>
      </c>
      <c r="L27" t="str">
        <f>INDEX('Draft Engine'!$X$3:$X$225,$M27)</f>
        <v>RATE-ADJUSTED VETERAN</v>
      </c>
      <c r="M27" s="6">
        <f>MATCH($A27,'Draft Engine'!$Q$3:$Q$225,0)</f>
        <v>44</v>
      </c>
    </row>
    <row r="28" spans="1:13" x14ac:dyDescent="0.25">
      <c r="A28">
        <f>26</f>
        <v>26</v>
      </c>
      <c r="B28" t="str">
        <f>INDEX('Draft Engine'!$A$3:$A$225,$M28)</f>
        <v>WR</v>
      </c>
      <c r="C28">
        <f>INDEX('Draft Engine'!$F$3:$F$225,$M28)</f>
        <v>11</v>
      </c>
      <c r="D28" t="str">
        <f>INDEX('Draft Engine'!$B$3:$B$225,$M28)</f>
        <v>CeeDee Lamb</v>
      </c>
      <c r="E28" s="4">
        <f>INDEX('Draft Engine'!$E$3:$E$225,$M28)</f>
        <v>85.742599999999996</v>
      </c>
      <c r="F28" t="str">
        <f>INDEX('LIVE SOURCE'!$H$3:$H$225,$M28)</f>
        <v>Strong WR1; bankable weekly starter with spike-week ceiling.</v>
      </c>
      <c r="G28" t="str">
        <f>INDEX('LIVE SOURCE'!$I$3:$I$225,$M28)</f>
        <v>He produced 14.4 PPR/FP points per game across 14 games. The workload/efficiency profile gives the model a rate-based reason to keep him here. The market is more aggressive at ADP 8 versus model overall rank 18, so price matters.</v>
      </c>
      <c r="H28" t="str">
        <f>INDEX('LIVE SOURCE'!$J$3:$J$225,$M28)</f>
        <v>Price is the biggest risk: the market currently asks you to draft him earlier than the model prefers.</v>
      </c>
      <c r="I28">
        <f>INDEX('Draft Engine'!$R$3:$R$225,$M28)</f>
        <v>8</v>
      </c>
      <c r="J28">
        <f>INDEX('Draft Engine'!$S$3:$S$225,$M28)</f>
        <v>-18</v>
      </c>
      <c r="K28" t="str">
        <f>INDEX('Draft Engine'!$T$3:$T$225,$M28)</f>
        <v>A</v>
      </c>
      <c r="L28" t="str">
        <f>INDEX('Draft Engine'!$X$3:$X$225,$M28)</f>
        <v>HISTORY FALLBACK</v>
      </c>
      <c r="M28" s="6">
        <f>MATCH($A28,'Draft Engine'!$Q$3:$Q$225,0)</f>
        <v>88</v>
      </c>
    </row>
    <row r="29" spans="1:13" x14ac:dyDescent="0.25">
      <c r="A29">
        <f>27</f>
        <v>27</v>
      </c>
      <c r="B29" t="str">
        <f>INDEX('Draft Engine'!$A$3:$A$225,$M29)</f>
        <v>RB</v>
      </c>
      <c r="C29">
        <f>INDEX('Draft Engine'!$F$3:$F$225,$M29)</f>
        <v>13</v>
      </c>
      <c r="D29" t="str">
        <f>INDEX('Draft Engine'!$B$3:$B$225,$M29)</f>
        <v>Derrick Henry</v>
      </c>
      <c r="E29" s="4">
        <f>INDEX('Draft Engine'!$E$3:$E$225,$M29)</f>
        <v>85.667400000000001</v>
      </c>
      <c r="F29" t="str">
        <f>INDEX('LIVE SOURCE'!$H$3:$H$225,$M29)</f>
        <v>RB2 with RB1 weeks; should be a regular starter.</v>
      </c>
      <c r="G29" t="str">
        <f>INDEX('LIVE SOURCE'!$I$3:$I$225,$M29)</f>
        <v>He produced 16.5 PPR/FP points per game across 17 games. The workload/efficiency profile gives the model a rate-based reason to keep him here. Market price is favorable around ADP 52 versus model overall rank 26.</v>
      </c>
      <c r="H29" t="str">
        <f>INDEX('LIVE SOURCE'!$J$3:$J$225,$M29)</f>
        <v>Touchdown variance, receiving-role changes and backfield competition are the main downside paths.</v>
      </c>
      <c r="I29">
        <f>INDEX('Draft Engine'!$R$3:$R$225,$M29)</f>
        <v>52.400000000000013</v>
      </c>
      <c r="J29">
        <f>INDEX('Draft Engine'!$S$3:$S$225,$M29)</f>
        <v>25.400000000000013</v>
      </c>
      <c r="K29" t="str">
        <f>INDEX('Draft Engine'!$T$3:$T$225,$M29)</f>
        <v>A</v>
      </c>
      <c r="L29" t="str">
        <f>INDEX('Draft Engine'!$X$3:$X$225,$M29)</f>
        <v>RATE-ADJUSTED VETERAN</v>
      </c>
      <c r="M29" s="6">
        <f>MATCH($A29,'Draft Engine'!$Q$3:$Q$225,0)</f>
        <v>45</v>
      </c>
    </row>
    <row r="30" spans="1:13" x14ac:dyDescent="0.25">
      <c r="A30">
        <f>28</f>
        <v>28</v>
      </c>
      <c r="B30" t="str">
        <f>INDEX('Draft Engine'!$A$3:$A$225,$M30)</f>
        <v>WR</v>
      </c>
      <c r="C30">
        <f>INDEX('Draft Engine'!$F$3:$F$225,$M30)</f>
        <v>12</v>
      </c>
      <c r="D30" t="str">
        <f>INDEX('Draft Engine'!$B$3:$B$225,$M30)</f>
        <v>Tetairoa McMillan</v>
      </c>
      <c r="E30" s="4">
        <f>INDEX('Draft Engine'!$E$3:$E$225,$M30)</f>
        <v>85.74</v>
      </c>
      <c r="F30" t="str">
        <f>INDEX('LIVE SOURCE'!$H$3:$H$225,$M30)</f>
        <v>Strong WR1; bankable weekly starter with spike-week ceiling.</v>
      </c>
      <c r="G30" t="str">
        <f>INDEX('LIVE SOURCE'!$I$3:$I$225,$M30)</f>
        <v>He produced 12.4 PPR/FP points per game across 17 games. The workload/efficiency profile gives the model a rate-based reason to keep him here. Market price is favorable around ADP 50 versus model overall rank 28.</v>
      </c>
      <c r="H30" t="str">
        <f>INDEX('LIVE SOURCE'!$J$3:$J$225,$M30)</f>
        <v>Target competition, quarterback efficiency and touchdown regression are the main downside paths.</v>
      </c>
      <c r="I30">
        <f>INDEX('Draft Engine'!$R$3:$R$225,$M30)</f>
        <v>49.8</v>
      </c>
      <c r="J30">
        <f>INDEX('Draft Engine'!$S$3:$S$225,$M30)</f>
        <v>21.799999999999997</v>
      </c>
      <c r="K30" t="str">
        <f>INDEX('Draft Engine'!$T$3:$T$225,$M30)</f>
        <v>B</v>
      </c>
      <c r="L30" t="str">
        <f>INDEX('Draft Engine'!$X$3:$X$225,$M30)</f>
        <v>HISTORY FALLBACK</v>
      </c>
      <c r="M30" s="6">
        <f>MATCH($A30,'Draft Engine'!$Q$3:$Q$225,0)</f>
        <v>95</v>
      </c>
    </row>
    <row r="31" spans="1:13" x14ac:dyDescent="0.25">
      <c r="A31">
        <f>29</f>
        <v>29</v>
      </c>
      <c r="B31" t="str">
        <f>INDEX('Draft Engine'!$A$3:$A$225,$M31)</f>
        <v>RB</v>
      </c>
      <c r="C31">
        <f>INDEX('Draft Engine'!$F$3:$F$225,$M31)</f>
        <v>14</v>
      </c>
      <c r="D31" t="str">
        <f>INDEX('Draft Engine'!$B$3:$B$225,$M31)</f>
        <v>Chase Brown</v>
      </c>
      <c r="E31" s="4">
        <f>INDEX('Draft Engine'!$E$3:$E$225,$M31)</f>
        <v>85.664400000000001</v>
      </c>
      <c r="F31" t="str">
        <f>INDEX('LIVE SOURCE'!$H$3:$H$225,$M31)</f>
        <v>RB2 with RB1 weeks; should be a regular starter.</v>
      </c>
      <c r="G31" t="str">
        <f>INDEX('LIVE SOURCE'!$I$3:$I$225,$M31)</f>
        <v>He produced 16.7 PPR/FP points per game across 17 games. The workload/efficiency profile gives the model a rate-based reason to keep him here.</v>
      </c>
      <c r="H31" t="str">
        <f>INDEX('LIVE SOURCE'!$J$3:$J$225,$M31)</f>
        <v>Touchdown variance, receiving-role changes and backfield competition are the main downside paths.</v>
      </c>
      <c r="I31">
        <f>INDEX('Draft Engine'!$R$3:$R$225,$M31)</f>
        <v>21</v>
      </c>
      <c r="J31">
        <f>INDEX('Draft Engine'!$S$3:$S$225,$M31)</f>
        <v>-8</v>
      </c>
      <c r="K31" t="str">
        <f>INDEX('Draft Engine'!$T$3:$T$225,$M31)</f>
        <v>A</v>
      </c>
      <c r="L31" t="str">
        <f>INDEX('Draft Engine'!$X$3:$X$225,$M31)</f>
        <v>RATE-ADJUSTED VETERAN</v>
      </c>
      <c r="M31" s="6">
        <f>MATCH($A31,'Draft Engine'!$Q$3:$Q$225,0)</f>
        <v>46</v>
      </c>
    </row>
    <row r="32" spans="1:13" x14ac:dyDescent="0.25">
      <c r="A32">
        <f>30</f>
        <v>30</v>
      </c>
      <c r="B32" t="str">
        <f>INDEX('Draft Engine'!$A$3:$A$225,$M32)</f>
        <v>QB</v>
      </c>
      <c r="C32">
        <f>INDEX('Draft Engine'!$F$3:$F$225,$M32)</f>
        <v>2</v>
      </c>
      <c r="D32" t="str">
        <f>INDEX('Draft Engine'!$B$3:$B$225,$M32)</f>
        <v>Caleb Williams</v>
      </c>
      <c r="E32" s="4">
        <f>INDEX('Draft Engine'!$E$3:$E$225,$M32)</f>
        <v>92.192700000000002</v>
      </c>
      <c r="F32" t="str">
        <f>INDEX('LIVE SOURCE'!$H$3:$H$225,$M32)</f>
        <v>Elite QB1; weekly top-5 expectation with overall QB1 upside.</v>
      </c>
      <c r="G32" t="str">
        <f>INDEX('LIVE SOURCE'!$I$3:$I$225,$M32)</f>
        <v>He produced 19.0 PPR/FP points per game across 17 games. The workload/efficiency profile gives the model a rate-based reason to keep him here.</v>
      </c>
      <c r="H32" t="str">
        <f>INDEX('LIVE SOURCE'!$J$3:$J$225,$M32)</f>
        <v>Passing-TD efficiency, rushing volume and supporting-cast health are the main swing factors.</v>
      </c>
      <c r="I32">
        <f>INDEX('Draft Engine'!$R$3:$R$225,$M32)</f>
        <v>30</v>
      </c>
      <c r="J32">
        <f>INDEX('Draft Engine'!$S$3:$S$225,$M32)</f>
        <v>0</v>
      </c>
      <c r="K32" t="str">
        <f>INDEX('Draft Engine'!$T$3:$T$225,$M32)</f>
        <v>A</v>
      </c>
      <c r="L32" t="str">
        <f>INDEX('Draft Engine'!$X$3:$X$225,$M32)</f>
        <v>RATE-ADJUSTED VETERAN</v>
      </c>
      <c r="M32" s="6">
        <f>MATCH($A32,'Draft Engine'!$Q$3:$Q$225,0)</f>
        <v>2</v>
      </c>
    </row>
    <row r="33" spans="1:13" x14ac:dyDescent="0.25">
      <c r="A33">
        <f>31</f>
        <v>31</v>
      </c>
      <c r="B33" t="str">
        <f>INDEX('Draft Engine'!$A$3:$A$225,$M33)</f>
        <v>WR</v>
      </c>
      <c r="C33">
        <f>INDEX('Draft Engine'!$F$3:$F$225,$M33)</f>
        <v>13</v>
      </c>
      <c r="D33" t="str">
        <f>INDEX('Draft Engine'!$B$3:$B$225,$M33)</f>
        <v>Tee Higgins</v>
      </c>
      <c r="E33" s="4">
        <f>INDEX('Draft Engine'!$E$3:$E$225,$M33)</f>
        <v>84.822500000000005</v>
      </c>
      <c r="F33" t="str">
        <f>INDEX('LIVE SOURCE'!$H$3:$H$225,$M33)</f>
        <v>Strong WR2 with top-12 weekly upside.</v>
      </c>
      <c r="G33" t="str">
        <f>INDEX('LIVE SOURCE'!$I$3:$I$225,$M33)</f>
        <v>He produced 14.1 PPR/FP points per game across 15 games. The workload/efficiency profile gives the model a rate-based reason to keep him here. Market price is favorable around ADP 54 versus model overall rank 37.</v>
      </c>
      <c r="H33" t="str">
        <f>INDEX('LIVE SOURCE'!$J$3:$J$225,$M33)</f>
        <v>Target competition, quarterback efficiency and touchdown regression are the main downside paths.</v>
      </c>
      <c r="I33">
        <f>INDEX('Draft Engine'!$R$3:$R$225,$M33)</f>
        <v>53.7</v>
      </c>
      <c r="J33">
        <f>INDEX('Draft Engine'!$S$3:$S$225,$M33)</f>
        <v>22.700000000000003</v>
      </c>
      <c r="K33" t="str">
        <f>INDEX('Draft Engine'!$T$3:$T$225,$M33)</f>
        <v>B</v>
      </c>
      <c r="L33" t="str">
        <f>INDEX('Draft Engine'!$X$3:$X$225,$M33)</f>
        <v>HISTORY FALLBACK</v>
      </c>
      <c r="M33" s="6">
        <f>MATCH($A33,'Draft Engine'!$Q$3:$Q$225,0)</f>
        <v>96</v>
      </c>
    </row>
    <row r="34" spans="1:13" x14ac:dyDescent="0.25">
      <c r="A34">
        <f>32</f>
        <v>32</v>
      </c>
      <c r="B34" t="str">
        <f>INDEX('Draft Engine'!$A$3:$A$225,$M34)</f>
        <v>WR</v>
      </c>
      <c r="C34">
        <f>INDEX('Draft Engine'!$F$3:$F$225,$M34)</f>
        <v>14</v>
      </c>
      <c r="D34" t="str">
        <f>INDEX('Draft Engine'!$B$3:$B$225,$M34)</f>
        <v>Justin Jefferson</v>
      </c>
      <c r="E34" s="4">
        <f>INDEX('Draft Engine'!$E$3:$E$225,$M34)</f>
        <v>84.793599999999998</v>
      </c>
      <c r="F34" t="str">
        <f>INDEX('LIVE SOURCE'!$H$3:$H$225,$M34)</f>
        <v>Strong WR2 with top-12 weekly upside.</v>
      </c>
      <c r="G34" t="str">
        <f>INDEX('LIVE SOURCE'!$I$3:$I$225,$M34)</f>
        <v>The 2026 opportunity and projection carry most of the grade because detailed 2025 rate data is incomplete. The market is more aggressive at ADP 9 versus model overall rank 30, so price matters.</v>
      </c>
      <c r="H34" t="str">
        <f>INDEX('LIVE SOURCE'!$J$3:$J$225,$M34)</f>
        <v>Price is the biggest risk: the market currently asks you to draft him earlier than the model prefers.</v>
      </c>
      <c r="I34">
        <f>INDEX('Draft Engine'!$R$3:$R$225,$M34)</f>
        <v>9</v>
      </c>
      <c r="J34">
        <f>INDEX('Draft Engine'!$S$3:$S$225,$M34)</f>
        <v>-23</v>
      </c>
      <c r="K34" t="str">
        <f>INDEX('Draft Engine'!$T$3:$T$225,$M34)</f>
        <v>A</v>
      </c>
      <c r="L34" t="str">
        <f>INDEX('Draft Engine'!$X$3:$X$225,$M34)</f>
        <v>HISTORY FALLBACK</v>
      </c>
      <c r="M34" s="6">
        <f>MATCH($A34,'Draft Engine'!$Q$3:$Q$225,0)</f>
        <v>89</v>
      </c>
    </row>
    <row r="35" spans="1:13" x14ac:dyDescent="0.25">
      <c r="A35">
        <f>33</f>
        <v>33</v>
      </c>
      <c r="B35" t="str">
        <f>INDEX('Draft Engine'!$A$3:$A$225,$M35)</f>
        <v>RB</v>
      </c>
      <c r="C35">
        <f>INDEX('Draft Engine'!$F$3:$F$225,$M35)</f>
        <v>15</v>
      </c>
      <c r="D35" t="str">
        <f>INDEX('Draft Engine'!$B$3:$B$225,$M35)</f>
        <v>Josh Jacobs</v>
      </c>
      <c r="E35" s="4">
        <f>INDEX('Draft Engine'!$E$3:$E$225,$M35)</f>
        <v>84.426400000000001</v>
      </c>
      <c r="F35" t="str">
        <f>INDEX('LIVE SOURCE'!$H$3:$H$225,$M35)</f>
        <v>RB2 with RB1 weeks; should be a regular starter.</v>
      </c>
      <c r="G35" t="str">
        <f>INDEX('LIVE SOURCE'!$I$3:$I$225,$M35)</f>
        <v>He produced 15.8 PPR/FP points per game across 15 games. The workload/efficiency profile gives the model a rate-based reason to keep him here. Market price is favorable around ADP 61 versus model overall rank 33.</v>
      </c>
      <c r="H35" t="str">
        <f>INDEX('LIVE SOURCE'!$J$3:$J$225,$M35)</f>
        <v>Touchdown variance, receiving-role changes and backfield competition are the main downside paths.</v>
      </c>
      <c r="I35">
        <f>INDEX('Draft Engine'!$R$3:$R$225,$M35)</f>
        <v>60.8</v>
      </c>
      <c r="J35">
        <f>INDEX('Draft Engine'!$S$3:$S$225,$M35)</f>
        <v>27.799999999999997</v>
      </c>
      <c r="K35" t="str">
        <f>INDEX('Draft Engine'!$T$3:$T$225,$M35)</f>
        <v>A</v>
      </c>
      <c r="L35" t="str">
        <f>INDEX('Draft Engine'!$X$3:$X$225,$M35)</f>
        <v>RATE-ADJUSTED VETERAN</v>
      </c>
      <c r="M35" s="6">
        <f>MATCH($A35,'Draft Engine'!$Q$3:$Q$225,0)</f>
        <v>47</v>
      </c>
    </row>
    <row r="36" spans="1:13" x14ac:dyDescent="0.25">
      <c r="A36">
        <f>34</f>
        <v>34</v>
      </c>
      <c r="B36" t="str">
        <f>INDEX('Draft Engine'!$A$3:$A$225,$M36)</f>
        <v>TE</v>
      </c>
      <c r="C36">
        <f>INDEX('Draft Engine'!$F$3:$F$225,$M36)</f>
        <v>3</v>
      </c>
      <c r="D36" t="str">
        <f>INDEX('Draft Engine'!$B$3:$B$225,$M36)</f>
        <v>Colston Loveland</v>
      </c>
      <c r="E36" s="4">
        <f>INDEX('Draft Engine'!$E$3:$E$225,$M36)</f>
        <v>88.753100000000003</v>
      </c>
      <c r="F36" t="str">
        <f>INDEX('LIVE SOURCE'!$H$3:$H$225,$M36)</f>
        <v>Elite difference-making TE; positional advantage is the expectation.</v>
      </c>
      <c r="G36" t="str">
        <f>INDEX('LIVE SOURCE'!$I$3:$I$225,$M36)</f>
        <v>He produced 10.3 PPR/FP points per game across 16 games. The workload/efficiency profile gives the model a rate-based reason to keep him here. Market price is favorable around ADP 35 versus model overall rank 22.</v>
      </c>
      <c r="H36" t="str">
        <f>INDEX('LIVE SOURCE'!$J$3:$J$225,$M36)</f>
        <v>Route share, target volume and touchdown volatility are the main swing factors.</v>
      </c>
      <c r="I36">
        <f>INDEX('Draft Engine'!$R$3:$R$225,$M36)</f>
        <v>35</v>
      </c>
      <c r="J36">
        <f>INDEX('Draft Engine'!$S$3:$S$225,$M36)</f>
        <v>1</v>
      </c>
      <c r="K36" t="str">
        <f>INDEX('Draft Engine'!$T$3:$T$225,$M36)</f>
        <v>A</v>
      </c>
      <c r="L36" t="str">
        <f>INDEX('Draft Engine'!$X$3:$X$225,$M36)</f>
        <v>RATE-ADJUSTED VETERAN</v>
      </c>
      <c r="M36" s="6">
        <f>MATCH($A36,'Draft Engine'!$Q$3:$Q$225,0)</f>
        <v>155</v>
      </c>
    </row>
    <row r="37" spans="1:13" x14ac:dyDescent="0.25">
      <c r="A37">
        <f>35</f>
        <v>35</v>
      </c>
      <c r="B37" t="str">
        <f>INDEX('Draft Engine'!$A$3:$A$225,$M37)</f>
        <v>WR</v>
      </c>
      <c r="C37">
        <f>INDEX('Draft Engine'!$F$3:$F$225,$M37)</f>
        <v>15</v>
      </c>
      <c r="D37" t="str">
        <f>INDEX('Draft Engine'!$B$3:$B$225,$M37)</f>
        <v>Rashee Rice</v>
      </c>
      <c r="E37" s="4">
        <f>INDEX('Draft Engine'!$E$3:$E$225,$M37)</f>
        <v>84.094700000000003</v>
      </c>
      <c r="F37" t="str">
        <f>INDEX('LIVE SOURCE'!$H$3:$H$225,$M37)</f>
        <v>Strong WR2 with top-12 weekly upside.</v>
      </c>
      <c r="G37" t="str">
        <f>INDEX('LIVE SOURCE'!$I$3:$I$225,$M37)</f>
        <v>He produced 18.7 PPR/FP points per game across 8 games. The workload/efficiency profile gives the model a rate-based reason to keep him here. The market is more aggressive at ADP 22 versus model overall rank 40, so price matters.</v>
      </c>
      <c r="H37" t="str">
        <f>INDEX('LIVE SOURCE'!$J$3:$J$225,$M37)</f>
        <v>Availability/sample risk is elevated after only 8 games; talent is not being punished as heavily as durability.</v>
      </c>
      <c r="I37">
        <f>INDEX('Draft Engine'!$R$3:$R$225,$M37)</f>
        <v>22</v>
      </c>
      <c r="J37">
        <f>INDEX('Draft Engine'!$S$3:$S$225,$M37)</f>
        <v>-13</v>
      </c>
      <c r="K37" t="str">
        <f>INDEX('Draft Engine'!$T$3:$T$225,$M37)</f>
        <v>A</v>
      </c>
      <c r="L37" t="str">
        <f>INDEX('Draft Engine'!$X$3:$X$225,$M37)</f>
        <v>HISTORY FALLBACK</v>
      </c>
      <c r="M37" s="6">
        <f>MATCH($A37,'Draft Engine'!$Q$3:$Q$225,0)</f>
        <v>93</v>
      </c>
    </row>
    <row r="38" spans="1:13" x14ac:dyDescent="0.25">
      <c r="A38">
        <f>36</f>
        <v>36</v>
      </c>
      <c r="B38" t="str">
        <f>INDEX('Draft Engine'!$A$3:$A$225,$M38)</f>
        <v>RB</v>
      </c>
      <c r="C38">
        <f>INDEX('Draft Engine'!$F$3:$F$225,$M38)</f>
        <v>16</v>
      </c>
      <c r="D38" t="str">
        <f>INDEX('Draft Engine'!$B$3:$B$225,$M38)</f>
        <v>Saquon Barkley</v>
      </c>
      <c r="E38" s="4">
        <f>INDEX('Draft Engine'!$E$3:$E$225,$M38)</f>
        <v>84.034000000000006</v>
      </c>
      <c r="F38" t="str">
        <f>INDEX('LIVE SOURCE'!$H$3:$H$225,$M38)</f>
        <v>RB2 with RB1 weeks; should be a regular starter.</v>
      </c>
      <c r="G38" t="str">
        <f>INDEX('LIVE SOURCE'!$I$3:$I$225,$M38)</f>
        <v>He produced 14.5 PPR/FP points per game across 16 games. The workload/efficiency profile gives the model a rate-based reason to keep him here. Market price is favorable around ADP 65 versus model overall rank 34.</v>
      </c>
      <c r="H38" t="str">
        <f>INDEX('LIVE SOURCE'!$J$3:$J$225,$M38)</f>
        <v>Touchdown variance, receiving-role changes and backfield competition are the main downside paths.</v>
      </c>
      <c r="I38">
        <f>INDEX('Draft Engine'!$R$3:$R$225,$M38)</f>
        <v>65</v>
      </c>
      <c r="J38">
        <f>INDEX('Draft Engine'!$S$3:$S$225,$M38)</f>
        <v>29</v>
      </c>
      <c r="K38" t="str">
        <f>INDEX('Draft Engine'!$T$3:$T$225,$M38)</f>
        <v>A</v>
      </c>
      <c r="L38" t="str">
        <f>INDEX('Draft Engine'!$X$3:$X$225,$M38)</f>
        <v>RATE-ADJUSTED VETERAN</v>
      </c>
      <c r="M38" s="6">
        <f>MATCH($A38,'Draft Engine'!$Q$3:$Q$225,0)</f>
        <v>48</v>
      </c>
    </row>
    <row r="39" spans="1:13" x14ac:dyDescent="0.25">
      <c r="A39">
        <f>37</f>
        <v>37</v>
      </c>
      <c r="B39" t="str">
        <f>INDEX('Draft Engine'!$A$3:$A$225,$M39)</f>
        <v>QB</v>
      </c>
      <c r="C39">
        <f>INDEX('Draft Engine'!$F$3:$F$225,$M39)</f>
        <v>3</v>
      </c>
      <c r="D39" t="str">
        <f>INDEX('Draft Engine'!$B$3:$B$225,$M39)</f>
        <v>Drake Maye</v>
      </c>
      <c r="E39" s="4">
        <f>INDEX('Draft Engine'!$E$3:$E$225,$M39)</f>
        <v>91.043000000000006</v>
      </c>
      <c r="F39" t="str">
        <f>INDEX('LIVE SOURCE'!$H$3:$H$225,$M39)</f>
        <v>Elite QB1; weekly top-5 expectation with overall QB1 upside.</v>
      </c>
      <c r="G39" t="str">
        <f>INDEX('LIVE SOURCE'!$I$3:$I$225,$M39)</f>
        <v>He produced 21.1 PPR/FP points per game across 17 games. The workload/efficiency profile gives the model a rate-based reason to keep him here.</v>
      </c>
      <c r="H39" t="str">
        <f>INDEX('LIVE SOURCE'!$J$3:$J$225,$M39)</f>
        <v>Passing-TD efficiency, rushing volume and supporting-cast health are the main swing factors.</v>
      </c>
      <c r="I39">
        <f>INDEX('Draft Engine'!$R$3:$R$225,$M39)</f>
        <v>38</v>
      </c>
      <c r="J39">
        <f>INDEX('Draft Engine'!$S$3:$S$225,$M39)</f>
        <v>1</v>
      </c>
      <c r="K39" t="str">
        <f>INDEX('Draft Engine'!$T$3:$T$225,$M39)</f>
        <v>A</v>
      </c>
      <c r="L39" t="str">
        <f>INDEX('Draft Engine'!$X$3:$X$225,$M39)</f>
        <v>RATE-ADJUSTED VETERAN</v>
      </c>
      <c r="M39" s="6">
        <f>MATCH($A39,'Draft Engine'!$Q$3:$Q$225,0)</f>
        <v>3</v>
      </c>
    </row>
    <row r="40" spans="1:13" x14ac:dyDescent="0.25">
      <c r="A40">
        <f>38</f>
        <v>38</v>
      </c>
      <c r="B40" t="str">
        <f>INDEX('Draft Engine'!$A$3:$A$225,$M40)</f>
        <v>RB</v>
      </c>
      <c r="C40">
        <f>INDEX('Draft Engine'!$F$3:$F$225,$M40)</f>
        <v>17</v>
      </c>
      <c r="D40" t="str">
        <f>INDEX('Draft Engine'!$B$3:$B$225,$M40)</f>
        <v>Javonte Williams</v>
      </c>
      <c r="E40" s="4">
        <f>INDEX('Draft Engine'!$E$3:$E$225,$M40)</f>
        <v>83.803200000000004</v>
      </c>
      <c r="F40" t="str">
        <f>INDEX('LIVE SOURCE'!$H$3:$H$225,$M40)</f>
        <v>RB2 with RB1 weeks; should be a regular starter.</v>
      </c>
      <c r="G40" t="str">
        <f>INDEX('LIVE SOURCE'!$I$3:$I$225,$M40)</f>
        <v>He produced 15.2 PPR/FP points per game across 16 games. The workload/efficiency profile gives the model a rate-based reason to keep him here. Market price is favorable around ADP 69 versus model overall rank 35.</v>
      </c>
      <c r="H40" t="str">
        <f>INDEX('LIVE SOURCE'!$J$3:$J$225,$M40)</f>
        <v>Touchdown variance, receiving-role changes and backfield competition are the main downside paths.</v>
      </c>
      <c r="I40">
        <f>INDEX('Draft Engine'!$R$3:$R$225,$M40)</f>
        <v>69.2</v>
      </c>
      <c r="J40">
        <f>INDEX('Draft Engine'!$S$3:$S$225,$M40)</f>
        <v>31.200000000000003</v>
      </c>
      <c r="K40" t="str">
        <f>INDEX('Draft Engine'!$T$3:$T$225,$M40)</f>
        <v>A</v>
      </c>
      <c r="L40" t="str">
        <f>INDEX('Draft Engine'!$X$3:$X$225,$M40)</f>
        <v>RATE-ADJUSTED VETERAN</v>
      </c>
      <c r="M40" s="6">
        <f>MATCH($A40,'Draft Engine'!$Q$3:$Q$225,0)</f>
        <v>49</v>
      </c>
    </row>
    <row r="41" spans="1:13" x14ac:dyDescent="0.25">
      <c r="A41">
        <f>39</f>
        <v>39</v>
      </c>
      <c r="B41" t="str">
        <f>INDEX('Draft Engine'!$A$3:$A$225,$M41)</f>
        <v>WR</v>
      </c>
      <c r="C41">
        <f>INDEX('Draft Engine'!$F$3:$F$225,$M41)</f>
        <v>16</v>
      </c>
      <c r="D41" t="str">
        <f>INDEX('Draft Engine'!$B$3:$B$225,$M41)</f>
        <v>A.J. Brown</v>
      </c>
      <c r="E41" s="4">
        <f>INDEX('Draft Engine'!$E$3:$E$225,$M41)</f>
        <v>83.235699999999994</v>
      </c>
      <c r="F41" t="str">
        <f>INDEX('LIVE SOURCE'!$H$3:$H$225,$M41)</f>
        <v>Strong WR2 with top-12 weekly upside.</v>
      </c>
      <c r="G41" t="str">
        <f>INDEX('LIVE SOURCE'!$I$3:$I$225,$M41)</f>
        <v>He produced 14.7 PPR/FP points per game across 15 games. The workload/efficiency profile gives the model a rate-based reason to keep him here. The market is more aggressive at ADP 14 versus model overall rank 41, so price matters.</v>
      </c>
      <c r="H41" t="str">
        <f>INDEX('LIVE SOURCE'!$J$3:$J$225,$M41)</f>
        <v>Price is the biggest risk: the market currently asks you to draft him earlier than the model prefers.</v>
      </c>
      <c r="I41">
        <f>INDEX('Draft Engine'!$R$3:$R$225,$M41)</f>
        <v>14</v>
      </c>
      <c r="J41">
        <f>INDEX('Draft Engine'!$S$3:$S$225,$M41)</f>
        <v>-25</v>
      </c>
      <c r="K41" t="str">
        <f>INDEX('Draft Engine'!$T$3:$T$225,$M41)</f>
        <v>A</v>
      </c>
      <c r="L41" t="str">
        <f>INDEX('Draft Engine'!$X$3:$X$225,$M41)</f>
        <v>HISTORY FALLBACK</v>
      </c>
      <c r="M41" s="6">
        <f>MATCH($A41,'Draft Engine'!$Q$3:$Q$225,0)</f>
        <v>87</v>
      </c>
    </row>
    <row r="42" spans="1:13" x14ac:dyDescent="0.25">
      <c r="A42">
        <f>40</f>
        <v>40</v>
      </c>
      <c r="B42" t="str">
        <f>INDEX('Draft Engine'!$A$3:$A$225,$M42)</f>
        <v>RB</v>
      </c>
      <c r="C42">
        <f>INDEX('Draft Engine'!$F$3:$F$225,$M42)</f>
        <v>18</v>
      </c>
      <c r="D42" t="str">
        <f>INDEX('Draft Engine'!$B$3:$B$225,$M42)</f>
        <v>Travis Etienne Jr.</v>
      </c>
      <c r="E42" s="4">
        <f>INDEX('Draft Engine'!$E$3:$E$225,$M42)</f>
        <v>83.043599999999998</v>
      </c>
      <c r="F42" t="str">
        <f>INDEX('LIVE SOURCE'!$H$3:$H$225,$M42)</f>
        <v>RB2 with RB1 weeks; should be a regular starter.</v>
      </c>
      <c r="G42" t="str">
        <f>INDEX('LIVE SOURCE'!$I$3:$I$225,$M42)</f>
        <v>He produced 14.9 PPR/FP points per game across 17 games. The workload/efficiency profile gives the model a rate-based reason to keep him here. Market price is favorable around ADP 73 versus model overall rank 39.</v>
      </c>
      <c r="H42" t="str">
        <f>INDEX('LIVE SOURCE'!$J$3:$J$225,$M42)</f>
        <v>Touchdown variance, receiving-role changes and backfield competition are the main downside paths.</v>
      </c>
      <c r="I42">
        <f>INDEX('Draft Engine'!$R$3:$R$225,$M42)</f>
        <v>73.400000000000006</v>
      </c>
      <c r="J42">
        <f>INDEX('Draft Engine'!$S$3:$S$225,$M42)</f>
        <v>33.400000000000006</v>
      </c>
      <c r="K42" t="str">
        <f>INDEX('Draft Engine'!$T$3:$T$225,$M42)</f>
        <v>A</v>
      </c>
      <c r="L42" t="str">
        <f>INDEX('Draft Engine'!$X$3:$X$225,$M42)</f>
        <v>RATE-ADJUSTED VETERAN</v>
      </c>
      <c r="M42" s="6">
        <f>MATCH($A42,'Draft Engine'!$Q$3:$Q$225,0)</f>
        <v>50</v>
      </c>
    </row>
    <row r="43" spans="1:13" x14ac:dyDescent="0.25">
      <c r="A43">
        <f>41</f>
        <v>41</v>
      </c>
      <c r="B43" t="str">
        <f>INDEX('Draft Engine'!$A$3:$A$225,$M43)</f>
        <v>TE</v>
      </c>
      <c r="C43">
        <f>INDEX('Draft Engine'!$F$3:$F$225,$M43)</f>
        <v>4</v>
      </c>
      <c r="D43" t="str">
        <f>INDEX('Draft Engine'!$B$3:$B$225,$M43)</f>
        <v>Tyler Warren</v>
      </c>
      <c r="E43" s="4">
        <f>INDEX('Draft Engine'!$E$3:$E$225,$M43)</f>
        <v>87.202399999999997</v>
      </c>
      <c r="F43" t="str">
        <f>INDEX('LIVE SOURCE'!$H$3:$H$225,$M43)</f>
        <v>Every-week TE1 with real top-5 upside.</v>
      </c>
      <c r="G43" t="str">
        <f>INDEX('LIVE SOURCE'!$I$3:$I$225,$M43)</f>
        <v>He produced 11.1 PPR/FP points per game across 17 games. The workload/efficiency profile gives the model a rate-based reason to keep him here.</v>
      </c>
      <c r="H43" t="str">
        <f>INDEX('LIVE SOURCE'!$J$3:$J$225,$M43)</f>
        <v>Route share, target volume and touchdown volatility are the main swing factors.</v>
      </c>
      <c r="I43">
        <f>INDEX('Draft Engine'!$R$3:$R$225,$M43)</f>
        <v>44</v>
      </c>
      <c r="J43">
        <f>INDEX('Draft Engine'!$S$3:$S$225,$M43)</f>
        <v>3</v>
      </c>
      <c r="K43" t="str">
        <f>INDEX('Draft Engine'!$T$3:$T$225,$M43)</f>
        <v>A</v>
      </c>
      <c r="L43" t="str">
        <f>INDEX('Draft Engine'!$X$3:$X$225,$M43)</f>
        <v>RATE-ADJUSTED VETERAN</v>
      </c>
      <c r="M43" s="6">
        <f>MATCH($A43,'Draft Engine'!$Q$3:$Q$225,0)</f>
        <v>156</v>
      </c>
    </row>
    <row r="44" spans="1:13" x14ac:dyDescent="0.25">
      <c r="A44">
        <f>42</f>
        <v>42</v>
      </c>
      <c r="B44" t="str">
        <f>INDEX('Draft Engine'!$A$3:$A$225,$M44)</f>
        <v>QB</v>
      </c>
      <c r="C44">
        <f>INDEX('Draft Engine'!$F$3:$F$225,$M44)</f>
        <v>4</v>
      </c>
      <c r="D44" t="str">
        <f>INDEX('Draft Engine'!$B$3:$B$225,$M44)</f>
        <v>Justin Herbert</v>
      </c>
      <c r="E44" s="4">
        <f>INDEX('Draft Engine'!$E$3:$E$225,$M44)</f>
        <v>90.116900000000001</v>
      </c>
      <c r="F44" t="str">
        <f>INDEX('LIVE SOURCE'!$H$3:$H$225,$M44)</f>
        <v>Strong every-week QB1; frequent top-8 finishes expected.</v>
      </c>
      <c r="G44" t="str">
        <f>INDEX('LIVE SOURCE'!$I$3:$I$225,$M44)</f>
        <v>He produced 18.7 PPR/FP points per game across 16 games. The workload/efficiency profile gives the model a rate-based reason to keep him here.</v>
      </c>
      <c r="H44" t="str">
        <f>INDEX('LIVE SOURCE'!$J$3:$J$225,$M44)</f>
        <v>Passing-TD efficiency, rushing volume and supporting-cast health are the main swing factors.</v>
      </c>
      <c r="I44">
        <f>INDEX('Draft Engine'!$R$3:$R$225,$M44)</f>
        <v>46</v>
      </c>
      <c r="J44">
        <f>INDEX('Draft Engine'!$S$3:$S$225,$M44)</f>
        <v>4</v>
      </c>
      <c r="K44" t="str">
        <f>INDEX('Draft Engine'!$T$3:$T$225,$M44)</f>
        <v>A</v>
      </c>
      <c r="L44" t="str">
        <f>INDEX('Draft Engine'!$X$3:$X$225,$M44)</f>
        <v>RATE-ADJUSTED VETERAN</v>
      </c>
      <c r="M44" s="6">
        <f>MATCH($A44,'Draft Engine'!$Q$3:$Q$225,0)</f>
        <v>4</v>
      </c>
    </row>
    <row r="45" spans="1:13" x14ac:dyDescent="0.25">
      <c r="A45">
        <f>43</f>
        <v>43</v>
      </c>
      <c r="B45" t="str">
        <f>INDEX('Draft Engine'!$A$3:$A$225,$M45)</f>
        <v>WR</v>
      </c>
      <c r="C45">
        <f>INDEX('Draft Engine'!$F$3:$F$225,$M45)</f>
        <v>17</v>
      </c>
      <c r="D45" t="str">
        <f>INDEX('Draft Engine'!$B$3:$B$225,$M45)</f>
        <v>Ladd McConkey</v>
      </c>
      <c r="E45" s="4">
        <f>INDEX('Draft Engine'!$E$3:$E$225,$M45)</f>
        <v>82.732500000000002</v>
      </c>
      <c r="F45" t="str">
        <f>INDEX('LIVE SOURCE'!$H$3:$H$225,$M45)</f>
        <v>Strong WR2 with top-12 weekly upside.</v>
      </c>
      <c r="G45" t="str">
        <f>INDEX('LIVE SOURCE'!$I$3:$I$225,$M45)</f>
        <v>The 2026 opportunity and projection carry most of the grade because detailed 2025 rate data is incomplete. Market price is favorable around ADP 85 versus model overall rank 51.</v>
      </c>
      <c r="H45" t="str">
        <f>INDEX('LIVE SOURCE'!$J$3:$J$225,$M45)</f>
        <v>Target competition, quarterback efficiency and touchdown regression are the main downside paths.</v>
      </c>
      <c r="I45">
        <f>INDEX('Draft Engine'!$R$3:$R$225,$M45)</f>
        <v>84.899999999999991</v>
      </c>
      <c r="J45">
        <f>INDEX('Draft Engine'!$S$3:$S$225,$M45)</f>
        <v>41.899999999999991</v>
      </c>
      <c r="K45" t="str">
        <f>INDEX('Draft Engine'!$T$3:$T$225,$M45)</f>
        <v>B</v>
      </c>
      <c r="L45" t="str">
        <f>INDEX('Draft Engine'!$X$3:$X$225,$M45)</f>
        <v>HISTORY FALLBACK</v>
      </c>
      <c r="M45" s="6">
        <f>MATCH($A45,'Draft Engine'!$Q$3:$Q$225,0)</f>
        <v>104</v>
      </c>
    </row>
    <row r="46" spans="1:13" x14ac:dyDescent="0.25">
      <c r="A46">
        <f>44</f>
        <v>44</v>
      </c>
      <c r="B46" t="str">
        <f>INDEX('Draft Engine'!$A$3:$A$225,$M46)</f>
        <v>WR</v>
      </c>
      <c r="C46">
        <f>INDEX('Draft Engine'!$F$3:$F$225,$M46)</f>
        <v>18</v>
      </c>
      <c r="D46" t="str">
        <f>INDEX('Draft Engine'!$B$3:$B$225,$M46)</f>
        <v>Jaylen Waddle</v>
      </c>
      <c r="E46" s="4">
        <f>INDEX('Draft Engine'!$E$3:$E$225,$M46)</f>
        <v>82.317499999999995</v>
      </c>
      <c r="F46" t="str">
        <f>INDEX('LIVE SOURCE'!$H$3:$H$225,$M46)</f>
        <v>Strong WR2 with top-12 weekly upside.</v>
      </c>
      <c r="G46" t="str">
        <f>INDEX('LIVE SOURCE'!$I$3:$I$225,$M46)</f>
        <v>He produced 12.1 PPR/FP points per game across 16 games. The workload/efficiency profile gives the model a rate-based reason to keep him here. Market price is favorable around ADP 77 versus model overall rank 52.</v>
      </c>
      <c r="H46" t="str">
        <f>INDEX('LIVE SOURCE'!$J$3:$J$225,$M46)</f>
        <v>Target competition, quarterback efficiency and touchdown regression are the main downside paths.</v>
      </c>
      <c r="I46">
        <f>INDEX('Draft Engine'!$R$3:$R$225,$M46)</f>
        <v>77.099999999999994</v>
      </c>
      <c r="J46">
        <f>INDEX('Draft Engine'!$S$3:$S$225,$M46)</f>
        <v>33.099999999999994</v>
      </c>
      <c r="K46" t="str">
        <f>INDEX('Draft Engine'!$T$3:$T$225,$M46)</f>
        <v>C</v>
      </c>
      <c r="L46" t="str">
        <f>INDEX('Draft Engine'!$X$3:$X$225,$M46)</f>
        <v>HISTORY FALLBACK</v>
      </c>
      <c r="M46" s="6">
        <f>MATCH($A46,'Draft Engine'!$Q$3:$Q$225,0)</f>
        <v>102</v>
      </c>
    </row>
    <row r="47" spans="1:13" x14ac:dyDescent="0.25">
      <c r="A47">
        <f>45</f>
        <v>45</v>
      </c>
      <c r="B47" t="str">
        <f>INDEX('Draft Engine'!$A$3:$A$225,$M47)</f>
        <v>TE</v>
      </c>
      <c r="C47">
        <f>INDEX('Draft Engine'!$F$3:$F$225,$M47)</f>
        <v>5</v>
      </c>
      <c r="D47" t="str">
        <f>INDEX('Draft Engine'!$B$3:$B$225,$M47)</f>
        <v>George Kittle</v>
      </c>
      <c r="E47" s="4">
        <f>INDEX('Draft Engine'!$E$3:$E$225,$M47)</f>
        <v>86.266400000000004</v>
      </c>
      <c r="F47" t="str">
        <f>INDEX('LIVE SOURCE'!$H$3:$H$225,$M47)</f>
        <v>Every-week TE1 with real top-5 upside.</v>
      </c>
      <c r="G47" t="str">
        <f>INDEX('LIVE SOURCE'!$I$3:$I$225,$M47)</f>
        <v>He produced 14.7 PPR/FP points per game across 11 games. The workload/efficiency profile gives the model a rate-based reason to keep him here. Market price is favorable around ADP 53 versus model overall rank 43.</v>
      </c>
      <c r="H47" t="str">
        <f>INDEX('LIVE SOURCE'!$J$3:$J$225,$M47)</f>
        <v>Route share, target volume and touchdown volatility are the main swing factors.</v>
      </c>
      <c r="I47">
        <f>INDEX('Draft Engine'!$R$3:$R$225,$M47)</f>
        <v>53</v>
      </c>
      <c r="J47">
        <f>INDEX('Draft Engine'!$S$3:$S$225,$M47)</f>
        <v>8</v>
      </c>
      <c r="K47" t="str">
        <f>INDEX('Draft Engine'!$T$3:$T$225,$M47)</f>
        <v>B</v>
      </c>
      <c r="L47" t="str">
        <f>INDEX('Draft Engine'!$X$3:$X$225,$M47)</f>
        <v>RATE-ADJUSTED VETERAN</v>
      </c>
      <c r="M47" s="6">
        <f>MATCH($A47,'Draft Engine'!$Q$3:$Q$225,0)</f>
        <v>157</v>
      </c>
    </row>
    <row r="48" spans="1:13" x14ac:dyDescent="0.25">
      <c r="A48">
        <f>46</f>
        <v>46</v>
      </c>
      <c r="B48" t="str">
        <f>INDEX('Draft Engine'!$A$3:$A$225,$M48)</f>
        <v>RB</v>
      </c>
      <c r="C48">
        <f>INDEX('Draft Engine'!$F$3:$F$225,$M48)</f>
        <v>19</v>
      </c>
      <c r="D48" t="str">
        <f>INDEX('Draft Engine'!$B$3:$B$225,$M48)</f>
        <v>Cam Skattebo</v>
      </c>
      <c r="E48" s="4">
        <f>INDEX('Draft Engine'!$E$3:$E$225,$M48)</f>
        <v>81.888400000000004</v>
      </c>
      <c r="F48" t="str">
        <f>INDEX('LIVE SOURCE'!$H$3:$H$225,$M48)</f>
        <v>RB2 with RB1 weeks; should be a regular starter.</v>
      </c>
      <c r="G48" t="str">
        <f>INDEX('LIVE SOURCE'!$I$3:$I$225,$M48)</f>
        <v>He produced 16.0 PPR/FP points per game across 8 games. The workload/efficiency profile gives the model a rate-based reason to keep him here. Market price is favorable around ADP 78 versus model overall rank 42.</v>
      </c>
      <c r="H48" t="str">
        <f>INDEX('LIVE SOURCE'!$J$3:$J$225,$M48)</f>
        <v>Availability/sample risk is elevated after only 8 games; talent is not being punished as heavily as durability.</v>
      </c>
      <c r="I48">
        <f>INDEX('Draft Engine'!$R$3:$R$225,$M48)</f>
        <v>77.600000000000009</v>
      </c>
      <c r="J48">
        <f>INDEX('Draft Engine'!$S$3:$S$225,$M48)</f>
        <v>31.600000000000009</v>
      </c>
      <c r="K48" t="str">
        <f>INDEX('Draft Engine'!$T$3:$T$225,$M48)</f>
        <v>B</v>
      </c>
      <c r="L48" t="str">
        <f>INDEX('Draft Engine'!$X$3:$X$225,$M48)</f>
        <v>RATE-ADJUSTED VETERAN</v>
      </c>
      <c r="M48" s="6">
        <f>MATCH($A48,'Draft Engine'!$Q$3:$Q$225,0)</f>
        <v>51</v>
      </c>
    </row>
    <row r="49" spans="1:13" x14ac:dyDescent="0.25">
      <c r="A49">
        <f>47</f>
        <v>47</v>
      </c>
      <c r="B49" t="str">
        <f>INDEX('Draft Engine'!$A$3:$A$225,$M49)</f>
        <v>WR</v>
      </c>
      <c r="C49">
        <f>INDEX('Draft Engine'!$F$3:$F$225,$M49)</f>
        <v>19</v>
      </c>
      <c r="D49" t="str">
        <f>INDEX('Draft Engine'!$B$3:$B$225,$M49)</f>
        <v>George Pickens</v>
      </c>
      <c r="E49" s="4">
        <f>INDEX('Draft Engine'!$E$3:$E$225,$M49)</f>
        <v>81.836600000000004</v>
      </c>
      <c r="F49" t="str">
        <f>INDEX('LIVE SOURCE'!$H$3:$H$225,$M49)</f>
        <v>Strong WR2 with top-12 weekly upside.</v>
      </c>
      <c r="G49" t="str">
        <f>INDEX('LIVE SOURCE'!$I$3:$I$225,$M49)</f>
        <v>He produced 17.2 PPR/FP points per game across 17 games. The workload/efficiency profile gives the model a rate-based reason to keep him here. The market is more aggressive at ADP 16 versus model overall rank 45, so price matters.</v>
      </c>
      <c r="H49" t="str">
        <f>INDEX('LIVE SOURCE'!$J$3:$J$225,$M49)</f>
        <v>Price is the biggest risk: the market currently asks you to draft him earlier than the model prefers.</v>
      </c>
      <c r="I49">
        <f>INDEX('Draft Engine'!$R$3:$R$225,$M49)</f>
        <v>16</v>
      </c>
      <c r="J49">
        <f>INDEX('Draft Engine'!$S$3:$S$225,$M49)</f>
        <v>-31</v>
      </c>
      <c r="K49" t="str">
        <f>INDEX('Draft Engine'!$T$3:$T$225,$M49)</f>
        <v>A</v>
      </c>
      <c r="L49" t="str">
        <f>INDEX('Draft Engine'!$X$3:$X$225,$M49)</f>
        <v>HISTORY FALLBACK</v>
      </c>
      <c r="M49" s="6">
        <f>MATCH($A49,'Draft Engine'!$Q$3:$Q$225,0)</f>
        <v>90</v>
      </c>
    </row>
    <row r="50" spans="1:13" x14ac:dyDescent="0.25">
      <c r="A50">
        <f>48</f>
        <v>48</v>
      </c>
      <c r="B50" t="str">
        <f>INDEX('Draft Engine'!$A$3:$A$225,$M50)</f>
        <v>WR</v>
      </c>
      <c r="C50">
        <f>INDEX('Draft Engine'!$F$3:$F$225,$M50)</f>
        <v>20</v>
      </c>
      <c r="D50" t="str">
        <f>INDEX('Draft Engine'!$B$3:$B$225,$M50)</f>
        <v>Emeka Egbuka</v>
      </c>
      <c r="E50" s="4">
        <f>INDEX('Draft Engine'!$E$3:$E$225,$M50)</f>
        <v>81.734999999999999</v>
      </c>
      <c r="F50" t="str">
        <f>INDEX('LIVE SOURCE'!$H$3:$H$225,$M50)</f>
        <v>Strong WR2 with top-12 weekly upside.</v>
      </c>
      <c r="G50" t="str">
        <f>INDEX('LIVE SOURCE'!$I$3:$I$225,$M50)</f>
        <v>He produced 11.5 PPR/FP points per game across 17 games. The workload/efficiency profile gives the model a rate-based reason to keep him here. Market price is favorable around ADP 73 versus model overall rank 55.</v>
      </c>
      <c r="H50" t="str">
        <f>INDEX('LIVE SOURCE'!$J$3:$J$225,$M50)</f>
        <v>Target competition, quarterback efficiency and touchdown regression are the main downside paths.</v>
      </c>
      <c r="I50">
        <f>INDEX('Draft Engine'!$R$3:$R$225,$M50)</f>
        <v>73.2</v>
      </c>
      <c r="J50">
        <f>INDEX('Draft Engine'!$S$3:$S$225,$M50)</f>
        <v>25.200000000000003</v>
      </c>
      <c r="K50" t="str">
        <f>INDEX('Draft Engine'!$T$3:$T$225,$M50)</f>
        <v>C</v>
      </c>
      <c r="L50" t="str">
        <f>INDEX('Draft Engine'!$X$3:$X$225,$M50)</f>
        <v>HISTORY FALLBACK</v>
      </c>
      <c r="M50" s="6">
        <f>MATCH($A50,'Draft Engine'!$Q$3:$Q$225,0)</f>
        <v>101</v>
      </c>
    </row>
    <row r="51" spans="1:13" x14ac:dyDescent="0.25">
      <c r="A51">
        <f>49</f>
        <v>49</v>
      </c>
      <c r="B51" t="str">
        <f>INDEX('Draft Engine'!$A$3:$A$225,$M51)</f>
        <v>QB</v>
      </c>
      <c r="C51">
        <f>INDEX('Draft Engine'!$F$3:$F$225,$M51)</f>
        <v>5</v>
      </c>
      <c r="D51" t="str">
        <f>INDEX('Draft Engine'!$B$3:$B$225,$M51)</f>
        <v>Lamar Jackson</v>
      </c>
      <c r="E51" s="4">
        <f>INDEX('Draft Engine'!$E$3:$E$225,$M51)</f>
        <v>88.711200000000005</v>
      </c>
      <c r="F51" t="str">
        <f>INDEX('LIVE SOURCE'!$H$3:$H$225,$M51)</f>
        <v>Strong every-week QB1; frequent top-8 finishes expected.</v>
      </c>
      <c r="G51" t="str">
        <f>INDEX('LIVE SOURCE'!$I$3:$I$225,$M51)</f>
        <v>He produced 17.1 PPR/FP points per game across 13 games. The workload/efficiency profile gives the model a rate-based reason to keep him here.</v>
      </c>
      <c r="H51" t="str">
        <f>INDEX('LIVE SOURCE'!$J$3:$J$225,$M51)</f>
        <v>Passing-TD efficiency, rushing volume and supporting-cast health are the main swing factors.</v>
      </c>
      <c r="I51">
        <f>INDEX('Draft Engine'!$R$3:$R$225,$M51)</f>
        <v>54</v>
      </c>
      <c r="J51">
        <f>INDEX('Draft Engine'!$S$3:$S$225,$M51)</f>
        <v>5</v>
      </c>
      <c r="K51" t="str">
        <f>INDEX('Draft Engine'!$T$3:$T$225,$M51)</f>
        <v>A</v>
      </c>
      <c r="L51" t="str">
        <f>INDEX('Draft Engine'!$X$3:$X$225,$M51)</f>
        <v>RATE-ADJUSTED VETERAN</v>
      </c>
      <c r="M51" s="6">
        <f>MATCH($A51,'Draft Engine'!$Q$3:$Q$225,0)</f>
        <v>5</v>
      </c>
    </row>
    <row r="52" spans="1:13" x14ac:dyDescent="0.25">
      <c r="A52">
        <f>50</f>
        <v>50</v>
      </c>
      <c r="B52" t="str">
        <f>INDEX('Draft Engine'!$A$3:$A$225,$M52)</f>
        <v>TE</v>
      </c>
      <c r="C52">
        <f>INDEX('Draft Engine'!$F$3:$F$225,$M52)</f>
        <v>6</v>
      </c>
      <c r="D52" t="str">
        <f>INDEX('Draft Engine'!$B$3:$B$225,$M52)</f>
        <v>Kyle Pitts Sr.</v>
      </c>
      <c r="E52" s="4">
        <f>INDEX('Draft Engine'!$E$3:$E$225,$M52)</f>
        <v>85.304500000000004</v>
      </c>
      <c r="F52" t="str">
        <f>INDEX('LIVE SOURCE'!$H$3:$H$225,$M52)</f>
        <v>Every-week TE1 with real top-5 upside.</v>
      </c>
      <c r="G52" t="str">
        <f>INDEX('LIVE SOURCE'!$I$3:$I$225,$M52)</f>
        <v>He produced 12.4 PPR/FP points per game across 17 games. The workload/efficiency profile gives the model a rate-based reason to keep him here. Market price is favorable around ADP 62 versus model overall rank 46.</v>
      </c>
      <c r="H52" t="str">
        <f>INDEX('LIVE SOURCE'!$J$3:$J$225,$M52)</f>
        <v>Route share, target volume and touchdown volatility are the main swing factors.</v>
      </c>
      <c r="I52">
        <f>INDEX('Draft Engine'!$R$3:$R$225,$M52)</f>
        <v>62</v>
      </c>
      <c r="J52">
        <f>INDEX('Draft Engine'!$S$3:$S$225,$M52)</f>
        <v>12</v>
      </c>
      <c r="K52" t="str">
        <f>INDEX('Draft Engine'!$T$3:$T$225,$M52)</f>
        <v>A</v>
      </c>
      <c r="L52" t="str">
        <f>INDEX('Draft Engine'!$X$3:$X$225,$M52)</f>
        <v>RATE-ADJUSTED VETERAN</v>
      </c>
      <c r="M52" s="6">
        <f>MATCH($A52,'Draft Engine'!$Q$3:$Q$225,0)</f>
        <v>158</v>
      </c>
    </row>
    <row r="53" spans="1:13" x14ac:dyDescent="0.25">
      <c r="A53">
        <f>51</f>
        <v>51</v>
      </c>
      <c r="B53" t="str">
        <f>INDEX('Draft Engine'!$A$3:$A$225,$M53)</f>
        <v>WR</v>
      </c>
      <c r="C53">
        <f>INDEX('Draft Engine'!$F$3:$F$225,$M53)</f>
        <v>21</v>
      </c>
      <c r="D53" t="str">
        <f>INDEX('Draft Engine'!$B$3:$B$225,$M53)</f>
        <v>Malik Nabers</v>
      </c>
      <c r="E53" s="4">
        <f>INDEX('Draft Engine'!$E$3:$E$225,$M53)</f>
        <v>81.152500000000003</v>
      </c>
      <c r="F53" t="str">
        <f>INDEX('LIVE SOURCE'!$H$3:$H$225,$M53)</f>
        <v>Strong WR2 with top-12 weekly upside.</v>
      </c>
      <c r="G53" t="str">
        <f>INDEX('LIVE SOURCE'!$I$3:$I$225,$M53)</f>
        <v>The 2026 opportunity and projection carry most of the grade because detailed 2025 rate data is incomplete. Market price is favorable around ADP 69 versus model overall rank 57.</v>
      </c>
      <c r="H53" t="str">
        <f>INDEX('LIVE SOURCE'!$J$3:$J$225,$M53)</f>
        <v>Evidence is thinner than for established veterans, so camp, depth-chart and role news can move the grade materially.</v>
      </c>
      <c r="I53">
        <f>INDEX('Draft Engine'!$R$3:$R$225,$M53)</f>
        <v>69.3</v>
      </c>
      <c r="J53">
        <f>INDEX('Draft Engine'!$S$3:$S$225,$M53)</f>
        <v>18.299999999999997</v>
      </c>
      <c r="K53" t="str">
        <f>INDEX('Draft Engine'!$T$3:$T$225,$M53)</f>
        <v>C</v>
      </c>
      <c r="L53" t="str">
        <f>INDEX('Draft Engine'!$X$3:$X$225,$M53)</f>
        <v>HISTORY FALLBACK</v>
      </c>
      <c r="M53" s="6">
        <f>MATCH($A53,'Draft Engine'!$Q$3:$Q$225,0)</f>
        <v>100</v>
      </c>
    </row>
    <row r="54" spans="1:13" x14ac:dyDescent="0.25">
      <c r="A54">
        <f>52</f>
        <v>52</v>
      </c>
      <c r="B54" t="str">
        <f>INDEX('Draft Engine'!$A$3:$A$225,$M54)</f>
        <v>QB</v>
      </c>
      <c r="C54">
        <f>INDEX('Draft Engine'!$F$3:$F$225,$M54)</f>
        <v>6</v>
      </c>
      <c r="D54" t="str">
        <f>INDEX('Draft Engine'!$B$3:$B$225,$M54)</f>
        <v>Jalen Hurts</v>
      </c>
      <c r="E54" s="4">
        <f>INDEX('Draft Engine'!$E$3:$E$225,$M54)</f>
        <v>88.4499</v>
      </c>
      <c r="F54" t="str">
        <f>INDEX('LIVE SOURCE'!$H$3:$H$225,$M54)</f>
        <v>Strong every-week QB1; frequent top-8 finishes expected.</v>
      </c>
      <c r="G54" t="str">
        <f>INDEX('LIVE SOURCE'!$I$3:$I$225,$M54)</f>
        <v>He produced 19.1 PPR/FP points per game across 16 games. The workload/efficiency profile gives the model a rate-based reason to keep him here.</v>
      </c>
      <c r="H54" t="str">
        <f>INDEX('LIVE SOURCE'!$J$3:$J$225,$M54)</f>
        <v>Passing-TD efficiency, rushing volume and supporting-cast health are the main swing factors.</v>
      </c>
      <c r="I54">
        <f>INDEX('Draft Engine'!$R$3:$R$225,$M54)</f>
        <v>62</v>
      </c>
      <c r="J54">
        <f>INDEX('Draft Engine'!$S$3:$S$225,$M54)</f>
        <v>10</v>
      </c>
      <c r="K54" t="str">
        <f>INDEX('Draft Engine'!$T$3:$T$225,$M54)</f>
        <v>A</v>
      </c>
      <c r="L54" t="str">
        <f>INDEX('Draft Engine'!$X$3:$X$225,$M54)</f>
        <v>RATE-ADJUSTED VETERAN</v>
      </c>
      <c r="M54" s="6">
        <f>MATCH($A54,'Draft Engine'!$Q$3:$Q$225,0)</f>
        <v>6</v>
      </c>
    </row>
    <row r="55" spans="1:13" x14ac:dyDescent="0.25">
      <c r="A55">
        <f>53</f>
        <v>53</v>
      </c>
      <c r="B55" t="str">
        <f>INDEX('Draft Engine'!$A$3:$A$225,$M55)</f>
        <v>RB</v>
      </c>
      <c r="C55">
        <f>INDEX('Draft Engine'!$F$3:$F$225,$M55)</f>
        <v>20</v>
      </c>
      <c r="D55" t="str">
        <f>INDEX('Draft Engine'!$B$3:$B$225,$M55)</f>
        <v>D'Andre Swift</v>
      </c>
      <c r="E55" s="4">
        <f>INDEX('Draft Engine'!$E$3:$E$225,$M55)</f>
        <v>79.985600000000005</v>
      </c>
      <c r="F55" t="str">
        <f>INDEX('LIVE SOURCE'!$H$3:$H$225,$M55)</f>
        <v>RB2 with RB1 weeks; should be a regular starter.</v>
      </c>
      <c r="G55" t="str">
        <f>INDEX('LIVE SOURCE'!$I$3:$I$225,$M55)</f>
        <v>He produced 14.3 PPR/FP points per game across 16 games. The workload/efficiency profile gives the model a rate-based reason to keep him here. Market price is favorable around ADP 82 versus model overall rank 47.</v>
      </c>
      <c r="H55" t="str">
        <f>INDEX('LIVE SOURCE'!$J$3:$J$225,$M55)</f>
        <v>Touchdown variance, receiving-role changes and backfield competition are the main downside paths.</v>
      </c>
      <c r="I55">
        <f>INDEX('Draft Engine'!$R$3:$R$225,$M55)</f>
        <v>81.8</v>
      </c>
      <c r="J55">
        <f>INDEX('Draft Engine'!$S$3:$S$225,$M55)</f>
        <v>28.799999999999997</v>
      </c>
      <c r="K55" t="str">
        <f>INDEX('Draft Engine'!$T$3:$T$225,$M55)</f>
        <v>A</v>
      </c>
      <c r="L55" t="str">
        <f>INDEX('Draft Engine'!$X$3:$X$225,$M55)</f>
        <v>RATE-ADJUSTED VETERAN</v>
      </c>
      <c r="M55" s="6">
        <f>MATCH($A55,'Draft Engine'!$Q$3:$Q$225,0)</f>
        <v>52</v>
      </c>
    </row>
    <row r="56" spans="1:13" x14ac:dyDescent="0.25">
      <c r="A56">
        <f>54</f>
        <v>54</v>
      </c>
      <c r="B56" t="str">
        <f>INDEX('Draft Engine'!$A$3:$A$225,$M56)</f>
        <v>RB</v>
      </c>
      <c r="C56">
        <f>INDEX('Draft Engine'!$F$3:$F$225,$M56)</f>
        <v>21</v>
      </c>
      <c r="D56" t="str">
        <f>INDEX('Draft Engine'!$B$3:$B$225,$M56)</f>
        <v>Bucky Irving</v>
      </c>
      <c r="E56" s="4">
        <f>INDEX('Draft Engine'!$E$3:$E$225,$M56)</f>
        <v>79.935500000000005</v>
      </c>
      <c r="F56" t="str">
        <f>INDEX('LIVE SOURCE'!$H$3:$H$225,$M56)</f>
        <v>RB2/FLEX; useful weekly but role and receiving volume matter.</v>
      </c>
      <c r="G56" t="str">
        <f>INDEX('LIVE SOURCE'!$I$3:$I$225,$M56)</f>
        <v>He produced 13.8 PPR/FP points per game across 10 games. The workload/efficiency profile gives the model a rate-based reason to keep him here. Market price is favorable around ADP 86 versus model overall rank 48.</v>
      </c>
      <c r="H56" t="str">
        <f>INDEX('LIVE SOURCE'!$J$3:$J$225,$M56)</f>
        <v>Touchdown variance, receiving-role changes and backfield competition are the main downside paths.</v>
      </c>
      <c r="I56">
        <f>INDEX('Draft Engine'!$R$3:$R$225,$M56)</f>
        <v>86</v>
      </c>
      <c r="J56">
        <f>INDEX('Draft Engine'!$S$3:$S$225,$M56)</f>
        <v>32</v>
      </c>
      <c r="K56" t="str">
        <f>INDEX('Draft Engine'!$T$3:$T$225,$M56)</f>
        <v>B</v>
      </c>
      <c r="L56" t="str">
        <f>INDEX('Draft Engine'!$X$3:$X$225,$M56)</f>
        <v>RATE-ADJUSTED VETERAN</v>
      </c>
      <c r="M56" s="6">
        <f>MATCH($A56,'Draft Engine'!$Q$3:$Q$225,0)</f>
        <v>53</v>
      </c>
    </row>
    <row r="57" spans="1:13" x14ac:dyDescent="0.25">
      <c r="A57">
        <f>55</f>
        <v>55</v>
      </c>
      <c r="B57" t="str">
        <f>INDEX('Draft Engine'!$A$3:$A$225,$M57)</f>
        <v>TE</v>
      </c>
      <c r="C57">
        <f>INDEX('Draft Engine'!$F$3:$F$225,$M57)</f>
        <v>7</v>
      </c>
      <c r="D57" t="str">
        <f>INDEX('Draft Engine'!$B$3:$B$225,$M57)</f>
        <v>Harold Fannin Jr.</v>
      </c>
      <c r="E57" s="4">
        <f>INDEX('Draft Engine'!$E$3:$E$225,$M57)</f>
        <v>84.377700000000004</v>
      </c>
      <c r="F57" t="str">
        <f>INDEX('LIVE SOURCE'!$H$3:$H$225,$M57)</f>
        <v>Every-week TE1 with real top-5 upside.</v>
      </c>
      <c r="G57" t="str">
        <f>INDEX('LIVE SOURCE'!$I$3:$I$225,$M57)</f>
        <v>He produced 11.7 PPR/FP points per game across 16 games. The workload/efficiency profile gives the model a rate-based reason to keep him here. Market price is favorable around ADP 71 versus model overall rank 53.</v>
      </c>
      <c r="H57" t="str">
        <f>INDEX('LIVE SOURCE'!$J$3:$J$225,$M57)</f>
        <v>Route share, target volume and touchdown volatility are the main swing factors.</v>
      </c>
      <c r="I57">
        <f>INDEX('Draft Engine'!$R$3:$R$225,$M57)</f>
        <v>71</v>
      </c>
      <c r="J57">
        <f>INDEX('Draft Engine'!$S$3:$S$225,$M57)</f>
        <v>16</v>
      </c>
      <c r="K57" t="str">
        <f>INDEX('Draft Engine'!$T$3:$T$225,$M57)</f>
        <v>A</v>
      </c>
      <c r="L57" t="str">
        <f>INDEX('Draft Engine'!$X$3:$X$225,$M57)</f>
        <v>RATE-ADJUSTED VETERAN</v>
      </c>
      <c r="M57" s="6">
        <f>MATCH($A57,'Draft Engine'!$Q$3:$Q$225,0)</f>
        <v>159</v>
      </c>
    </row>
    <row r="58" spans="1:13" x14ac:dyDescent="0.25">
      <c r="A58">
        <f>56</f>
        <v>56</v>
      </c>
      <c r="B58" t="str">
        <f>INDEX('Draft Engine'!$A$3:$A$225,$M58)</f>
        <v>RB</v>
      </c>
      <c r="C58">
        <f>INDEX('Draft Engine'!$F$3:$F$225,$M58)</f>
        <v>22</v>
      </c>
      <c r="D58" t="str">
        <f>INDEX('Draft Engine'!$B$3:$B$225,$M58)</f>
        <v>Quinshon Judkins</v>
      </c>
      <c r="E58" s="4">
        <f>INDEX('Draft Engine'!$E$3:$E$225,$M58)</f>
        <v>79.930300000000003</v>
      </c>
      <c r="F58" t="str">
        <f>INDEX('LIVE SOURCE'!$H$3:$H$225,$M58)</f>
        <v>RB2/FLEX; useful weekly but role and receiving volume matter.</v>
      </c>
      <c r="G58" t="str">
        <f>INDEX('LIVE SOURCE'!$I$3:$I$225,$M58)</f>
        <v>He produced 12.2 PPR/FP points per game across 14 games. The workload/efficiency profile gives the model a rate-based reason to keep him here. Market price is favorable around ADP 90 versus model overall rank 49.</v>
      </c>
      <c r="H58" t="str">
        <f>INDEX('LIVE SOURCE'!$J$3:$J$225,$M58)</f>
        <v>Touchdown variance, receiving-role changes and backfield competition are the main downside paths.</v>
      </c>
      <c r="I58">
        <f>INDEX('Draft Engine'!$R$3:$R$225,$M58)</f>
        <v>90.2</v>
      </c>
      <c r="J58">
        <f>INDEX('Draft Engine'!$S$3:$S$225,$M58)</f>
        <v>34.200000000000003</v>
      </c>
      <c r="K58" t="str">
        <f>INDEX('Draft Engine'!$T$3:$T$225,$M58)</f>
        <v>A</v>
      </c>
      <c r="L58" t="str">
        <f>INDEX('Draft Engine'!$X$3:$X$225,$M58)</f>
        <v>RATE-ADJUSTED VETERAN</v>
      </c>
      <c r="M58" s="6">
        <f>MATCH($A58,'Draft Engine'!$Q$3:$Q$225,0)</f>
        <v>54</v>
      </c>
    </row>
    <row r="59" spans="1:13" x14ac:dyDescent="0.25">
      <c r="A59">
        <f>57</f>
        <v>57</v>
      </c>
      <c r="B59" t="str">
        <f>INDEX('Draft Engine'!$A$3:$A$225,$M59)</f>
        <v>WR</v>
      </c>
      <c r="C59">
        <f>INDEX('Draft Engine'!$F$3:$F$225,$M59)</f>
        <v>22</v>
      </c>
      <c r="D59" t="str">
        <f>INDEX('Draft Engine'!$B$3:$B$225,$M59)</f>
        <v>Terry McLaurin</v>
      </c>
      <c r="E59" s="4">
        <f>INDEX('Draft Engine'!$E$3:$E$225,$M59)</f>
        <v>79.900000000000006</v>
      </c>
      <c r="F59" t="str">
        <f>INDEX('LIVE SOURCE'!$H$3:$H$225,$M59)</f>
        <v>Strong WR2 with top-12 weekly upside.</v>
      </c>
      <c r="G59" t="str">
        <f>INDEX('LIVE SOURCE'!$I$3:$I$225,$M59)</f>
        <v>He produced 11.4 PPR/FP points per game across 10 games. The workload/efficiency profile gives the model a rate-based reason to keep him here. Market price is favorable around ADP 81 versus model overall rank 62.</v>
      </c>
      <c r="H59" t="str">
        <f>INDEX('LIVE SOURCE'!$J$3:$J$225,$M59)</f>
        <v>Target competition, quarterback efficiency and touchdown regression are the main downside paths.</v>
      </c>
      <c r="I59">
        <f>INDEX('Draft Engine'!$R$3:$R$225,$M59)</f>
        <v>81</v>
      </c>
      <c r="J59">
        <f>INDEX('Draft Engine'!$S$3:$S$225,$M59)</f>
        <v>24</v>
      </c>
      <c r="K59" t="str">
        <f>INDEX('Draft Engine'!$T$3:$T$225,$M59)</f>
        <v>C</v>
      </c>
      <c r="L59" t="str">
        <f>INDEX('Draft Engine'!$X$3:$X$225,$M59)</f>
        <v>HISTORY FALLBACK</v>
      </c>
      <c r="M59" s="6">
        <f>MATCH($A59,'Draft Engine'!$Q$3:$Q$225,0)</f>
        <v>103</v>
      </c>
    </row>
    <row r="60" spans="1:13" x14ac:dyDescent="0.25">
      <c r="A60">
        <f>58</f>
        <v>58</v>
      </c>
      <c r="B60" t="str">
        <f>INDEX('Draft Engine'!$A$3:$A$225,$M60)</f>
        <v>TE</v>
      </c>
      <c r="C60">
        <f>INDEX('Draft Engine'!$F$3:$F$225,$M60)</f>
        <v>8</v>
      </c>
      <c r="D60" t="str">
        <f>INDEX('Draft Engine'!$B$3:$B$225,$M60)</f>
        <v>Jake Ferguson</v>
      </c>
      <c r="E60" s="4">
        <f>INDEX('Draft Engine'!$E$3:$E$225,$M60)</f>
        <v>84.072999999999993</v>
      </c>
      <c r="F60" t="str">
        <f>INDEX('LIVE SOURCE'!$H$3:$H$225,$M60)</f>
        <v>Every-week TE1 with real top-5 upside.</v>
      </c>
      <c r="G60" t="str">
        <f>INDEX('LIVE SOURCE'!$I$3:$I$225,$M60)</f>
        <v>He produced 11.0 PPR/FP points per game across 17 games. The workload/efficiency profile gives the model a rate-based reason to keep him here. Market price is favorable around ADP 80 versus model overall rank 56.</v>
      </c>
      <c r="H60" t="str">
        <f>INDEX('LIVE SOURCE'!$J$3:$J$225,$M60)</f>
        <v>Route share, target volume and touchdown volatility are the main swing factors.</v>
      </c>
      <c r="I60">
        <f>INDEX('Draft Engine'!$R$3:$R$225,$M60)</f>
        <v>80</v>
      </c>
      <c r="J60">
        <f>INDEX('Draft Engine'!$S$3:$S$225,$M60)</f>
        <v>22</v>
      </c>
      <c r="K60" t="str">
        <f>INDEX('Draft Engine'!$T$3:$T$225,$M60)</f>
        <v>A</v>
      </c>
      <c r="L60" t="str">
        <f>INDEX('Draft Engine'!$X$3:$X$225,$M60)</f>
        <v>RATE-ADJUSTED VETERAN</v>
      </c>
      <c r="M60" s="6">
        <f>MATCH($A60,'Draft Engine'!$Q$3:$Q$225,0)</f>
        <v>160</v>
      </c>
    </row>
    <row r="61" spans="1:13" x14ac:dyDescent="0.25">
      <c r="A61">
        <f>59</f>
        <v>59</v>
      </c>
      <c r="B61" t="str">
        <f>INDEX('Draft Engine'!$A$3:$A$225,$M61)</f>
        <v>QB</v>
      </c>
      <c r="C61">
        <f>INDEX('Draft Engine'!$F$3:$F$225,$M61)</f>
        <v>7</v>
      </c>
      <c r="D61" t="str">
        <f>INDEX('Draft Engine'!$B$3:$B$225,$M61)</f>
        <v>Patrick Mahomes II</v>
      </c>
      <c r="E61" s="4">
        <f>INDEX('Draft Engine'!$E$3:$E$225,$M61)</f>
        <v>87.006299999999996</v>
      </c>
      <c r="F61" t="str">
        <f>INDEX('LIVE SOURCE'!$H$3:$H$225,$M61)</f>
        <v>Strong every-week QB1; frequent top-8 finishes expected.</v>
      </c>
      <c r="G61" t="str">
        <f>INDEX('LIVE SOURCE'!$I$3:$I$225,$M61)</f>
        <v>He produced 21.1 PPR/FP points per game across 14 games. The workload/efficiency profile gives the model a rate-based reason to keep him here.</v>
      </c>
      <c r="H61" t="str">
        <f>INDEX('LIVE SOURCE'!$J$3:$J$225,$M61)</f>
        <v>Passing-TD efficiency, rushing volume and supporting-cast health are the main swing factors.</v>
      </c>
      <c r="I61">
        <f>INDEX('Draft Engine'!$R$3:$R$225,$M61)</f>
        <v>70</v>
      </c>
      <c r="J61">
        <f>INDEX('Draft Engine'!$S$3:$S$225,$M61)</f>
        <v>11</v>
      </c>
      <c r="K61" t="str">
        <f>INDEX('Draft Engine'!$T$3:$T$225,$M61)</f>
        <v>A</v>
      </c>
      <c r="L61" t="str">
        <f>INDEX('Draft Engine'!$X$3:$X$225,$M61)</f>
        <v>RATE-ADJUSTED VETERAN</v>
      </c>
      <c r="M61" s="6">
        <f>MATCH($A61,'Draft Engine'!$Q$3:$Q$225,0)</f>
        <v>7</v>
      </c>
    </row>
    <row r="62" spans="1:13" x14ac:dyDescent="0.25">
      <c r="A62">
        <f>60</f>
        <v>60</v>
      </c>
      <c r="B62" t="str">
        <f>INDEX('Draft Engine'!$A$3:$A$225,$M62)</f>
        <v>TE</v>
      </c>
      <c r="C62">
        <f>INDEX('Draft Engine'!$F$3:$F$225,$M62)</f>
        <v>9</v>
      </c>
      <c r="D62" t="str">
        <f>INDEX('Draft Engine'!$B$3:$B$225,$M62)</f>
        <v>Tucker Kraft</v>
      </c>
      <c r="E62" s="4">
        <f>INDEX('Draft Engine'!$E$3:$E$225,$M62)</f>
        <v>83.808599999999998</v>
      </c>
      <c r="F62" t="str">
        <f>INDEX('LIVE SOURCE'!$H$3:$H$225,$M62)</f>
        <v>Low-end TE1; startable but replacement options remain close.</v>
      </c>
      <c r="G62" t="str">
        <f>INDEX('LIVE SOURCE'!$I$3:$I$225,$M62)</f>
        <v>He produced 14.6 PPR/FP points per game across 8 games. The workload/efficiency profile gives the model a rate-based reason to keep him here. Market price is favorable around ADP 89 versus model overall rank 58.</v>
      </c>
      <c r="H62" t="str">
        <f>INDEX('LIVE SOURCE'!$J$3:$J$225,$M62)</f>
        <v>Availability/sample risk is elevated after only 8 games; talent is not being punished as heavily as durability.</v>
      </c>
      <c r="I62">
        <f>INDEX('Draft Engine'!$R$3:$R$225,$M62)</f>
        <v>89</v>
      </c>
      <c r="J62">
        <f>INDEX('Draft Engine'!$S$3:$S$225,$M62)</f>
        <v>29</v>
      </c>
      <c r="K62" t="str">
        <f>INDEX('Draft Engine'!$T$3:$T$225,$M62)</f>
        <v>B</v>
      </c>
      <c r="L62" t="str">
        <f>INDEX('Draft Engine'!$X$3:$X$225,$M62)</f>
        <v>RATE-ADJUSTED VETERAN</v>
      </c>
      <c r="M62" s="6">
        <f>MATCH($A62,'Draft Engine'!$Q$3:$Q$225,0)</f>
        <v>161</v>
      </c>
    </row>
    <row r="63" spans="1:13" x14ac:dyDescent="0.25">
      <c r="A63">
        <f>61</f>
        <v>61</v>
      </c>
      <c r="B63" t="str">
        <f>INDEX('Draft Engine'!$A$3:$A$225,$M63)</f>
        <v>WR</v>
      </c>
      <c r="C63">
        <f>INDEX('Draft Engine'!$F$3:$F$225,$M63)</f>
        <v>23</v>
      </c>
      <c r="D63" t="str">
        <f>INDEX('Draft Engine'!$B$3:$B$225,$M63)</f>
        <v>Luther Burden III</v>
      </c>
      <c r="E63" s="4">
        <f>INDEX('Draft Engine'!$E$3:$E$225,$M63)</f>
        <v>78.647499999999994</v>
      </c>
      <c r="F63" t="str">
        <f>INDEX('LIVE SOURCE'!$H$3:$H$225,$M63)</f>
        <v>Strong WR2 with top-12 weekly upside.</v>
      </c>
      <c r="G63" t="str">
        <f>INDEX('LIVE SOURCE'!$I$3:$I$225,$M63)</f>
        <v>He produced 8.5 PPR/FP points per game across 15 games. The workload/efficiency profile gives the model a rate-based reason to keep him here. Market price is favorable around ADP 93 versus model overall rank 71.</v>
      </c>
      <c r="H63" t="str">
        <f>INDEX('LIVE SOURCE'!$J$3:$J$225,$M63)</f>
        <v>Target competition, quarterback efficiency and touchdown regression are the main downside paths.</v>
      </c>
      <c r="I63">
        <f>INDEX('Draft Engine'!$R$3:$R$225,$M63)</f>
        <v>92.7</v>
      </c>
      <c r="J63">
        <f>INDEX('Draft Engine'!$S$3:$S$225,$M63)</f>
        <v>31.700000000000003</v>
      </c>
      <c r="K63" t="str">
        <f>INDEX('Draft Engine'!$T$3:$T$225,$M63)</f>
        <v>C</v>
      </c>
      <c r="L63" t="str">
        <f>INDEX('Draft Engine'!$X$3:$X$225,$M63)</f>
        <v>HISTORY FALLBACK</v>
      </c>
      <c r="M63" s="6">
        <f>MATCH($A63,'Draft Engine'!$Q$3:$Q$225,0)</f>
        <v>106</v>
      </c>
    </row>
    <row r="64" spans="1:13" x14ac:dyDescent="0.25">
      <c r="A64">
        <f>62</f>
        <v>62</v>
      </c>
      <c r="B64" t="str">
        <f>INDEX('Draft Engine'!$A$3:$A$225,$M64)</f>
        <v>QB</v>
      </c>
      <c r="C64">
        <f>INDEX('Draft Engine'!$F$3:$F$225,$M64)</f>
        <v>8</v>
      </c>
      <c r="D64" t="str">
        <f>INDEX('Draft Engine'!$B$3:$B$225,$M64)</f>
        <v>Jayden Daniels</v>
      </c>
      <c r="E64" s="4">
        <f>INDEX('Draft Engine'!$E$3:$E$225,$M64)</f>
        <v>86.700299999999999</v>
      </c>
      <c r="F64" t="str">
        <f>INDEX('LIVE SOURCE'!$H$3:$H$225,$M64)</f>
        <v>Strong every-week QB1; frequent top-8 finishes expected.</v>
      </c>
      <c r="G64" t="str">
        <f>INDEX('LIVE SOURCE'!$I$3:$I$225,$M64)</f>
        <v>He produced 16.7 PPR/FP points per game across 7 games. The workload/efficiency profile gives the model a rate-based reason to keep him here. Market price is favorable around ADP 78 versus model overall rank 64.</v>
      </c>
      <c r="H64" t="str">
        <f>INDEX('LIVE SOURCE'!$J$3:$J$225,$M64)</f>
        <v>Availability/sample risk is elevated after only 7 games; talent is not being punished as heavily as durability.</v>
      </c>
      <c r="I64">
        <f>INDEX('Draft Engine'!$R$3:$R$225,$M64)</f>
        <v>78</v>
      </c>
      <c r="J64">
        <f>INDEX('Draft Engine'!$S$3:$S$225,$M64)</f>
        <v>16</v>
      </c>
      <c r="K64" t="str">
        <f>INDEX('Draft Engine'!$T$3:$T$225,$M64)</f>
        <v>B</v>
      </c>
      <c r="L64" t="str">
        <f>INDEX('Draft Engine'!$X$3:$X$225,$M64)</f>
        <v>RATE-ADJUSTED VETERAN</v>
      </c>
      <c r="M64" s="6">
        <f>MATCH($A64,'Draft Engine'!$Q$3:$Q$225,0)</f>
        <v>8</v>
      </c>
    </row>
    <row r="65" spans="1:13" x14ac:dyDescent="0.25">
      <c r="A65">
        <f>63</f>
        <v>63</v>
      </c>
      <c r="B65" t="str">
        <f>INDEX('Draft Engine'!$A$3:$A$225,$M65)</f>
        <v>RB</v>
      </c>
      <c r="C65">
        <f>INDEX('Draft Engine'!$F$3:$F$225,$M65)</f>
        <v>23</v>
      </c>
      <c r="D65" t="str">
        <f>INDEX('Draft Engine'!$B$3:$B$225,$M65)</f>
        <v>David Montgomery</v>
      </c>
      <c r="E65" s="4">
        <f>INDEX('Draft Engine'!$E$3:$E$225,$M65)</f>
        <v>77.910200000000003</v>
      </c>
      <c r="F65" t="str">
        <f>INDEX('LIVE SOURCE'!$H$3:$H$225,$M65)</f>
        <v>RB2/FLEX; useful weekly but role and receiving volume matter.</v>
      </c>
      <c r="G65" t="str">
        <f>INDEX('LIVE SOURCE'!$I$3:$I$225,$M65)</f>
        <v>He produced 9.8 PPR/FP points per game across 17 games. The workload/efficiency profile gives the model a rate-based reason to keep him here. Market price is favorable around ADP 94 versus model overall rank 59.</v>
      </c>
      <c r="H65" t="str">
        <f>INDEX('LIVE SOURCE'!$J$3:$J$225,$M65)</f>
        <v>Touchdown variance, receiving-role changes and backfield competition are the main downside paths.</v>
      </c>
      <c r="I65">
        <f>INDEX('Draft Engine'!$R$3:$R$225,$M65)</f>
        <v>94.4</v>
      </c>
      <c r="J65">
        <f>INDEX('Draft Engine'!$S$3:$S$225,$M65)</f>
        <v>31.400000000000006</v>
      </c>
      <c r="K65" t="str">
        <f>INDEX('Draft Engine'!$T$3:$T$225,$M65)</f>
        <v>A</v>
      </c>
      <c r="L65" t="str">
        <f>INDEX('Draft Engine'!$X$3:$X$225,$M65)</f>
        <v>RATE-ADJUSTED VETERAN</v>
      </c>
      <c r="M65" s="6">
        <f>MATCH($A65,'Draft Engine'!$Q$3:$Q$225,0)</f>
        <v>55</v>
      </c>
    </row>
    <row r="66" spans="1:13" x14ac:dyDescent="0.25">
      <c r="A66">
        <f>64</f>
        <v>64</v>
      </c>
      <c r="B66" t="str">
        <f>INDEX('Draft Engine'!$A$3:$A$225,$M66)</f>
        <v>WR</v>
      </c>
      <c r="C66">
        <f>INDEX('Draft Engine'!$F$3:$F$225,$M66)</f>
        <v>24</v>
      </c>
      <c r="D66" t="str">
        <f>INDEX('Draft Engine'!$B$3:$B$225,$M66)</f>
        <v>Davante Adams</v>
      </c>
      <c r="E66" s="4">
        <f>INDEX('Draft Engine'!$E$3:$E$225,$M66)</f>
        <v>78.064999999999998</v>
      </c>
      <c r="F66" t="str">
        <f>INDEX('LIVE SOURCE'!$H$3:$H$225,$M66)</f>
        <v>Strong WR2 with top-12 weekly upside.</v>
      </c>
      <c r="G66" t="str">
        <f>INDEX('LIVE SOURCE'!$I$3:$I$225,$M66)</f>
        <v>He produced 15.9 PPR/FP points per game across 14 games. The workload/efficiency profile gives the model a rate-based reason to keep him here. Market price is favorable around ADP 89 versus model overall rank 76.</v>
      </c>
      <c r="H66" t="str">
        <f>INDEX('LIVE SOURCE'!$J$3:$J$225,$M66)</f>
        <v>Target competition, quarterback efficiency and touchdown regression are the main downside paths.</v>
      </c>
      <c r="I66">
        <f>INDEX('Draft Engine'!$R$3:$R$225,$M66)</f>
        <v>88.8</v>
      </c>
      <c r="J66">
        <f>INDEX('Draft Engine'!$S$3:$S$225,$M66)</f>
        <v>24.799999999999997</v>
      </c>
      <c r="K66" t="str">
        <f>INDEX('Draft Engine'!$T$3:$T$225,$M66)</f>
        <v>C</v>
      </c>
      <c r="L66" t="str">
        <f>INDEX('Draft Engine'!$X$3:$X$225,$M66)</f>
        <v>HISTORY FALLBACK</v>
      </c>
      <c r="M66" s="6">
        <f>MATCH($A66,'Draft Engine'!$Q$3:$Q$225,0)</f>
        <v>105</v>
      </c>
    </row>
    <row r="67" spans="1:13" x14ac:dyDescent="0.25">
      <c r="A67">
        <f>65</f>
        <v>65</v>
      </c>
      <c r="B67" t="str">
        <f>INDEX('Draft Engine'!$A$3:$A$225,$M67)</f>
        <v>RB</v>
      </c>
      <c r="C67">
        <f>INDEX('Draft Engine'!$F$3:$F$225,$M67)</f>
        <v>24</v>
      </c>
      <c r="D67" t="str">
        <f>INDEX('Draft Engine'!$B$3:$B$225,$M67)</f>
        <v>TreVeyon Henderson</v>
      </c>
      <c r="E67" s="4">
        <f>INDEX('Draft Engine'!$E$3:$E$225,$M67)</f>
        <v>77.832499999999996</v>
      </c>
      <c r="F67" t="str">
        <f>INDEX('LIVE SOURCE'!$H$3:$H$225,$M67)</f>
        <v>RB2/FLEX; useful weekly but role and receiving volume matter.</v>
      </c>
      <c r="G67" t="str">
        <f>INDEX('LIVE SOURCE'!$I$3:$I$225,$M67)</f>
        <v>He produced 12.2 PPR/FP points per game across 17 games. The workload/efficiency profile gives the model a rate-based reason to keep him here. Market price is favorable around ADP 99 versus model overall rank 60.</v>
      </c>
      <c r="H67" t="str">
        <f>INDEX('LIVE SOURCE'!$J$3:$J$225,$M67)</f>
        <v>Touchdown variance, receiving-role changes and backfield competition are the main downside paths.</v>
      </c>
      <c r="I67">
        <f>INDEX('Draft Engine'!$R$3:$R$225,$M67)</f>
        <v>98.600000000000009</v>
      </c>
      <c r="J67">
        <f>INDEX('Draft Engine'!$S$3:$S$225,$M67)</f>
        <v>33.600000000000009</v>
      </c>
      <c r="K67" t="str">
        <f>INDEX('Draft Engine'!$T$3:$T$225,$M67)</f>
        <v>A</v>
      </c>
      <c r="L67" t="str">
        <f>INDEX('Draft Engine'!$X$3:$X$225,$M67)</f>
        <v>RATE-ADJUSTED VETERAN</v>
      </c>
      <c r="M67" s="6">
        <f>MATCH($A67,'Draft Engine'!$Q$3:$Q$225,0)</f>
        <v>56</v>
      </c>
    </row>
    <row r="68" spans="1:13" x14ac:dyDescent="0.25">
      <c r="A68">
        <f>66</f>
        <v>66</v>
      </c>
      <c r="B68" t="str">
        <f>INDEX('Draft Engine'!$A$3:$A$225,$M68)</f>
        <v>TE</v>
      </c>
      <c r="C68">
        <f>INDEX('Draft Engine'!$F$3:$F$225,$M68)</f>
        <v>10</v>
      </c>
      <c r="D68" t="str">
        <f>INDEX('Draft Engine'!$B$3:$B$225,$M68)</f>
        <v>Sam LaPorta</v>
      </c>
      <c r="E68" s="4">
        <f>INDEX('Draft Engine'!$E$3:$E$225,$M68)</f>
        <v>82.865300000000005</v>
      </c>
      <c r="F68" t="str">
        <f>INDEX('LIVE SOURCE'!$H$3:$H$225,$M68)</f>
        <v>Low-end TE1; startable but replacement options remain close.</v>
      </c>
      <c r="G68" t="str">
        <f>INDEX('LIVE SOURCE'!$I$3:$I$225,$M68)</f>
        <v>He produced 11.8 PPR/FP points per game across 9 games. The workload/efficiency profile gives the model a rate-based reason to keep him here. Market price is favorable around ADP 98 versus model overall rank 63.</v>
      </c>
      <c r="H68" t="str">
        <f>INDEX('LIVE SOURCE'!$J$3:$J$225,$M68)</f>
        <v>Availability/sample risk is elevated after only 9 games; talent is not being punished as heavily as durability.</v>
      </c>
      <c r="I68">
        <f>INDEX('Draft Engine'!$R$3:$R$225,$M68)</f>
        <v>98</v>
      </c>
      <c r="J68">
        <f>INDEX('Draft Engine'!$S$3:$S$225,$M68)</f>
        <v>32</v>
      </c>
      <c r="K68" t="str">
        <f>INDEX('Draft Engine'!$T$3:$T$225,$M68)</f>
        <v>B</v>
      </c>
      <c r="L68" t="str">
        <f>INDEX('Draft Engine'!$X$3:$X$225,$M68)</f>
        <v>RATE-ADJUSTED VETERAN</v>
      </c>
      <c r="M68" s="6">
        <f>MATCH($A68,'Draft Engine'!$Q$3:$Q$225,0)</f>
        <v>162</v>
      </c>
    </row>
    <row r="69" spans="1:13" x14ac:dyDescent="0.25">
      <c r="A69">
        <f>67</f>
        <v>67</v>
      </c>
      <c r="B69" t="str">
        <f>INDEX('Draft Engine'!$A$3:$A$225,$M69)</f>
        <v>QB</v>
      </c>
      <c r="C69">
        <f>INDEX('Draft Engine'!$F$3:$F$225,$M69)</f>
        <v>9</v>
      </c>
      <c r="D69" t="str">
        <f>INDEX('Draft Engine'!$B$3:$B$225,$M69)</f>
        <v>Joe Burrow</v>
      </c>
      <c r="E69" s="4">
        <f>INDEX('Draft Engine'!$E$3:$E$225,$M69)</f>
        <v>85.591300000000004</v>
      </c>
      <c r="F69" t="str">
        <f>INDEX('LIVE SOURCE'!$H$3:$H$225,$M69)</f>
        <v>Low-end QB1/high-end QB2 in a 10-team league; startable most weeks.</v>
      </c>
      <c r="G69" t="str">
        <f>INDEX('LIVE SOURCE'!$I$3:$I$225,$M69)</f>
        <v>He produced 17.4 PPR/FP points per game across 8 games. The workload/efficiency profile gives the model a rate-based reason to keep him here. Market price is favorable around ADP 86 versus model overall rank 70.</v>
      </c>
      <c r="H69" t="str">
        <f>INDEX('LIVE SOURCE'!$J$3:$J$225,$M69)</f>
        <v>Availability/sample risk is elevated after only 8 games; talent is not being punished as heavily as durability.</v>
      </c>
      <c r="I69">
        <f>INDEX('Draft Engine'!$R$3:$R$225,$M69)</f>
        <v>86</v>
      </c>
      <c r="J69">
        <f>INDEX('Draft Engine'!$S$3:$S$225,$M69)</f>
        <v>19</v>
      </c>
      <c r="K69" t="str">
        <f>INDEX('Draft Engine'!$T$3:$T$225,$M69)</f>
        <v>B</v>
      </c>
      <c r="L69" t="str">
        <f>INDEX('Draft Engine'!$X$3:$X$225,$M69)</f>
        <v>RATE-ADJUSTED VETERAN</v>
      </c>
      <c r="M69" s="6">
        <f>MATCH($A69,'Draft Engine'!$Q$3:$Q$225,0)</f>
        <v>9</v>
      </c>
    </row>
    <row r="70" spans="1:13" x14ac:dyDescent="0.25">
      <c r="A70">
        <f>68</f>
        <v>68</v>
      </c>
      <c r="B70" t="str">
        <f>INDEX('Draft Engine'!$A$3:$A$225,$M70)</f>
        <v>RB</v>
      </c>
      <c r="C70">
        <f>INDEX('Draft Engine'!$F$3:$F$225,$M70)</f>
        <v>25</v>
      </c>
      <c r="D70" t="str">
        <f>INDEX('Draft Engine'!$B$3:$B$225,$M70)</f>
        <v>Jadarian Price</v>
      </c>
      <c r="E70" s="4">
        <f>INDEX('Draft Engine'!$E$3:$E$225,$M70)</f>
        <v>76.662199999999999</v>
      </c>
      <c r="F70" t="str">
        <f>INDEX('LIVE SOURCE'!$H$3:$H$225,$M70)</f>
        <v>RB2/FLEX; useful weekly but role and receiving volume matter.</v>
      </c>
      <c r="G70" t="str">
        <f>INDEX('LIVE SOURCE'!$I$3:$I$225,$M70)</f>
        <v>Rookie score 85.6, backed by No. 32 draft capital and a 6.38 NFL prospect grade. The 2026 role projection is strong enough to replace missing NFL history. Market price is favorable around ADP 103 versus model overall rank 66.</v>
      </c>
      <c r="H70" t="str">
        <f>INDEX('LIVE SOURCE'!$J$3:$J$225,$M70)</f>
        <v>NFL translation and exact weekly role are the main variables; preseason first-team usage can move this rating quickly.</v>
      </c>
      <c r="I70">
        <f>INDEX('Draft Engine'!$R$3:$R$225,$M70)</f>
        <v>102.8</v>
      </c>
      <c r="J70">
        <f>INDEX('Draft Engine'!$S$3:$S$225,$M70)</f>
        <v>34.799999999999997</v>
      </c>
      <c r="K70" t="str">
        <f>INDEX('Draft Engine'!$T$3:$T$225,$M70)</f>
        <v>B</v>
      </c>
      <c r="L70" t="str">
        <f>INDEX('Draft Engine'!$X$3:$X$225,$M70)</f>
        <v>ROOKIE ENGINE</v>
      </c>
      <c r="M70" s="6">
        <f>MATCH($A70,'Draft Engine'!$Q$3:$Q$225,0)</f>
        <v>57</v>
      </c>
    </row>
    <row r="71" spans="1:13" x14ac:dyDescent="0.25">
      <c r="A71">
        <f>69</f>
        <v>69</v>
      </c>
      <c r="B71" t="str">
        <f>INDEX('Draft Engine'!$A$3:$A$225,$M71)</f>
        <v>TE</v>
      </c>
      <c r="C71">
        <f>INDEX('Draft Engine'!$F$3:$F$225,$M71)</f>
        <v>11</v>
      </c>
      <c r="D71" t="str">
        <f>INDEX('Draft Engine'!$B$3:$B$225,$M71)</f>
        <v>Dalton Kincaid</v>
      </c>
      <c r="E71" s="4">
        <f>INDEX('Draft Engine'!$E$3:$E$225,$M71)</f>
        <v>81.914100000000005</v>
      </c>
      <c r="F71" t="str">
        <f>INDEX('LIVE SOURCE'!$H$3:$H$225,$M71)</f>
        <v>Low-end TE1; startable but replacement options remain close.</v>
      </c>
      <c r="G71" t="str">
        <f>INDEX('LIVE SOURCE'!$I$3:$I$225,$M71)</f>
        <v>He produced 10.6 PPR/FP points per game across 12 games. The workload/efficiency profile gives the model a rate-based reason to keep him here. Market price is favorable around ADP 107 versus model overall rank 67.</v>
      </c>
      <c r="H71" t="str">
        <f>INDEX('LIVE SOURCE'!$J$3:$J$225,$M71)</f>
        <v>Route share, target volume and touchdown volatility are the main swing factors.</v>
      </c>
      <c r="I71">
        <f>INDEX('Draft Engine'!$R$3:$R$225,$M71)</f>
        <v>107</v>
      </c>
      <c r="J71">
        <f>INDEX('Draft Engine'!$S$3:$S$225,$M71)</f>
        <v>38</v>
      </c>
      <c r="K71" t="str">
        <f>INDEX('Draft Engine'!$T$3:$T$225,$M71)</f>
        <v>A</v>
      </c>
      <c r="L71" t="str">
        <f>INDEX('Draft Engine'!$X$3:$X$225,$M71)</f>
        <v>RATE-ADJUSTED VETERAN</v>
      </c>
      <c r="M71" s="6">
        <f>MATCH($A71,'Draft Engine'!$Q$3:$Q$225,0)</f>
        <v>163</v>
      </c>
    </row>
    <row r="72" spans="1:13" x14ac:dyDescent="0.25">
      <c r="A72">
        <f>70</f>
        <v>70</v>
      </c>
      <c r="B72" t="str">
        <f>INDEX('Draft Engine'!$A$3:$A$225,$M72)</f>
        <v>WR</v>
      </c>
      <c r="C72">
        <f>INDEX('Draft Engine'!$F$3:$F$225,$M72)</f>
        <v>25</v>
      </c>
      <c r="D72" t="str">
        <f>INDEX('Draft Engine'!$B$3:$B$225,$M72)</f>
        <v>Mike Evans</v>
      </c>
      <c r="E72" s="4">
        <f>INDEX('Draft Engine'!$E$3:$E$225,$M72)</f>
        <v>76.477500000000006</v>
      </c>
      <c r="F72" t="str">
        <f>INDEX('LIVE SOURCE'!$H$3:$H$225,$M72)</f>
        <v>WR2/FLEX; dependable lineup option with matchup-driven ceiling.</v>
      </c>
      <c r="G72" t="str">
        <f>INDEX('LIVE SOURCE'!$I$3:$I$225,$M72)</f>
        <v>The 2026 opportunity and projection carry most of the grade because detailed 2025 rate data is incomplete. Market price is favorable around ADP 108 versus model overall rank 91.</v>
      </c>
      <c r="H72" t="str">
        <f>INDEX('LIVE SOURCE'!$J$3:$J$225,$M72)</f>
        <v>Evidence is thinner than for established veterans, so camp, depth-chart and role news can move the grade materially.</v>
      </c>
      <c r="I72">
        <f>INDEX('Draft Engine'!$R$3:$R$225,$M72)</f>
        <v>108.3</v>
      </c>
      <c r="J72">
        <f>INDEX('Draft Engine'!$S$3:$S$225,$M72)</f>
        <v>38.299999999999997</v>
      </c>
      <c r="K72" t="str">
        <f>INDEX('Draft Engine'!$T$3:$T$225,$M72)</f>
        <v>C</v>
      </c>
      <c r="L72" t="str">
        <f>INDEX('Draft Engine'!$X$3:$X$225,$M72)</f>
        <v>HISTORY FALLBACK</v>
      </c>
      <c r="M72" s="6">
        <f>MATCH($A72,'Draft Engine'!$Q$3:$Q$225,0)</f>
        <v>110</v>
      </c>
    </row>
    <row r="73" spans="1:13" x14ac:dyDescent="0.25">
      <c r="A73">
        <f>71</f>
        <v>71</v>
      </c>
      <c r="B73" t="str">
        <f>INDEX('Draft Engine'!$A$3:$A$225,$M73)</f>
        <v>QB</v>
      </c>
      <c r="C73">
        <f>INDEX('Draft Engine'!$F$3:$F$225,$M73)</f>
        <v>10</v>
      </c>
      <c r="D73" t="str">
        <f>INDEX('Draft Engine'!$B$3:$B$225,$M73)</f>
        <v>Matthew Stafford</v>
      </c>
      <c r="E73" s="4">
        <f>INDEX('Draft Engine'!$E$3:$E$225,$M73)</f>
        <v>85.419700000000006</v>
      </c>
      <c r="F73" t="str">
        <f>INDEX('LIVE SOURCE'!$H$3:$H$225,$M73)</f>
        <v>Low-end QB1/high-end QB2 in a 10-team league; startable most weeks.</v>
      </c>
      <c r="G73" t="str">
        <f>INDEX('LIVE SOURCE'!$I$3:$I$225,$M73)</f>
        <v>He produced 21.1 PPR/FP points per game across 17 games. The workload/efficiency profile gives the model a rate-based reason to keep him here. Market price is favorable around ADP 94 versus model overall rank 77.</v>
      </c>
      <c r="H73" t="str">
        <f>INDEX('LIVE SOURCE'!$J$3:$J$225,$M73)</f>
        <v>Passing-TD efficiency, rushing volume and supporting-cast health are the main swing factors.</v>
      </c>
      <c r="I73">
        <f>INDEX('Draft Engine'!$R$3:$R$225,$M73)</f>
        <v>94</v>
      </c>
      <c r="J73">
        <f>INDEX('Draft Engine'!$S$3:$S$225,$M73)</f>
        <v>23</v>
      </c>
      <c r="K73" t="str">
        <f>INDEX('Draft Engine'!$T$3:$T$225,$M73)</f>
        <v>A</v>
      </c>
      <c r="L73" t="str">
        <f>INDEX('Draft Engine'!$X$3:$X$225,$M73)</f>
        <v>RATE-ADJUSTED VETERAN</v>
      </c>
      <c r="M73" s="6">
        <f>MATCH($A73,'Draft Engine'!$Q$3:$Q$225,0)</f>
        <v>10</v>
      </c>
    </row>
    <row r="74" spans="1:13" x14ac:dyDescent="0.25">
      <c r="A74">
        <f>72</f>
        <v>72</v>
      </c>
      <c r="B74" t="str">
        <f>INDEX('Draft Engine'!$A$3:$A$225,$M74)</f>
        <v>WR</v>
      </c>
      <c r="C74">
        <f>INDEX('Draft Engine'!$F$3:$F$225,$M74)</f>
        <v>26</v>
      </c>
      <c r="D74" t="str">
        <f>INDEX('Draft Engine'!$B$3:$B$225,$M74)</f>
        <v>Jordyn Tyson</v>
      </c>
      <c r="E74" s="4">
        <f>INDEX('Draft Engine'!$E$3:$E$225,$M74)</f>
        <v>76.22</v>
      </c>
      <c r="F74" t="str">
        <f>INDEX('LIVE SOURCE'!$H$3:$H$225,$M74)</f>
        <v>WR2/FLEX; dependable lineup option with matchup-driven ceiling.</v>
      </c>
      <c r="G74" t="str">
        <f>INDEX('LIVE SOURCE'!$I$3:$I$225,$M74)</f>
        <v>Rookie score 92.4, backed by No. 8 draft capital and a 6.43 NFL prospect grade. The 2026 role projection is strong enough to replace missing NFL history. Market price is favorable around ADP 136 versus model overall rank 98.</v>
      </c>
      <c r="H74" t="str">
        <f>INDEX('LIVE SOURCE'!$J$3:$J$225,$M74)</f>
        <v>NFL translation and exact weekly role are the main variables; preseason first-team usage can move this rating quickly.</v>
      </c>
      <c r="I74">
        <f>INDEX('Draft Engine'!$R$3:$R$225,$M74)</f>
        <v>135.6</v>
      </c>
      <c r="J74">
        <f>INDEX('Draft Engine'!$S$3:$S$225,$M74)</f>
        <v>63.599999999999994</v>
      </c>
      <c r="K74" t="str">
        <f>INDEX('Draft Engine'!$T$3:$T$225,$M74)</f>
        <v>C</v>
      </c>
      <c r="L74" t="str">
        <f>INDEX('Draft Engine'!$X$3:$X$225,$M74)</f>
        <v>HISTORY FALLBACK</v>
      </c>
      <c r="M74" s="6">
        <f>MATCH($A74,'Draft Engine'!$Q$3:$Q$225,0)</f>
        <v>117</v>
      </c>
    </row>
    <row r="75" spans="1:13" x14ac:dyDescent="0.25">
      <c r="A75">
        <f>73</f>
        <v>73</v>
      </c>
      <c r="B75" t="str">
        <f>INDEX('Draft Engine'!$A$3:$A$225,$M75)</f>
        <v>RB</v>
      </c>
      <c r="C75">
        <f>INDEX('Draft Engine'!$F$3:$F$225,$M75)</f>
        <v>26</v>
      </c>
      <c r="D75" t="str">
        <f>INDEX('Draft Engine'!$B$3:$B$225,$M75)</f>
        <v>Jaylen Warren</v>
      </c>
      <c r="E75" s="4">
        <f>INDEX('Draft Engine'!$E$3:$E$225,$M75)</f>
        <v>76.091800000000006</v>
      </c>
      <c r="F75" t="str">
        <f>INDEX('LIVE SOURCE'!$H$3:$H$225,$M75)</f>
        <v>RB2/FLEX; useful weekly but role and receiving volume matter.</v>
      </c>
      <c r="G75" t="str">
        <f>INDEX('LIVE SOURCE'!$I$3:$I$225,$M75)</f>
        <v>He produced 13.6 PPR/FP points per game across 16 games. The workload/efficiency profile gives the model a rate-based reason to keep him here. Market price is favorable around ADP 107 versus model overall rank 69.</v>
      </c>
      <c r="H75" t="str">
        <f>INDEX('LIVE SOURCE'!$J$3:$J$225,$M75)</f>
        <v>Touchdown variance, receiving-role changes and backfield competition are the main downside paths.</v>
      </c>
      <c r="I75">
        <f>INDEX('Draft Engine'!$R$3:$R$225,$M75)</f>
        <v>107</v>
      </c>
      <c r="J75">
        <f>INDEX('Draft Engine'!$S$3:$S$225,$M75)</f>
        <v>34</v>
      </c>
      <c r="K75" t="str">
        <f>INDEX('Draft Engine'!$T$3:$T$225,$M75)</f>
        <v>A</v>
      </c>
      <c r="L75" t="str">
        <f>INDEX('Draft Engine'!$X$3:$X$225,$M75)</f>
        <v>RATE-ADJUSTED VETERAN</v>
      </c>
      <c r="M75" s="6">
        <f>MATCH($A75,'Draft Engine'!$Q$3:$Q$225,0)</f>
        <v>58</v>
      </c>
    </row>
    <row r="76" spans="1:13" x14ac:dyDescent="0.25">
      <c r="A76">
        <f>74</f>
        <v>74</v>
      </c>
      <c r="B76" t="str">
        <f>INDEX('Draft Engine'!$A$3:$A$225,$M76)</f>
        <v>TE</v>
      </c>
      <c r="C76">
        <f>INDEX('Draft Engine'!$F$3:$F$225,$M76)</f>
        <v>12</v>
      </c>
      <c r="D76" t="str">
        <f>INDEX('Draft Engine'!$B$3:$B$225,$M76)</f>
        <v>Travis Kelce</v>
      </c>
      <c r="E76" s="4">
        <f>INDEX('Draft Engine'!$E$3:$E$225,$M76)</f>
        <v>81.747799999999998</v>
      </c>
      <c r="F76" t="str">
        <f>INDEX('LIVE SOURCE'!$H$3:$H$225,$M76)</f>
        <v>Low-end TE1; startable but replacement options remain close.</v>
      </c>
      <c r="G76" t="str">
        <f>INDEX('LIVE SOURCE'!$I$3:$I$225,$M76)</f>
        <v>He produced 11.4 PPR/FP points per game across 17 games. The workload/efficiency profile gives the model a rate-based reason to keep him here. Market price is favorable around ADP 116 versus model overall rank 72.</v>
      </c>
      <c r="H76" t="str">
        <f>INDEX('LIVE SOURCE'!$J$3:$J$225,$M76)</f>
        <v>Route share, target volume and touchdown volatility are the main swing factors.</v>
      </c>
      <c r="I76">
        <f>INDEX('Draft Engine'!$R$3:$R$225,$M76)</f>
        <v>116</v>
      </c>
      <c r="J76">
        <f>INDEX('Draft Engine'!$S$3:$S$225,$M76)</f>
        <v>42</v>
      </c>
      <c r="K76" t="str">
        <f>INDEX('Draft Engine'!$T$3:$T$225,$M76)</f>
        <v>A</v>
      </c>
      <c r="L76" t="str">
        <f>INDEX('Draft Engine'!$X$3:$X$225,$M76)</f>
        <v>RATE-ADJUSTED VETERAN</v>
      </c>
      <c r="M76" s="6">
        <f>MATCH($A76,'Draft Engine'!$Q$3:$Q$225,0)</f>
        <v>164</v>
      </c>
    </row>
    <row r="77" spans="1:13" x14ac:dyDescent="0.25">
      <c r="A77">
        <f>75</f>
        <v>75</v>
      </c>
      <c r="B77" t="str">
        <f>INDEX('Draft Engine'!$A$3:$A$225,$M77)</f>
        <v>QB</v>
      </c>
      <c r="C77">
        <f>INDEX('Draft Engine'!$F$3:$F$225,$M77)</f>
        <v>11</v>
      </c>
      <c r="D77" t="str">
        <f>INDEX('Draft Engine'!$B$3:$B$225,$M77)</f>
        <v>Bo Nix</v>
      </c>
      <c r="E77" s="4">
        <f>INDEX('Draft Engine'!$E$3:$E$225,$M77)</f>
        <v>85.248500000000007</v>
      </c>
      <c r="F77" t="str">
        <f>INDEX('LIVE SOURCE'!$H$3:$H$225,$M77)</f>
        <v>Low-end QB1/high-end QB2 in a 10-team league; startable most weeks.</v>
      </c>
      <c r="G77" t="str">
        <f>INDEX('LIVE SOURCE'!$I$3:$I$225,$M77)</f>
        <v>He produced 18.6 PPR/FP points per game across 17 games. The workload/efficiency profile gives the model a rate-based reason to keep him here. Market price is favorable around ADP 102 versus model overall rank 79.</v>
      </c>
      <c r="H77" t="str">
        <f>INDEX('LIVE SOURCE'!$J$3:$J$225,$M77)</f>
        <v>Passing-TD efficiency, rushing volume and supporting-cast health are the main swing factors.</v>
      </c>
      <c r="I77">
        <f>INDEX('Draft Engine'!$R$3:$R$225,$M77)</f>
        <v>102</v>
      </c>
      <c r="J77">
        <f>INDEX('Draft Engine'!$S$3:$S$225,$M77)</f>
        <v>27</v>
      </c>
      <c r="K77" t="str">
        <f>INDEX('Draft Engine'!$T$3:$T$225,$M77)</f>
        <v>A</v>
      </c>
      <c r="L77" t="str">
        <f>INDEX('Draft Engine'!$X$3:$X$225,$M77)</f>
        <v>RATE-ADJUSTED VETERAN</v>
      </c>
      <c r="M77" s="6">
        <f>MATCH($A77,'Draft Engine'!$Q$3:$Q$225,0)</f>
        <v>11</v>
      </c>
    </row>
    <row r="78" spans="1:13" x14ac:dyDescent="0.25">
      <c r="A78">
        <f>76</f>
        <v>76</v>
      </c>
      <c r="B78" t="str">
        <f>INDEX('Draft Engine'!$A$3:$A$225,$M78)</f>
        <v>WR</v>
      </c>
      <c r="C78">
        <f>INDEX('Draft Engine'!$F$3:$F$225,$M78)</f>
        <v>27</v>
      </c>
      <c r="D78" t="str">
        <f>INDEX('Draft Engine'!$B$3:$B$225,$M78)</f>
        <v>Jameson Williams</v>
      </c>
      <c r="E78" s="4">
        <f>INDEX('Draft Engine'!$E$3:$E$225,$M78)</f>
        <v>76.0625</v>
      </c>
      <c r="F78" t="str">
        <f>INDEX('LIVE SOURCE'!$H$3:$H$225,$M78)</f>
        <v>WR2/FLEX; dependable lineup option with matchup-driven ceiling.</v>
      </c>
      <c r="G78" t="str">
        <f>INDEX('LIVE SOURCE'!$I$3:$I$225,$M78)</f>
        <v>He produced 12.9 PPR/FP points per game across 17 games. The workload/efficiency profile gives the model a rate-based reason to keep him here.</v>
      </c>
      <c r="H78" t="str">
        <f>INDEX('LIVE SOURCE'!$J$3:$J$225,$M78)</f>
        <v>Target competition, quarterback efficiency and touchdown regression are the main downside paths.</v>
      </c>
      <c r="I78">
        <f>INDEX('Draft Engine'!$R$3:$R$225,$M78)</f>
        <v>100.5</v>
      </c>
      <c r="J78">
        <f>INDEX('Draft Engine'!$S$3:$S$225,$M78)</f>
        <v>24.5</v>
      </c>
      <c r="K78" t="str">
        <f>INDEX('Draft Engine'!$T$3:$T$225,$M78)</f>
        <v>C</v>
      </c>
      <c r="L78" t="str">
        <f>INDEX('Draft Engine'!$X$3:$X$225,$M78)</f>
        <v>HISTORY FALLBACK</v>
      </c>
      <c r="M78" s="6">
        <f>MATCH($A78,'Draft Engine'!$Q$3:$Q$225,0)</f>
        <v>108</v>
      </c>
    </row>
    <row r="79" spans="1:13" x14ac:dyDescent="0.25">
      <c r="A79">
        <f>77</f>
        <v>77</v>
      </c>
      <c r="B79" t="str">
        <f>INDEX('Draft Engine'!$A$3:$A$225,$M79)</f>
        <v>RB</v>
      </c>
      <c r="C79">
        <f>INDEX('Draft Engine'!$F$3:$F$225,$M79)</f>
        <v>27</v>
      </c>
      <c r="D79" t="str">
        <f>INDEX('Draft Engine'!$B$3:$B$225,$M79)</f>
        <v>Rico Dowdle</v>
      </c>
      <c r="E79" s="4">
        <f>INDEX('Draft Engine'!$E$3:$E$225,$M79)</f>
        <v>75.785799999999995</v>
      </c>
      <c r="F79" t="str">
        <f>INDEX('LIVE SOURCE'!$H$3:$H$225,$M79)</f>
        <v>RB2/FLEX; useful weekly but role and receiving volume matter.</v>
      </c>
      <c r="G79" t="str">
        <f>INDEX('LIVE SOURCE'!$I$3:$I$225,$M79)</f>
        <v>He produced 12.7 PPR/FP points per game across 17 games. The workload/efficiency profile gives the model a rate-based reason to keep him here. Market price is favorable around ADP 111 versus model overall rank 74.</v>
      </c>
      <c r="H79" t="str">
        <f>INDEX('LIVE SOURCE'!$J$3:$J$225,$M79)</f>
        <v>Touchdown variance, receiving-role changes and backfield competition are the main downside paths.</v>
      </c>
      <c r="I79">
        <f>INDEX('Draft Engine'!$R$3:$R$225,$M79)</f>
        <v>111.2</v>
      </c>
      <c r="J79">
        <f>INDEX('Draft Engine'!$S$3:$S$225,$M79)</f>
        <v>34.200000000000003</v>
      </c>
      <c r="K79" t="str">
        <f>INDEX('Draft Engine'!$T$3:$T$225,$M79)</f>
        <v>A</v>
      </c>
      <c r="L79" t="str">
        <f>INDEX('Draft Engine'!$X$3:$X$225,$M79)</f>
        <v>RATE-ADJUSTED VETERAN</v>
      </c>
      <c r="M79" s="6">
        <f>MATCH($A79,'Draft Engine'!$Q$3:$Q$225,0)</f>
        <v>59</v>
      </c>
    </row>
    <row r="80" spans="1:13" x14ac:dyDescent="0.25">
      <c r="A80">
        <f>78</f>
        <v>78</v>
      </c>
      <c r="B80" t="str">
        <f>INDEX('Draft Engine'!$A$3:$A$225,$M80)</f>
        <v>QB</v>
      </c>
      <c r="C80">
        <f>INDEX('Draft Engine'!$F$3:$F$225,$M80)</f>
        <v>12</v>
      </c>
      <c r="D80" t="str">
        <f>INDEX('Draft Engine'!$B$3:$B$225,$M80)</f>
        <v>Dak Prescott</v>
      </c>
      <c r="E80" s="4">
        <f>INDEX('Draft Engine'!$E$3:$E$225,$M80)</f>
        <v>85.115600000000001</v>
      </c>
      <c r="F80" t="str">
        <f>INDEX('LIVE SOURCE'!$H$3:$H$225,$M80)</f>
        <v>Low-end QB1/high-end QB2 in a 10-team league; startable most weeks.</v>
      </c>
      <c r="G80" t="str">
        <f>INDEX('LIVE SOURCE'!$I$3:$I$225,$M80)</f>
        <v>He produced 19.0 PPR/FP points per game across 17 games. The workload/efficiency profile gives the model a rate-based reason to keep him here. Market price is favorable around ADP 110 versus model overall rank 82.</v>
      </c>
      <c r="H80" t="str">
        <f>INDEX('LIVE SOURCE'!$J$3:$J$225,$M80)</f>
        <v>Passing-TD efficiency, rushing volume and supporting-cast health are the main swing factors.</v>
      </c>
      <c r="I80">
        <f>INDEX('Draft Engine'!$R$3:$R$225,$M80)</f>
        <v>110</v>
      </c>
      <c r="J80">
        <f>INDEX('Draft Engine'!$S$3:$S$225,$M80)</f>
        <v>32</v>
      </c>
      <c r="K80" t="str">
        <f>INDEX('Draft Engine'!$T$3:$T$225,$M80)</f>
        <v>A</v>
      </c>
      <c r="L80" t="str">
        <f>INDEX('Draft Engine'!$X$3:$X$225,$M80)</f>
        <v>RATE-ADJUSTED VETERAN</v>
      </c>
      <c r="M80" s="6">
        <f>MATCH($A80,'Draft Engine'!$Q$3:$Q$225,0)</f>
        <v>12</v>
      </c>
    </row>
    <row r="81" spans="1:13" x14ac:dyDescent="0.25">
      <c r="A81">
        <f>79</f>
        <v>79</v>
      </c>
      <c r="B81" t="str">
        <f>INDEX('Draft Engine'!$A$3:$A$225,$M81)</f>
        <v>WR</v>
      </c>
      <c r="C81">
        <f>INDEX('Draft Engine'!$F$3:$F$225,$M81)</f>
        <v>28</v>
      </c>
      <c r="D81" t="str">
        <f>INDEX('Draft Engine'!$B$3:$B$225,$M81)</f>
        <v>Michael Pittman Jr.</v>
      </c>
      <c r="E81" s="4">
        <f>INDEX('Draft Engine'!$E$3:$E$225,$M81)</f>
        <v>75.55</v>
      </c>
      <c r="F81" t="str">
        <f>INDEX('LIVE SOURCE'!$H$3:$H$225,$M81)</f>
        <v>WR2/FLEX; dependable lineup option with matchup-driven ceiling.</v>
      </c>
      <c r="G81" t="str">
        <f>INDEX('LIVE SOURCE'!$I$3:$I$225,$M81)</f>
        <v>He produced 11.9 PPR/FP points per game across 17 games. The workload/efficiency profile gives the model a rate-based reason to keep him here. Market price is favorable around ADP 140 versus model overall rank 105.</v>
      </c>
      <c r="H81" t="str">
        <f>INDEX('LIVE SOURCE'!$J$3:$J$225,$M81)</f>
        <v>Target competition, quarterback efficiency and touchdown regression are the main downside paths.</v>
      </c>
      <c r="I81">
        <f>INDEX('Draft Engine'!$R$3:$R$225,$M81)</f>
        <v>139.5</v>
      </c>
      <c r="J81">
        <f>INDEX('Draft Engine'!$S$3:$S$225,$M81)</f>
        <v>60.5</v>
      </c>
      <c r="K81" t="str">
        <f>INDEX('Draft Engine'!$T$3:$T$225,$M81)</f>
        <v>C</v>
      </c>
      <c r="L81" t="str">
        <f>INDEX('Draft Engine'!$X$3:$X$225,$M81)</f>
        <v>HISTORY FALLBACK</v>
      </c>
      <c r="M81" s="6">
        <f>MATCH($A81,'Draft Engine'!$Q$3:$Q$225,0)</f>
        <v>118</v>
      </c>
    </row>
    <row r="82" spans="1:13" x14ac:dyDescent="0.25">
      <c r="A82">
        <f>80</f>
        <v>80</v>
      </c>
      <c r="B82" t="str">
        <f>INDEX('Draft Engine'!$A$3:$A$225,$M82)</f>
        <v>WR</v>
      </c>
      <c r="C82">
        <f>INDEX('Draft Engine'!$F$3:$F$225,$M82)</f>
        <v>29</v>
      </c>
      <c r="D82" t="str">
        <f>INDEX('Draft Engine'!$B$3:$B$225,$M82)</f>
        <v>DJ Moore</v>
      </c>
      <c r="E82" s="4">
        <f>INDEX('Draft Engine'!$E$3:$E$225,$M82)</f>
        <v>75.48</v>
      </c>
      <c r="F82" t="str">
        <f>INDEX('LIVE SOURCE'!$H$3:$H$225,$M82)</f>
        <v>WR2/FLEX; dependable lineup option with matchup-driven ceiling.</v>
      </c>
      <c r="G82" t="str">
        <f>INDEX('LIVE SOURCE'!$I$3:$I$225,$M82)</f>
        <v>He produced 10.0 PPR/FP points per game across 17 games. The workload/efficiency profile gives the model a rate-based reason to keep him here.</v>
      </c>
      <c r="H82" t="str">
        <f>INDEX('LIVE SOURCE'!$J$3:$J$225,$M82)</f>
        <v>Target competition, quarterback efficiency and touchdown regression are the main downside paths.</v>
      </c>
      <c r="I82">
        <f>INDEX('Draft Engine'!$R$3:$R$225,$M82)</f>
        <v>96.6</v>
      </c>
      <c r="J82">
        <f>INDEX('Draft Engine'!$S$3:$S$225,$M82)</f>
        <v>16.599999999999994</v>
      </c>
      <c r="K82" t="str">
        <f>INDEX('Draft Engine'!$T$3:$T$225,$M82)</f>
        <v>C</v>
      </c>
      <c r="L82" t="str">
        <f>INDEX('Draft Engine'!$X$3:$X$225,$M82)</f>
        <v>HISTORY FALLBACK</v>
      </c>
      <c r="M82" s="6">
        <f>MATCH($A82,'Draft Engine'!$Q$3:$Q$225,0)</f>
        <v>107</v>
      </c>
    </row>
    <row r="83" spans="1:13" x14ac:dyDescent="0.25">
      <c r="A83">
        <f>81</f>
        <v>81</v>
      </c>
      <c r="B83" t="str">
        <f>INDEX('Draft Engine'!$A$3:$A$225,$M83)</f>
        <v>RB</v>
      </c>
      <c r="C83">
        <f>INDEX('Draft Engine'!$F$3:$F$225,$M83)</f>
        <v>28</v>
      </c>
      <c r="D83" t="str">
        <f>INDEX('Draft Engine'!$B$3:$B$225,$M83)</f>
        <v>Tony Pollard</v>
      </c>
      <c r="E83" s="4">
        <f>INDEX('Draft Engine'!$E$3:$E$225,$M83)</f>
        <v>75.098600000000005</v>
      </c>
      <c r="F83" t="str">
        <f>INDEX('LIVE SOURCE'!$H$3:$H$225,$M83)</f>
        <v>RB2/FLEX; useful weekly but role and receiving volume matter.</v>
      </c>
      <c r="G83" t="str">
        <f>INDEX('LIVE SOURCE'!$I$3:$I$225,$M83)</f>
        <v>He produced 10.9 PPR/FP points per game across 17 games. The workload/efficiency profile gives the model a rate-based reason to keep him here. Market price is favorable around ADP 115 versus model overall rank 81.</v>
      </c>
      <c r="H83" t="str">
        <f>INDEX('LIVE SOURCE'!$J$3:$J$225,$M83)</f>
        <v>Touchdown variance, receiving-role changes and backfield competition are the main downside paths.</v>
      </c>
      <c r="I83">
        <f>INDEX('Draft Engine'!$R$3:$R$225,$M83)</f>
        <v>115.4</v>
      </c>
      <c r="J83">
        <f>INDEX('Draft Engine'!$S$3:$S$225,$M83)</f>
        <v>34.400000000000006</v>
      </c>
      <c r="K83" t="str">
        <f>INDEX('Draft Engine'!$T$3:$T$225,$M83)</f>
        <v>A</v>
      </c>
      <c r="L83" t="str">
        <f>INDEX('Draft Engine'!$X$3:$X$225,$M83)</f>
        <v>RATE-ADJUSTED VETERAN</v>
      </c>
      <c r="M83" s="6">
        <f>MATCH($A83,'Draft Engine'!$Q$3:$Q$225,0)</f>
        <v>60</v>
      </c>
    </row>
    <row r="84" spans="1:13" x14ac:dyDescent="0.25">
      <c r="A84">
        <f>82</f>
        <v>82</v>
      </c>
      <c r="B84" t="str">
        <f>INDEX('Draft Engine'!$A$3:$A$225,$M84)</f>
        <v>QB</v>
      </c>
      <c r="C84">
        <f>INDEX('Draft Engine'!$F$3:$F$225,$M84)</f>
        <v>13</v>
      </c>
      <c r="D84" t="str">
        <f>INDEX('Draft Engine'!$B$3:$B$225,$M84)</f>
        <v>Trevor Lawrence</v>
      </c>
      <c r="E84" s="4">
        <f>INDEX('Draft Engine'!$E$3:$E$225,$M84)</f>
        <v>84.692099999999996</v>
      </c>
      <c r="F84" t="str">
        <f>INDEX('LIVE SOURCE'!$H$3:$H$225,$M84)</f>
        <v>QB2/streaming tier; useful when matchup and supporting cast line up.</v>
      </c>
      <c r="G84" t="str">
        <f>INDEX('LIVE SOURCE'!$I$3:$I$225,$M84)</f>
        <v>He produced 20.6 PPR/FP points per game across 17 games. The workload/efficiency profile gives the model a rate-based reason to keep him here. Market price is favorable around ADP 118 versus model overall rank 87.</v>
      </c>
      <c r="H84" t="str">
        <f>INDEX('LIVE SOURCE'!$J$3:$J$225,$M84)</f>
        <v>Passing-TD efficiency, rushing volume and supporting-cast health are the main swing factors.</v>
      </c>
      <c r="I84">
        <f>INDEX('Draft Engine'!$R$3:$R$225,$M84)</f>
        <v>118</v>
      </c>
      <c r="J84">
        <f>INDEX('Draft Engine'!$S$3:$S$225,$M84)</f>
        <v>36</v>
      </c>
      <c r="K84" t="str">
        <f>INDEX('Draft Engine'!$T$3:$T$225,$M84)</f>
        <v>A</v>
      </c>
      <c r="L84" t="str">
        <f>INDEX('Draft Engine'!$X$3:$X$225,$M84)</f>
        <v>RATE-ADJUSTED VETERAN</v>
      </c>
      <c r="M84" s="6">
        <f>MATCH($A84,'Draft Engine'!$Q$3:$Q$225,0)</f>
        <v>13</v>
      </c>
    </row>
    <row r="85" spans="1:13" x14ac:dyDescent="0.25">
      <c r="A85">
        <f>83</f>
        <v>83</v>
      </c>
      <c r="B85" t="str">
        <f>INDEX('Draft Engine'!$A$3:$A$225,$M85)</f>
        <v>TE</v>
      </c>
      <c r="C85">
        <f>INDEX('Draft Engine'!$F$3:$F$225,$M85)</f>
        <v>13</v>
      </c>
      <c r="D85" t="str">
        <f>INDEX('Draft Engine'!$B$3:$B$225,$M85)</f>
        <v>Dallas Goedert</v>
      </c>
      <c r="E85" s="4">
        <f>INDEX('Draft Engine'!$E$3:$E$225,$M85)</f>
        <v>79.918099999999995</v>
      </c>
      <c r="F85" t="str">
        <f>INDEX('LIVE SOURCE'!$H$3:$H$225,$M85)</f>
        <v>Streaming/TE2 range; touchdown and route volume drive usefulness.</v>
      </c>
      <c r="G85" t="str">
        <f>INDEX('LIVE SOURCE'!$I$3:$I$225,$M85)</f>
        <v>He produced 12.3 PPR/FP points per game across 15 games. The workload/efficiency profile gives the model a rate-based reason to keep him here. Market price is favorable around ADP 125 versus model overall rank 88.</v>
      </c>
      <c r="H85" t="str">
        <f>INDEX('LIVE SOURCE'!$J$3:$J$225,$M85)</f>
        <v>Route share, target volume and touchdown volatility are the main swing factors.</v>
      </c>
      <c r="I85">
        <f>INDEX('Draft Engine'!$R$3:$R$225,$M85)</f>
        <v>125</v>
      </c>
      <c r="J85">
        <f>INDEX('Draft Engine'!$S$3:$S$225,$M85)</f>
        <v>42</v>
      </c>
      <c r="K85" t="str">
        <f>INDEX('Draft Engine'!$T$3:$T$225,$M85)</f>
        <v>A</v>
      </c>
      <c r="L85" t="str">
        <f>INDEX('Draft Engine'!$X$3:$X$225,$M85)</f>
        <v>RATE-ADJUSTED VETERAN</v>
      </c>
      <c r="M85" s="6">
        <f>MATCH($A85,'Draft Engine'!$Q$3:$Q$225,0)</f>
        <v>165</v>
      </c>
    </row>
    <row r="86" spans="1:13" x14ac:dyDescent="0.25">
      <c r="A86">
        <f>84</f>
        <v>84</v>
      </c>
      <c r="B86" t="str">
        <f>INDEX('Draft Engine'!$A$3:$A$225,$M86)</f>
        <v>RB</v>
      </c>
      <c r="C86">
        <f>INDEX('Draft Engine'!$F$3:$F$225,$M86)</f>
        <v>29</v>
      </c>
      <c r="D86" t="str">
        <f>INDEX('Draft Engine'!$B$3:$B$225,$M86)</f>
        <v>Rhamondre Stevenson</v>
      </c>
      <c r="E86" s="4">
        <f>INDEX('Draft Engine'!$E$3:$E$225,$M86)</f>
        <v>74.588099999999997</v>
      </c>
      <c r="F86" t="str">
        <f>INDEX('LIVE SOURCE'!$H$3:$H$225,$M86)</f>
        <v>RB2/FLEX; useful weekly but role and receiving volume matter.</v>
      </c>
      <c r="G86" t="str">
        <f>INDEX('LIVE SOURCE'!$I$3:$I$225,$M86)</f>
        <v>He produced 12.8 PPR/FP points per game across 14 games. The workload/efficiency profile gives the model a rate-based reason to keep him here. Market price is favorable around ADP 120 versus model overall rank 84.</v>
      </c>
      <c r="H86" t="str">
        <f>INDEX('LIVE SOURCE'!$J$3:$J$225,$M86)</f>
        <v>Touchdown variance, receiving-role changes and backfield competition are the main downside paths.</v>
      </c>
      <c r="I86">
        <f>INDEX('Draft Engine'!$R$3:$R$225,$M86)</f>
        <v>119.6</v>
      </c>
      <c r="J86">
        <f>INDEX('Draft Engine'!$S$3:$S$225,$M86)</f>
        <v>35.599999999999994</v>
      </c>
      <c r="K86" t="str">
        <f>INDEX('Draft Engine'!$T$3:$T$225,$M86)</f>
        <v>A</v>
      </c>
      <c r="L86" t="str">
        <f>INDEX('Draft Engine'!$X$3:$X$225,$M86)</f>
        <v>RATE-ADJUSTED VETERAN</v>
      </c>
      <c r="M86" s="6">
        <f>MATCH($A86,'Draft Engine'!$Q$3:$Q$225,0)</f>
        <v>61</v>
      </c>
    </row>
    <row r="87" spans="1:13" x14ac:dyDescent="0.25">
      <c r="A87">
        <f>85</f>
        <v>85</v>
      </c>
      <c r="B87" t="str">
        <f>INDEX('Draft Engine'!$A$3:$A$225,$M87)</f>
        <v>WR</v>
      </c>
      <c r="C87">
        <f>INDEX('Draft Engine'!$F$3:$F$225,$M87)</f>
        <v>30</v>
      </c>
      <c r="D87" t="str">
        <f>INDEX('Draft Engine'!$B$3:$B$225,$M87)</f>
        <v>Jakobi Meyers</v>
      </c>
      <c r="E87" s="4">
        <f>INDEX('Draft Engine'!$E$3:$E$225,$M87)</f>
        <v>74.88</v>
      </c>
      <c r="F87" t="str">
        <f>INDEX('LIVE SOURCE'!$H$3:$H$225,$M87)</f>
        <v>WR2/FLEX; dependable lineup option with matchup-driven ceiling.</v>
      </c>
      <c r="G87" t="str">
        <f>INDEX('LIVE SOURCE'!$I$3:$I$225,$M87)</f>
        <v>He produced 11.0 PPR/FP points per game across 16 games. The workload/efficiency profile gives the model a rate-based reason to keep him here. Market price is favorable around ADP 143 versus model overall rank 110.</v>
      </c>
      <c r="H87" t="str">
        <f>INDEX('LIVE SOURCE'!$J$3:$J$225,$M87)</f>
        <v>Target competition, quarterback efficiency and touchdown regression are the main downside paths.</v>
      </c>
      <c r="I87">
        <f>INDEX('Draft Engine'!$R$3:$R$225,$M87)</f>
        <v>143.4</v>
      </c>
      <c r="J87">
        <f>INDEX('Draft Engine'!$S$3:$S$225,$M87)</f>
        <v>58.400000000000006</v>
      </c>
      <c r="K87" t="str">
        <f>INDEX('Draft Engine'!$T$3:$T$225,$M87)</f>
        <v>C</v>
      </c>
      <c r="L87" t="str">
        <f>INDEX('Draft Engine'!$X$3:$X$225,$M87)</f>
        <v>HISTORY FALLBACK</v>
      </c>
      <c r="M87" s="6">
        <f>MATCH($A87,'Draft Engine'!$Q$3:$Q$225,0)</f>
        <v>119</v>
      </c>
    </row>
    <row r="88" spans="1:13" x14ac:dyDescent="0.25">
      <c r="A88">
        <f>86</f>
        <v>86</v>
      </c>
      <c r="B88" t="str">
        <f>INDEX('Draft Engine'!$A$3:$A$225,$M88)</f>
        <v>RB</v>
      </c>
      <c r="C88">
        <f>INDEX('Draft Engine'!$F$3:$F$225,$M88)</f>
        <v>30</v>
      </c>
      <c r="D88" t="str">
        <f>INDEX('Draft Engine'!$B$3:$B$225,$M88)</f>
        <v>Kenneth Gainwell</v>
      </c>
      <c r="E88" s="4">
        <f>INDEX('Draft Engine'!$E$3:$E$225,$M88)</f>
        <v>74.504900000000006</v>
      </c>
      <c r="F88" t="str">
        <f>INDEX('LIVE SOURCE'!$H$3:$H$225,$M88)</f>
        <v>RB2/FLEX; useful weekly but role and receiving volume matter.</v>
      </c>
      <c r="G88" t="str">
        <f>INDEX('LIVE SOURCE'!$I$3:$I$225,$M88)</f>
        <v>He produced 13.0 PPR/FP points per game across 17 games. The workload/efficiency profile gives the model a rate-based reason to keep him here. Market price is favorable around ADP 124 versus model overall rank 86.</v>
      </c>
      <c r="H88" t="str">
        <f>INDEX('LIVE SOURCE'!$J$3:$J$225,$M88)</f>
        <v>Touchdown variance, receiving-role changes and backfield competition are the main downside paths.</v>
      </c>
      <c r="I88">
        <f>INDEX('Draft Engine'!$R$3:$R$225,$M88)</f>
        <v>123.8</v>
      </c>
      <c r="J88">
        <f>INDEX('Draft Engine'!$S$3:$S$225,$M88)</f>
        <v>37.799999999999997</v>
      </c>
      <c r="K88" t="str">
        <f>INDEX('Draft Engine'!$T$3:$T$225,$M88)</f>
        <v>A</v>
      </c>
      <c r="L88" t="str">
        <f>INDEX('Draft Engine'!$X$3:$X$225,$M88)</f>
        <v>RATE-ADJUSTED VETERAN</v>
      </c>
      <c r="M88" s="6">
        <f>MATCH($A88,'Draft Engine'!$Q$3:$Q$225,0)</f>
        <v>62</v>
      </c>
    </row>
    <row r="89" spans="1:13" x14ac:dyDescent="0.25">
      <c r="A89">
        <f>87</f>
        <v>87</v>
      </c>
      <c r="B89" t="str">
        <f>INDEX('Draft Engine'!$A$3:$A$225,$M89)</f>
        <v>RB</v>
      </c>
      <c r="C89">
        <f>INDEX('Draft Engine'!$F$3:$F$225,$M89)</f>
        <v>31</v>
      </c>
      <c r="D89" t="str">
        <f>INDEX('Draft Engine'!$B$3:$B$225,$M89)</f>
        <v>Bhayshul Tuten</v>
      </c>
      <c r="E89" s="4">
        <f>INDEX('Draft Engine'!$E$3:$E$225,$M89)</f>
        <v>74.467699999999994</v>
      </c>
      <c r="F89" t="str">
        <f>INDEX('LIVE SOURCE'!$H$3:$H$225,$M89)</f>
        <v>FLEX/bench depth with upside if workload grows.</v>
      </c>
      <c r="G89" t="str">
        <f>INDEX('LIVE SOURCE'!$I$3:$I$225,$M89)</f>
        <v>He produced 5.9 PPR/FP points per game across 15 games. The workload/efficiency profile gives the model a rate-based reason to keep him here. Market price is favorable around ADP 128 versus model overall rank 89.</v>
      </c>
      <c r="H89" t="str">
        <f>INDEX('LIVE SOURCE'!$J$3:$J$225,$M89)</f>
        <v>Touchdown variance, receiving-role changes and backfield competition are the main downside paths.</v>
      </c>
      <c r="I89">
        <f>INDEX('Draft Engine'!$R$3:$R$225,$M89)</f>
        <v>128</v>
      </c>
      <c r="J89">
        <f>INDEX('Draft Engine'!$S$3:$S$225,$M89)</f>
        <v>41</v>
      </c>
      <c r="K89" t="str">
        <f>INDEX('Draft Engine'!$T$3:$T$225,$M89)</f>
        <v>A</v>
      </c>
      <c r="L89" t="str">
        <f>INDEX('Draft Engine'!$X$3:$X$225,$M89)</f>
        <v>RATE-ADJUSTED VETERAN</v>
      </c>
      <c r="M89" s="6">
        <f>MATCH($A89,'Draft Engine'!$Q$3:$Q$225,0)</f>
        <v>63</v>
      </c>
    </row>
    <row r="90" spans="1:13" x14ac:dyDescent="0.25">
      <c r="A90">
        <f>88</f>
        <v>88</v>
      </c>
      <c r="B90" t="str">
        <f>INDEX('Draft Engine'!$A$3:$A$225,$M90)</f>
        <v>WR</v>
      </c>
      <c r="C90">
        <f>INDEX('Draft Engine'!$F$3:$F$225,$M90)</f>
        <v>31</v>
      </c>
      <c r="D90" t="str">
        <f>INDEX('Draft Engine'!$B$3:$B$225,$M90)</f>
        <v>Jordan Addison</v>
      </c>
      <c r="E90" s="4">
        <f>INDEX('Draft Engine'!$E$3:$E$225,$M90)</f>
        <v>74.209999999999994</v>
      </c>
      <c r="F90" t="str">
        <f>INDEX('LIVE SOURCE'!$H$3:$H$225,$M90)</f>
        <v>WR2/FLEX; dependable lineup option with matchup-driven ceiling.</v>
      </c>
      <c r="G90" t="str">
        <f>INDEX('LIVE SOURCE'!$I$3:$I$225,$M90)</f>
        <v>He produced 9.6 PPR/FP points per game across 14 games. The workload/efficiency profile gives the model a rate-based reason to keep him here. Market price is favorable around ADP 147 versus model overall rank 114.</v>
      </c>
      <c r="H90" t="str">
        <f>INDEX('LIVE SOURCE'!$J$3:$J$225,$M90)</f>
        <v>Target competition, quarterback efficiency and touchdown regression are the main downside paths.</v>
      </c>
      <c r="I90">
        <f>INDEX('Draft Engine'!$R$3:$R$225,$M90)</f>
        <v>147.30000000000001</v>
      </c>
      <c r="J90">
        <f>INDEX('Draft Engine'!$S$3:$S$225,$M90)</f>
        <v>59.300000000000011</v>
      </c>
      <c r="K90" t="str">
        <f>INDEX('Draft Engine'!$T$3:$T$225,$M90)</f>
        <v>C</v>
      </c>
      <c r="L90" t="str">
        <f>INDEX('Draft Engine'!$X$3:$X$225,$M90)</f>
        <v>HISTORY FALLBACK</v>
      </c>
      <c r="M90" s="6">
        <f>MATCH($A90,'Draft Engine'!$Q$3:$Q$225,0)</f>
        <v>120</v>
      </c>
    </row>
    <row r="91" spans="1:13" x14ac:dyDescent="0.25">
      <c r="A91">
        <f>89</f>
        <v>89</v>
      </c>
      <c r="B91" t="str">
        <f>INDEX('Draft Engine'!$A$3:$A$225,$M91)</f>
        <v>TE</v>
      </c>
      <c r="C91">
        <f>INDEX('Draft Engine'!$F$3:$F$225,$M91)</f>
        <v>14</v>
      </c>
      <c r="D91" t="str">
        <f>INDEX('Draft Engine'!$B$3:$B$225,$M91)</f>
        <v>Mark Andrews</v>
      </c>
      <c r="E91" s="4">
        <f>INDEX('Draft Engine'!$E$3:$E$225,$M91)</f>
        <v>79.065399999999997</v>
      </c>
      <c r="F91" t="str">
        <f>INDEX('LIVE SOURCE'!$H$3:$H$225,$M91)</f>
        <v>Streaming/TE2 range; touchdown and route volume drive usefulness.</v>
      </c>
      <c r="G91" t="str">
        <f>INDEX('LIVE SOURCE'!$I$3:$I$225,$M91)</f>
        <v>He produced 7.7 PPR/FP points per game across 17 games. The workload/efficiency profile gives the model a rate-based reason to keep him here. Market price is favorable around ADP 134 versus model overall rank 97.</v>
      </c>
      <c r="H91" t="str">
        <f>INDEX('LIVE SOURCE'!$J$3:$J$225,$M91)</f>
        <v>Route share, target volume and touchdown volatility are the main swing factors.</v>
      </c>
      <c r="I91">
        <f>INDEX('Draft Engine'!$R$3:$R$225,$M91)</f>
        <v>134</v>
      </c>
      <c r="J91">
        <f>INDEX('Draft Engine'!$S$3:$S$225,$M91)</f>
        <v>45</v>
      </c>
      <c r="K91" t="str">
        <f>INDEX('Draft Engine'!$T$3:$T$225,$M91)</f>
        <v>A</v>
      </c>
      <c r="L91" t="str">
        <f>INDEX('Draft Engine'!$X$3:$X$225,$M91)</f>
        <v>RATE-ADJUSTED VETERAN</v>
      </c>
      <c r="M91" s="6">
        <f>MATCH($A91,'Draft Engine'!$Q$3:$Q$225,0)</f>
        <v>166</v>
      </c>
    </row>
    <row r="92" spans="1:13" x14ac:dyDescent="0.25">
      <c r="A92">
        <f>90</f>
        <v>90</v>
      </c>
      <c r="B92" t="str">
        <f>INDEX('Draft Engine'!$A$3:$A$225,$M92)</f>
        <v>QB</v>
      </c>
      <c r="C92">
        <f>INDEX('Draft Engine'!$F$3:$F$225,$M92)</f>
        <v>14</v>
      </c>
      <c r="D92" t="str">
        <f>INDEX('Draft Engine'!$B$3:$B$225,$M92)</f>
        <v>Brock Purdy</v>
      </c>
      <c r="E92" s="4">
        <f>INDEX('Draft Engine'!$E$3:$E$225,$M92)</f>
        <v>83.8386</v>
      </c>
      <c r="F92" t="str">
        <f>INDEX('LIVE SOURCE'!$H$3:$H$225,$M92)</f>
        <v>QB2/streaming tier; useful when matchup and supporting cast line up.</v>
      </c>
      <c r="G92" t="str">
        <f>INDEX('LIVE SOURCE'!$I$3:$I$225,$M92)</f>
        <v>He produced 20.8 PPR/FP points per game across 9 games. The workload/efficiency profile gives the model a rate-based reason to keep him here. Market price is favorable around ADP 126 versus model overall rank 95.</v>
      </c>
      <c r="H92" t="str">
        <f>INDEX('LIVE SOURCE'!$J$3:$J$225,$M92)</f>
        <v>Availability/sample risk is elevated after only 9 games; talent is not being punished as heavily as durability.</v>
      </c>
      <c r="I92">
        <f>INDEX('Draft Engine'!$R$3:$R$225,$M92)</f>
        <v>126</v>
      </c>
      <c r="J92">
        <f>INDEX('Draft Engine'!$S$3:$S$225,$M92)</f>
        <v>36</v>
      </c>
      <c r="K92" t="str">
        <f>INDEX('Draft Engine'!$T$3:$T$225,$M92)</f>
        <v>B</v>
      </c>
      <c r="L92" t="str">
        <f>INDEX('Draft Engine'!$X$3:$X$225,$M92)</f>
        <v>RATE-ADJUSTED VETERAN</v>
      </c>
      <c r="M92" s="6">
        <f>MATCH($A92,'Draft Engine'!$Q$3:$Q$225,0)</f>
        <v>14</v>
      </c>
    </row>
    <row r="93" spans="1:13" x14ac:dyDescent="0.25">
      <c r="A93">
        <f>91</f>
        <v>91</v>
      </c>
      <c r="B93" t="str">
        <f>INDEX('Draft Engine'!$A$3:$A$225,$M93)</f>
        <v>WR</v>
      </c>
      <c r="C93">
        <f>INDEX('Draft Engine'!$F$3:$F$225,$M93)</f>
        <v>32</v>
      </c>
      <c r="D93" t="str">
        <f>INDEX('Draft Engine'!$B$3:$B$225,$M93)</f>
        <v>Christian Watson</v>
      </c>
      <c r="E93" s="4">
        <f>INDEX('Draft Engine'!$E$3:$E$225,$M93)</f>
        <v>73.892499999999998</v>
      </c>
      <c r="F93" t="str">
        <f>INDEX('LIVE SOURCE'!$H$3:$H$225,$M93)</f>
        <v>WR2/FLEX; dependable lineup option with matchup-driven ceiling.</v>
      </c>
      <c r="G93" t="str">
        <f>INDEX('LIVE SOURCE'!$I$3:$I$225,$M93)</f>
        <v>He produced 13.2 PPR/FP points per game across 10 games. The workload/efficiency profile gives the model a rate-based reason to keep him here.</v>
      </c>
      <c r="H93" t="str">
        <f>INDEX('LIVE SOURCE'!$J$3:$J$225,$M93)</f>
        <v>Target competition, quarterback efficiency and touchdown regression are the main downside paths.</v>
      </c>
      <c r="I93">
        <f>INDEX('Draft Engine'!$R$3:$R$225,$M93)</f>
        <v>116.1</v>
      </c>
      <c r="J93">
        <f>INDEX('Draft Engine'!$S$3:$S$225,$M93)</f>
        <v>25.099999999999994</v>
      </c>
      <c r="K93" t="str">
        <f>INDEX('Draft Engine'!$T$3:$T$225,$M93)</f>
        <v>C</v>
      </c>
      <c r="L93" t="str">
        <f>INDEX('Draft Engine'!$X$3:$X$225,$M93)</f>
        <v>HISTORY FALLBACK</v>
      </c>
      <c r="M93" s="6">
        <f>MATCH($A93,'Draft Engine'!$Q$3:$Q$225,0)</f>
        <v>112</v>
      </c>
    </row>
    <row r="94" spans="1:13" x14ac:dyDescent="0.25">
      <c r="A94">
        <f>92</f>
        <v>92</v>
      </c>
      <c r="B94" t="str">
        <f>INDEX('Draft Engine'!$A$3:$A$225,$M94)</f>
        <v>RB</v>
      </c>
      <c r="C94">
        <f>INDEX('Draft Engine'!$F$3:$F$225,$M94)</f>
        <v>32</v>
      </c>
      <c r="D94" t="str">
        <f>INDEX('Draft Engine'!$B$3:$B$225,$M94)</f>
        <v>RJ Harvey</v>
      </c>
      <c r="E94" s="4">
        <f>INDEX('Draft Engine'!$E$3:$E$225,$M94)</f>
        <v>73.567800000000005</v>
      </c>
      <c r="F94" t="str">
        <f>INDEX('LIVE SOURCE'!$H$3:$H$225,$M94)</f>
        <v>FLEX/bench depth with upside if workload grows.</v>
      </c>
      <c r="G94" t="str">
        <f>INDEX('LIVE SOURCE'!$I$3:$I$225,$M94)</f>
        <v>He produced 12.2 PPR/FP points per game across 17 games. The workload/efficiency profile gives the model a rate-based reason to keep him here. Market price is favorable around ADP 132 versus model overall rank 96.</v>
      </c>
      <c r="H94" t="str">
        <f>INDEX('LIVE SOURCE'!$J$3:$J$225,$M94)</f>
        <v>Touchdown variance, receiving-role changes and backfield competition are the main downside paths.</v>
      </c>
      <c r="I94">
        <f>INDEX('Draft Engine'!$R$3:$R$225,$M94)</f>
        <v>132.19999999999999</v>
      </c>
      <c r="J94">
        <f>INDEX('Draft Engine'!$S$3:$S$225,$M94)</f>
        <v>40.199999999999989</v>
      </c>
      <c r="K94" t="str">
        <f>INDEX('Draft Engine'!$T$3:$T$225,$M94)</f>
        <v>A</v>
      </c>
      <c r="L94" t="str">
        <f>INDEX('Draft Engine'!$X$3:$X$225,$M94)</f>
        <v>RATE-ADJUSTED VETERAN</v>
      </c>
      <c r="M94" s="6">
        <f>MATCH($A94,'Draft Engine'!$Q$3:$Q$225,0)</f>
        <v>64</v>
      </c>
    </row>
    <row r="95" spans="1:13" x14ac:dyDescent="0.25">
      <c r="A95">
        <f>93</f>
        <v>93</v>
      </c>
      <c r="B95" t="str">
        <f>INDEX('Draft Engine'!$A$3:$A$225,$M95)</f>
        <v>WR</v>
      </c>
      <c r="C95">
        <f>INDEX('Draft Engine'!$F$3:$F$225,$M95)</f>
        <v>33</v>
      </c>
      <c r="D95" t="str">
        <f>INDEX('Draft Engine'!$B$3:$B$225,$M95)</f>
        <v>Rome Odunze</v>
      </c>
      <c r="E95" s="4">
        <f>INDEX('Draft Engine'!$E$3:$E$225,$M95)</f>
        <v>73.644999999999996</v>
      </c>
      <c r="F95" t="str">
        <f>INDEX('LIVE SOURCE'!$H$3:$H$225,$M95)</f>
        <v>WR2/FLEX; dependable lineup option with matchup-driven ceiling.</v>
      </c>
      <c r="G95" t="str">
        <f>INDEX('LIVE SOURCE'!$I$3:$I$225,$M95)</f>
        <v>He produced 12.2 PPR/FP points per game across 12 games. The workload/efficiency profile gives the model a rate-based reason to keep him here.</v>
      </c>
      <c r="H95" t="str">
        <f>INDEX('LIVE SOURCE'!$J$3:$J$225,$M95)</f>
        <v>Target competition, quarterback efficiency and touchdown regression are the main downside paths.</v>
      </c>
      <c r="I95">
        <f>INDEX('Draft Engine'!$R$3:$R$225,$M95)</f>
        <v>104.4</v>
      </c>
      <c r="J95">
        <f>INDEX('Draft Engine'!$S$3:$S$225,$M95)</f>
        <v>11.400000000000006</v>
      </c>
      <c r="K95" t="str">
        <f>INDEX('Draft Engine'!$T$3:$T$225,$M95)</f>
        <v>C</v>
      </c>
      <c r="L95" t="str">
        <f>INDEX('Draft Engine'!$X$3:$X$225,$M95)</f>
        <v>HISTORY FALLBACK</v>
      </c>
      <c r="M95" s="6">
        <f>MATCH($A95,'Draft Engine'!$Q$3:$Q$225,0)</f>
        <v>109</v>
      </c>
    </row>
    <row r="96" spans="1:13" x14ac:dyDescent="0.25">
      <c r="A96">
        <f>94</f>
        <v>94</v>
      </c>
      <c r="B96" t="str">
        <f>INDEX('Draft Engine'!$A$3:$A$225,$M96)</f>
        <v>TE</v>
      </c>
      <c r="C96">
        <f>INDEX('Draft Engine'!$F$3:$F$225,$M96)</f>
        <v>15</v>
      </c>
      <c r="D96" t="str">
        <f>INDEX('Draft Engine'!$B$3:$B$225,$M96)</f>
        <v>Isaiah Likely</v>
      </c>
      <c r="E96" s="4">
        <f>INDEX('Draft Engine'!$E$3:$E$225,$M96)</f>
        <v>78.579499999999996</v>
      </c>
      <c r="F96" t="str">
        <f>INDEX('LIVE SOURCE'!$H$3:$H$225,$M96)</f>
        <v>Streaming/TE2 range; touchdown and route volume drive usefulness.</v>
      </c>
      <c r="G96" t="str">
        <f>INDEX('LIVE SOURCE'!$I$3:$I$225,$M96)</f>
        <v>He produced 4.4 PPR/FP points per game across 14 games. The workload/efficiency profile gives the model a rate-based reason to keep him here. Market price is favorable around ADP 143 versus model overall rank 99.</v>
      </c>
      <c r="H96" t="str">
        <f>INDEX('LIVE SOURCE'!$J$3:$J$225,$M96)</f>
        <v>Route share, target volume and touchdown volatility are the main swing factors.</v>
      </c>
      <c r="I96">
        <f>INDEX('Draft Engine'!$R$3:$R$225,$M96)</f>
        <v>143</v>
      </c>
      <c r="J96">
        <f>INDEX('Draft Engine'!$S$3:$S$225,$M96)</f>
        <v>49</v>
      </c>
      <c r="K96" t="str">
        <f>INDEX('Draft Engine'!$T$3:$T$225,$M96)</f>
        <v>A</v>
      </c>
      <c r="L96" t="str">
        <f>INDEX('Draft Engine'!$X$3:$X$225,$M96)</f>
        <v>RATE-ADJUSTED VETERAN</v>
      </c>
      <c r="M96" s="6">
        <f>MATCH($A96,'Draft Engine'!$Q$3:$Q$225,0)</f>
        <v>167</v>
      </c>
    </row>
    <row r="97" spans="1:13" x14ac:dyDescent="0.25">
      <c r="A97">
        <f>95</f>
        <v>95</v>
      </c>
      <c r="B97" t="str">
        <f>INDEX('Draft Engine'!$A$3:$A$225,$M97)</f>
        <v>WR</v>
      </c>
      <c r="C97">
        <f>INDEX('Draft Engine'!$F$3:$F$225,$M97)</f>
        <v>34</v>
      </c>
      <c r="D97" t="str">
        <f>INDEX('Draft Engine'!$B$3:$B$225,$M97)</f>
        <v>Wan'Dale Robinson</v>
      </c>
      <c r="E97" s="4">
        <f>INDEX('Draft Engine'!$E$3:$E$225,$M97)</f>
        <v>73.540000000000006</v>
      </c>
      <c r="F97" t="str">
        <f>INDEX('LIVE SOURCE'!$H$3:$H$225,$M97)</f>
        <v>WR2/FLEX; dependable lineup option with matchup-driven ceiling.</v>
      </c>
      <c r="G97" t="str">
        <f>INDEX('LIVE SOURCE'!$I$3:$I$225,$M97)</f>
        <v>He produced 13.7 PPR/FP points per game across 16 games. The workload/efficiency profile gives the model a rate-based reason to keep him here. Market price is favorable around ADP 151 versus model overall rank 118.</v>
      </c>
      <c r="H97" t="str">
        <f>INDEX('LIVE SOURCE'!$J$3:$J$225,$M97)</f>
        <v>Target competition, quarterback efficiency and touchdown regression are the main downside paths.</v>
      </c>
      <c r="I97">
        <f>INDEX('Draft Engine'!$R$3:$R$225,$M97)</f>
        <v>151.19999999999999</v>
      </c>
      <c r="J97">
        <f>INDEX('Draft Engine'!$S$3:$S$225,$M97)</f>
        <v>56.199999999999989</v>
      </c>
      <c r="K97" t="str">
        <f>INDEX('Draft Engine'!$T$3:$T$225,$M97)</f>
        <v>C</v>
      </c>
      <c r="L97" t="str">
        <f>INDEX('Draft Engine'!$X$3:$X$225,$M97)</f>
        <v>HISTORY FALLBACK</v>
      </c>
      <c r="M97" s="6">
        <f>MATCH($A97,'Draft Engine'!$Q$3:$Q$225,0)</f>
        <v>121</v>
      </c>
    </row>
    <row r="98" spans="1:13" x14ac:dyDescent="0.25">
      <c r="A98">
        <f>96</f>
        <v>96</v>
      </c>
      <c r="B98" t="str">
        <f>INDEX('Draft Engine'!$A$3:$A$225,$M98)</f>
        <v>QB</v>
      </c>
      <c r="C98">
        <f>INDEX('Draft Engine'!$F$3:$F$225,$M98)</f>
        <v>15</v>
      </c>
      <c r="D98" t="str">
        <f>INDEX('Draft Engine'!$B$3:$B$225,$M98)</f>
        <v>Jaxson Dart</v>
      </c>
      <c r="E98" s="4">
        <f>INDEX('Draft Engine'!$E$3:$E$225,$M98)</f>
        <v>83.060699999999997</v>
      </c>
      <c r="F98" t="str">
        <f>INDEX('LIVE SOURCE'!$H$3:$H$225,$M98)</f>
        <v>QB2/streaming tier; useful when matchup and supporting cast line up.</v>
      </c>
      <c r="G98" t="str">
        <f>INDEX('LIVE SOURCE'!$I$3:$I$225,$M98)</f>
        <v>He produced 17.6 PPR/FP points per game across 14 games. The workload/efficiency profile gives the model a rate-based reason to keep him here. Market price is favorable around ADP 134 versus model overall rank 101.</v>
      </c>
      <c r="H98" t="str">
        <f>INDEX('LIVE SOURCE'!$J$3:$J$225,$M98)</f>
        <v>Passing-TD efficiency, rushing volume and supporting-cast health are the main swing factors.</v>
      </c>
      <c r="I98">
        <f>INDEX('Draft Engine'!$R$3:$R$225,$M98)</f>
        <v>134</v>
      </c>
      <c r="J98">
        <f>INDEX('Draft Engine'!$S$3:$S$225,$M98)</f>
        <v>38</v>
      </c>
      <c r="K98" t="str">
        <f>INDEX('Draft Engine'!$T$3:$T$225,$M98)</f>
        <v>A</v>
      </c>
      <c r="L98" t="str">
        <f>INDEX('Draft Engine'!$X$3:$X$225,$M98)</f>
        <v>RATE-ADJUSTED VETERAN</v>
      </c>
      <c r="M98" s="6">
        <f>MATCH($A98,'Draft Engine'!$Q$3:$Q$225,0)</f>
        <v>15</v>
      </c>
    </row>
    <row r="99" spans="1:13" x14ac:dyDescent="0.25">
      <c r="A99">
        <f>97</f>
        <v>97</v>
      </c>
      <c r="B99" t="str">
        <f>INDEX('Draft Engine'!$A$3:$A$225,$M99)</f>
        <v>TE</v>
      </c>
      <c r="C99">
        <f>INDEX('Draft Engine'!$F$3:$F$225,$M99)</f>
        <v>16</v>
      </c>
      <c r="D99" t="str">
        <f>INDEX('Draft Engine'!$B$3:$B$225,$M99)</f>
        <v>Juwan Johnson</v>
      </c>
      <c r="E99" s="4">
        <f>INDEX('Draft Engine'!$E$3:$E$225,$M99)</f>
        <v>78.320300000000003</v>
      </c>
      <c r="F99" t="str">
        <f>INDEX('LIVE SOURCE'!$H$3:$H$225,$M99)</f>
        <v>Streaming/TE2 range; touchdown and route volume drive usefulness.</v>
      </c>
      <c r="G99" t="str">
        <f>INDEX('LIVE SOURCE'!$I$3:$I$225,$M99)</f>
        <v>He produced 10.6 PPR/FP points per game across 17 games. The workload/efficiency profile gives the model a rate-based reason to keep him here. Market price is favorable around ADP 152 versus model overall rank 103.</v>
      </c>
      <c r="H99" t="str">
        <f>INDEX('LIVE SOURCE'!$J$3:$J$225,$M99)</f>
        <v>Route share, target volume and touchdown volatility are the main swing factors.</v>
      </c>
      <c r="I99">
        <f>INDEX('Draft Engine'!$R$3:$R$225,$M99)</f>
        <v>152</v>
      </c>
      <c r="J99">
        <f>INDEX('Draft Engine'!$S$3:$S$225,$M99)</f>
        <v>55</v>
      </c>
      <c r="K99" t="str">
        <f>INDEX('Draft Engine'!$T$3:$T$225,$M99)</f>
        <v>A</v>
      </c>
      <c r="L99" t="str">
        <f>INDEX('Draft Engine'!$X$3:$X$225,$M99)</f>
        <v>RATE-ADJUSTED VETERAN</v>
      </c>
      <c r="M99" s="6">
        <f>MATCH($A99,'Draft Engine'!$Q$3:$Q$225,0)</f>
        <v>168</v>
      </c>
    </row>
    <row r="100" spans="1:13" x14ac:dyDescent="0.25">
      <c r="A100">
        <f>98</f>
        <v>98</v>
      </c>
      <c r="B100" t="str">
        <f>INDEX('Draft Engine'!$A$3:$A$225,$M100)</f>
        <v>RB</v>
      </c>
      <c r="C100">
        <f>INDEX('Draft Engine'!$F$3:$F$225,$M100)</f>
        <v>33</v>
      </c>
      <c r="D100" t="str">
        <f>INDEX('Draft Engine'!$B$3:$B$225,$M100)</f>
        <v>Kyle Monangai</v>
      </c>
      <c r="E100" s="4">
        <f>INDEX('Draft Engine'!$E$3:$E$225,$M100)</f>
        <v>72.610200000000006</v>
      </c>
      <c r="F100" t="str">
        <f>INDEX('LIVE SOURCE'!$H$3:$H$225,$M100)</f>
        <v>FLEX/bench depth with upside if workload grows.</v>
      </c>
      <c r="G100" t="str">
        <f>INDEX('LIVE SOURCE'!$I$3:$I$225,$M100)</f>
        <v>He produced 8.7 PPR/FP points per game across 17 games. The workload/efficiency profile gives the model a rate-based reason to keep him here. Market price is favorable around ADP 136 versus model overall rank 102.</v>
      </c>
      <c r="H100" t="str">
        <f>INDEX('LIVE SOURCE'!$J$3:$J$225,$M100)</f>
        <v>Touchdown variance, receiving-role changes and backfield competition are the main downside paths.</v>
      </c>
      <c r="I100">
        <f>INDEX('Draft Engine'!$R$3:$R$225,$M100)</f>
        <v>136.4</v>
      </c>
      <c r="J100">
        <f>INDEX('Draft Engine'!$S$3:$S$225,$M100)</f>
        <v>38.400000000000006</v>
      </c>
      <c r="K100" t="str">
        <f>INDEX('Draft Engine'!$T$3:$T$225,$M100)</f>
        <v>A</v>
      </c>
      <c r="L100" t="str">
        <f>INDEX('Draft Engine'!$X$3:$X$225,$M100)</f>
        <v>RATE-ADJUSTED VETERAN</v>
      </c>
      <c r="M100" s="6">
        <f>MATCH($A100,'Draft Engine'!$Q$3:$Q$225,0)</f>
        <v>65</v>
      </c>
    </row>
    <row r="101" spans="1:13" x14ac:dyDescent="0.25">
      <c r="A101">
        <f>99</f>
        <v>99</v>
      </c>
      <c r="B101" t="str">
        <f>INDEX('Draft Engine'!$A$3:$A$225,$M101)</f>
        <v>QB</v>
      </c>
      <c r="C101">
        <f>INDEX('Draft Engine'!$F$3:$F$225,$M101)</f>
        <v>16</v>
      </c>
      <c r="D101" t="str">
        <f>INDEX('Draft Engine'!$B$3:$B$225,$M101)</f>
        <v>Jared Goff</v>
      </c>
      <c r="E101" s="4">
        <f>INDEX('Draft Engine'!$E$3:$E$225,$M101)</f>
        <v>82.642499999999998</v>
      </c>
      <c r="F101" t="str">
        <f>INDEX('LIVE SOURCE'!$H$3:$H$225,$M101)</f>
        <v>QB2/streaming tier; useful when matchup and supporting cast line up.</v>
      </c>
      <c r="G101" t="str">
        <f>INDEX('LIVE SOURCE'!$I$3:$I$225,$M101)</f>
        <v>He produced 17.9 PPR/FP points per game across 17 games. The workload/efficiency profile gives the model a rate-based reason to keep him here. Market price is favorable around ADP 142 versus model overall rank 106.</v>
      </c>
      <c r="H101" t="str">
        <f>INDEX('LIVE SOURCE'!$J$3:$J$225,$M101)</f>
        <v>Passing-TD efficiency, rushing volume and supporting-cast health are the main swing factors.</v>
      </c>
      <c r="I101">
        <f>INDEX('Draft Engine'!$R$3:$R$225,$M101)</f>
        <v>142</v>
      </c>
      <c r="J101">
        <f>INDEX('Draft Engine'!$S$3:$S$225,$M101)</f>
        <v>43</v>
      </c>
      <c r="K101" t="str">
        <f>INDEX('Draft Engine'!$T$3:$T$225,$M101)</f>
        <v>A</v>
      </c>
      <c r="L101" t="str">
        <f>INDEX('Draft Engine'!$X$3:$X$225,$M101)</f>
        <v>RATE-ADJUSTED VETERAN</v>
      </c>
      <c r="M101" s="6">
        <f>MATCH($A101,'Draft Engine'!$Q$3:$Q$225,0)</f>
        <v>16</v>
      </c>
    </row>
    <row r="102" spans="1:13" x14ac:dyDescent="0.25">
      <c r="A102">
        <f>100</f>
        <v>100</v>
      </c>
      <c r="B102" t="str">
        <f>INDEX('Draft Engine'!$A$3:$A$225,$M102)</f>
        <v>RB</v>
      </c>
      <c r="C102">
        <f>INDEX('Draft Engine'!$F$3:$F$225,$M102)</f>
        <v>34</v>
      </c>
      <c r="D102" t="str">
        <f>INDEX('Draft Engine'!$B$3:$B$225,$M102)</f>
        <v>Chuba Hubbard</v>
      </c>
      <c r="E102" s="4">
        <f>INDEX('Draft Engine'!$E$3:$E$225,$M102)</f>
        <v>71.866699999999994</v>
      </c>
      <c r="F102" t="str">
        <f>INDEX('LIVE SOURCE'!$H$3:$H$225,$M102)</f>
        <v>FLEX/bench depth with upside if workload grows.</v>
      </c>
      <c r="G102" t="str">
        <f>INDEX('LIVE SOURCE'!$I$3:$I$225,$M102)</f>
        <v>He produced 8.4 PPR/FP points per game across 15 games. The workload/efficiency profile gives the model a rate-based reason to keep him here. Market price is favorable around ADP 141 versus model overall rank 107.</v>
      </c>
      <c r="H102" t="str">
        <f>INDEX('LIVE SOURCE'!$J$3:$J$225,$M102)</f>
        <v>Touchdown variance, receiving-role changes and backfield competition are the main downside paths.</v>
      </c>
      <c r="I102">
        <f>INDEX('Draft Engine'!$R$3:$R$225,$M102)</f>
        <v>140.6</v>
      </c>
      <c r="J102">
        <f>INDEX('Draft Engine'!$S$3:$S$225,$M102)</f>
        <v>40.599999999999994</v>
      </c>
      <c r="K102" t="str">
        <f>INDEX('Draft Engine'!$T$3:$T$225,$M102)</f>
        <v>A</v>
      </c>
      <c r="L102" t="str">
        <f>INDEX('Draft Engine'!$X$3:$X$225,$M102)</f>
        <v>RATE-ADJUSTED VETERAN</v>
      </c>
      <c r="M102" s="6">
        <f>MATCH($A102,'Draft Engine'!$Q$3:$Q$225,0)</f>
        <v>66</v>
      </c>
    </row>
    <row r="103" spans="1:13" x14ac:dyDescent="0.25">
      <c r="A103">
        <f>101</f>
        <v>101</v>
      </c>
      <c r="B103" t="str">
        <f>INDEX('Draft Engine'!$A$3:$A$225,$M103)</f>
        <v>WR</v>
      </c>
      <c r="C103">
        <f>INDEX('Draft Engine'!$F$3:$F$225,$M103)</f>
        <v>35</v>
      </c>
      <c r="D103" t="str">
        <f>INDEX('Draft Engine'!$B$3:$B$225,$M103)</f>
        <v>Carnell Tate</v>
      </c>
      <c r="E103" s="4">
        <f>INDEX('Draft Engine'!$E$3:$E$225,$M103)</f>
        <v>71.89</v>
      </c>
      <c r="F103" t="str">
        <f>INDEX('LIVE SOURCE'!$H$3:$H$225,$M103)</f>
        <v>WR2/FLEX; dependable lineup option with matchup-driven ceiling.</v>
      </c>
      <c r="G103" t="str">
        <f>INDEX('LIVE SOURCE'!$I$3:$I$225,$M103)</f>
        <v>Rookie score 95.1, backed by No. 4 draft capital and a 6.71 NFL prospect grade. The 2026 role projection is strong enough to replace missing NFL history.</v>
      </c>
      <c r="H103" t="str">
        <f>INDEX('LIVE SOURCE'!$J$3:$J$225,$M103)</f>
        <v>NFL translation and exact weekly role are the main variables; preseason first-team usage can move this rating quickly.</v>
      </c>
      <c r="I103">
        <f>INDEX('Draft Engine'!$R$3:$R$225,$M103)</f>
        <v>127.8</v>
      </c>
      <c r="J103">
        <f>INDEX('Draft Engine'!$S$3:$S$225,$M103)</f>
        <v>26.799999999999997</v>
      </c>
      <c r="K103" t="str">
        <f>INDEX('Draft Engine'!$T$3:$T$225,$M103)</f>
        <v>C</v>
      </c>
      <c r="L103" t="str">
        <f>INDEX('Draft Engine'!$X$3:$X$225,$M103)</f>
        <v>HISTORY FALLBACK</v>
      </c>
      <c r="M103" s="6">
        <f>MATCH($A103,'Draft Engine'!$Q$3:$Q$225,0)</f>
        <v>115</v>
      </c>
    </row>
    <row r="104" spans="1:13" x14ac:dyDescent="0.25">
      <c r="A104">
        <f>102</f>
        <v>102</v>
      </c>
      <c r="B104" t="str">
        <f>INDEX('Draft Engine'!$A$3:$A$225,$M104)</f>
        <v>RB</v>
      </c>
      <c r="C104">
        <f>INDEX('Draft Engine'!$F$3:$F$225,$M104)</f>
        <v>35</v>
      </c>
      <c r="D104" t="str">
        <f>INDEX('Draft Engine'!$B$3:$B$225,$M104)</f>
        <v>Aaron Jones Sr.</v>
      </c>
      <c r="E104" s="4">
        <f>INDEX('Draft Engine'!$E$3:$E$225,$M104)</f>
        <v>71.697699999999998</v>
      </c>
      <c r="F104" t="str">
        <f>INDEX('LIVE SOURCE'!$H$3:$H$225,$M104)</f>
        <v>FLEX/bench depth with upside if workload grows.</v>
      </c>
      <c r="G104" t="str">
        <f>INDEX('LIVE SOURCE'!$I$3:$I$225,$M104)</f>
        <v>He produced 9.9 PPR/FP points per game across 12 games. The workload/efficiency profile gives the model a rate-based reason to keep him here. Market price is favorable around ADP 145 versus model overall rank 111.</v>
      </c>
      <c r="H104" t="str">
        <f>INDEX('LIVE SOURCE'!$J$3:$J$225,$M104)</f>
        <v>Touchdown variance, receiving-role changes and backfield competition are the main downside paths.</v>
      </c>
      <c r="I104">
        <f>INDEX('Draft Engine'!$R$3:$R$225,$M104)</f>
        <v>144.80000000000001</v>
      </c>
      <c r="J104">
        <f>INDEX('Draft Engine'!$S$3:$S$225,$M104)</f>
        <v>42.800000000000011</v>
      </c>
      <c r="K104" t="str">
        <f>INDEX('Draft Engine'!$T$3:$T$225,$M104)</f>
        <v>A</v>
      </c>
      <c r="L104" t="str">
        <f>INDEX('Draft Engine'!$X$3:$X$225,$M104)</f>
        <v>RATE-ADJUSTED VETERAN</v>
      </c>
      <c r="M104" s="6">
        <f>MATCH($A104,'Draft Engine'!$Q$3:$Q$225,0)</f>
        <v>67</v>
      </c>
    </row>
    <row r="105" spans="1:13" x14ac:dyDescent="0.25">
      <c r="A105">
        <f>103</f>
        <v>103</v>
      </c>
      <c r="B105" t="str">
        <f>INDEX('Draft Engine'!$A$3:$A$225,$M105)</f>
        <v>WR</v>
      </c>
      <c r="C105">
        <f>INDEX('Draft Engine'!$F$3:$F$225,$M105)</f>
        <v>36</v>
      </c>
      <c r="D105" t="str">
        <f>INDEX('Draft Engine'!$B$3:$B$225,$M105)</f>
        <v>Marvin Harrison Jr.</v>
      </c>
      <c r="E105" s="4">
        <f>INDEX('Draft Engine'!$E$3:$E$225,$M105)</f>
        <v>71.81</v>
      </c>
      <c r="F105" t="str">
        <f>INDEX('LIVE SOURCE'!$H$3:$H$225,$M105)</f>
        <v>FLEX/bench receiver; needs target growth or efficiency spikes.</v>
      </c>
      <c r="G105" t="str">
        <f>INDEX('LIVE SOURCE'!$I$3:$I$225,$M105)</f>
        <v>He produced 10.6 PPR/FP points per game across 12 games. The workload/efficiency profile gives the model a rate-based reason to keep him here.</v>
      </c>
      <c r="H105" t="str">
        <f>INDEX('LIVE SOURCE'!$J$3:$J$225,$M105)</f>
        <v>Target competition, quarterback efficiency and touchdown regression are the main downside paths.</v>
      </c>
      <c r="I105">
        <f>INDEX('Draft Engine'!$R$3:$R$225,$M105)</f>
        <v>112.2</v>
      </c>
      <c r="J105">
        <f>INDEX('Draft Engine'!$S$3:$S$225,$M105)</f>
        <v>9.2000000000000028</v>
      </c>
      <c r="K105" t="str">
        <f>INDEX('Draft Engine'!$T$3:$T$225,$M105)</f>
        <v>C</v>
      </c>
      <c r="L105" t="str">
        <f>INDEX('Draft Engine'!$X$3:$X$225,$M105)</f>
        <v>HISTORY FALLBACK</v>
      </c>
      <c r="M105" s="6">
        <f>MATCH($A105,'Draft Engine'!$Q$3:$Q$225,0)</f>
        <v>111</v>
      </c>
    </row>
    <row r="106" spans="1:13" x14ac:dyDescent="0.25">
      <c r="A106">
        <f>104</f>
        <v>104</v>
      </c>
      <c r="B106" t="str">
        <f>INDEX('Draft Engine'!$A$3:$A$225,$M106)</f>
        <v>WR</v>
      </c>
      <c r="C106">
        <f>INDEX('Draft Engine'!$F$3:$F$225,$M106)</f>
        <v>37</v>
      </c>
      <c r="D106" t="str">
        <f>INDEX('Draft Engine'!$B$3:$B$225,$M106)</f>
        <v>Parker Washington</v>
      </c>
      <c r="E106" s="4">
        <f>INDEX('Draft Engine'!$E$3:$E$225,$M106)</f>
        <v>71.53</v>
      </c>
      <c r="F106" t="str">
        <f>INDEX('LIVE SOURCE'!$H$3:$H$225,$M106)</f>
        <v>FLEX/bench receiver; needs target growth or efficiency spikes.</v>
      </c>
      <c r="G106" t="str">
        <f>INDEX('LIVE SOURCE'!$I$3:$I$225,$M106)</f>
        <v>He produced 11.5 PPR/FP points per game across 16 games. The workload/efficiency profile gives the model a rate-based reason to keep him here. Market price is favorable around ADP 163 versus model overall rank 133.</v>
      </c>
      <c r="H106" t="str">
        <f>INDEX('LIVE SOURCE'!$J$3:$J$225,$M106)</f>
        <v>Target competition, quarterback efficiency and touchdown regression are the main downside paths.</v>
      </c>
      <c r="I106">
        <f>INDEX('Draft Engine'!$R$3:$R$225,$M106)</f>
        <v>162.9</v>
      </c>
      <c r="J106">
        <f>INDEX('Draft Engine'!$S$3:$S$225,$M106)</f>
        <v>58.900000000000006</v>
      </c>
      <c r="K106" t="str">
        <f>INDEX('Draft Engine'!$T$3:$T$225,$M106)</f>
        <v>C</v>
      </c>
      <c r="L106" t="str">
        <f>INDEX('Draft Engine'!$X$3:$X$225,$M106)</f>
        <v>HISTORY FALLBACK</v>
      </c>
      <c r="M106" s="6">
        <f>MATCH($A106,'Draft Engine'!$Q$3:$Q$225,0)</f>
        <v>124</v>
      </c>
    </row>
    <row r="107" spans="1:13" x14ac:dyDescent="0.25">
      <c r="A107">
        <f>105</f>
        <v>105</v>
      </c>
      <c r="B107" t="str">
        <f>INDEX('Draft Engine'!$A$3:$A$225,$M107)</f>
        <v>TE</v>
      </c>
      <c r="C107">
        <f>INDEX('Draft Engine'!$F$3:$F$225,$M107)</f>
        <v>17</v>
      </c>
      <c r="D107" t="str">
        <f>INDEX('Draft Engine'!$B$3:$B$225,$M107)</f>
        <v>Hunter Henry</v>
      </c>
      <c r="E107" s="4">
        <f>INDEX('Draft Engine'!$E$3:$E$225,$M107)</f>
        <v>76.252600000000001</v>
      </c>
      <c r="F107" t="str">
        <f>INDEX('LIVE SOURCE'!$H$3:$H$225,$M107)</f>
        <v>Streaming/TE2 range; touchdown and route volume drive usefulness.</v>
      </c>
      <c r="G107" t="str">
        <f>INDEX('LIVE SOURCE'!$I$3:$I$225,$M107)</f>
        <v>He produced 10.5 PPR/FP points per game across 17 games. The workload/efficiency profile gives the model a rate-based reason to keep him here. Market price is favorable around ADP 161 versus model overall rank 116.</v>
      </c>
      <c r="H107" t="str">
        <f>INDEX('LIVE SOURCE'!$J$3:$J$225,$M107)</f>
        <v>Route share, target volume and touchdown volatility are the main swing factors.</v>
      </c>
      <c r="I107">
        <f>INDEX('Draft Engine'!$R$3:$R$225,$M107)</f>
        <v>161</v>
      </c>
      <c r="J107">
        <f>INDEX('Draft Engine'!$S$3:$S$225,$M107)</f>
        <v>56</v>
      </c>
      <c r="K107" t="str">
        <f>INDEX('Draft Engine'!$T$3:$T$225,$M107)</f>
        <v>A</v>
      </c>
      <c r="L107" t="str">
        <f>INDEX('Draft Engine'!$X$3:$X$225,$M107)</f>
        <v>RATE-ADJUSTED VETERAN</v>
      </c>
      <c r="M107" s="6">
        <f>MATCH($A107,'Draft Engine'!$Q$3:$Q$225,0)</f>
        <v>169</v>
      </c>
    </row>
    <row r="108" spans="1:13" x14ac:dyDescent="0.25">
      <c r="A108">
        <f>106</f>
        <v>106</v>
      </c>
      <c r="B108" t="str">
        <f>INDEX('Draft Engine'!$A$3:$A$225,$M108)</f>
        <v>RB</v>
      </c>
      <c r="C108">
        <f>INDEX('Draft Engine'!$F$3:$F$225,$M108)</f>
        <v>36</v>
      </c>
      <c r="D108" t="str">
        <f>INDEX('Draft Engine'!$B$3:$B$225,$M108)</f>
        <v>J.K. Dobbins</v>
      </c>
      <c r="E108" s="4">
        <f>INDEX('Draft Engine'!$E$3:$E$225,$M108)</f>
        <v>71.166600000000003</v>
      </c>
      <c r="F108" t="str">
        <f>INDEX('LIVE SOURCE'!$H$3:$H$225,$M108)</f>
        <v>FLEX/bench depth with upside if workload grows.</v>
      </c>
      <c r="G108" t="str">
        <f>INDEX('LIVE SOURCE'!$I$3:$I$225,$M108)</f>
        <v>He produced 11.6 PPR/FP points per game across 10 games. The workload/efficiency profile gives the model a rate-based reason to keep him here. Market price is favorable around ADP 149 versus model overall rank 113.</v>
      </c>
      <c r="H108" t="str">
        <f>INDEX('LIVE SOURCE'!$J$3:$J$225,$M108)</f>
        <v>Touchdown variance, receiving-role changes and backfield competition are the main downside paths.</v>
      </c>
      <c r="I108">
        <f>INDEX('Draft Engine'!$R$3:$R$225,$M108)</f>
        <v>149</v>
      </c>
      <c r="J108">
        <f>INDEX('Draft Engine'!$S$3:$S$225,$M108)</f>
        <v>43</v>
      </c>
      <c r="K108" t="str">
        <f>INDEX('Draft Engine'!$T$3:$T$225,$M108)</f>
        <v>B</v>
      </c>
      <c r="L108" t="str">
        <f>INDEX('Draft Engine'!$X$3:$X$225,$M108)</f>
        <v>RATE-ADJUSTED VETERAN</v>
      </c>
      <c r="M108" s="6">
        <f>MATCH($A108,'Draft Engine'!$Q$3:$Q$225,0)</f>
        <v>68</v>
      </c>
    </row>
    <row r="109" spans="1:13" x14ac:dyDescent="0.25">
      <c r="A109">
        <f>107</f>
        <v>107</v>
      </c>
      <c r="B109" t="str">
        <f>INDEX('Draft Engine'!$A$3:$A$225,$M109)</f>
        <v>TE</v>
      </c>
      <c r="C109">
        <f>INDEX('Draft Engine'!$F$3:$F$225,$M109)</f>
        <v>18</v>
      </c>
      <c r="D109" t="str">
        <f>INDEX('Draft Engine'!$B$3:$B$225,$M109)</f>
        <v>Brenton Strange</v>
      </c>
      <c r="E109" s="4">
        <f>INDEX('Draft Engine'!$E$3:$E$225,$M109)</f>
        <v>76.0321</v>
      </c>
      <c r="F109" t="str">
        <f>INDEX('LIVE SOURCE'!$H$3:$H$225,$M109)</f>
        <v>Streaming/TE2 range; touchdown and route volume drive usefulness.</v>
      </c>
      <c r="G109" t="str">
        <f>INDEX('LIVE SOURCE'!$I$3:$I$225,$M109)</f>
        <v>He produced 9.8 PPR/FP points per game across 12 games. The workload/efficiency profile gives the model a rate-based reason to keep him here. Market price is favorable around ADP 170 versus model overall rank 121.</v>
      </c>
      <c r="H109" t="str">
        <f>INDEX('LIVE SOURCE'!$J$3:$J$225,$M109)</f>
        <v>Route share, target volume and touchdown volatility are the main swing factors.</v>
      </c>
      <c r="I109">
        <f>INDEX('Draft Engine'!$R$3:$R$225,$M109)</f>
        <v>170</v>
      </c>
      <c r="J109">
        <f>INDEX('Draft Engine'!$S$3:$S$225,$M109)</f>
        <v>63</v>
      </c>
      <c r="K109" t="str">
        <f>INDEX('Draft Engine'!$T$3:$T$225,$M109)</f>
        <v>A</v>
      </c>
      <c r="L109" t="str">
        <f>INDEX('Draft Engine'!$X$3:$X$225,$M109)</f>
        <v>RATE-ADJUSTED VETERAN</v>
      </c>
      <c r="M109" s="6">
        <f>MATCH($A109,'Draft Engine'!$Q$3:$Q$225,0)</f>
        <v>170</v>
      </c>
    </row>
    <row r="110" spans="1:13" x14ac:dyDescent="0.25">
      <c r="A110">
        <f>108</f>
        <v>108</v>
      </c>
      <c r="B110" t="str">
        <f>INDEX('Draft Engine'!$A$3:$A$225,$M110)</f>
        <v>WR</v>
      </c>
      <c r="C110">
        <f>INDEX('Draft Engine'!$F$3:$F$225,$M110)</f>
        <v>38</v>
      </c>
      <c r="D110" t="str">
        <f>INDEX('Draft Engine'!$B$3:$B$225,$M110)</f>
        <v>Chris Godwin Jr.</v>
      </c>
      <c r="E110" s="4">
        <f>INDEX('Draft Engine'!$E$3:$E$225,$M110)</f>
        <v>70.86</v>
      </c>
      <c r="F110" t="str">
        <f>INDEX('LIVE SOURCE'!$H$3:$H$225,$M110)</f>
        <v>FLEX/bench receiver; needs target growth or efficiency spikes.</v>
      </c>
      <c r="G110" t="str">
        <f>INDEX('LIVE SOURCE'!$I$3:$I$225,$M110)</f>
        <v>The 2026 opportunity and projection carry most of the grade because detailed 2025 rate data is incomplete. Market price is favorable around ADP 167 versus model overall rank 137.</v>
      </c>
      <c r="H110" t="str">
        <f>INDEX('LIVE SOURCE'!$J$3:$J$225,$M110)</f>
        <v>Evidence is thinner than for established veterans, so camp, depth-chart and role news can move the grade materially.</v>
      </c>
      <c r="I110">
        <f>INDEX('Draft Engine'!$R$3:$R$225,$M110)</f>
        <v>166.8</v>
      </c>
      <c r="J110">
        <f>INDEX('Draft Engine'!$S$3:$S$225,$M110)</f>
        <v>58.800000000000011</v>
      </c>
      <c r="K110" t="str">
        <f>INDEX('Draft Engine'!$T$3:$T$225,$M110)</f>
        <v>C</v>
      </c>
      <c r="L110" t="str">
        <f>INDEX('Draft Engine'!$X$3:$X$225,$M110)</f>
        <v>HISTORY FALLBACK</v>
      </c>
      <c r="M110" s="6">
        <f>MATCH($A110,'Draft Engine'!$Q$3:$Q$225,0)</f>
        <v>125</v>
      </c>
    </row>
    <row r="111" spans="1:13" x14ac:dyDescent="0.25">
      <c r="A111">
        <f>109</f>
        <v>109</v>
      </c>
      <c r="B111" t="str">
        <f>INDEX('Draft Engine'!$A$3:$A$225,$M111)</f>
        <v>QB</v>
      </c>
      <c r="C111">
        <f>INDEX('Draft Engine'!$F$3:$F$225,$M111)</f>
        <v>17</v>
      </c>
      <c r="D111" t="str">
        <f>INDEX('Draft Engine'!$B$3:$B$225,$M111)</f>
        <v>Kyler Murray</v>
      </c>
      <c r="E111" s="4">
        <f>INDEX('Draft Engine'!$E$3:$E$225,$M111)</f>
        <v>80.710099999999997</v>
      </c>
      <c r="F111" t="str">
        <f>INDEX('LIVE SOURCE'!$H$3:$H$225,$M111)</f>
        <v>QB2/streaming tier; useful when matchup and supporting cast line up.</v>
      </c>
      <c r="G111" t="str">
        <f>INDEX('LIVE SOURCE'!$I$3:$I$225,$M111)</f>
        <v>He produced 16.2 PPR/FP points per game across 5 games. The workload/efficiency profile gives the model a rate-based reason to keep him here. Market price is favorable around ADP 150 versus model overall rank 119.</v>
      </c>
      <c r="H111" t="str">
        <f>INDEX('LIVE SOURCE'!$J$3:$J$225,$M111)</f>
        <v>Availability/sample risk is elevated after only 5 games; talent is not being punished as heavily as durability.</v>
      </c>
      <c r="I111">
        <f>INDEX('Draft Engine'!$R$3:$R$225,$M111)</f>
        <v>150</v>
      </c>
      <c r="J111">
        <f>INDEX('Draft Engine'!$S$3:$S$225,$M111)</f>
        <v>41</v>
      </c>
      <c r="K111" t="str">
        <f>INDEX('Draft Engine'!$T$3:$T$225,$M111)</f>
        <v>B</v>
      </c>
      <c r="L111" t="str">
        <f>INDEX('Draft Engine'!$X$3:$X$225,$M111)</f>
        <v>RATE-ADJUSTED VETERAN</v>
      </c>
      <c r="M111" s="6">
        <f>MATCH($A111,'Draft Engine'!$Q$3:$Q$225,0)</f>
        <v>17</v>
      </c>
    </row>
    <row r="112" spans="1:13" x14ac:dyDescent="0.25">
      <c r="A112">
        <f>110</f>
        <v>110</v>
      </c>
      <c r="B112" t="str">
        <f>INDEX('Draft Engine'!$A$3:$A$225,$M112)</f>
        <v>WR</v>
      </c>
      <c r="C112">
        <f>INDEX('Draft Engine'!$F$3:$F$225,$M112)</f>
        <v>39</v>
      </c>
      <c r="D112" t="str">
        <f>INDEX('Draft Engine'!$B$3:$B$225,$M112)</f>
        <v>Alec Pierce</v>
      </c>
      <c r="E112" s="4">
        <f>INDEX('Draft Engine'!$E$3:$E$225,$M112)</f>
        <v>70.724999999999994</v>
      </c>
      <c r="F112" t="str">
        <f>INDEX('LIVE SOURCE'!$H$3:$H$225,$M112)</f>
        <v>FLEX/bench receiver; needs target growth or efficiency spikes.</v>
      </c>
      <c r="G112" t="str">
        <f>INDEX('LIVE SOURCE'!$I$3:$I$225,$M112)</f>
        <v>He produced 12.2 PPR/FP points per game across 15 games. The workload/efficiency profile gives the model a rate-based reason to keep him here.</v>
      </c>
      <c r="H112" t="str">
        <f>INDEX('LIVE SOURCE'!$J$3:$J$225,$M112)</f>
        <v>Target competition, quarterback efficiency and touchdown regression are the main downside paths.</v>
      </c>
      <c r="I112">
        <f>INDEX('Draft Engine'!$R$3:$R$225,$M112)</f>
        <v>120</v>
      </c>
      <c r="J112">
        <f>INDEX('Draft Engine'!$S$3:$S$225,$M112)</f>
        <v>10</v>
      </c>
      <c r="K112" t="str">
        <f>INDEX('Draft Engine'!$T$3:$T$225,$M112)</f>
        <v>C</v>
      </c>
      <c r="L112" t="str">
        <f>INDEX('Draft Engine'!$X$3:$X$225,$M112)</f>
        <v>HISTORY FALLBACK</v>
      </c>
      <c r="M112" s="6">
        <f>MATCH($A112,'Draft Engine'!$Q$3:$Q$225,0)</f>
        <v>113</v>
      </c>
    </row>
    <row r="113" spans="1:13" x14ac:dyDescent="0.25">
      <c r="A113">
        <f>111</f>
        <v>111</v>
      </c>
      <c r="B113" t="str">
        <f>INDEX('Draft Engine'!$A$3:$A$225,$M113)</f>
        <v>TE</v>
      </c>
      <c r="C113">
        <f>INDEX('Draft Engine'!$F$3:$F$225,$M113)</f>
        <v>19</v>
      </c>
      <c r="D113" t="str">
        <f>INDEX('Draft Engine'!$B$3:$B$225,$M113)</f>
        <v>Chig Okonkwo</v>
      </c>
      <c r="E113" s="4">
        <f>INDEX('Draft Engine'!$E$3:$E$225,$M113)</f>
        <v>75.513199999999998</v>
      </c>
      <c r="F113" t="str">
        <f>INDEX('LIVE SOURCE'!$H$3:$H$225,$M113)</f>
        <v>Deep TE stash; needs a larger route/target role to matter in 10-team leagues.</v>
      </c>
      <c r="G113" t="str">
        <f>INDEX('LIVE SOURCE'!$I$3:$I$225,$M113)</f>
        <v>He produced 7.3 PPR/FP points per game across 17 games. The workload/efficiency profile gives the model a rate-based reason to keep him here. Market price is favorable around ADP 179 versus model overall rank 125.</v>
      </c>
      <c r="H113" t="str">
        <f>INDEX('LIVE SOURCE'!$J$3:$J$225,$M113)</f>
        <v>Route share, target volume and touchdown volatility are the main swing factors.</v>
      </c>
      <c r="I113">
        <f>INDEX('Draft Engine'!$R$3:$R$225,$M113)</f>
        <v>179</v>
      </c>
      <c r="J113">
        <f>INDEX('Draft Engine'!$S$3:$S$225,$M113)</f>
        <v>68</v>
      </c>
      <c r="K113" t="str">
        <f>INDEX('Draft Engine'!$T$3:$T$225,$M113)</f>
        <v>A</v>
      </c>
      <c r="L113" t="str">
        <f>INDEX('Draft Engine'!$X$3:$X$225,$M113)</f>
        <v>RATE-ADJUSTED VETERAN</v>
      </c>
      <c r="M113" s="6">
        <f>MATCH($A113,'Draft Engine'!$Q$3:$Q$225,0)</f>
        <v>171</v>
      </c>
    </row>
    <row r="114" spans="1:13" x14ac:dyDescent="0.25">
      <c r="A114">
        <f>112</f>
        <v>112</v>
      </c>
      <c r="B114" t="str">
        <f>INDEX('Draft Engine'!$A$3:$A$225,$M114)</f>
        <v>WR</v>
      </c>
      <c r="C114">
        <f>INDEX('Draft Engine'!$F$3:$F$225,$M114)</f>
        <v>40</v>
      </c>
      <c r="D114" t="str">
        <f>INDEX('Draft Engine'!$B$3:$B$225,$M114)</f>
        <v>Quentin Johnston</v>
      </c>
      <c r="E114" s="4">
        <f>INDEX('Draft Engine'!$E$3:$E$225,$M114)</f>
        <v>70.19</v>
      </c>
      <c r="F114" t="str">
        <f>INDEX('LIVE SOURCE'!$H$3:$H$225,$M114)</f>
        <v>FLEX/bench receiver; needs target growth or efficiency spikes.</v>
      </c>
      <c r="G114" t="str">
        <f>INDEX('LIVE SOURCE'!$I$3:$I$225,$M114)</f>
        <v>He produced 12.2 PPR/FP points per game across 14 games. The workload/efficiency profile gives the model a rate-based reason to keep him here. Market price is favorable around ADP 171 versus model overall rank 142.</v>
      </c>
      <c r="H114" t="str">
        <f>INDEX('LIVE SOURCE'!$J$3:$J$225,$M114)</f>
        <v>Target competition, quarterback efficiency and touchdown regression are the main downside paths.</v>
      </c>
      <c r="I114">
        <f>INDEX('Draft Engine'!$R$3:$R$225,$M114)</f>
        <v>170.7</v>
      </c>
      <c r="J114">
        <f>INDEX('Draft Engine'!$S$3:$S$225,$M114)</f>
        <v>58.699999999999989</v>
      </c>
      <c r="K114" t="str">
        <f>INDEX('Draft Engine'!$T$3:$T$225,$M114)</f>
        <v>C</v>
      </c>
      <c r="L114" t="str">
        <f>INDEX('Draft Engine'!$X$3:$X$225,$M114)</f>
        <v>HISTORY FALLBACK</v>
      </c>
      <c r="M114" s="6">
        <f>MATCH($A114,'Draft Engine'!$Q$3:$Q$225,0)</f>
        <v>126</v>
      </c>
    </row>
    <row r="115" spans="1:13" x14ac:dyDescent="0.25">
      <c r="A115">
        <f>113</f>
        <v>113</v>
      </c>
      <c r="B115" t="str">
        <f>INDEX('Draft Engine'!$A$3:$A$225,$M115)</f>
        <v>RB</v>
      </c>
      <c r="C115">
        <f>INDEX('Draft Engine'!$F$3:$F$225,$M115)</f>
        <v>37</v>
      </c>
      <c r="D115" t="str">
        <f>INDEX('Draft Engine'!$B$3:$B$225,$M115)</f>
        <v>Blake Corum</v>
      </c>
      <c r="E115" s="4">
        <f>INDEX('Draft Engine'!$E$3:$E$225,$M115)</f>
        <v>69.519599999999997</v>
      </c>
      <c r="F115" t="str">
        <f>INDEX('LIVE SOURCE'!$H$3:$H$225,$M115)</f>
        <v>FLEX/bench depth with upside if workload grows.</v>
      </c>
      <c r="G115" t="str">
        <f>INDEX('LIVE SOURCE'!$I$3:$I$225,$M115)</f>
        <v>He produced 7.2 PPR/FP points per game across 17 games. The workload/efficiency profile gives the model a rate-based reason to keep him here. Market price is favorable around ADP 153 versus model overall rank 123.</v>
      </c>
      <c r="H115" t="str">
        <f>INDEX('LIVE SOURCE'!$J$3:$J$225,$M115)</f>
        <v>Touchdown variance, receiving-role changes and backfield competition are the main downside paths.</v>
      </c>
      <c r="I115">
        <f>INDEX('Draft Engine'!$R$3:$R$225,$M115)</f>
        <v>153.19999999999999</v>
      </c>
      <c r="J115">
        <f>INDEX('Draft Engine'!$S$3:$S$225,$M115)</f>
        <v>40.199999999999989</v>
      </c>
      <c r="K115" t="str">
        <f>INDEX('Draft Engine'!$T$3:$T$225,$M115)</f>
        <v>A</v>
      </c>
      <c r="L115" t="str">
        <f>INDEX('Draft Engine'!$X$3:$X$225,$M115)</f>
        <v>RATE-ADJUSTED VETERAN</v>
      </c>
      <c r="M115" s="6">
        <f>MATCH($A115,'Draft Engine'!$Q$3:$Q$225,0)</f>
        <v>69</v>
      </c>
    </row>
    <row r="116" spans="1:13" x14ac:dyDescent="0.25">
      <c r="A116">
        <f>114</f>
        <v>114</v>
      </c>
      <c r="B116" t="str">
        <f>INDEX('Draft Engine'!$A$3:$A$225,$M116)</f>
        <v>QB</v>
      </c>
      <c r="C116">
        <f>INDEX('Draft Engine'!$F$3:$F$225,$M116)</f>
        <v>18</v>
      </c>
      <c r="D116" t="str">
        <f>INDEX('Draft Engine'!$B$3:$B$225,$M116)</f>
        <v>Jordan Love</v>
      </c>
      <c r="E116" s="4">
        <f>INDEX('Draft Engine'!$E$3:$E$225,$M116)</f>
        <v>80.040800000000004</v>
      </c>
      <c r="F116" t="str">
        <f>INDEX('LIVE SOURCE'!$H$3:$H$225,$M116)</f>
        <v>QB2/streaming tier; useful when matchup and supporting cast line up.</v>
      </c>
      <c r="G116" t="str">
        <f>INDEX('LIVE SOURCE'!$I$3:$I$225,$M116)</f>
        <v>He produced 16.1 PPR/FP points per game across 15 games. The workload/efficiency profile gives the model a rate-based reason to keep him here. Market price is favorable around ADP 158 versus model overall rank 126.</v>
      </c>
      <c r="H116" t="str">
        <f>INDEX('LIVE SOURCE'!$J$3:$J$225,$M116)</f>
        <v>Passing-TD efficiency, rushing volume and supporting-cast health are the main swing factors.</v>
      </c>
      <c r="I116">
        <f>INDEX('Draft Engine'!$R$3:$R$225,$M116)</f>
        <v>158</v>
      </c>
      <c r="J116">
        <f>INDEX('Draft Engine'!$S$3:$S$225,$M116)</f>
        <v>44</v>
      </c>
      <c r="K116" t="str">
        <f>INDEX('Draft Engine'!$T$3:$T$225,$M116)</f>
        <v>A</v>
      </c>
      <c r="L116" t="str">
        <f>INDEX('Draft Engine'!$X$3:$X$225,$M116)</f>
        <v>RATE-ADJUSTED VETERAN</v>
      </c>
      <c r="M116" s="6">
        <f>MATCH($A116,'Draft Engine'!$Q$3:$Q$225,0)</f>
        <v>18</v>
      </c>
    </row>
    <row r="117" spans="1:13" x14ac:dyDescent="0.25">
      <c r="A117">
        <f>115</f>
        <v>115</v>
      </c>
      <c r="B117" t="str">
        <f>INDEX('Draft Engine'!$A$3:$A$225,$M117)</f>
        <v>RB</v>
      </c>
      <c r="C117">
        <f>INDEX('Draft Engine'!$F$3:$F$225,$M117)</f>
        <v>38</v>
      </c>
      <c r="D117" t="str">
        <f>INDEX('Draft Engine'!$B$3:$B$225,$M117)</f>
        <v>Rachaad White</v>
      </c>
      <c r="E117" s="4">
        <f>INDEX('Draft Engine'!$E$3:$E$225,$M117)</f>
        <v>69.203699999999998</v>
      </c>
      <c r="F117" t="str">
        <f>INDEX('LIVE SOURCE'!$H$3:$H$225,$M117)</f>
        <v>FLEX/bench depth with upside if workload grows.</v>
      </c>
      <c r="G117" t="str">
        <f>INDEX('LIVE SOURCE'!$I$3:$I$225,$M117)</f>
        <v>He produced 8.5 PPR/FP points per game across 17 games. The workload/efficiency profile gives the model a rate-based reason to keep him here. Market price is favorable around ADP 157 versus model overall rank 127.</v>
      </c>
      <c r="H117" t="str">
        <f>INDEX('LIVE SOURCE'!$J$3:$J$225,$M117)</f>
        <v>Touchdown variance, receiving-role changes and backfield competition are the main downside paths.</v>
      </c>
      <c r="I117">
        <f>INDEX('Draft Engine'!$R$3:$R$225,$M117)</f>
        <v>157.4</v>
      </c>
      <c r="J117">
        <f>INDEX('Draft Engine'!$S$3:$S$225,$M117)</f>
        <v>42.400000000000006</v>
      </c>
      <c r="K117" t="str">
        <f>INDEX('Draft Engine'!$T$3:$T$225,$M117)</f>
        <v>A</v>
      </c>
      <c r="L117" t="str">
        <f>INDEX('Draft Engine'!$X$3:$X$225,$M117)</f>
        <v>RATE-ADJUSTED VETERAN</v>
      </c>
      <c r="M117" s="6">
        <f>MATCH($A117,'Draft Engine'!$Q$3:$Q$225,0)</f>
        <v>70</v>
      </c>
    </row>
    <row r="118" spans="1:13" x14ac:dyDescent="0.25">
      <c r="A118">
        <f>116</f>
        <v>116</v>
      </c>
      <c r="B118" t="str">
        <f>INDEX('Draft Engine'!$A$3:$A$225,$M118)</f>
        <v>WR</v>
      </c>
      <c r="C118">
        <f>INDEX('Draft Engine'!$F$3:$F$225,$M118)</f>
        <v>41</v>
      </c>
      <c r="D118" t="str">
        <f>INDEX('Draft Engine'!$B$3:$B$225,$M118)</f>
        <v>DK Metcalf</v>
      </c>
      <c r="E118" s="4">
        <f>INDEX('Draft Engine'!$E$3:$E$225,$M118)</f>
        <v>69.807500000000005</v>
      </c>
      <c r="F118" t="str">
        <f>INDEX('LIVE SOURCE'!$H$3:$H$225,$M118)</f>
        <v>FLEX/bench receiver; needs target growth or efficiency spikes.</v>
      </c>
      <c r="G118" t="str">
        <f>INDEX('LIVE SOURCE'!$I$3:$I$225,$M118)</f>
        <v>He produced 12.4 PPR/FP points per game across 15 games. The workload/efficiency profile gives the model a rate-based reason to keep him here. The market is more aggressive at ADP 124 versus model overall rank 134, so price matters.</v>
      </c>
      <c r="H118" t="str">
        <f>INDEX('LIVE SOURCE'!$J$3:$J$225,$M118)</f>
        <v>Price is the biggest risk: the market currently asks you to draft him earlier than the model prefers.</v>
      </c>
      <c r="I118">
        <f>INDEX('Draft Engine'!$R$3:$R$225,$M118)</f>
        <v>123.9</v>
      </c>
      <c r="J118">
        <f>INDEX('Draft Engine'!$S$3:$S$225,$M118)</f>
        <v>7.9000000000000057</v>
      </c>
      <c r="K118" t="str">
        <f>INDEX('Draft Engine'!$T$3:$T$225,$M118)</f>
        <v>C</v>
      </c>
      <c r="L118" t="str">
        <f>INDEX('Draft Engine'!$X$3:$X$225,$M118)</f>
        <v>HISTORY FALLBACK</v>
      </c>
      <c r="M118" s="6">
        <f>MATCH($A118,'Draft Engine'!$Q$3:$Q$225,0)</f>
        <v>114</v>
      </c>
    </row>
    <row r="119" spans="1:13" x14ac:dyDescent="0.25">
      <c r="A119">
        <f>117</f>
        <v>117</v>
      </c>
      <c r="B119" t="str">
        <f>INDEX('Draft Engine'!$A$3:$A$225,$M119)</f>
        <v>QB</v>
      </c>
      <c r="C119">
        <f>INDEX('Draft Engine'!$F$3:$F$225,$M119)</f>
        <v>19</v>
      </c>
      <c r="D119" t="str">
        <f>INDEX('Draft Engine'!$B$3:$B$225,$M119)</f>
        <v>Baker Mayfield</v>
      </c>
      <c r="E119" s="4">
        <f>INDEX('Draft Engine'!$E$3:$E$225,$M119)</f>
        <v>79.825999999999993</v>
      </c>
      <c r="F119" t="str">
        <f>INDEX('LIVE SOURCE'!$H$3:$H$225,$M119)</f>
        <v>Bench/streaming option; needs matchup, rushing or TD spike weeks.</v>
      </c>
      <c r="G119" t="str">
        <f>INDEX('LIVE SOURCE'!$I$3:$I$225,$M119)</f>
        <v>He produced 16.6 PPR/FP points per game across 17 games. The workload/efficiency profile gives the model a rate-based reason to keep him here. Market price is favorable around ADP 166 versus model overall rank 130.</v>
      </c>
      <c r="H119" t="str">
        <f>INDEX('LIVE SOURCE'!$J$3:$J$225,$M119)</f>
        <v>Passing-TD efficiency, rushing volume and supporting-cast health are the main swing factors.</v>
      </c>
      <c r="I119">
        <f>INDEX('Draft Engine'!$R$3:$R$225,$M119)</f>
        <v>166</v>
      </c>
      <c r="J119">
        <f>INDEX('Draft Engine'!$S$3:$S$225,$M119)</f>
        <v>49</v>
      </c>
      <c r="K119" t="str">
        <f>INDEX('Draft Engine'!$T$3:$T$225,$M119)</f>
        <v>A</v>
      </c>
      <c r="L119" t="str">
        <f>INDEX('Draft Engine'!$X$3:$X$225,$M119)</f>
        <v>RATE-ADJUSTED VETERAN</v>
      </c>
      <c r="M119" s="6">
        <f>MATCH($A119,'Draft Engine'!$Q$3:$Q$225,0)</f>
        <v>19</v>
      </c>
    </row>
    <row r="120" spans="1:13" x14ac:dyDescent="0.25">
      <c r="A120">
        <f>118</f>
        <v>118</v>
      </c>
      <c r="B120" t="str">
        <f>INDEX('Draft Engine'!$A$3:$A$225,$M120)</f>
        <v>RB</v>
      </c>
      <c r="C120">
        <f>INDEX('Draft Engine'!$F$3:$F$225,$M120)</f>
        <v>39</v>
      </c>
      <c r="D120" t="str">
        <f>INDEX('Draft Engine'!$B$3:$B$225,$M120)</f>
        <v>Jacory Croskey-Merritt</v>
      </c>
      <c r="E120" s="4">
        <f>INDEX('Draft Engine'!$E$3:$E$225,$M120)</f>
        <v>68.992199999999997</v>
      </c>
      <c r="F120" t="str">
        <f>INDEX('LIVE SOURCE'!$H$3:$H$225,$M120)</f>
        <v>FLEX/bench depth with upside if workload grows.</v>
      </c>
      <c r="G120" t="str">
        <f>INDEX('LIVE SOURCE'!$I$3:$I$225,$M120)</f>
        <v>He produced 8.2 PPR/FP points per game across 17 games. The workload/efficiency profile gives the model a rate-based reason to keep him here. Market price is favorable around ADP 162 versus model overall rank 129.</v>
      </c>
      <c r="H120" t="str">
        <f>INDEX('LIVE SOURCE'!$J$3:$J$225,$M120)</f>
        <v>Touchdown variance, receiving-role changes and backfield competition are the main downside paths.</v>
      </c>
      <c r="I120">
        <f>INDEX('Draft Engine'!$R$3:$R$225,$M120)</f>
        <v>161.6</v>
      </c>
      <c r="J120">
        <f>INDEX('Draft Engine'!$S$3:$S$225,$M120)</f>
        <v>43.599999999999994</v>
      </c>
      <c r="K120" t="str">
        <f>INDEX('Draft Engine'!$T$3:$T$225,$M120)</f>
        <v>A</v>
      </c>
      <c r="L120" t="str">
        <f>INDEX('Draft Engine'!$X$3:$X$225,$M120)</f>
        <v>RATE-ADJUSTED VETERAN</v>
      </c>
      <c r="M120" s="6">
        <f>MATCH($A120,'Draft Engine'!$Q$3:$Q$225,0)</f>
        <v>71</v>
      </c>
    </row>
    <row r="121" spans="1:13" x14ac:dyDescent="0.25">
      <c r="A121">
        <f>119</f>
        <v>119</v>
      </c>
      <c r="B121" t="str">
        <f>INDEX('Draft Engine'!$A$3:$A$225,$M121)</f>
        <v>WR</v>
      </c>
      <c r="C121">
        <f>INDEX('Draft Engine'!$F$3:$F$225,$M121)</f>
        <v>42</v>
      </c>
      <c r="D121" t="str">
        <f>INDEX('Draft Engine'!$B$3:$B$225,$M121)</f>
        <v>Makai Lemon</v>
      </c>
      <c r="E121" s="4">
        <f>INDEX('Draft Engine'!$E$3:$E$225,$M121)</f>
        <v>69.2</v>
      </c>
      <c r="F121" t="str">
        <f>INDEX('LIVE SOURCE'!$H$3:$H$225,$M121)</f>
        <v>WR2/FLEX; dependable lineup option with matchup-driven ceiling.</v>
      </c>
      <c r="G121" t="str">
        <f>INDEX('LIVE SOURCE'!$I$3:$I$225,$M121)</f>
        <v>Rookie score 89.2, backed by No. 20 draft capital and a 6.47 NFL prospect grade. The 2026 role projection is strong enough to replace missing NFL history. Market price is favorable around ADP 159 versus model overall rank 145.</v>
      </c>
      <c r="H121" t="str">
        <f>INDEX('LIVE SOURCE'!$J$3:$J$225,$M121)</f>
        <v>NFL translation and exact weekly role are the main variables; preseason first-team usage can move this rating quickly.</v>
      </c>
      <c r="I121">
        <f>INDEX('Draft Engine'!$R$3:$R$225,$M121)</f>
        <v>159</v>
      </c>
      <c r="J121">
        <f>INDEX('Draft Engine'!$S$3:$S$225,$M121)</f>
        <v>40</v>
      </c>
      <c r="K121" t="str">
        <f>INDEX('Draft Engine'!$T$3:$T$225,$M121)</f>
        <v>C</v>
      </c>
      <c r="L121" t="str">
        <f>INDEX('Draft Engine'!$X$3:$X$225,$M121)</f>
        <v>HISTORY FALLBACK</v>
      </c>
      <c r="M121" s="6">
        <f>MATCH($A121,'Draft Engine'!$Q$3:$Q$225,0)</f>
        <v>123</v>
      </c>
    </row>
    <row r="122" spans="1:13" x14ac:dyDescent="0.25">
      <c r="A122">
        <f>120</f>
        <v>120</v>
      </c>
      <c r="B122" t="str">
        <f>INDEX('Draft Engine'!$A$3:$A$225,$M122)</f>
        <v>TE</v>
      </c>
      <c r="C122">
        <f>INDEX('Draft Engine'!$F$3:$F$225,$M122)</f>
        <v>20</v>
      </c>
      <c r="D122" t="str">
        <f>INDEX('Draft Engine'!$B$3:$B$225,$M122)</f>
        <v>Kenyon Sadiq</v>
      </c>
      <c r="E122" s="4">
        <f>INDEX('Draft Engine'!$E$3:$E$225,$M122)</f>
        <v>74.093800000000002</v>
      </c>
      <c r="F122" t="str">
        <f>INDEX('LIVE SOURCE'!$H$3:$H$225,$M122)</f>
        <v>Deep TE stash; needs a larger route/target role to matter in 10-team leagues.</v>
      </c>
      <c r="G122" t="str">
        <f>INDEX('LIVE SOURCE'!$I$3:$I$225,$M122)</f>
        <v>Rookie score 86.6, backed by No. 16 draft capital and a 6.46 NFL prospect grade. The 2026 role projection is strong enough to replace missing NFL history. Market price is favorable around ADP 188 versus model overall rank 135.</v>
      </c>
      <c r="H122" t="str">
        <f>INDEX('LIVE SOURCE'!$J$3:$J$225,$M122)</f>
        <v>NFL translation and exact weekly role are the main variables; preseason first-team usage can move this rating quickly.</v>
      </c>
      <c r="I122">
        <f>INDEX('Draft Engine'!$R$3:$R$225,$M122)</f>
        <v>188</v>
      </c>
      <c r="J122">
        <f>INDEX('Draft Engine'!$S$3:$S$225,$M122)</f>
        <v>68</v>
      </c>
      <c r="K122" t="str">
        <f>INDEX('Draft Engine'!$T$3:$T$225,$M122)</f>
        <v>B</v>
      </c>
      <c r="L122" t="str">
        <f>INDEX('Draft Engine'!$X$3:$X$225,$M122)</f>
        <v>ROOKIE ENGINE</v>
      </c>
      <c r="M122" s="6">
        <f>MATCH($A122,'Draft Engine'!$Q$3:$Q$225,0)</f>
        <v>172</v>
      </c>
    </row>
    <row r="123" spans="1:13" x14ac:dyDescent="0.25">
      <c r="A123">
        <f>121</f>
        <v>121</v>
      </c>
      <c r="B123" t="str">
        <f>INDEX('Draft Engine'!$A$3:$A$225,$M123)</f>
        <v>TE</v>
      </c>
      <c r="C123">
        <f>INDEX('Draft Engine'!$F$3:$F$225,$M123)</f>
        <v>21</v>
      </c>
      <c r="D123" t="str">
        <f>INDEX('Draft Engine'!$B$3:$B$225,$M123)</f>
        <v>T.J. Hockenson</v>
      </c>
      <c r="E123" s="4">
        <f>INDEX('Draft Engine'!$E$3:$E$225,$M123)</f>
        <v>73.852699999999999</v>
      </c>
      <c r="F123" t="str">
        <f>INDEX('LIVE SOURCE'!$H$3:$H$225,$M123)</f>
        <v>Deep TE stash; needs a larger route/target role to matter in 10-team leagues.</v>
      </c>
      <c r="G123" t="str">
        <f>INDEX('LIVE SOURCE'!$I$3:$I$225,$M123)</f>
        <v>He produced 7.5 PPR/FP points per game across 15 games. The workload/efficiency profile gives the model a rate-based reason to keep him here. Market price is favorable around ADP 197 versus model overall rank 138.</v>
      </c>
      <c r="H123" t="str">
        <f>INDEX('LIVE SOURCE'!$J$3:$J$225,$M123)</f>
        <v>Route share, target volume and touchdown volatility are the main swing factors.</v>
      </c>
      <c r="I123">
        <f>INDEX('Draft Engine'!$R$3:$R$225,$M123)</f>
        <v>197</v>
      </c>
      <c r="J123">
        <f>INDEX('Draft Engine'!$S$3:$S$225,$M123)</f>
        <v>76</v>
      </c>
      <c r="K123" t="str">
        <f>INDEX('Draft Engine'!$T$3:$T$225,$M123)</f>
        <v>A</v>
      </c>
      <c r="L123" t="str">
        <f>INDEX('Draft Engine'!$X$3:$X$225,$M123)</f>
        <v>RATE-ADJUSTED VETERAN</v>
      </c>
      <c r="M123" s="6">
        <f>MATCH($A123,'Draft Engine'!$Q$3:$Q$225,0)</f>
        <v>173</v>
      </c>
    </row>
    <row r="124" spans="1:13" x14ac:dyDescent="0.25">
      <c r="A124">
        <f>122</f>
        <v>122</v>
      </c>
      <c r="B124" t="str">
        <f>INDEX('Draft Engine'!$A$3:$A$225,$M124)</f>
        <v>WR</v>
      </c>
      <c r="C124">
        <f>INDEX('Draft Engine'!$F$3:$F$225,$M124)</f>
        <v>43</v>
      </c>
      <c r="D124" t="str">
        <f>INDEX('Draft Engine'!$B$3:$B$225,$M124)</f>
        <v>Michael Wilson</v>
      </c>
      <c r="E124" s="4">
        <f>INDEX('Draft Engine'!$E$3:$E$225,$M124)</f>
        <v>68.849999999999994</v>
      </c>
      <c r="F124" t="str">
        <f>INDEX('LIVE SOURCE'!$H$3:$H$225,$M124)</f>
        <v>FLEX/bench receiver; needs target growth or efficiency spikes.</v>
      </c>
      <c r="G124" t="str">
        <f>INDEX('LIVE SOURCE'!$I$3:$I$225,$M124)</f>
        <v>He produced 13.0 PPR/FP points per game across 17 games. The workload/efficiency profile gives the model a rate-based reason to keep him here. Market price is favorable around ADP 178 versus model overall rank 153.</v>
      </c>
      <c r="H124" t="str">
        <f>INDEX('LIVE SOURCE'!$J$3:$J$225,$M124)</f>
        <v>Target competition, quarterback efficiency and touchdown regression are the main downside paths.</v>
      </c>
      <c r="I124">
        <f>INDEX('Draft Engine'!$R$3:$R$225,$M124)</f>
        <v>178.5</v>
      </c>
      <c r="J124">
        <f>INDEX('Draft Engine'!$S$3:$S$225,$M124)</f>
        <v>56.5</v>
      </c>
      <c r="K124" t="str">
        <f>INDEX('Draft Engine'!$T$3:$T$225,$M124)</f>
        <v>C</v>
      </c>
      <c r="L124" t="str">
        <f>INDEX('Draft Engine'!$X$3:$X$225,$M124)</f>
        <v>HISTORY FALLBACK</v>
      </c>
      <c r="M124" s="6">
        <f>MATCH($A124,'Draft Engine'!$Q$3:$Q$225,0)</f>
        <v>128</v>
      </c>
    </row>
    <row r="125" spans="1:13" x14ac:dyDescent="0.25">
      <c r="A125">
        <f>123</f>
        <v>123</v>
      </c>
      <c r="B125" t="str">
        <f>INDEX('Draft Engine'!$A$3:$A$225,$M125)</f>
        <v>WR</v>
      </c>
      <c r="C125">
        <f>INDEX('Draft Engine'!$F$3:$F$225,$M125)</f>
        <v>44</v>
      </c>
      <c r="D125" t="str">
        <f>INDEX('Draft Engine'!$B$3:$B$225,$M125)</f>
        <v>Courtland Sutton</v>
      </c>
      <c r="E125" s="4">
        <f>INDEX('Draft Engine'!$E$3:$E$225,$M125)</f>
        <v>68.722499999999997</v>
      </c>
      <c r="F125" t="str">
        <f>INDEX('LIVE SOURCE'!$H$3:$H$225,$M125)</f>
        <v>FLEX/bench receiver; needs target growth or efficiency spikes.</v>
      </c>
      <c r="G125" t="str">
        <f>INDEX('LIVE SOURCE'!$I$3:$I$225,$M125)</f>
        <v>He produced 13.0 PPR/FP points per game across 17 games. The workload/efficiency profile gives the model a rate-based reason to keep him here.</v>
      </c>
      <c r="H125" t="str">
        <f>INDEX('LIVE SOURCE'!$J$3:$J$225,$M125)</f>
        <v>Target competition, quarterback efficiency and touchdown regression are the main downside paths.</v>
      </c>
      <c r="I125">
        <f>INDEX('Draft Engine'!$R$3:$R$225,$M125)</f>
        <v>131.69999999999999</v>
      </c>
      <c r="J125">
        <f>INDEX('Draft Engine'!$S$3:$S$225,$M125)</f>
        <v>8.6999999999999886</v>
      </c>
      <c r="K125" t="str">
        <f>INDEX('Draft Engine'!$T$3:$T$225,$M125)</f>
        <v>C</v>
      </c>
      <c r="L125" t="str">
        <f>INDEX('Draft Engine'!$X$3:$X$225,$M125)</f>
        <v>HISTORY FALLBACK</v>
      </c>
      <c r="M125" s="6">
        <f>MATCH($A125,'Draft Engine'!$Q$3:$Q$225,0)</f>
        <v>116</v>
      </c>
    </row>
    <row r="126" spans="1:13" x14ac:dyDescent="0.25">
      <c r="A126">
        <f>124</f>
        <v>124</v>
      </c>
      <c r="B126" t="str">
        <f>INDEX('Draft Engine'!$A$3:$A$225,$M126)</f>
        <v>TE</v>
      </c>
      <c r="C126">
        <f>INDEX('Draft Engine'!$F$3:$F$225,$M126)</f>
        <v>22</v>
      </c>
      <c r="D126" t="str">
        <f>INDEX('Draft Engine'!$B$3:$B$225,$M126)</f>
        <v>Dalton Schultz</v>
      </c>
      <c r="E126" s="4">
        <f>INDEX('Draft Engine'!$E$3:$E$225,$M126)</f>
        <v>73.279499999999999</v>
      </c>
      <c r="F126" t="str">
        <f>INDEX('LIVE SOURCE'!$H$3:$H$225,$M126)</f>
        <v>Deep TE stash; needs a larger route/target role to matter in 10-team leagues.</v>
      </c>
      <c r="G126" t="str">
        <f>INDEX('LIVE SOURCE'!$I$3:$I$225,$M126)</f>
        <v>He produced 10.4 PPR/FP points per game across 17 games. The workload/efficiency profile gives the model a rate-based reason to keep him here. Market price is favorable around ADP 206 versus model overall rank 140.</v>
      </c>
      <c r="H126" t="str">
        <f>INDEX('LIVE SOURCE'!$J$3:$J$225,$M126)</f>
        <v>Route share, target volume and touchdown volatility are the main swing factors.</v>
      </c>
      <c r="I126">
        <f>INDEX('Draft Engine'!$R$3:$R$225,$M126)</f>
        <v>206</v>
      </c>
      <c r="J126">
        <f>INDEX('Draft Engine'!$S$3:$S$225,$M126)</f>
        <v>82</v>
      </c>
      <c r="K126" t="str">
        <f>INDEX('Draft Engine'!$T$3:$T$225,$M126)</f>
        <v>A</v>
      </c>
      <c r="L126" t="str">
        <f>INDEX('Draft Engine'!$X$3:$X$225,$M126)</f>
        <v>RATE-ADJUSTED VETERAN</v>
      </c>
      <c r="M126" s="6">
        <f>MATCH($A126,'Draft Engine'!$Q$3:$Q$225,0)</f>
        <v>174</v>
      </c>
    </row>
    <row r="127" spans="1:13" x14ac:dyDescent="0.25">
      <c r="A127">
        <f>125</f>
        <v>125</v>
      </c>
      <c r="B127" t="str">
        <f>INDEX('Draft Engine'!$A$3:$A$225,$M127)</f>
        <v>RB</v>
      </c>
      <c r="C127">
        <f>INDEX('Draft Engine'!$F$3:$F$225,$M127)</f>
        <v>40</v>
      </c>
      <c r="D127" t="str">
        <f>INDEX('Draft Engine'!$B$3:$B$225,$M127)</f>
        <v>Jordan Mason</v>
      </c>
      <c r="E127" s="4">
        <f>INDEX('Draft Engine'!$E$3:$E$225,$M127)</f>
        <v>67.657399999999996</v>
      </c>
      <c r="F127" t="str">
        <f>INDEX('LIVE SOURCE'!$H$3:$H$225,$M127)</f>
        <v>FLEX/bench depth with upside if workload grows.</v>
      </c>
      <c r="G127" t="str">
        <f>INDEX('LIVE SOURCE'!$I$3:$I$225,$M127)</f>
        <v>He produced 8.1 PPR/FP points per game across 16 games. The workload/efficiency profile gives the model a rate-based reason to keep him here. Market price is favorable around ADP 166 versus model overall rank 136.</v>
      </c>
      <c r="H127" t="str">
        <f>INDEX('LIVE SOURCE'!$J$3:$J$225,$M127)</f>
        <v>Touchdown variance, receiving-role changes and backfield competition are the main downside paths.</v>
      </c>
      <c r="I127">
        <f>INDEX('Draft Engine'!$R$3:$R$225,$M127)</f>
        <v>165.8</v>
      </c>
      <c r="J127">
        <f>INDEX('Draft Engine'!$S$3:$S$225,$M127)</f>
        <v>40.800000000000011</v>
      </c>
      <c r="K127" t="str">
        <f>INDEX('Draft Engine'!$T$3:$T$225,$M127)</f>
        <v>A</v>
      </c>
      <c r="L127" t="str">
        <f>INDEX('Draft Engine'!$X$3:$X$225,$M127)</f>
        <v>RATE-ADJUSTED VETERAN</v>
      </c>
      <c r="M127" s="6">
        <f>MATCH($A127,'Draft Engine'!$Q$3:$Q$225,0)</f>
        <v>72</v>
      </c>
    </row>
    <row r="128" spans="1:13" x14ac:dyDescent="0.25">
      <c r="A128">
        <f>126</f>
        <v>126</v>
      </c>
      <c r="B128" t="str">
        <f>INDEX('Draft Engine'!$A$3:$A$225,$M128)</f>
        <v>TE</v>
      </c>
      <c r="C128">
        <f>INDEX('Draft Engine'!$F$3:$F$225,$M128)</f>
        <v>23</v>
      </c>
      <c r="D128" t="str">
        <f>INDEX('Draft Engine'!$B$3:$B$225,$M128)</f>
        <v>Oronde Gadsden II</v>
      </c>
      <c r="E128" s="4">
        <f>INDEX('Draft Engine'!$E$3:$E$225,$M128)</f>
        <v>72.513800000000003</v>
      </c>
      <c r="F128" t="str">
        <f>INDEX('LIVE SOURCE'!$H$3:$H$225,$M128)</f>
        <v>Deep TE stash; needs a larger route/target role to matter in 10-team leagues.</v>
      </c>
      <c r="G128" t="str">
        <f>INDEX('LIVE SOURCE'!$I$3:$I$225,$M128)</f>
        <v>He produced 8.8 PPR/FP points per game across 15 games. The workload/efficiency profile gives the model a rate-based reason to keep him here. Market price is favorable around ADP 215 versus model overall rank 146.</v>
      </c>
      <c r="H128" t="str">
        <f>INDEX('LIVE SOURCE'!$J$3:$J$225,$M128)</f>
        <v>Route share, target volume and touchdown volatility are the main swing factors.</v>
      </c>
      <c r="I128">
        <f>INDEX('Draft Engine'!$R$3:$R$225,$M128)</f>
        <v>215</v>
      </c>
      <c r="J128">
        <f>INDEX('Draft Engine'!$S$3:$S$225,$M128)</f>
        <v>89</v>
      </c>
      <c r="K128" t="str">
        <f>INDEX('Draft Engine'!$T$3:$T$225,$M128)</f>
        <v>A</v>
      </c>
      <c r="L128" t="str">
        <f>INDEX('Draft Engine'!$X$3:$X$225,$M128)</f>
        <v>RATE-ADJUSTED VETERAN</v>
      </c>
      <c r="M128" s="6">
        <f>MATCH($A128,'Draft Engine'!$Q$3:$Q$225,0)</f>
        <v>175</v>
      </c>
    </row>
    <row r="129" spans="1:13" x14ac:dyDescent="0.25">
      <c r="A129">
        <f>127</f>
        <v>127</v>
      </c>
      <c r="B129" t="str">
        <f>INDEX('Draft Engine'!$A$3:$A$225,$M129)</f>
        <v>WR</v>
      </c>
      <c r="C129">
        <f>INDEX('Draft Engine'!$F$3:$F$225,$M129)</f>
        <v>45</v>
      </c>
      <c r="D129" t="str">
        <f>INDEX('Draft Engine'!$B$3:$B$225,$M129)</f>
        <v>Xavier Worthy</v>
      </c>
      <c r="E129" s="4">
        <f>INDEX('Draft Engine'!$E$3:$E$225,$M129)</f>
        <v>68.180000000000007</v>
      </c>
      <c r="F129" t="str">
        <f>INDEX('LIVE SOURCE'!$H$3:$H$225,$M129)</f>
        <v>FLEX/bench receiver; needs target growth or efficiency spikes.</v>
      </c>
      <c r="G129" t="str">
        <f>INDEX('LIVE SOURCE'!$I$3:$I$225,$M129)</f>
        <v>He produced 7.9 PPR/FP points per game across 14 games. The workload/efficiency profile gives the model a rate-based reason to keep him here. Market price is favorable around ADP 182 versus model overall rank 155.</v>
      </c>
      <c r="H129" t="str">
        <f>INDEX('LIVE SOURCE'!$J$3:$J$225,$M129)</f>
        <v>Target competition, quarterback efficiency and touchdown regression are the main downside paths.</v>
      </c>
      <c r="I129">
        <f>INDEX('Draft Engine'!$R$3:$R$225,$M129)</f>
        <v>182.4</v>
      </c>
      <c r="J129">
        <f>INDEX('Draft Engine'!$S$3:$S$225,$M129)</f>
        <v>55.400000000000006</v>
      </c>
      <c r="K129" t="str">
        <f>INDEX('Draft Engine'!$T$3:$T$225,$M129)</f>
        <v>C</v>
      </c>
      <c r="L129" t="str">
        <f>INDEX('Draft Engine'!$X$3:$X$225,$M129)</f>
        <v>HISTORY FALLBACK</v>
      </c>
      <c r="M129" s="6">
        <f>MATCH($A129,'Draft Engine'!$Q$3:$Q$225,0)</f>
        <v>129</v>
      </c>
    </row>
    <row r="130" spans="1:13" x14ac:dyDescent="0.25">
      <c r="A130">
        <f>128</f>
        <v>128</v>
      </c>
      <c r="B130" t="str">
        <f>INDEX('Draft Engine'!$A$3:$A$225,$M130)</f>
        <v>RB</v>
      </c>
      <c r="C130">
        <f>INDEX('Draft Engine'!$F$3:$F$225,$M130)</f>
        <v>41</v>
      </c>
      <c r="D130" t="str">
        <f>INDEX('Draft Engine'!$B$3:$B$225,$M130)</f>
        <v>Woody Marks</v>
      </c>
      <c r="E130" s="4">
        <f>INDEX('Draft Engine'!$E$3:$E$225,$M130)</f>
        <v>66.866200000000006</v>
      </c>
      <c r="F130" t="str">
        <f>INDEX('LIVE SOURCE'!$H$3:$H$225,$M130)</f>
        <v>Bench stash/handcuff profile; value is tied to role change or injury ahead.</v>
      </c>
      <c r="G130" t="str">
        <f>INDEX('LIVE SOURCE'!$I$3:$I$225,$M130)</f>
        <v>He produced 9.4 PPR/FP points per game across 16 games. The workload/efficiency profile gives the model a rate-based reason to keep him here. Market price is favorable around ADP 170 versus model overall rank 143.</v>
      </c>
      <c r="H130" t="str">
        <f>INDEX('LIVE SOURCE'!$J$3:$J$225,$M130)</f>
        <v>Touchdown variance, receiving-role changes and backfield competition are the main downside paths.</v>
      </c>
      <c r="I130">
        <f>INDEX('Draft Engine'!$R$3:$R$225,$M130)</f>
        <v>170</v>
      </c>
      <c r="J130">
        <f>INDEX('Draft Engine'!$S$3:$S$225,$M130)</f>
        <v>42</v>
      </c>
      <c r="K130" t="str">
        <f>INDEX('Draft Engine'!$T$3:$T$225,$M130)</f>
        <v>A</v>
      </c>
      <c r="L130" t="str">
        <f>INDEX('Draft Engine'!$X$3:$X$225,$M130)</f>
        <v>RATE-ADJUSTED VETERAN</v>
      </c>
      <c r="M130" s="6">
        <f>MATCH($A130,'Draft Engine'!$Q$3:$Q$225,0)</f>
        <v>73</v>
      </c>
    </row>
    <row r="131" spans="1:13" x14ac:dyDescent="0.25">
      <c r="A131">
        <f>129</f>
        <v>129</v>
      </c>
      <c r="B131" t="str">
        <f>INDEX('Draft Engine'!$A$3:$A$225,$M131)</f>
        <v>QB</v>
      </c>
      <c r="C131">
        <f>INDEX('Draft Engine'!$F$3:$F$225,$M131)</f>
        <v>20</v>
      </c>
      <c r="D131" t="str">
        <f>INDEX('Draft Engine'!$B$3:$B$225,$M131)</f>
        <v>Tyler Shough</v>
      </c>
      <c r="E131" s="4">
        <f>INDEX('Draft Engine'!$E$3:$E$225,$M131)</f>
        <v>77.365600000000001</v>
      </c>
      <c r="F131" t="str">
        <f>INDEX('LIVE SOURCE'!$H$3:$H$225,$M131)</f>
        <v>Bench/streaming option; needs matchup, rushing or TD spike weeks.</v>
      </c>
      <c r="G131" t="str">
        <f>INDEX('LIVE SOURCE'!$I$3:$I$225,$M131)</f>
        <v>He produced 14.9 PPR/FP points per game across 11 games. The workload/efficiency profile gives the model a rate-based reason to keep him here. Market price is favorable around ADP 174 versus model overall rank 144.</v>
      </c>
      <c r="H131" t="str">
        <f>INDEX('LIVE SOURCE'!$J$3:$J$225,$M131)</f>
        <v>Passing-TD efficiency, rushing volume and supporting-cast health are the main swing factors.</v>
      </c>
      <c r="I131">
        <f>INDEX('Draft Engine'!$R$3:$R$225,$M131)</f>
        <v>174</v>
      </c>
      <c r="J131">
        <f>INDEX('Draft Engine'!$S$3:$S$225,$M131)</f>
        <v>45</v>
      </c>
      <c r="K131" t="str">
        <f>INDEX('Draft Engine'!$T$3:$T$225,$M131)</f>
        <v>B</v>
      </c>
      <c r="L131" t="str">
        <f>INDEX('Draft Engine'!$X$3:$X$225,$M131)</f>
        <v>RATE-ADJUSTED VETERAN</v>
      </c>
      <c r="M131" s="6">
        <f>MATCH($A131,'Draft Engine'!$Q$3:$Q$225,0)</f>
        <v>20</v>
      </c>
    </row>
    <row r="132" spans="1:13" x14ac:dyDescent="0.25">
      <c r="A132">
        <f>130</f>
        <v>130</v>
      </c>
      <c r="B132" t="str">
        <f>INDEX('Draft Engine'!$A$3:$A$225,$M132)</f>
        <v>WR</v>
      </c>
      <c r="C132">
        <f>INDEX('Draft Engine'!$F$3:$F$225,$M132)</f>
        <v>46</v>
      </c>
      <c r="D132" t="str">
        <f>INDEX('Draft Engine'!$B$3:$B$225,$M132)</f>
        <v>Matthew Golden</v>
      </c>
      <c r="E132" s="4">
        <f>INDEX('Draft Engine'!$E$3:$E$225,$M132)</f>
        <v>67.510000000000005</v>
      </c>
      <c r="F132" t="str">
        <f>INDEX('LIVE SOURCE'!$H$3:$H$225,$M132)</f>
        <v>FLEX/bench receiver; needs target growth or efficiency spikes.</v>
      </c>
      <c r="G132" t="str">
        <f>INDEX('LIVE SOURCE'!$I$3:$I$225,$M132)</f>
        <v>The 2026 opportunity and projection carry most of the grade because detailed 2025 rate data is incomplete. Market price is favorable around ADP 186 versus model overall rank 159.</v>
      </c>
      <c r="H132" t="str">
        <f>INDEX('LIVE SOURCE'!$J$3:$J$225,$M132)</f>
        <v>Evidence is thinner than for established veterans, so camp, depth-chart and role news can move the grade materially.</v>
      </c>
      <c r="I132">
        <f>INDEX('Draft Engine'!$R$3:$R$225,$M132)</f>
        <v>186.3</v>
      </c>
      <c r="J132">
        <f>INDEX('Draft Engine'!$S$3:$S$225,$M132)</f>
        <v>56.300000000000011</v>
      </c>
      <c r="K132" t="str">
        <f>INDEX('Draft Engine'!$T$3:$T$225,$M132)</f>
        <v>C</v>
      </c>
      <c r="L132" t="str">
        <f>INDEX('Draft Engine'!$X$3:$X$225,$M132)</f>
        <v>HISTORY FALLBACK</v>
      </c>
      <c r="M132" s="6">
        <f>MATCH($A132,'Draft Engine'!$Q$3:$Q$225,0)</f>
        <v>130</v>
      </c>
    </row>
    <row r="133" spans="1:13" x14ac:dyDescent="0.25">
      <c r="A133">
        <f>131</f>
        <v>131</v>
      </c>
      <c r="B133" t="str">
        <f>INDEX('Draft Engine'!$A$3:$A$225,$M133)</f>
        <v>DST</v>
      </c>
      <c r="C133">
        <f>INDEX('Draft Engine'!$F$3:$F$225,$M133)</f>
        <v>1</v>
      </c>
      <c r="D133" t="str">
        <f>INDEX('Draft Engine'!$B$3:$B$225,$M133)</f>
        <v>Houston Texans</v>
      </c>
      <c r="E133" s="4">
        <f>INDEX('Draft Engine'!$E$3:$E$225,$M133)</f>
        <v>93</v>
      </c>
      <c r="F133" t="str">
        <f>INDEX('LIVE SOURCE'!$H$3:$H$225,$M133)</f>
        <v>Elite DST target if available in the final rounds; otherwise streaming remains viable.</v>
      </c>
      <c r="G133" t="str">
        <f>INDEX('LIVE SOURCE'!$I$3:$I$225,$M133)</f>
        <v>The unit grades well relative to the current DST pool, but the model intentionally keeps defense behind core skill positions.</v>
      </c>
      <c r="H133" t="str">
        <f>INDEX('LIVE SOURCE'!$J$3:$J$225,$M133)</f>
        <v>DST scoring is highly opponent- and turnover-dependent, making season-long rank fragile.</v>
      </c>
      <c r="I133">
        <f>INDEX('Draft Engine'!$R$3:$R$225,$M133)</f>
        <v>160</v>
      </c>
      <c r="J133">
        <f>INDEX('Draft Engine'!$S$3:$S$225,$M133)</f>
        <v>29</v>
      </c>
      <c r="K133" t="str">
        <f>INDEX('Draft Engine'!$T$3:$T$225,$M133)</f>
        <v>B</v>
      </c>
      <c r="L133" t="str">
        <f>INDEX('Draft Engine'!$X$3:$X$225,$M133)</f>
        <v>DST MODEL</v>
      </c>
      <c r="M133" s="6">
        <f>MATCH($A133,'Draft Engine'!$Q$3:$Q$225,0)</f>
        <v>192</v>
      </c>
    </row>
    <row r="134" spans="1:13" x14ac:dyDescent="0.25">
      <c r="A134">
        <f>132</f>
        <v>132</v>
      </c>
      <c r="B134" t="str">
        <f>INDEX('Draft Engine'!$A$3:$A$225,$M134)</f>
        <v>DST</v>
      </c>
      <c r="C134">
        <f>INDEX('Draft Engine'!$F$3:$F$225,$M134)</f>
        <v>2</v>
      </c>
      <c r="D134" t="str">
        <f>INDEX('Draft Engine'!$B$3:$B$225,$M134)</f>
        <v>Denver Broncos</v>
      </c>
      <c r="E134" s="4">
        <f>INDEX('Draft Engine'!$E$3:$E$225,$M134)</f>
        <v>91.9</v>
      </c>
      <c r="F134" t="str">
        <f>INDEX('LIVE SOURCE'!$H$3:$H$225,$M134)</f>
        <v>Elite DST target if available in the final rounds; otherwise streaming remains viable.</v>
      </c>
      <c r="G134" t="str">
        <f>INDEX('LIVE SOURCE'!$I$3:$I$225,$M134)</f>
        <v>The unit grades well relative to the current DST pool, but the model intentionally keeps defense behind core skill positions.</v>
      </c>
      <c r="H134" t="str">
        <f>INDEX('LIVE SOURCE'!$J$3:$J$225,$M134)</f>
        <v>DST scoring is highly opponent- and turnover-dependent, making season-long rank fragile.</v>
      </c>
      <c r="I134">
        <f>INDEX('Draft Engine'!$R$3:$R$225,$M134)</f>
        <v>164</v>
      </c>
      <c r="J134">
        <f>INDEX('Draft Engine'!$S$3:$S$225,$M134)</f>
        <v>32</v>
      </c>
      <c r="K134" t="str">
        <f>INDEX('Draft Engine'!$T$3:$T$225,$M134)</f>
        <v>B</v>
      </c>
      <c r="L134" t="str">
        <f>INDEX('Draft Engine'!$X$3:$X$225,$M134)</f>
        <v>DST MODEL</v>
      </c>
      <c r="M134" s="6">
        <f>MATCH($A134,'Draft Engine'!$Q$3:$Q$225,0)</f>
        <v>193</v>
      </c>
    </row>
    <row r="135" spans="1:13" x14ac:dyDescent="0.25">
      <c r="A135">
        <f>133</f>
        <v>133</v>
      </c>
      <c r="B135" t="str">
        <f>INDEX('Draft Engine'!$A$3:$A$225,$M135)</f>
        <v>DST</v>
      </c>
      <c r="C135">
        <f>INDEX('Draft Engine'!$F$3:$F$225,$M135)</f>
        <v>3</v>
      </c>
      <c r="D135" t="str">
        <f>INDEX('Draft Engine'!$B$3:$B$225,$M135)</f>
        <v>Seattle Seahawks</v>
      </c>
      <c r="E135" s="4">
        <f>INDEX('Draft Engine'!$E$3:$E$225,$M135)</f>
        <v>90.8</v>
      </c>
      <c r="F135" t="str">
        <f>INDEX('LIVE SOURCE'!$H$3:$H$225,$M135)</f>
        <v>Elite DST target if available in the final rounds; otherwise streaming remains viable.</v>
      </c>
      <c r="G135" t="str">
        <f>INDEX('LIVE SOURCE'!$I$3:$I$225,$M135)</f>
        <v>The unit grades well relative to the current DST pool, but the model intentionally keeps defense behind core skill positions.</v>
      </c>
      <c r="H135" t="str">
        <f>INDEX('LIVE SOURCE'!$J$3:$J$225,$M135)</f>
        <v>DST scoring is highly opponent- and turnover-dependent, making season-long rank fragile.</v>
      </c>
      <c r="I135">
        <f>INDEX('Draft Engine'!$R$3:$R$225,$M135)</f>
        <v>168</v>
      </c>
      <c r="J135">
        <f>INDEX('Draft Engine'!$S$3:$S$225,$M135)</f>
        <v>35</v>
      </c>
      <c r="K135" t="str">
        <f>INDEX('Draft Engine'!$T$3:$T$225,$M135)</f>
        <v>B</v>
      </c>
      <c r="L135" t="str">
        <f>INDEX('Draft Engine'!$X$3:$X$225,$M135)</f>
        <v>DST MODEL</v>
      </c>
      <c r="M135" s="6">
        <f>MATCH($A135,'Draft Engine'!$Q$3:$Q$225,0)</f>
        <v>194</v>
      </c>
    </row>
    <row r="136" spans="1:13" x14ac:dyDescent="0.25">
      <c r="A136">
        <f>134</f>
        <v>134</v>
      </c>
      <c r="B136" t="str">
        <f>INDEX('Draft Engine'!$A$3:$A$225,$M136)</f>
        <v>DST</v>
      </c>
      <c r="C136">
        <f>INDEX('Draft Engine'!$F$3:$F$225,$M136)</f>
        <v>4</v>
      </c>
      <c r="D136" t="str">
        <f>INDEX('Draft Engine'!$B$3:$B$225,$M136)</f>
        <v>Los Angeles Rams</v>
      </c>
      <c r="E136" s="4">
        <f>INDEX('Draft Engine'!$E$3:$E$225,$M136)</f>
        <v>89.7</v>
      </c>
      <c r="F136" t="str">
        <f>INDEX('LIVE SOURCE'!$H$3:$H$225,$M136)</f>
        <v>Elite DST target if available in the final rounds; otherwise streaming remains viable.</v>
      </c>
      <c r="G136" t="str">
        <f>INDEX('LIVE SOURCE'!$I$3:$I$225,$M136)</f>
        <v>The unit grades well relative to the current DST pool, but the model intentionally keeps defense behind core skill positions.</v>
      </c>
      <c r="H136" t="str">
        <f>INDEX('LIVE SOURCE'!$J$3:$J$225,$M136)</f>
        <v>DST scoring is highly opponent- and turnover-dependent, making season-long rank fragile.</v>
      </c>
      <c r="I136">
        <f>INDEX('Draft Engine'!$R$3:$R$225,$M136)</f>
        <v>172</v>
      </c>
      <c r="J136">
        <f>INDEX('Draft Engine'!$S$3:$S$225,$M136)</f>
        <v>38</v>
      </c>
      <c r="K136" t="str">
        <f>INDEX('Draft Engine'!$T$3:$T$225,$M136)</f>
        <v>B</v>
      </c>
      <c r="L136" t="str">
        <f>INDEX('Draft Engine'!$X$3:$X$225,$M136)</f>
        <v>DST MODEL</v>
      </c>
      <c r="M136" s="6">
        <f>MATCH($A136,'Draft Engine'!$Q$3:$Q$225,0)</f>
        <v>195</v>
      </c>
    </row>
    <row r="137" spans="1:13" x14ac:dyDescent="0.25">
      <c r="A137">
        <f>135</f>
        <v>135</v>
      </c>
      <c r="B137" t="str">
        <f>INDEX('Draft Engine'!$A$3:$A$225,$M137)</f>
        <v>DST</v>
      </c>
      <c r="C137">
        <f>INDEX('Draft Engine'!$F$3:$F$225,$M137)</f>
        <v>5</v>
      </c>
      <c r="D137" t="str">
        <f>INDEX('Draft Engine'!$B$3:$B$225,$M137)</f>
        <v>Philadelphia Eagles</v>
      </c>
      <c r="E137" s="4">
        <f>INDEX('Draft Engine'!$E$3:$E$225,$M137)</f>
        <v>88.6</v>
      </c>
      <c r="F137" t="str">
        <f>INDEX('LIVE SOURCE'!$H$3:$H$225,$M137)</f>
        <v>Elite DST target if available in the final rounds; otherwise streaming remains viable.</v>
      </c>
      <c r="G137" t="str">
        <f>INDEX('LIVE SOURCE'!$I$3:$I$225,$M137)</f>
        <v>The unit grades well relative to the current DST pool, but the model intentionally keeps defense behind core skill positions.</v>
      </c>
      <c r="H137" t="str">
        <f>INDEX('LIVE SOURCE'!$J$3:$J$225,$M137)</f>
        <v>DST scoring is highly opponent- and turnover-dependent, making season-long rank fragile.</v>
      </c>
      <c r="I137">
        <f>INDEX('Draft Engine'!$R$3:$R$225,$M137)</f>
        <v>176</v>
      </c>
      <c r="J137">
        <f>INDEX('Draft Engine'!$S$3:$S$225,$M137)</f>
        <v>41</v>
      </c>
      <c r="K137" t="str">
        <f>INDEX('Draft Engine'!$T$3:$T$225,$M137)</f>
        <v>B</v>
      </c>
      <c r="L137" t="str">
        <f>INDEX('Draft Engine'!$X$3:$X$225,$M137)</f>
        <v>DST MODEL</v>
      </c>
      <c r="M137" s="6">
        <f>MATCH($A137,'Draft Engine'!$Q$3:$Q$225,0)</f>
        <v>196</v>
      </c>
    </row>
    <row r="138" spans="1:13" x14ac:dyDescent="0.25">
      <c r="A138">
        <f>136</f>
        <v>136</v>
      </c>
      <c r="B138" t="str">
        <f>INDEX('Draft Engine'!$A$3:$A$225,$M138)</f>
        <v>DST</v>
      </c>
      <c r="C138">
        <f>INDEX('Draft Engine'!$F$3:$F$225,$M138)</f>
        <v>6</v>
      </c>
      <c r="D138" t="str">
        <f>INDEX('Draft Engine'!$B$3:$B$225,$M138)</f>
        <v>Minnesota Vikings</v>
      </c>
      <c r="E138" s="4">
        <f>INDEX('Draft Engine'!$E$3:$E$225,$M138)</f>
        <v>87.5</v>
      </c>
      <c r="F138" t="str">
        <f>INDEX('LIVE SOURCE'!$H$3:$H$225,$M138)</f>
        <v>Streaming/late-round defense; matchup matters more than preseason rank.</v>
      </c>
      <c r="G138" t="str">
        <f>INDEX('LIVE SOURCE'!$I$3:$I$225,$M138)</f>
        <v>The unit grades well relative to the current DST pool, but the model intentionally keeps defense behind core skill positions.</v>
      </c>
      <c r="H138" t="str">
        <f>INDEX('LIVE SOURCE'!$J$3:$J$225,$M138)</f>
        <v>DST scoring is highly opponent- and turnover-dependent, making season-long rank fragile.</v>
      </c>
      <c r="I138">
        <f>INDEX('Draft Engine'!$R$3:$R$225,$M138)</f>
        <v>180</v>
      </c>
      <c r="J138">
        <f>INDEX('Draft Engine'!$S$3:$S$225,$M138)</f>
        <v>44</v>
      </c>
      <c r="K138" t="str">
        <f>INDEX('Draft Engine'!$T$3:$T$225,$M138)</f>
        <v>B</v>
      </c>
      <c r="L138" t="str">
        <f>INDEX('Draft Engine'!$X$3:$X$225,$M138)</f>
        <v>DST MODEL</v>
      </c>
      <c r="M138" s="6">
        <f>MATCH($A138,'Draft Engine'!$Q$3:$Q$225,0)</f>
        <v>197</v>
      </c>
    </row>
    <row r="139" spans="1:13" x14ac:dyDescent="0.25">
      <c r="A139">
        <f>137</f>
        <v>137</v>
      </c>
      <c r="B139" t="str">
        <f>INDEX('Draft Engine'!$A$3:$A$225,$M139)</f>
        <v>DST</v>
      </c>
      <c r="C139">
        <f>INDEX('Draft Engine'!$F$3:$F$225,$M139)</f>
        <v>7</v>
      </c>
      <c r="D139" t="str">
        <f>INDEX('Draft Engine'!$B$3:$B$225,$M139)</f>
        <v>New England Patriots</v>
      </c>
      <c r="E139" s="4">
        <f>INDEX('Draft Engine'!$E$3:$E$225,$M139)</f>
        <v>86.4</v>
      </c>
      <c r="F139" t="str">
        <f>INDEX('LIVE SOURCE'!$H$3:$H$225,$M139)</f>
        <v>Streaming/late-round defense; matchup matters more than preseason rank.</v>
      </c>
      <c r="G139" t="str">
        <f>INDEX('LIVE SOURCE'!$I$3:$I$225,$M139)</f>
        <v>The unit grades well relative to the current DST pool, but the model intentionally keeps defense behind core skill positions.</v>
      </c>
      <c r="H139" t="str">
        <f>INDEX('LIVE SOURCE'!$J$3:$J$225,$M139)</f>
        <v>DST scoring is highly opponent- and turnover-dependent, making season-long rank fragile.</v>
      </c>
      <c r="I139">
        <f>INDEX('Draft Engine'!$R$3:$R$225,$M139)</f>
        <v>184</v>
      </c>
      <c r="J139">
        <f>INDEX('Draft Engine'!$S$3:$S$225,$M139)</f>
        <v>47</v>
      </c>
      <c r="K139" t="str">
        <f>INDEX('Draft Engine'!$T$3:$T$225,$M139)</f>
        <v>B</v>
      </c>
      <c r="L139" t="str">
        <f>INDEX('Draft Engine'!$X$3:$X$225,$M139)</f>
        <v>DST MODEL</v>
      </c>
      <c r="M139" s="6">
        <f>MATCH($A139,'Draft Engine'!$Q$3:$Q$225,0)</f>
        <v>198</v>
      </c>
    </row>
    <row r="140" spans="1:13" x14ac:dyDescent="0.25">
      <c r="A140">
        <f>138</f>
        <v>138</v>
      </c>
      <c r="B140" t="str">
        <f>INDEX('Draft Engine'!$A$3:$A$225,$M140)</f>
        <v>DST</v>
      </c>
      <c r="C140">
        <f>INDEX('Draft Engine'!$F$3:$F$225,$M140)</f>
        <v>8</v>
      </c>
      <c r="D140" t="str">
        <f>INDEX('Draft Engine'!$B$3:$B$225,$M140)</f>
        <v>Jacksonville Jaguars</v>
      </c>
      <c r="E140" s="4">
        <f>INDEX('Draft Engine'!$E$3:$E$225,$M140)</f>
        <v>85.3</v>
      </c>
      <c r="F140" t="str">
        <f>INDEX('LIVE SOURCE'!$H$3:$H$225,$M140)</f>
        <v>Streaming/late-round defense; matchup matters more than preseason rank.</v>
      </c>
      <c r="G140" t="str">
        <f>INDEX('LIVE SOURCE'!$I$3:$I$225,$M140)</f>
        <v>The unit grades well relative to the current DST pool, but the model intentionally keeps defense behind core skill positions.</v>
      </c>
      <c r="H140" t="str">
        <f>INDEX('LIVE SOURCE'!$J$3:$J$225,$M140)</f>
        <v>DST scoring is highly opponent- and turnover-dependent, making season-long rank fragile.</v>
      </c>
      <c r="I140">
        <f>INDEX('Draft Engine'!$R$3:$R$225,$M140)</f>
        <v>188</v>
      </c>
      <c r="J140">
        <f>INDEX('Draft Engine'!$S$3:$S$225,$M140)</f>
        <v>50</v>
      </c>
      <c r="K140" t="str">
        <f>INDEX('Draft Engine'!$T$3:$T$225,$M140)</f>
        <v>B</v>
      </c>
      <c r="L140" t="str">
        <f>INDEX('Draft Engine'!$X$3:$X$225,$M140)</f>
        <v>DST MODEL</v>
      </c>
      <c r="M140" s="6">
        <f>MATCH($A140,'Draft Engine'!$Q$3:$Q$225,0)</f>
        <v>199</v>
      </c>
    </row>
    <row r="141" spans="1:13" x14ac:dyDescent="0.25">
      <c r="A141">
        <f>139</f>
        <v>139</v>
      </c>
      <c r="B141" t="str">
        <f>INDEX('Draft Engine'!$A$3:$A$225,$M141)</f>
        <v>DST</v>
      </c>
      <c r="C141">
        <f>INDEX('Draft Engine'!$F$3:$F$225,$M141)</f>
        <v>9</v>
      </c>
      <c r="D141" t="str">
        <f>INDEX('Draft Engine'!$B$3:$B$225,$M141)</f>
        <v>Pittsburgh Steelers</v>
      </c>
      <c r="E141" s="4">
        <f>INDEX('Draft Engine'!$E$3:$E$225,$M141)</f>
        <v>84.2</v>
      </c>
      <c r="F141" t="str">
        <f>INDEX('LIVE SOURCE'!$H$3:$H$225,$M141)</f>
        <v>Streaming/late-round defense; matchup matters more than preseason rank.</v>
      </c>
      <c r="G141" t="str">
        <f>INDEX('LIVE SOURCE'!$I$3:$I$225,$M141)</f>
        <v>The unit grades well relative to the current DST pool, but the model intentionally keeps defense behind core skill positions.</v>
      </c>
      <c r="H141" t="str">
        <f>INDEX('LIVE SOURCE'!$J$3:$J$225,$M141)</f>
        <v>DST scoring is highly opponent- and turnover-dependent, making season-long rank fragile.</v>
      </c>
      <c r="I141">
        <f>INDEX('Draft Engine'!$R$3:$R$225,$M141)</f>
        <v>192</v>
      </c>
      <c r="J141">
        <f>INDEX('Draft Engine'!$S$3:$S$225,$M141)</f>
        <v>53</v>
      </c>
      <c r="K141" t="str">
        <f>INDEX('Draft Engine'!$T$3:$T$225,$M141)</f>
        <v>B</v>
      </c>
      <c r="L141" t="str">
        <f>INDEX('Draft Engine'!$X$3:$X$225,$M141)</f>
        <v>DST MODEL</v>
      </c>
      <c r="M141" s="6">
        <f>MATCH($A141,'Draft Engine'!$Q$3:$Q$225,0)</f>
        <v>200</v>
      </c>
    </row>
    <row r="142" spans="1:13" x14ac:dyDescent="0.25">
      <c r="A142">
        <f>140</f>
        <v>140</v>
      </c>
      <c r="B142" t="str">
        <f>INDEX('Draft Engine'!$A$3:$A$225,$M142)</f>
        <v>DST</v>
      </c>
      <c r="C142">
        <f>INDEX('Draft Engine'!$F$3:$F$225,$M142)</f>
        <v>10</v>
      </c>
      <c r="D142" t="str">
        <f>INDEX('Draft Engine'!$B$3:$B$225,$M142)</f>
        <v>Los Angeles Chargers</v>
      </c>
      <c r="E142" s="4">
        <f>INDEX('Draft Engine'!$E$3:$E$225,$M142)</f>
        <v>83.1</v>
      </c>
      <c r="F142" t="str">
        <f>INDEX('LIVE SOURCE'!$H$3:$H$225,$M142)</f>
        <v>Streaming/late-round defense; matchup matters more than preseason rank.</v>
      </c>
      <c r="G142" t="str">
        <f>INDEX('LIVE SOURCE'!$I$3:$I$225,$M142)</f>
        <v>The unit grades well relative to the current DST pool, but the model intentionally keeps defense behind core skill positions.</v>
      </c>
      <c r="H142" t="str">
        <f>INDEX('LIVE SOURCE'!$J$3:$J$225,$M142)</f>
        <v>DST scoring is highly opponent- and turnover-dependent, making season-long rank fragile.</v>
      </c>
      <c r="I142">
        <f>INDEX('Draft Engine'!$R$3:$R$225,$M142)</f>
        <v>196</v>
      </c>
      <c r="J142">
        <f>INDEX('Draft Engine'!$S$3:$S$225,$M142)</f>
        <v>56</v>
      </c>
      <c r="K142" t="str">
        <f>INDEX('Draft Engine'!$T$3:$T$225,$M142)</f>
        <v>B</v>
      </c>
      <c r="L142" t="str">
        <f>INDEX('Draft Engine'!$X$3:$X$225,$M142)</f>
        <v>DST MODEL</v>
      </c>
      <c r="M142" s="6">
        <f>MATCH($A142,'Draft Engine'!$Q$3:$Q$225,0)</f>
        <v>201</v>
      </c>
    </row>
    <row r="143" spans="1:13" x14ac:dyDescent="0.25">
      <c r="A143">
        <f>141</f>
        <v>141</v>
      </c>
      <c r="B143" t="str">
        <f>INDEX('Draft Engine'!$A$3:$A$225,$M143)</f>
        <v>K</v>
      </c>
      <c r="C143">
        <f>INDEX('Draft Engine'!$F$3:$F$225,$M143)</f>
        <v>1</v>
      </c>
      <c r="D143" t="str">
        <f>INDEX('Draft Engine'!$B$3:$B$225,$M143)</f>
        <v>Brandon Aubrey</v>
      </c>
      <c r="E143" s="4">
        <f>INDEX('Draft Engine'!$E$3:$E$225,$M143)</f>
        <v>94</v>
      </c>
      <c r="F143" t="str">
        <f>INDEX('LIVE SOURCE'!$H$3:$H$225,$M143)</f>
        <v>Top-tier kicker option, but still a final-round target.</v>
      </c>
      <c r="G143" t="str">
        <f>INDEX('LIVE SOURCE'!$I$3:$I$225,$M143)</f>
        <v>Ranks near the top of the current kicker pool, but kicker week-to-week separation is small in a 10-team league.</v>
      </c>
      <c r="H143" t="str">
        <f>INDEX('LIVE SOURCE'!$J$3:$J$225,$M143)</f>
        <v>Kicker scoring is volatile and replaceable on waivers; do not pay meaningful draft capital.</v>
      </c>
      <c r="I143">
        <f>INDEX('Draft Engine'!$R$3:$R$225,$M143)</f>
        <v>155</v>
      </c>
      <c r="J143">
        <f>INDEX('Draft Engine'!$S$3:$S$225,$M143)</f>
        <v>14</v>
      </c>
      <c r="K143" t="str">
        <f>INDEX('Draft Engine'!$T$3:$T$225,$M143)</f>
        <v>B</v>
      </c>
      <c r="L143" t="str">
        <f>INDEX('Draft Engine'!$X$3:$X$225,$M143)</f>
        <v>KICKER MODEL</v>
      </c>
      <c r="M143" s="6">
        <f>MATCH($A143,'Draft Engine'!$Q$3:$Q$225,0)</f>
        <v>180</v>
      </c>
    </row>
    <row r="144" spans="1:13" x14ac:dyDescent="0.25">
      <c r="A144">
        <f>142</f>
        <v>142</v>
      </c>
      <c r="B144" t="str">
        <f>INDEX('Draft Engine'!$A$3:$A$225,$M144)</f>
        <v>K</v>
      </c>
      <c r="C144">
        <f>INDEX('Draft Engine'!$F$3:$F$225,$M144)</f>
        <v>2</v>
      </c>
      <c r="D144" t="str">
        <f>INDEX('Draft Engine'!$B$3:$B$225,$M144)</f>
        <v>Ka'imi Fairbairn</v>
      </c>
      <c r="E144" s="4">
        <f>INDEX('Draft Engine'!$E$3:$E$225,$M144)</f>
        <v>91.8</v>
      </c>
      <c r="F144" t="str">
        <f>INDEX('LIVE SOURCE'!$H$3:$H$225,$M144)</f>
        <v>Top-tier kicker option, but still a final-round target.</v>
      </c>
      <c r="G144" t="str">
        <f>INDEX('LIVE SOURCE'!$I$3:$I$225,$M144)</f>
        <v>Ranks near the top of the current kicker pool, but kicker week-to-week separation is small in a 10-team league.</v>
      </c>
      <c r="H144" t="str">
        <f>INDEX('LIVE SOURCE'!$J$3:$J$225,$M144)</f>
        <v>Kicker scoring is volatile and replaceable on waivers; do not pay meaningful draft capital.</v>
      </c>
      <c r="I144">
        <f>INDEX('Draft Engine'!$R$3:$R$225,$M144)</f>
        <v>160</v>
      </c>
      <c r="J144">
        <f>INDEX('Draft Engine'!$S$3:$S$225,$M144)</f>
        <v>18</v>
      </c>
      <c r="K144" t="str">
        <f>INDEX('Draft Engine'!$T$3:$T$225,$M144)</f>
        <v>B</v>
      </c>
      <c r="L144" t="str">
        <f>INDEX('Draft Engine'!$X$3:$X$225,$M144)</f>
        <v>KICKER MODEL</v>
      </c>
      <c r="M144" s="6">
        <f>MATCH($A144,'Draft Engine'!$Q$3:$Q$225,0)</f>
        <v>181</v>
      </c>
    </row>
    <row r="145" spans="1:13" x14ac:dyDescent="0.25">
      <c r="A145">
        <f>143</f>
        <v>143</v>
      </c>
      <c r="B145" t="str">
        <f>INDEX('Draft Engine'!$A$3:$A$225,$M145)</f>
        <v>K</v>
      </c>
      <c r="C145">
        <f>INDEX('Draft Engine'!$F$3:$F$225,$M145)</f>
        <v>3</v>
      </c>
      <c r="D145" t="str">
        <f>INDEX('Draft Engine'!$B$3:$B$225,$M145)</f>
        <v>Cameron Dicker</v>
      </c>
      <c r="E145" s="4">
        <f>INDEX('Draft Engine'!$E$3:$E$225,$M145)</f>
        <v>89.6</v>
      </c>
      <c r="F145" t="str">
        <f>INDEX('LIVE SOURCE'!$H$3:$H$225,$M145)</f>
        <v>Top-tier kicker option, but still a final-round target.</v>
      </c>
      <c r="G145" t="str">
        <f>INDEX('LIVE SOURCE'!$I$3:$I$225,$M145)</f>
        <v>Ranks near the top of the current kicker pool, but kicker week-to-week separation is small in a 10-team league.</v>
      </c>
      <c r="H145" t="str">
        <f>INDEX('LIVE SOURCE'!$J$3:$J$225,$M145)</f>
        <v>Kicker scoring is volatile and replaceable on waivers; do not pay meaningful draft capital.</v>
      </c>
      <c r="I145">
        <f>INDEX('Draft Engine'!$R$3:$R$225,$M145)</f>
        <v>165</v>
      </c>
      <c r="J145">
        <f>INDEX('Draft Engine'!$S$3:$S$225,$M145)</f>
        <v>22</v>
      </c>
      <c r="K145" t="str">
        <f>INDEX('Draft Engine'!$T$3:$T$225,$M145)</f>
        <v>B</v>
      </c>
      <c r="L145" t="str">
        <f>INDEX('Draft Engine'!$X$3:$X$225,$M145)</f>
        <v>KICKER MODEL</v>
      </c>
      <c r="M145" s="6">
        <f>MATCH($A145,'Draft Engine'!$Q$3:$Q$225,0)</f>
        <v>182</v>
      </c>
    </row>
    <row r="146" spans="1:13" x14ac:dyDescent="0.25">
      <c r="A146">
        <f>144</f>
        <v>144</v>
      </c>
      <c r="B146" t="str">
        <f>INDEX('Draft Engine'!$A$3:$A$225,$M146)</f>
        <v>K</v>
      </c>
      <c r="C146">
        <f>INDEX('Draft Engine'!$F$3:$F$225,$M146)</f>
        <v>4</v>
      </c>
      <c r="D146" t="str">
        <f>INDEX('Draft Engine'!$B$3:$B$225,$M146)</f>
        <v>Jason Myers</v>
      </c>
      <c r="E146" s="4">
        <f>INDEX('Draft Engine'!$E$3:$E$225,$M146)</f>
        <v>87.4</v>
      </c>
      <c r="F146" t="str">
        <f>INDEX('LIVE SOURCE'!$H$3:$H$225,$M146)</f>
        <v>Top-tier kicker option, but still a final-round target.</v>
      </c>
      <c r="G146" t="str">
        <f>INDEX('LIVE SOURCE'!$I$3:$I$225,$M146)</f>
        <v>Ranks near the top of the current kicker pool, but kicker week-to-week separation is small in a 10-team league.</v>
      </c>
      <c r="H146" t="str">
        <f>INDEX('LIVE SOURCE'!$J$3:$J$225,$M146)</f>
        <v>Kicker scoring is volatile and replaceable on waivers; do not pay meaningful draft capital.</v>
      </c>
      <c r="I146">
        <f>INDEX('Draft Engine'!$R$3:$R$225,$M146)</f>
        <v>170</v>
      </c>
      <c r="J146">
        <f>INDEX('Draft Engine'!$S$3:$S$225,$M146)</f>
        <v>26</v>
      </c>
      <c r="K146" t="str">
        <f>INDEX('Draft Engine'!$T$3:$T$225,$M146)</f>
        <v>B</v>
      </c>
      <c r="L146" t="str">
        <f>INDEX('Draft Engine'!$X$3:$X$225,$M146)</f>
        <v>KICKER MODEL</v>
      </c>
      <c r="M146" s="6">
        <f>MATCH($A146,'Draft Engine'!$Q$3:$Q$225,0)</f>
        <v>183</v>
      </c>
    </row>
    <row r="147" spans="1:13" x14ac:dyDescent="0.25">
      <c r="A147">
        <f>145</f>
        <v>145</v>
      </c>
      <c r="B147" t="str">
        <f>INDEX('Draft Engine'!$A$3:$A$225,$M147)</f>
        <v>K</v>
      </c>
      <c r="C147">
        <f>INDEX('Draft Engine'!$F$3:$F$225,$M147)</f>
        <v>5</v>
      </c>
      <c r="D147" t="str">
        <f>INDEX('Draft Engine'!$B$3:$B$225,$M147)</f>
        <v>Cam Little</v>
      </c>
      <c r="E147" s="4">
        <f>INDEX('Draft Engine'!$E$3:$E$225,$M147)</f>
        <v>85.2</v>
      </c>
      <c r="F147" t="str">
        <f>INDEX('LIVE SOURCE'!$H$3:$H$225,$M147)</f>
        <v>Top-tier kicker option, but still a final-round target.</v>
      </c>
      <c r="G147" t="str">
        <f>INDEX('LIVE SOURCE'!$I$3:$I$225,$M147)</f>
        <v>Ranks near the top of the current kicker pool, but kicker week-to-week separation is small in a 10-team league.</v>
      </c>
      <c r="H147" t="str">
        <f>INDEX('LIVE SOURCE'!$J$3:$J$225,$M147)</f>
        <v>Kicker scoring is volatile and replaceable on waivers; do not pay meaningful draft capital.</v>
      </c>
      <c r="I147">
        <f>INDEX('Draft Engine'!$R$3:$R$225,$M147)</f>
        <v>175</v>
      </c>
      <c r="J147">
        <f>INDEX('Draft Engine'!$S$3:$S$225,$M147)</f>
        <v>30</v>
      </c>
      <c r="K147" t="str">
        <f>INDEX('Draft Engine'!$T$3:$T$225,$M147)</f>
        <v>B</v>
      </c>
      <c r="L147" t="str">
        <f>INDEX('Draft Engine'!$X$3:$X$225,$M147)</f>
        <v>KICKER MODEL</v>
      </c>
      <c r="M147" s="6">
        <f>MATCH($A147,'Draft Engine'!$Q$3:$Q$225,0)</f>
        <v>184</v>
      </c>
    </row>
    <row r="148" spans="1:13" x14ac:dyDescent="0.25">
      <c r="A148">
        <f>146</f>
        <v>146</v>
      </c>
      <c r="B148" t="str">
        <f>INDEX('Draft Engine'!$A$3:$A$225,$M148)</f>
        <v>K</v>
      </c>
      <c r="C148">
        <f>INDEX('Draft Engine'!$F$3:$F$225,$M148)</f>
        <v>6</v>
      </c>
      <c r="D148" t="str">
        <f>INDEX('Draft Engine'!$B$3:$B$225,$M148)</f>
        <v>Eddy Pineiro</v>
      </c>
      <c r="E148" s="4">
        <f>INDEX('Draft Engine'!$E$3:$E$225,$M148)</f>
        <v>83</v>
      </c>
      <c r="F148" t="str">
        <f>INDEX('LIVE SOURCE'!$H$3:$H$225,$M148)</f>
        <v>Late-round kicker; treat as replaceable unless scoring strongly rewards distance.</v>
      </c>
      <c r="G148" t="str">
        <f>INDEX('LIVE SOURCE'!$I$3:$I$225,$M148)</f>
        <v>Ranks near the top of the current kicker pool, but kicker week-to-week separation is small in a 10-team league.</v>
      </c>
      <c r="H148" t="str">
        <f>INDEX('LIVE SOURCE'!$J$3:$J$225,$M148)</f>
        <v>Kicker scoring is volatile and replaceable on waivers; do not pay meaningful draft capital.</v>
      </c>
      <c r="I148">
        <f>INDEX('Draft Engine'!$R$3:$R$225,$M148)</f>
        <v>180</v>
      </c>
      <c r="J148">
        <f>INDEX('Draft Engine'!$S$3:$S$225,$M148)</f>
        <v>34</v>
      </c>
      <c r="K148" t="str">
        <f>INDEX('Draft Engine'!$T$3:$T$225,$M148)</f>
        <v>B</v>
      </c>
      <c r="L148" t="str">
        <f>INDEX('Draft Engine'!$X$3:$X$225,$M148)</f>
        <v>KICKER MODEL</v>
      </c>
      <c r="M148" s="6">
        <f>MATCH($A148,'Draft Engine'!$Q$3:$Q$225,0)</f>
        <v>185</v>
      </c>
    </row>
    <row r="149" spans="1:13" x14ac:dyDescent="0.25">
      <c r="A149">
        <f>147</f>
        <v>147</v>
      </c>
      <c r="B149" t="str">
        <f>INDEX('Draft Engine'!$A$3:$A$225,$M149)</f>
        <v>K</v>
      </c>
      <c r="C149">
        <f>INDEX('Draft Engine'!$F$3:$F$225,$M149)</f>
        <v>7</v>
      </c>
      <c r="D149" t="str">
        <f>INDEX('Draft Engine'!$B$3:$B$225,$M149)</f>
        <v>Tyler Loop</v>
      </c>
      <c r="E149" s="4">
        <f>INDEX('Draft Engine'!$E$3:$E$225,$M149)</f>
        <v>80.8</v>
      </c>
      <c r="F149" t="str">
        <f>INDEX('LIVE SOURCE'!$H$3:$H$225,$M149)</f>
        <v>Late-round kicker; treat as replaceable unless scoring strongly rewards distance.</v>
      </c>
      <c r="G149" t="str">
        <f>INDEX('LIVE SOURCE'!$I$3:$I$225,$M149)</f>
        <v>Ranks near the top of the current kicker pool, but kicker week-to-week separation is small in a 10-team league.</v>
      </c>
      <c r="H149" t="str">
        <f>INDEX('LIVE SOURCE'!$J$3:$J$225,$M149)</f>
        <v>Kicker scoring is volatile and replaceable on waivers; do not pay meaningful draft capital.</v>
      </c>
      <c r="I149">
        <f>INDEX('Draft Engine'!$R$3:$R$225,$M149)</f>
        <v>185</v>
      </c>
      <c r="J149">
        <f>INDEX('Draft Engine'!$S$3:$S$225,$M149)</f>
        <v>38</v>
      </c>
      <c r="K149" t="str">
        <f>INDEX('Draft Engine'!$T$3:$T$225,$M149)</f>
        <v>B</v>
      </c>
      <c r="L149" t="str">
        <f>INDEX('Draft Engine'!$X$3:$X$225,$M149)</f>
        <v>KICKER MODEL</v>
      </c>
      <c r="M149" s="6">
        <f>MATCH($A149,'Draft Engine'!$Q$3:$Q$225,0)</f>
        <v>186</v>
      </c>
    </row>
    <row r="150" spans="1:13" x14ac:dyDescent="0.25">
      <c r="A150">
        <f>148</f>
        <v>148</v>
      </c>
      <c r="B150" t="str">
        <f>INDEX('Draft Engine'!$A$3:$A$225,$M150)</f>
        <v>K</v>
      </c>
      <c r="C150">
        <f>INDEX('Draft Engine'!$F$3:$F$225,$M150)</f>
        <v>8</v>
      </c>
      <c r="D150" t="str">
        <f>INDEX('Draft Engine'!$B$3:$B$225,$M150)</f>
        <v>Harrison Mevis</v>
      </c>
      <c r="E150" s="4">
        <f>INDEX('Draft Engine'!$E$3:$E$225,$M150)</f>
        <v>78.599999999999994</v>
      </c>
      <c r="F150" t="str">
        <f>INDEX('LIVE SOURCE'!$H$3:$H$225,$M150)</f>
        <v>Late-round kicker; treat as replaceable unless scoring strongly rewards distance.</v>
      </c>
      <c r="G150" t="str">
        <f>INDEX('LIVE SOURCE'!$I$3:$I$225,$M150)</f>
        <v>Ranks near the top of the current kicker pool, but kicker week-to-week separation is small in a 10-team league.</v>
      </c>
      <c r="H150" t="str">
        <f>INDEX('LIVE SOURCE'!$J$3:$J$225,$M150)</f>
        <v>Kicker scoring is volatile and replaceable on waivers; do not pay meaningful draft capital.</v>
      </c>
      <c r="I150">
        <f>INDEX('Draft Engine'!$R$3:$R$225,$M150)</f>
        <v>190</v>
      </c>
      <c r="J150">
        <f>INDEX('Draft Engine'!$S$3:$S$225,$M150)</f>
        <v>42</v>
      </c>
      <c r="K150" t="str">
        <f>INDEX('Draft Engine'!$T$3:$T$225,$M150)</f>
        <v>B</v>
      </c>
      <c r="L150" t="str">
        <f>INDEX('Draft Engine'!$X$3:$X$225,$M150)</f>
        <v>KICKER MODEL</v>
      </c>
      <c r="M150" s="6">
        <f>MATCH($A150,'Draft Engine'!$Q$3:$Q$225,0)</f>
        <v>187</v>
      </c>
    </row>
    <row r="151" spans="1:13" x14ac:dyDescent="0.25">
      <c r="A151">
        <f>149</f>
        <v>149</v>
      </c>
      <c r="B151" t="str">
        <f>INDEX('Draft Engine'!$A$3:$A$225,$M151)</f>
        <v>K</v>
      </c>
      <c r="C151">
        <f>INDEX('Draft Engine'!$F$3:$F$225,$M151)</f>
        <v>9</v>
      </c>
      <c r="D151" t="str">
        <f>INDEX('Draft Engine'!$B$3:$B$225,$M151)</f>
        <v>Chase McLaughlin</v>
      </c>
      <c r="E151" s="4">
        <f>INDEX('Draft Engine'!$E$3:$E$225,$M151)</f>
        <v>76.400000000000006</v>
      </c>
      <c r="F151" t="str">
        <f>INDEX('LIVE SOURCE'!$H$3:$H$225,$M151)</f>
        <v>Late-round kicker; treat as replaceable unless scoring strongly rewards distance.</v>
      </c>
      <c r="G151" t="str">
        <f>INDEX('LIVE SOURCE'!$I$3:$I$225,$M151)</f>
        <v>Ranks near the top of the current kicker pool, but kicker week-to-week separation is small in a 10-team league.</v>
      </c>
      <c r="H151" t="str">
        <f>INDEX('LIVE SOURCE'!$J$3:$J$225,$M151)</f>
        <v>Kicker scoring is volatile and replaceable on waivers; do not pay meaningful draft capital.</v>
      </c>
      <c r="I151">
        <f>INDEX('Draft Engine'!$R$3:$R$225,$M151)</f>
        <v>195</v>
      </c>
      <c r="J151">
        <f>INDEX('Draft Engine'!$S$3:$S$225,$M151)</f>
        <v>46</v>
      </c>
      <c r="K151" t="str">
        <f>INDEX('Draft Engine'!$T$3:$T$225,$M151)</f>
        <v>B</v>
      </c>
      <c r="L151" t="str">
        <f>INDEX('Draft Engine'!$X$3:$X$225,$M151)</f>
        <v>KICKER MODEL</v>
      </c>
      <c r="M151" s="6">
        <f>MATCH($A151,'Draft Engine'!$Q$3:$Q$225,0)</f>
        <v>188</v>
      </c>
    </row>
    <row r="152" spans="1:13" x14ac:dyDescent="0.25">
      <c r="A152">
        <f>150</f>
        <v>150</v>
      </c>
      <c r="B152" t="str">
        <f>INDEX('Draft Engine'!$A$3:$A$225,$M152)</f>
        <v>K</v>
      </c>
      <c r="C152">
        <f>INDEX('Draft Engine'!$F$3:$F$225,$M152)</f>
        <v>10</v>
      </c>
      <c r="D152" t="str">
        <f>INDEX('Draft Engine'!$B$3:$B$225,$M152)</f>
        <v>Cairo Santos</v>
      </c>
      <c r="E152" s="4">
        <f>INDEX('Draft Engine'!$E$3:$E$225,$M152)</f>
        <v>74.2</v>
      </c>
      <c r="F152" t="str">
        <f>INDEX('LIVE SOURCE'!$H$3:$H$225,$M152)</f>
        <v>Late-round kicker; treat as replaceable unless scoring strongly rewards distance.</v>
      </c>
      <c r="G152" t="str">
        <f>INDEX('LIVE SOURCE'!$I$3:$I$225,$M152)</f>
        <v>Ranks near the top of the current kicker pool, but kicker week-to-week separation is small in a 10-team league.</v>
      </c>
      <c r="H152" t="str">
        <f>INDEX('LIVE SOURCE'!$J$3:$J$225,$M152)</f>
        <v>Kicker scoring is volatile and replaceable on waivers; do not pay meaningful draft capital.</v>
      </c>
      <c r="I152">
        <f>INDEX('Draft Engine'!$R$3:$R$225,$M152)</f>
        <v>200</v>
      </c>
      <c r="J152">
        <f>INDEX('Draft Engine'!$S$3:$S$225,$M152)</f>
        <v>50</v>
      </c>
      <c r="K152" t="str">
        <f>INDEX('Draft Engine'!$T$3:$T$225,$M152)</f>
        <v>B</v>
      </c>
      <c r="L152" t="str">
        <f>INDEX('Draft Engine'!$X$3:$X$225,$M152)</f>
        <v>KICKER MODEL</v>
      </c>
      <c r="M152" s="6">
        <f>MATCH($A152,'Draft Engine'!$Q$3:$Q$225,0)</f>
        <v>189</v>
      </c>
    </row>
    <row r="153" spans="1:13" x14ac:dyDescent="0.25">
      <c r="A153">
        <f>151</f>
        <v>151</v>
      </c>
      <c r="B153" t="str">
        <f>INDEX('Draft Engine'!$A$3:$A$225,$M153)</f>
        <v>RB</v>
      </c>
      <c r="C153">
        <f>INDEX('Draft Engine'!$F$3:$F$225,$M153)</f>
        <v>42</v>
      </c>
      <c r="D153" t="str">
        <f>INDEX('Draft Engine'!$B$3:$B$225,$M153)</f>
        <v>Chris Rodriguez Jr.</v>
      </c>
      <c r="E153" s="4">
        <f>INDEX('Draft Engine'!$E$3:$E$225,$M153)</f>
        <v>66.537000000000006</v>
      </c>
      <c r="F153" t="str">
        <f>INDEX('LIVE SOURCE'!$H$3:$H$225,$M153)</f>
        <v>Bench stash/handcuff profile; value is tied to role change or injury ahead.</v>
      </c>
      <c r="G153" t="str">
        <f>INDEX('LIVE SOURCE'!$I$3:$I$225,$M153)</f>
        <v>He produced 7.0 PPR/FP points per game across 13 games. The workload/efficiency profile gives the model a rate-based reason to keep him here. Market price is favorable around ADP 174 versus model overall rank 147.</v>
      </c>
      <c r="H153" t="str">
        <f>INDEX('LIVE SOURCE'!$J$3:$J$225,$M153)</f>
        <v>Touchdown variance, receiving-role changes and backfield competition are the main downside paths.</v>
      </c>
      <c r="I153">
        <f>INDEX('Draft Engine'!$R$3:$R$225,$M153)</f>
        <v>174.2</v>
      </c>
      <c r="J153">
        <f>INDEX('Draft Engine'!$S$3:$S$225,$M153)</f>
        <v>23.199999999999989</v>
      </c>
      <c r="K153" t="str">
        <f>INDEX('Draft Engine'!$T$3:$T$225,$M153)</f>
        <v>A</v>
      </c>
      <c r="L153" t="str">
        <f>INDEX('Draft Engine'!$X$3:$X$225,$M153)</f>
        <v>RATE-ADJUSTED VETERAN</v>
      </c>
      <c r="M153" s="6">
        <f>MATCH($A153,'Draft Engine'!$Q$3:$Q$225,0)</f>
        <v>74</v>
      </c>
    </row>
    <row r="154" spans="1:13" x14ac:dyDescent="0.25">
      <c r="A154">
        <f>152</f>
        <v>152</v>
      </c>
      <c r="B154" t="str">
        <f>INDEX('Draft Engine'!$A$3:$A$225,$M154)</f>
        <v>RB</v>
      </c>
      <c r="C154">
        <f>INDEX('Draft Engine'!$F$3:$F$225,$M154)</f>
        <v>43</v>
      </c>
      <c r="D154" t="str">
        <f>INDEX('Draft Engine'!$B$3:$B$225,$M154)</f>
        <v>Tyrone Tracy Jr.</v>
      </c>
      <c r="E154" s="4">
        <f>INDEX('Draft Engine'!$E$3:$E$225,$M154)</f>
        <v>66.531000000000006</v>
      </c>
      <c r="F154" t="str">
        <f>INDEX('LIVE SOURCE'!$H$3:$H$225,$M154)</f>
        <v>Bench stash/handcuff profile; value is tied to role change or injury ahead.</v>
      </c>
      <c r="G154" t="str">
        <f>INDEX('LIVE SOURCE'!$I$3:$I$225,$M154)</f>
        <v>He produced 10.7 PPR/FP points per game across 15 games. The workload/efficiency profile gives the model a rate-based reason to keep him here. Market price is favorable around ADP 178 versus model overall rank 149.</v>
      </c>
      <c r="H154" t="str">
        <f>INDEX('LIVE SOURCE'!$J$3:$J$225,$M154)</f>
        <v>Touchdown variance, receiving-role changes and backfield competition are the main downside paths.</v>
      </c>
      <c r="I154">
        <f>INDEX('Draft Engine'!$R$3:$R$225,$M154)</f>
        <v>178.4</v>
      </c>
      <c r="J154">
        <f>INDEX('Draft Engine'!$S$3:$S$225,$M154)</f>
        <v>26.400000000000006</v>
      </c>
      <c r="K154" t="str">
        <f>INDEX('Draft Engine'!$T$3:$T$225,$M154)</f>
        <v>A</v>
      </c>
      <c r="L154" t="str">
        <f>INDEX('Draft Engine'!$X$3:$X$225,$M154)</f>
        <v>RATE-ADJUSTED VETERAN</v>
      </c>
      <c r="M154" s="6">
        <f>MATCH($A154,'Draft Engine'!$Q$3:$Q$225,0)</f>
        <v>75</v>
      </c>
    </row>
    <row r="155" spans="1:13" x14ac:dyDescent="0.25">
      <c r="A155">
        <f>153</f>
        <v>153</v>
      </c>
      <c r="B155" t="str">
        <f>INDEX('Draft Engine'!$A$3:$A$225,$M155)</f>
        <v>WR</v>
      </c>
      <c r="C155">
        <f>INDEX('Draft Engine'!$F$3:$F$225,$M155)</f>
        <v>47</v>
      </c>
      <c r="D155" t="str">
        <f>INDEX('Draft Engine'!$B$3:$B$225,$M155)</f>
        <v>Brian Thomas Jr.</v>
      </c>
      <c r="E155" s="4">
        <f>INDEX('Draft Engine'!$E$3:$E$225,$M155)</f>
        <v>66.967500000000001</v>
      </c>
      <c r="F155" t="str">
        <f>INDEX('LIVE SOURCE'!$H$3:$H$225,$M155)</f>
        <v>FLEX/bench receiver; needs target growth or efficiency spikes.</v>
      </c>
      <c r="G155" t="str">
        <f>INDEX('LIVE SOURCE'!$I$3:$I$225,$M155)</f>
        <v>The 2026 opportunity and projection carry most of the grade because detailed 2025 rate data is incomplete.</v>
      </c>
      <c r="H155" t="str">
        <f>INDEX('LIVE SOURCE'!$J$3:$J$225,$M155)</f>
        <v>Target competition, quarterback efficiency and touchdown regression are the main downside paths.</v>
      </c>
      <c r="I155">
        <f>INDEX('Draft Engine'!$R$3:$R$225,$M155)</f>
        <v>155.1</v>
      </c>
      <c r="J155">
        <f>INDEX('Draft Engine'!$S$3:$S$225,$M155)</f>
        <v>2.0999999999999943</v>
      </c>
      <c r="K155" t="str">
        <f>INDEX('Draft Engine'!$T$3:$T$225,$M155)</f>
        <v>C</v>
      </c>
      <c r="L155" t="str">
        <f>INDEX('Draft Engine'!$X$3:$X$225,$M155)</f>
        <v>HISTORY FALLBACK</v>
      </c>
      <c r="M155" s="6">
        <f>MATCH($A155,'Draft Engine'!$Q$3:$Q$225,0)</f>
        <v>122</v>
      </c>
    </row>
    <row r="156" spans="1:13" x14ac:dyDescent="0.25">
      <c r="A156">
        <f>154</f>
        <v>154</v>
      </c>
      <c r="B156" t="str">
        <f>INDEX('Draft Engine'!$A$3:$A$225,$M156)</f>
        <v>WR</v>
      </c>
      <c r="C156">
        <f>INDEX('Draft Engine'!$F$3:$F$225,$M156)</f>
        <v>48</v>
      </c>
      <c r="D156" t="str">
        <f>INDEX('Draft Engine'!$B$3:$B$225,$M156)</f>
        <v>Josh Downs</v>
      </c>
      <c r="E156" s="4">
        <f>INDEX('Draft Engine'!$E$3:$E$225,$M156)</f>
        <v>66.84</v>
      </c>
      <c r="F156" t="str">
        <f>INDEX('LIVE SOURCE'!$H$3:$H$225,$M156)</f>
        <v>FLEX/bench receiver; needs target growth or efficiency spikes.</v>
      </c>
      <c r="G156" t="str">
        <f>INDEX('LIVE SOURCE'!$I$3:$I$225,$M156)</f>
        <v>He produced 8.5 PPR/FP points per game across 16 games. The workload/efficiency profile gives the model a rate-based reason to keep him here. Market price is favorable around ADP 190 versus model overall rank 162.</v>
      </c>
      <c r="H156" t="str">
        <f>INDEX('LIVE SOURCE'!$J$3:$J$225,$M156)</f>
        <v>Target competition, quarterback efficiency and touchdown regression are the main downside paths.</v>
      </c>
      <c r="I156">
        <f>INDEX('Draft Engine'!$R$3:$R$225,$M156)</f>
        <v>190.2</v>
      </c>
      <c r="J156">
        <f>INDEX('Draft Engine'!$S$3:$S$225,$M156)</f>
        <v>36.199999999999989</v>
      </c>
      <c r="K156" t="str">
        <f>INDEX('Draft Engine'!$T$3:$T$225,$M156)</f>
        <v>C</v>
      </c>
      <c r="L156" t="str">
        <f>INDEX('Draft Engine'!$X$3:$X$225,$M156)</f>
        <v>HISTORY FALLBACK</v>
      </c>
      <c r="M156" s="6">
        <f>MATCH($A156,'Draft Engine'!$Q$3:$Q$225,0)</f>
        <v>131</v>
      </c>
    </row>
    <row r="157" spans="1:13" x14ac:dyDescent="0.25">
      <c r="A157">
        <f>155</f>
        <v>155</v>
      </c>
      <c r="B157" t="str">
        <f>INDEX('Draft Engine'!$A$3:$A$225,$M157)</f>
        <v>TE</v>
      </c>
      <c r="C157">
        <f>INDEX('Draft Engine'!$F$3:$F$225,$M157)</f>
        <v>24</v>
      </c>
      <c r="D157" t="str">
        <f>INDEX('Draft Engine'!$B$3:$B$225,$M157)</f>
        <v>AJ Barner</v>
      </c>
      <c r="E157" s="4">
        <f>INDEX('Draft Engine'!$E$3:$E$225,$M157)</f>
        <v>70.124499999999998</v>
      </c>
      <c r="F157" t="str">
        <f>INDEX('LIVE SOURCE'!$H$3:$H$225,$M157)</f>
        <v>Deep TE stash; needs a larger route/target role to matter in 10-team leagues.</v>
      </c>
      <c r="G157" t="str">
        <f>INDEX('LIVE SOURCE'!$I$3:$I$225,$M157)</f>
        <v>He produced 8.7 PPR/FP points per game across 17 games. The workload/efficiency profile gives the model a rate-based reason to keep him here. Market price is favorable around ADP 224 versus model overall rank 156.</v>
      </c>
      <c r="H157" t="str">
        <f>INDEX('LIVE SOURCE'!$J$3:$J$225,$M157)</f>
        <v>Route share, target volume and touchdown volatility are the main swing factors.</v>
      </c>
      <c r="I157">
        <f>INDEX('Draft Engine'!$R$3:$R$225,$M157)</f>
        <v>224</v>
      </c>
      <c r="J157">
        <f>INDEX('Draft Engine'!$S$3:$S$225,$M157)</f>
        <v>69</v>
      </c>
      <c r="K157" t="str">
        <f>INDEX('Draft Engine'!$T$3:$T$225,$M157)</f>
        <v>A</v>
      </c>
      <c r="L157" t="str">
        <f>INDEX('Draft Engine'!$X$3:$X$225,$M157)</f>
        <v>RATE-ADJUSTED VETERAN</v>
      </c>
      <c r="M157" s="6">
        <f>MATCH($A157,'Draft Engine'!$Q$3:$Q$225,0)</f>
        <v>176</v>
      </c>
    </row>
    <row r="158" spans="1:13" x14ac:dyDescent="0.25">
      <c r="A158">
        <f>156</f>
        <v>156</v>
      </c>
      <c r="B158" t="str">
        <f>INDEX('Draft Engine'!$A$3:$A$225,$M158)</f>
        <v>QB</v>
      </c>
      <c r="C158">
        <f>INDEX('Draft Engine'!$F$3:$F$225,$M158)</f>
        <v>21</v>
      </c>
      <c r="D158" t="str">
        <f>INDEX('Draft Engine'!$B$3:$B$225,$M158)</f>
        <v>C.J. Stroud</v>
      </c>
      <c r="E158" s="4">
        <f>INDEX('Draft Engine'!$E$3:$E$225,$M158)</f>
        <v>75.762100000000004</v>
      </c>
      <c r="F158" t="str">
        <f>INDEX('LIVE SOURCE'!$H$3:$H$225,$M158)</f>
        <v>Bench/streaming option; needs matchup, rushing or TD spike weeks.</v>
      </c>
      <c r="G158" t="str">
        <f>INDEX('LIVE SOURCE'!$I$3:$I$225,$M158)</f>
        <v>He produced 15.5 PPR/FP points per game across 14 games. The workload/efficiency profile gives the model a rate-based reason to keep him here. Market price is favorable around ADP 182 versus model overall rank 154.</v>
      </c>
      <c r="H158" t="str">
        <f>INDEX('LIVE SOURCE'!$J$3:$J$225,$M158)</f>
        <v>Passing-TD efficiency, rushing volume and supporting-cast health are the main swing factors.</v>
      </c>
      <c r="I158">
        <f>INDEX('Draft Engine'!$R$3:$R$225,$M158)</f>
        <v>182</v>
      </c>
      <c r="J158">
        <f>INDEX('Draft Engine'!$S$3:$S$225,$M158)</f>
        <v>26</v>
      </c>
      <c r="K158" t="str">
        <f>INDEX('Draft Engine'!$T$3:$T$225,$M158)</f>
        <v>A</v>
      </c>
      <c r="L158" t="str">
        <f>INDEX('Draft Engine'!$X$3:$X$225,$M158)</f>
        <v>RATE-ADJUSTED VETERAN</v>
      </c>
      <c r="M158" s="6">
        <f>MATCH($A158,'Draft Engine'!$Q$3:$Q$225,0)</f>
        <v>21</v>
      </c>
    </row>
    <row r="159" spans="1:13" x14ac:dyDescent="0.25">
      <c r="A159">
        <f>157</f>
        <v>157</v>
      </c>
      <c r="B159" t="str">
        <f>INDEX('Draft Engine'!$A$3:$A$225,$M159)</f>
        <v>WR</v>
      </c>
      <c r="C159">
        <f>INDEX('Draft Engine'!$F$3:$F$225,$M159)</f>
        <v>49</v>
      </c>
      <c r="D159" t="str">
        <f>INDEX('Draft Engine'!$B$3:$B$225,$M159)</f>
        <v>Jayden Reed</v>
      </c>
      <c r="E159" s="4">
        <f>INDEX('Draft Engine'!$E$3:$E$225,$M159)</f>
        <v>66.17</v>
      </c>
      <c r="F159" t="str">
        <f>INDEX('LIVE SOURCE'!$H$3:$H$225,$M159)</f>
        <v>FLEX/bench receiver; needs target growth or efficiency spikes.</v>
      </c>
      <c r="G159" t="str">
        <f>INDEX('LIVE SOURCE'!$I$3:$I$225,$M159)</f>
        <v>The 2026 opportunity and projection carry most of the grade because detailed 2025 rate data is incomplete. Market price is favorable around ADP 194 versus model overall rank 167.</v>
      </c>
      <c r="H159" t="str">
        <f>INDEX('LIVE SOURCE'!$J$3:$J$225,$M159)</f>
        <v>Evidence is thinner than for established veterans, so camp, depth-chart and role news can move the grade materially.</v>
      </c>
      <c r="I159">
        <f>INDEX('Draft Engine'!$R$3:$R$225,$M159)</f>
        <v>194.1</v>
      </c>
      <c r="J159">
        <f>INDEX('Draft Engine'!$S$3:$S$225,$M159)</f>
        <v>37.099999999999994</v>
      </c>
      <c r="K159" t="str">
        <f>INDEX('Draft Engine'!$T$3:$T$225,$M159)</f>
        <v>C</v>
      </c>
      <c r="L159" t="str">
        <f>INDEX('Draft Engine'!$X$3:$X$225,$M159)</f>
        <v>HISTORY FALLBACK</v>
      </c>
      <c r="M159" s="6">
        <f>MATCH($A159,'Draft Engine'!$Q$3:$Q$225,0)</f>
        <v>132</v>
      </c>
    </row>
    <row r="160" spans="1:13" x14ac:dyDescent="0.25">
      <c r="A160">
        <f>158</f>
        <v>158</v>
      </c>
      <c r="B160" t="str">
        <f>INDEX('Draft Engine'!$A$3:$A$225,$M160)</f>
        <v>QB</v>
      </c>
      <c r="C160">
        <f>INDEX('Draft Engine'!$F$3:$F$225,$M160)</f>
        <v>22</v>
      </c>
      <c r="D160" t="str">
        <f>INDEX('Draft Engine'!$B$3:$B$225,$M160)</f>
        <v>Sam Darnold</v>
      </c>
      <c r="E160" s="4">
        <f>INDEX('Draft Engine'!$E$3:$E$225,$M160)</f>
        <v>75.554199999999994</v>
      </c>
      <c r="F160" t="str">
        <f>INDEX('LIVE SOURCE'!$H$3:$H$225,$M160)</f>
        <v>Bench/streaming option; needs matchup, rushing or TD spike weeks.</v>
      </c>
      <c r="G160" t="str">
        <f>INDEX('LIVE SOURCE'!$I$3:$I$225,$M160)</f>
        <v>He produced 14.7 PPR/FP points per game across 17 games. The workload/efficiency profile gives the model a rate-based reason to keep him here. Market price is favorable around ADP 190 versus model overall rank 157.</v>
      </c>
      <c r="H160" t="str">
        <f>INDEX('LIVE SOURCE'!$J$3:$J$225,$M160)</f>
        <v>Passing-TD efficiency, rushing volume and supporting-cast health are the main swing factors.</v>
      </c>
      <c r="I160">
        <f>INDEX('Draft Engine'!$R$3:$R$225,$M160)</f>
        <v>190</v>
      </c>
      <c r="J160">
        <f>INDEX('Draft Engine'!$S$3:$S$225,$M160)</f>
        <v>32</v>
      </c>
      <c r="K160" t="str">
        <f>INDEX('Draft Engine'!$T$3:$T$225,$M160)</f>
        <v>A</v>
      </c>
      <c r="L160" t="str">
        <f>INDEX('Draft Engine'!$X$3:$X$225,$M160)</f>
        <v>RATE-ADJUSTED VETERAN</v>
      </c>
      <c r="M160" s="6">
        <f>MATCH($A160,'Draft Engine'!$Q$3:$Q$225,0)</f>
        <v>22</v>
      </c>
    </row>
    <row r="161" spans="1:13" x14ac:dyDescent="0.25">
      <c r="A161">
        <f>159</f>
        <v>159</v>
      </c>
      <c r="B161" t="str">
        <f>INDEX('Draft Engine'!$A$3:$A$225,$M161)</f>
        <v>QB</v>
      </c>
      <c r="C161">
        <f>INDEX('Draft Engine'!$F$3:$F$225,$M161)</f>
        <v>23</v>
      </c>
      <c r="D161" t="str">
        <f>INDEX('Draft Engine'!$B$3:$B$225,$M161)</f>
        <v>Daniel Jones</v>
      </c>
      <c r="E161" s="4">
        <f>INDEX('Draft Engine'!$E$3:$E$225,$M161)</f>
        <v>74.790400000000005</v>
      </c>
      <c r="F161" t="str">
        <f>INDEX('LIVE SOURCE'!$H$3:$H$225,$M161)</f>
        <v>Bench/streaming option; needs matchup, rushing or TD spike weeks.</v>
      </c>
      <c r="G161" t="str">
        <f>INDEX('LIVE SOURCE'!$I$3:$I$225,$M161)</f>
        <v>He produced 18.0 PPR/FP points per game across 13 games. The workload/efficiency profile gives the model a rate-based reason to keep him here. Market price is favorable around ADP 198 versus model overall rank 158.</v>
      </c>
      <c r="H161" t="str">
        <f>INDEX('LIVE SOURCE'!$J$3:$J$225,$M161)</f>
        <v>Passing-TD efficiency, rushing volume and supporting-cast health are the main swing factors.</v>
      </c>
      <c r="I161">
        <f>INDEX('Draft Engine'!$R$3:$R$225,$M161)</f>
        <v>198</v>
      </c>
      <c r="J161">
        <f>INDEX('Draft Engine'!$S$3:$S$225,$M161)</f>
        <v>39</v>
      </c>
      <c r="K161" t="str">
        <f>INDEX('Draft Engine'!$T$3:$T$225,$M161)</f>
        <v>A</v>
      </c>
      <c r="L161" t="str">
        <f>INDEX('Draft Engine'!$X$3:$X$225,$M161)</f>
        <v>RATE-ADJUSTED VETERAN</v>
      </c>
      <c r="M161" s="6">
        <f>MATCH($A161,'Draft Engine'!$Q$3:$Q$225,0)</f>
        <v>23</v>
      </c>
    </row>
    <row r="162" spans="1:13" x14ac:dyDescent="0.25">
      <c r="A162">
        <f>160</f>
        <v>160</v>
      </c>
      <c r="B162" t="str">
        <f>INDEX('Draft Engine'!$A$3:$A$225,$M162)</f>
        <v>WR</v>
      </c>
      <c r="C162">
        <f>INDEX('Draft Engine'!$F$3:$F$225,$M162)</f>
        <v>50</v>
      </c>
      <c r="D162" t="str">
        <f>INDEX('Draft Engine'!$B$3:$B$225,$M162)</f>
        <v>Khalil Shakir</v>
      </c>
      <c r="E162" s="4">
        <f>INDEX('Draft Engine'!$E$3:$E$225,$M162)</f>
        <v>65.5</v>
      </c>
      <c r="F162" t="str">
        <f>INDEX('LIVE SOURCE'!$H$3:$H$225,$M162)</f>
        <v>Late-round bench upside; role growth is required for weekly relevance.</v>
      </c>
      <c r="G162" t="str">
        <f>INDEX('LIVE SOURCE'!$I$3:$I$225,$M162)</f>
        <v>He produced 10.4 PPR/FP points per game across 16 games. The workload/efficiency profile gives the model a rate-based reason to keep him here. Market price is favorable around ADP 198 versus model overall rank 171.</v>
      </c>
      <c r="H162" t="str">
        <f>INDEX('LIVE SOURCE'!$J$3:$J$225,$M162)</f>
        <v>Target competition, quarterback efficiency and touchdown regression are the main downside paths.</v>
      </c>
      <c r="I162">
        <f>INDEX('Draft Engine'!$R$3:$R$225,$M162)</f>
        <v>198</v>
      </c>
      <c r="J162">
        <f>INDEX('Draft Engine'!$S$3:$S$225,$M162)</f>
        <v>38</v>
      </c>
      <c r="K162" t="str">
        <f>INDEX('Draft Engine'!$T$3:$T$225,$M162)</f>
        <v>C</v>
      </c>
      <c r="L162" t="str">
        <f>INDEX('Draft Engine'!$X$3:$X$225,$M162)</f>
        <v>HISTORY FALLBACK</v>
      </c>
      <c r="M162" s="6">
        <f>MATCH($A162,'Draft Engine'!$Q$3:$Q$225,0)</f>
        <v>133</v>
      </c>
    </row>
    <row r="163" spans="1:13" x14ac:dyDescent="0.25">
      <c r="A163">
        <f>161</f>
        <v>161</v>
      </c>
      <c r="B163" t="str">
        <f>INDEX('Draft Engine'!$A$3:$A$225,$M163)</f>
        <v>QB</v>
      </c>
      <c r="C163">
        <f>INDEX('Draft Engine'!$F$3:$F$225,$M163)</f>
        <v>24</v>
      </c>
      <c r="D163" t="str">
        <f>INDEX('Draft Engine'!$B$3:$B$225,$M163)</f>
        <v>Malik Willis</v>
      </c>
      <c r="E163" s="4">
        <f>INDEX('Draft Engine'!$E$3:$E$225,$M163)</f>
        <v>74.240300000000005</v>
      </c>
      <c r="F163" t="str">
        <f>INDEX('LIVE SOURCE'!$H$3:$H$225,$M163)</f>
        <v>Bench/streaming option; needs matchup, rushing or TD spike weeks.</v>
      </c>
      <c r="G163" t="str">
        <f>INDEX('LIVE SOURCE'!$I$3:$I$225,$M163)</f>
        <v>He produced 12.8 PPR/FP points per game across 4 games. The workload/efficiency profile gives the model a rate-based reason to keep him here. Market price is favorable around ADP 206 versus model overall rank 160.</v>
      </c>
      <c r="H163" t="str">
        <f>INDEX('LIVE SOURCE'!$J$3:$J$225,$M163)</f>
        <v>Availability/sample risk is elevated after only 4 games; talent is not being punished as heavily as durability.</v>
      </c>
      <c r="I163">
        <f>INDEX('Draft Engine'!$R$3:$R$225,$M163)</f>
        <v>206</v>
      </c>
      <c r="J163">
        <f>INDEX('Draft Engine'!$S$3:$S$225,$M163)</f>
        <v>45</v>
      </c>
      <c r="K163" t="str">
        <f>INDEX('Draft Engine'!$T$3:$T$225,$M163)</f>
        <v>B</v>
      </c>
      <c r="L163" t="str">
        <f>INDEX('Draft Engine'!$X$3:$X$225,$M163)</f>
        <v>RATE-ADJUSTED VETERAN</v>
      </c>
      <c r="M163" s="6">
        <f>MATCH($A163,'Draft Engine'!$Q$3:$Q$225,0)</f>
        <v>24</v>
      </c>
    </row>
    <row r="164" spans="1:13" x14ac:dyDescent="0.25">
      <c r="A164">
        <f>162</f>
        <v>162</v>
      </c>
      <c r="B164" t="str">
        <f>INDEX('Draft Engine'!$A$3:$A$225,$M164)</f>
        <v>WR</v>
      </c>
      <c r="C164">
        <f>INDEX('Draft Engine'!$F$3:$F$225,$M164)</f>
        <v>51</v>
      </c>
      <c r="D164" t="str">
        <f>INDEX('Draft Engine'!$B$3:$B$225,$M164)</f>
        <v>Jalin Hyatt</v>
      </c>
      <c r="E164" s="4">
        <f>INDEX('Draft Engine'!$E$3:$E$225,$M164)</f>
        <v>64.83</v>
      </c>
      <c r="F164" t="str">
        <f>INDEX('LIVE SOURCE'!$H$3:$H$225,$M164)</f>
        <v>Late-round bench upside; role growth is required for weekly relevance.</v>
      </c>
      <c r="G164" t="str">
        <f>INDEX('LIVE SOURCE'!$I$3:$I$225,$M164)</f>
        <v>The 2026 opportunity and projection carry most of the grade because detailed 2025 rate data is incomplete. Market price is favorable around ADP 202 versus model overall rank 174.</v>
      </c>
      <c r="H164" t="str">
        <f>INDEX('LIVE SOURCE'!$J$3:$J$225,$M164)</f>
        <v>Evidence is thinner than for established veterans, so camp, depth-chart and role news can move the grade materially.</v>
      </c>
      <c r="I164">
        <f>INDEX('Draft Engine'!$R$3:$R$225,$M164)</f>
        <v>201.9</v>
      </c>
      <c r="J164">
        <f>INDEX('Draft Engine'!$S$3:$S$225,$M164)</f>
        <v>39.900000000000006</v>
      </c>
      <c r="K164" t="str">
        <f>INDEX('Draft Engine'!$T$3:$T$225,$M164)</f>
        <v>C</v>
      </c>
      <c r="L164" t="str">
        <f>INDEX('Draft Engine'!$X$3:$X$225,$M164)</f>
        <v>HISTORY FALLBACK</v>
      </c>
      <c r="M164" s="6">
        <f>MATCH($A164,'Draft Engine'!$Q$3:$Q$225,0)</f>
        <v>134</v>
      </c>
    </row>
    <row r="165" spans="1:13" x14ac:dyDescent="0.25">
      <c r="A165">
        <f>163</f>
        <v>163</v>
      </c>
      <c r="B165" t="str">
        <f>INDEX('Draft Engine'!$A$3:$A$225,$M165)</f>
        <v>RB</v>
      </c>
      <c r="C165">
        <f>INDEX('Draft Engine'!$F$3:$F$225,$M165)</f>
        <v>44</v>
      </c>
      <c r="D165" t="str">
        <f>INDEX('Draft Engine'!$B$3:$B$225,$M165)</f>
        <v>Tyler Allgeier</v>
      </c>
      <c r="E165" s="4">
        <f>INDEX('Draft Engine'!$E$3:$E$225,$M165)</f>
        <v>63.032200000000003</v>
      </c>
      <c r="F165" t="str">
        <f>INDEX('LIVE SOURCE'!$H$3:$H$225,$M165)</f>
        <v>Bench stash/handcuff profile; value is tied to role change or injury ahead.</v>
      </c>
      <c r="G165" t="str">
        <f>INDEX('LIVE SOURCE'!$I$3:$I$225,$M165)</f>
        <v>He produced 7.2 PPR/FP points per game across 17 games. The workload/efficiency profile gives the model a rate-based reason to keep him here. Market price is favorable around ADP 183 versus model overall rank 168.</v>
      </c>
      <c r="H165" t="str">
        <f>INDEX('LIVE SOURCE'!$J$3:$J$225,$M165)</f>
        <v>Touchdown variance, receiving-role changes and backfield competition are the main downside paths.</v>
      </c>
      <c r="I165">
        <f>INDEX('Draft Engine'!$R$3:$R$225,$M165)</f>
        <v>182.6</v>
      </c>
      <c r="J165">
        <f>INDEX('Draft Engine'!$S$3:$S$225,$M165)</f>
        <v>19.599999999999994</v>
      </c>
      <c r="K165" t="str">
        <f>INDEX('Draft Engine'!$T$3:$T$225,$M165)</f>
        <v>A</v>
      </c>
      <c r="L165" t="str">
        <f>INDEX('Draft Engine'!$X$3:$X$225,$M165)</f>
        <v>RATE-ADJUSTED VETERAN</v>
      </c>
      <c r="M165" s="6">
        <f>MATCH($A165,'Draft Engine'!$Q$3:$Q$225,0)</f>
        <v>76</v>
      </c>
    </row>
    <row r="166" spans="1:13" x14ac:dyDescent="0.25">
      <c r="A166">
        <f>164</f>
        <v>164</v>
      </c>
      <c r="B166" t="str">
        <f>INDEX('Draft Engine'!$A$3:$A$225,$M166)</f>
        <v>TE</v>
      </c>
      <c r="C166">
        <f>INDEX('Draft Engine'!$F$3:$F$225,$M166)</f>
        <v>25</v>
      </c>
      <c r="D166" t="str">
        <f>INDEX('Draft Engine'!$B$3:$B$225,$M166)</f>
        <v>Cade Otton</v>
      </c>
      <c r="E166" s="4">
        <f>INDEX('Draft Engine'!$E$3:$E$225,$M166)</f>
        <v>66.649000000000001</v>
      </c>
      <c r="F166" t="str">
        <f>INDEX('LIVE SOURCE'!$H$3:$H$225,$M166)</f>
        <v>Deep TE stash; needs a larger route/target role to matter in 10-team leagues.</v>
      </c>
      <c r="G166" t="str">
        <f>INDEX('LIVE SOURCE'!$I$3:$I$225,$M166)</f>
        <v>He produced 7.6 PPR/FP points per game across 16 games. The workload/efficiency profile gives the model a rate-based reason to keep him here. Market price is favorable around ADP 233 versus model overall rank 165.</v>
      </c>
      <c r="H166" t="str">
        <f>INDEX('LIVE SOURCE'!$J$3:$J$225,$M166)</f>
        <v>Route share, target volume and touchdown volatility are the main swing factors.</v>
      </c>
      <c r="I166">
        <f>INDEX('Draft Engine'!$R$3:$R$225,$M166)</f>
        <v>233</v>
      </c>
      <c r="J166">
        <f>INDEX('Draft Engine'!$S$3:$S$225,$M166)</f>
        <v>69</v>
      </c>
      <c r="K166" t="str">
        <f>INDEX('Draft Engine'!$T$3:$T$225,$M166)</f>
        <v>A</v>
      </c>
      <c r="L166" t="str">
        <f>INDEX('Draft Engine'!$X$3:$X$225,$M166)</f>
        <v>RATE-ADJUSTED VETERAN</v>
      </c>
      <c r="M166" s="6">
        <f>MATCH($A166,'Draft Engine'!$Q$3:$Q$225,0)</f>
        <v>177</v>
      </c>
    </row>
    <row r="167" spans="1:13" x14ac:dyDescent="0.25">
      <c r="A167">
        <f>165</f>
        <v>165</v>
      </c>
      <c r="B167" t="str">
        <f>INDEX('Draft Engine'!$A$3:$A$225,$M167)</f>
        <v>TE</v>
      </c>
      <c r="C167">
        <f>INDEX('Draft Engine'!$F$3:$F$225,$M167)</f>
        <v>26</v>
      </c>
      <c r="D167" t="str">
        <f>INDEX('Draft Engine'!$B$3:$B$225,$M167)</f>
        <v>Gunnar Helm</v>
      </c>
      <c r="E167" s="4">
        <f>INDEX('Draft Engine'!$E$3:$E$225,$M167)</f>
        <v>66.622299999999996</v>
      </c>
      <c r="F167" t="str">
        <f>INDEX('LIVE SOURCE'!$H$3:$H$225,$M167)</f>
        <v>Deep TE stash; needs a larger route/target role to matter in 10-team leagues.</v>
      </c>
      <c r="G167" t="str">
        <f>INDEX('LIVE SOURCE'!$I$3:$I$225,$M167)</f>
        <v>He produced 5.8 PPR/FP points per game across 16 games. The workload/efficiency profile gives the model a rate-based reason to keep him here. Market price is favorable around ADP 242 versus model overall rank 166.</v>
      </c>
      <c r="H167" t="str">
        <f>INDEX('LIVE SOURCE'!$J$3:$J$225,$M167)</f>
        <v>Route share, target volume and touchdown volatility are the main swing factors.</v>
      </c>
      <c r="I167">
        <f>INDEX('Draft Engine'!$R$3:$R$225,$M167)</f>
        <v>242</v>
      </c>
      <c r="J167">
        <f>INDEX('Draft Engine'!$S$3:$S$225,$M167)</f>
        <v>77</v>
      </c>
      <c r="K167" t="str">
        <f>INDEX('Draft Engine'!$T$3:$T$225,$M167)</f>
        <v>A</v>
      </c>
      <c r="L167" t="str">
        <f>INDEX('Draft Engine'!$X$3:$X$225,$M167)</f>
        <v>RATE-ADJUSTED VETERAN</v>
      </c>
      <c r="M167" s="6">
        <f>MATCH($A167,'Draft Engine'!$Q$3:$Q$225,0)</f>
        <v>178</v>
      </c>
    </row>
    <row r="168" spans="1:13" x14ac:dyDescent="0.25">
      <c r="A168">
        <f>166</f>
        <v>166</v>
      </c>
      <c r="B168" t="str">
        <f>INDEX('Draft Engine'!$A$3:$A$225,$M168)</f>
        <v>WR</v>
      </c>
      <c r="C168">
        <f>INDEX('Draft Engine'!$F$3:$F$225,$M168)</f>
        <v>52</v>
      </c>
      <c r="D168" t="str">
        <f>INDEX('Draft Engine'!$B$3:$B$225,$M168)</f>
        <v>Romeo Doubs</v>
      </c>
      <c r="E168" s="4">
        <f>INDEX('Draft Engine'!$E$3:$E$225,$M168)</f>
        <v>64.16</v>
      </c>
      <c r="F168" t="str">
        <f>INDEX('LIVE SOURCE'!$H$3:$H$225,$M168)</f>
        <v>Late-round bench upside; role growth is required for weekly relevance.</v>
      </c>
      <c r="G168" t="str">
        <f>INDEX('LIVE SOURCE'!$I$3:$I$225,$M168)</f>
        <v>He produced 10.3 PPR/FP points per game across 16 games. The workload/efficiency profile gives the model a rate-based reason to keep him here. Market price is favorable around ADP 206 versus model overall rank 178.</v>
      </c>
      <c r="H168" t="str">
        <f>INDEX('LIVE SOURCE'!$J$3:$J$225,$M168)</f>
        <v>Target competition, quarterback efficiency and touchdown regression are the main downside paths.</v>
      </c>
      <c r="I168">
        <f>INDEX('Draft Engine'!$R$3:$R$225,$M168)</f>
        <v>205.8</v>
      </c>
      <c r="J168">
        <f>INDEX('Draft Engine'!$S$3:$S$225,$M168)</f>
        <v>39.800000000000011</v>
      </c>
      <c r="K168" t="str">
        <f>INDEX('Draft Engine'!$T$3:$T$225,$M168)</f>
        <v>C</v>
      </c>
      <c r="L168" t="str">
        <f>INDEX('Draft Engine'!$X$3:$X$225,$M168)</f>
        <v>HISTORY FALLBACK</v>
      </c>
      <c r="M168" s="6">
        <f>MATCH($A168,'Draft Engine'!$Q$3:$Q$225,0)</f>
        <v>135</v>
      </c>
    </row>
    <row r="169" spans="1:13" x14ac:dyDescent="0.25">
      <c r="A169">
        <f>167</f>
        <v>167</v>
      </c>
      <c r="B169" t="str">
        <f>INDEX('Draft Engine'!$A$3:$A$225,$M169)</f>
        <v>RB</v>
      </c>
      <c r="C169">
        <f>INDEX('Draft Engine'!$F$3:$F$225,$M169)</f>
        <v>45</v>
      </c>
      <c r="D169" t="str">
        <f>INDEX('Draft Engine'!$B$3:$B$225,$M169)</f>
        <v>Zach Charbonnet</v>
      </c>
      <c r="E169" s="4">
        <f>INDEX('Draft Engine'!$E$3:$E$225,$M169)</f>
        <v>62.549799999999998</v>
      </c>
      <c r="F169" t="str">
        <f>INDEX('LIVE SOURCE'!$H$3:$H$225,$M169)</f>
        <v>Bench stash/handcuff profile; value is tied to role change or injury ahead.</v>
      </c>
      <c r="G169" t="str">
        <f>INDEX('LIVE SOURCE'!$I$3:$I$225,$M169)</f>
        <v>He produced 11.3 PPR/FP points per game across 16 games. The workload/efficiency profile gives the model a rate-based reason to keep him here. Market price is favorable around ADP 187 versus model overall rank 173.</v>
      </c>
      <c r="H169" t="str">
        <f>INDEX('LIVE SOURCE'!$J$3:$J$225,$M169)</f>
        <v>Touchdown variance, receiving-role changes and backfield competition are the main downside paths.</v>
      </c>
      <c r="I169">
        <f>INDEX('Draft Engine'!$R$3:$R$225,$M169)</f>
        <v>186.8</v>
      </c>
      <c r="J169">
        <f>INDEX('Draft Engine'!$S$3:$S$225,$M169)</f>
        <v>19.800000000000011</v>
      </c>
      <c r="K169" t="str">
        <f>INDEX('Draft Engine'!$T$3:$T$225,$M169)</f>
        <v>A</v>
      </c>
      <c r="L169" t="str">
        <f>INDEX('Draft Engine'!$X$3:$X$225,$M169)</f>
        <v>RATE-ADJUSTED VETERAN</v>
      </c>
      <c r="M169" s="6">
        <f>MATCH($A169,'Draft Engine'!$Q$3:$Q$225,0)</f>
        <v>77</v>
      </c>
    </row>
    <row r="170" spans="1:13" x14ac:dyDescent="0.25">
      <c r="A170">
        <f>168</f>
        <v>168</v>
      </c>
      <c r="B170" t="str">
        <f>INDEX('Draft Engine'!$A$3:$A$225,$M170)</f>
        <v>QB</v>
      </c>
      <c r="C170">
        <f>INDEX('Draft Engine'!$F$3:$F$225,$M170)</f>
        <v>25</v>
      </c>
      <c r="D170" t="str">
        <f>INDEX('Draft Engine'!$B$3:$B$225,$M170)</f>
        <v>Bryce Young</v>
      </c>
      <c r="E170" s="4">
        <f>INDEX('Draft Engine'!$E$3:$E$225,$M170)</f>
        <v>72.797600000000003</v>
      </c>
      <c r="F170" t="str">
        <f>INDEX('LIVE SOURCE'!$H$3:$H$225,$M170)</f>
        <v>Deep QB2; waiver-level in a normal 10-team format.</v>
      </c>
      <c r="G170" t="str">
        <f>INDEX('LIVE SOURCE'!$I$3:$I$225,$M170)</f>
        <v>He produced 14.3 PPR/FP points per game across 16 games. The workload/efficiency profile gives the model a rate-based reason to keep him here. Market price is favorable around ADP 214 versus model overall rank 163.</v>
      </c>
      <c r="H170" t="str">
        <f>INDEX('LIVE SOURCE'!$J$3:$J$225,$M170)</f>
        <v>Passing-TD efficiency, rushing volume and supporting-cast health are the main swing factors.</v>
      </c>
      <c r="I170">
        <f>INDEX('Draft Engine'!$R$3:$R$225,$M170)</f>
        <v>214</v>
      </c>
      <c r="J170">
        <f>INDEX('Draft Engine'!$S$3:$S$225,$M170)</f>
        <v>46</v>
      </c>
      <c r="K170" t="str">
        <f>INDEX('Draft Engine'!$T$3:$T$225,$M170)</f>
        <v>A</v>
      </c>
      <c r="L170" t="str">
        <f>INDEX('Draft Engine'!$X$3:$X$225,$M170)</f>
        <v>RATE-ADJUSTED VETERAN</v>
      </c>
      <c r="M170" s="6">
        <f>MATCH($A170,'Draft Engine'!$Q$3:$Q$225,0)</f>
        <v>25</v>
      </c>
    </row>
    <row r="171" spans="1:13" x14ac:dyDescent="0.25">
      <c r="A171">
        <f>169</f>
        <v>169</v>
      </c>
      <c r="B171" t="str">
        <f>INDEX('Draft Engine'!$A$3:$A$225,$M171)</f>
        <v>WR</v>
      </c>
      <c r="C171">
        <f>INDEX('Draft Engine'!$F$3:$F$225,$M171)</f>
        <v>53</v>
      </c>
      <c r="D171" t="str">
        <f>INDEX('Draft Engine'!$B$3:$B$225,$M171)</f>
        <v>Jalen Coker</v>
      </c>
      <c r="E171" s="4">
        <f>INDEX('Draft Engine'!$E$3:$E$225,$M171)</f>
        <v>63.49</v>
      </c>
      <c r="F171" t="str">
        <f>INDEX('LIVE SOURCE'!$H$3:$H$225,$M171)</f>
        <v>Late-round bench upside; role growth is required for weekly relevance.</v>
      </c>
      <c r="G171" t="str">
        <f>INDEX('LIVE SOURCE'!$I$3:$I$225,$M171)</f>
        <v>He produced 8.2 PPR/FP points per game across 11 games. The workload/efficiency profile gives the model a rate-based reason to keep him here. Market price is favorable around ADP 210 versus model overall rank 179.</v>
      </c>
      <c r="H171" t="str">
        <f>INDEX('LIVE SOURCE'!$J$3:$J$225,$M171)</f>
        <v>Target competition, quarterback efficiency and touchdown regression are the main downside paths.</v>
      </c>
      <c r="I171">
        <f>INDEX('Draft Engine'!$R$3:$R$225,$M171)</f>
        <v>209.7</v>
      </c>
      <c r="J171">
        <f>INDEX('Draft Engine'!$S$3:$S$225,$M171)</f>
        <v>40.699999999999989</v>
      </c>
      <c r="K171" t="str">
        <f>INDEX('Draft Engine'!$T$3:$T$225,$M171)</f>
        <v>C</v>
      </c>
      <c r="L171" t="str">
        <f>INDEX('Draft Engine'!$X$3:$X$225,$M171)</f>
        <v>HISTORY FALLBACK</v>
      </c>
      <c r="M171" s="6">
        <f>MATCH($A171,'Draft Engine'!$Q$3:$Q$225,0)</f>
        <v>136</v>
      </c>
    </row>
    <row r="172" spans="1:13" x14ac:dyDescent="0.25">
      <c r="A172">
        <f>170</f>
        <v>170</v>
      </c>
      <c r="B172" t="str">
        <f>INDEX('Draft Engine'!$A$3:$A$225,$M172)</f>
        <v>QB</v>
      </c>
      <c r="C172">
        <f>INDEX('Draft Engine'!$F$3:$F$225,$M172)</f>
        <v>26</v>
      </c>
      <c r="D172" t="str">
        <f>INDEX('Draft Engine'!$B$3:$B$225,$M172)</f>
        <v>Cam Ward</v>
      </c>
      <c r="E172" s="4">
        <f>INDEX('Draft Engine'!$E$3:$E$225,$M172)</f>
        <v>72.664599999999993</v>
      </c>
      <c r="F172" t="str">
        <f>INDEX('LIVE SOURCE'!$H$3:$H$225,$M172)</f>
        <v>Deep QB2; waiver-level in a normal 10-team format.</v>
      </c>
      <c r="G172" t="str">
        <f>INDEX('LIVE SOURCE'!$I$3:$I$225,$M172)</f>
        <v>He produced 11.4 PPR/FP points per game across 17 games. The workload/efficiency profile gives the model a rate-based reason to keep him here. Market price is favorable around ADP 222 versus model overall rank 164.</v>
      </c>
      <c r="H172" t="str">
        <f>INDEX('LIVE SOURCE'!$J$3:$J$225,$M172)</f>
        <v>Passing-TD efficiency, rushing volume and supporting-cast health are the main swing factors.</v>
      </c>
      <c r="I172">
        <f>INDEX('Draft Engine'!$R$3:$R$225,$M172)</f>
        <v>222</v>
      </c>
      <c r="J172">
        <f>INDEX('Draft Engine'!$S$3:$S$225,$M172)</f>
        <v>52</v>
      </c>
      <c r="K172" t="str">
        <f>INDEX('Draft Engine'!$T$3:$T$225,$M172)</f>
        <v>A</v>
      </c>
      <c r="L172" t="str">
        <f>INDEX('Draft Engine'!$X$3:$X$225,$M172)</f>
        <v>RATE-ADJUSTED VETERAN</v>
      </c>
      <c r="M172" s="6">
        <f>MATCH($A172,'Draft Engine'!$Q$3:$Q$225,0)</f>
        <v>26</v>
      </c>
    </row>
    <row r="173" spans="1:13" x14ac:dyDescent="0.25">
      <c r="A173">
        <f>171</f>
        <v>171</v>
      </c>
      <c r="B173" t="str">
        <f>INDEX('Draft Engine'!$A$3:$A$225,$M173)</f>
        <v>RB</v>
      </c>
      <c r="C173">
        <f>INDEX('Draft Engine'!$F$3:$F$225,$M173)</f>
        <v>46</v>
      </c>
      <c r="D173" t="str">
        <f>INDEX('Draft Engine'!$B$3:$B$225,$M173)</f>
        <v>Jonathon Brooks</v>
      </c>
      <c r="E173" s="4">
        <f>INDEX('Draft Engine'!$E$3:$E$225,$M173)</f>
        <v>62.2</v>
      </c>
      <c r="F173" t="str">
        <f>INDEX('LIVE SOURCE'!$H$3:$H$225,$M173)</f>
        <v>Bench stash/handcuff profile; value is tied to role change or injury ahead.</v>
      </c>
      <c r="G173" t="str">
        <f>INDEX('LIVE SOURCE'!$I$3:$I$225,$M173)</f>
        <v>The 2026 opportunity and projection carry most of the grade because detailed 2025 rate data is incomplete. Market price is favorable around ADP 191 versus model overall rank 177.</v>
      </c>
      <c r="H173" t="str">
        <f>INDEX('LIVE SOURCE'!$J$3:$J$225,$M173)</f>
        <v>Evidence is thinner than for established veterans, so camp, depth-chart and role news can move the grade materially.</v>
      </c>
      <c r="I173">
        <f>INDEX('Draft Engine'!$R$3:$R$225,$M173)</f>
        <v>191</v>
      </c>
      <c r="J173">
        <f>INDEX('Draft Engine'!$S$3:$S$225,$M173)</f>
        <v>20</v>
      </c>
      <c r="K173" t="str">
        <f>INDEX('Draft Engine'!$T$3:$T$225,$M173)</f>
        <v>C</v>
      </c>
      <c r="L173" t="str">
        <f>INDEX('Draft Engine'!$X$3:$X$225,$M173)</f>
        <v>HISTORY FALLBACK</v>
      </c>
      <c r="M173" s="6">
        <f>MATCH($A173,'Draft Engine'!$Q$3:$Q$225,0)</f>
        <v>78</v>
      </c>
    </row>
    <row r="174" spans="1:13" x14ac:dyDescent="0.25">
      <c r="A174">
        <f>172</f>
        <v>172</v>
      </c>
      <c r="B174" t="str">
        <f>INDEX('Draft Engine'!$A$3:$A$225,$M174)</f>
        <v>WR</v>
      </c>
      <c r="C174">
        <f>INDEX('Draft Engine'!$F$3:$F$225,$M174)</f>
        <v>54</v>
      </c>
      <c r="D174" t="str">
        <f>INDEX('Draft Engine'!$B$3:$B$225,$M174)</f>
        <v>KC Concepcion</v>
      </c>
      <c r="E174" s="4">
        <f>INDEX('Draft Engine'!$E$3:$E$225,$M174)</f>
        <v>62.82</v>
      </c>
      <c r="F174" t="str">
        <f>INDEX('LIVE SOURCE'!$H$3:$H$225,$M174)</f>
        <v>Late-round bench upside; role growth is required for weekly relevance.</v>
      </c>
      <c r="G174" t="str">
        <f>INDEX('LIVE SOURCE'!$I$3:$I$225,$M174)</f>
        <v>Rookie score 85.3, backed by No. 24 draft capital and a 6.42 NFL prospect grade. The 2026 role projection is strong enough to replace missing NFL history. Market price is favorable around ADP 214 versus model overall rank 181.</v>
      </c>
      <c r="H174" t="str">
        <f>INDEX('LIVE SOURCE'!$J$3:$J$225,$M174)</f>
        <v>NFL translation and exact weekly role are the main variables; preseason first-team usage can move this rating quickly.</v>
      </c>
      <c r="I174">
        <f>INDEX('Draft Engine'!$R$3:$R$225,$M174)</f>
        <v>213.6</v>
      </c>
      <c r="J174">
        <f>INDEX('Draft Engine'!$S$3:$S$225,$M174)</f>
        <v>41.599999999999994</v>
      </c>
      <c r="K174" t="str">
        <f>INDEX('Draft Engine'!$T$3:$T$225,$M174)</f>
        <v>C</v>
      </c>
      <c r="L174" t="str">
        <f>INDEX('Draft Engine'!$X$3:$X$225,$M174)</f>
        <v>HISTORY FALLBACK</v>
      </c>
      <c r="M174" s="6">
        <f>MATCH($A174,'Draft Engine'!$Q$3:$Q$225,0)</f>
        <v>137</v>
      </c>
    </row>
    <row r="175" spans="1:13" x14ac:dyDescent="0.25">
      <c r="A175">
        <f>173</f>
        <v>173</v>
      </c>
      <c r="B175" t="str">
        <f>INDEX('Draft Engine'!$A$3:$A$225,$M175)</f>
        <v>RB</v>
      </c>
      <c r="C175">
        <f>INDEX('Draft Engine'!$F$3:$F$225,$M175)</f>
        <v>47</v>
      </c>
      <c r="D175" t="str">
        <f>INDEX('Draft Engine'!$B$3:$B$225,$M175)</f>
        <v>Emanuel Wilson</v>
      </c>
      <c r="E175" s="4">
        <f>INDEX('Draft Engine'!$E$3:$E$225,$M175)</f>
        <v>61.982100000000003</v>
      </c>
      <c r="F175" t="str">
        <f>INDEX('LIVE SOURCE'!$H$3:$H$225,$M175)</f>
        <v>Bench stash/handcuff profile; value is tied to role change or injury ahead.</v>
      </c>
      <c r="G175" t="str">
        <f>INDEX('LIVE SOURCE'!$I$3:$I$225,$M175)</f>
        <v>He produced 5.6 PPR/FP points per game across 17 games. The workload/efficiency profile gives the model a rate-based reason to keep him here. Market price is favorable around ADP 195 versus model overall rank 180.</v>
      </c>
      <c r="H175" t="str">
        <f>INDEX('LIVE SOURCE'!$J$3:$J$225,$M175)</f>
        <v>Touchdown variance, receiving-role changes and backfield competition are the main downside paths.</v>
      </c>
      <c r="I175">
        <f>INDEX('Draft Engine'!$R$3:$R$225,$M175)</f>
        <v>195.2</v>
      </c>
      <c r="J175">
        <f>INDEX('Draft Engine'!$S$3:$S$225,$M175)</f>
        <v>22.199999999999989</v>
      </c>
      <c r="K175" t="str">
        <f>INDEX('Draft Engine'!$T$3:$T$225,$M175)</f>
        <v>A</v>
      </c>
      <c r="L175" t="str">
        <f>INDEX('Draft Engine'!$X$3:$X$225,$M175)</f>
        <v>RATE-ADJUSTED VETERAN</v>
      </c>
      <c r="M175" s="6">
        <f>MATCH($A175,'Draft Engine'!$Q$3:$Q$225,0)</f>
        <v>79</v>
      </c>
    </row>
    <row r="176" spans="1:13" x14ac:dyDescent="0.25">
      <c r="A176">
        <f>174</f>
        <v>174</v>
      </c>
      <c r="B176" t="str">
        <f>INDEX('Draft Engine'!$A$3:$A$225,$M176)</f>
        <v>TE</v>
      </c>
      <c r="C176">
        <f>INDEX('Draft Engine'!$F$3:$F$225,$M176)</f>
        <v>27</v>
      </c>
      <c r="D176" t="str">
        <f>INDEX('Draft Engine'!$B$3:$B$225,$M176)</f>
        <v>Terrance Ferguson</v>
      </c>
      <c r="E176" s="4">
        <f>INDEX('Draft Engine'!$E$3:$E$225,$M176)</f>
        <v>64.362099999999998</v>
      </c>
      <c r="F176" t="str">
        <f>INDEX('LIVE SOURCE'!$H$3:$H$225,$M176)</f>
        <v>Deep TE stash; needs a larger route/target role to matter in 10-team leagues.</v>
      </c>
      <c r="G176" t="str">
        <f>INDEX('LIVE SOURCE'!$I$3:$I$225,$M176)</f>
        <v>He produced 4.0 PPR/FP points per game across 13 games. The workload/efficiency profile gives the model a rate-based reason to keep him here. Market price is favorable around ADP 251 versus model overall rank 175.</v>
      </c>
      <c r="H176" t="str">
        <f>INDEX('LIVE SOURCE'!$J$3:$J$225,$M176)</f>
        <v>Route share, target volume and touchdown volatility are the main swing factors.</v>
      </c>
      <c r="I176">
        <f>INDEX('Draft Engine'!$R$3:$R$225,$M176)</f>
        <v>251</v>
      </c>
      <c r="J176">
        <f>INDEX('Draft Engine'!$S$3:$S$225,$M176)</f>
        <v>77</v>
      </c>
      <c r="K176" t="str">
        <f>INDEX('Draft Engine'!$T$3:$T$225,$M176)</f>
        <v>A</v>
      </c>
      <c r="L176" t="str">
        <f>INDEX('Draft Engine'!$X$3:$X$225,$M176)</f>
        <v>RATE-ADJUSTED VETERAN</v>
      </c>
      <c r="M176" s="6">
        <f>MATCH($A176,'Draft Engine'!$Q$3:$Q$225,0)</f>
        <v>179</v>
      </c>
    </row>
    <row r="177" spans="1:13" x14ac:dyDescent="0.25">
      <c r="A177">
        <f>175</f>
        <v>175</v>
      </c>
      <c r="B177" t="str">
        <f>INDEX('Draft Engine'!$A$3:$A$225,$M177)</f>
        <v>WR</v>
      </c>
      <c r="C177">
        <f>INDEX('Draft Engine'!$F$3:$F$225,$M177)</f>
        <v>55</v>
      </c>
      <c r="D177" t="str">
        <f>INDEX('Draft Engine'!$B$3:$B$225,$M177)</f>
        <v>Rashid Shaheed</v>
      </c>
      <c r="E177" s="4">
        <f>INDEX('Draft Engine'!$E$3:$E$225,$M177)</f>
        <v>62.15</v>
      </c>
      <c r="F177" t="str">
        <f>INDEX('LIVE SOURCE'!$H$3:$H$225,$M177)</f>
        <v>Late-round bench upside; role growth is required for weekly relevance.</v>
      </c>
      <c r="G177" t="str">
        <f>INDEX('LIVE SOURCE'!$I$3:$I$225,$M177)</f>
        <v>He produced 8.7 PPR/FP points per game across 18 games. The workload/efficiency profile gives the model a rate-based reason to keep him here. Market price is favorable around ADP 218 versus model overall rank 184.</v>
      </c>
      <c r="H177" t="str">
        <f>INDEX('LIVE SOURCE'!$J$3:$J$225,$M177)</f>
        <v>Target competition, quarterback efficiency and touchdown regression are the main downside paths.</v>
      </c>
      <c r="I177">
        <f>INDEX('Draft Engine'!$R$3:$R$225,$M177)</f>
        <v>217.5</v>
      </c>
      <c r="J177">
        <f>INDEX('Draft Engine'!$S$3:$S$225,$M177)</f>
        <v>42.5</v>
      </c>
      <c r="K177" t="str">
        <f>INDEX('Draft Engine'!$T$3:$T$225,$M177)</f>
        <v>C</v>
      </c>
      <c r="L177" t="str">
        <f>INDEX('Draft Engine'!$X$3:$X$225,$M177)</f>
        <v>HISTORY FALLBACK</v>
      </c>
      <c r="M177" s="6">
        <f>MATCH($A177,'Draft Engine'!$Q$3:$Q$225,0)</f>
        <v>138</v>
      </c>
    </row>
    <row r="178" spans="1:13" x14ac:dyDescent="0.25">
      <c r="A178">
        <f>176</f>
        <v>176</v>
      </c>
      <c r="B178" t="str">
        <f>INDEX('Draft Engine'!$A$3:$A$225,$M178)</f>
        <v>QB</v>
      </c>
      <c r="C178">
        <f>INDEX('Draft Engine'!$F$3:$F$225,$M178)</f>
        <v>27</v>
      </c>
      <c r="D178" t="str">
        <f>INDEX('Draft Engine'!$B$3:$B$225,$M178)</f>
        <v>Jacoby Brissett</v>
      </c>
      <c r="E178" s="4">
        <f>INDEX('Draft Engine'!$E$3:$E$225,$M178)</f>
        <v>71.333399999999997</v>
      </c>
      <c r="F178" t="str">
        <f>INDEX('LIVE SOURCE'!$H$3:$H$225,$M178)</f>
        <v>Deep QB2; waiver-level in a normal 10-team format.</v>
      </c>
      <c r="G178" t="str">
        <f>INDEX('LIVE SOURCE'!$I$3:$I$225,$M178)</f>
        <v>He produced 16.8 PPR/FP points per game across 14 games. The workload/efficiency profile gives the model a rate-based reason to keep him here. Market price is favorable around ADP 230 versus model overall rank 169.</v>
      </c>
      <c r="H178" t="str">
        <f>INDEX('LIVE SOURCE'!$J$3:$J$225,$M178)</f>
        <v>Passing-TD efficiency, rushing volume and supporting-cast health are the main swing factors.</v>
      </c>
      <c r="I178">
        <f>INDEX('Draft Engine'!$R$3:$R$225,$M178)</f>
        <v>230</v>
      </c>
      <c r="J178">
        <f>INDEX('Draft Engine'!$S$3:$S$225,$M178)</f>
        <v>54</v>
      </c>
      <c r="K178" t="str">
        <f>INDEX('Draft Engine'!$T$3:$T$225,$M178)</f>
        <v>A</v>
      </c>
      <c r="L178" t="str">
        <f>INDEX('Draft Engine'!$X$3:$X$225,$M178)</f>
        <v>RATE-ADJUSTED VETERAN</v>
      </c>
      <c r="M178" s="6">
        <f>MATCH($A178,'Draft Engine'!$Q$3:$Q$225,0)</f>
        <v>27</v>
      </c>
    </row>
    <row r="179" spans="1:13" x14ac:dyDescent="0.25">
      <c r="A179">
        <f>177</f>
        <v>177</v>
      </c>
      <c r="B179" t="str">
        <f>INDEX('Draft Engine'!$A$3:$A$225,$M179)</f>
        <v>QB</v>
      </c>
      <c r="C179">
        <f>INDEX('Draft Engine'!$F$3:$F$225,$M179)</f>
        <v>28</v>
      </c>
      <c r="D179" t="str">
        <f>INDEX('Draft Engine'!$B$3:$B$225,$M179)</f>
        <v>Geno Smith</v>
      </c>
      <c r="E179" s="4">
        <f>INDEX('Draft Engine'!$E$3:$E$225,$M179)</f>
        <v>71.098600000000005</v>
      </c>
      <c r="F179" t="str">
        <f>INDEX('LIVE SOURCE'!$H$3:$H$225,$M179)</f>
        <v>Deep QB2; waiver-level in a normal 10-team format.</v>
      </c>
      <c r="G179" t="str">
        <f>INDEX('LIVE SOURCE'!$I$3:$I$225,$M179)</f>
        <v>He produced 12.7 PPR/FP points per game across 15 games. The workload/efficiency profile gives the model a rate-based reason to keep him here. Market price is favorable around ADP 238 versus model overall rank 170.</v>
      </c>
      <c r="H179" t="str">
        <f>INDEX('LIVE SOURCE'!$J$3:$J$225,$M179)</f>
        <v>Passing-TD efficiency, rushing volume and supporting-cast health are the main swing factors.</v>
      </c>
      <c r="I179">
        <f>INDEX('Draft Engine'!$R$3:$R$225,$M179)</f>
        <v>238</v>
      </c>
      <c r="J179">
        <f>INDEX('Draft Engine'!$S$3:$S$225,$M179)</f>
        <v>61</v>
      </c>
      <c r="K179" t="str">
        <f>INDEX('Draft Engine'!$T$3:$T$225,$M179)</f>
        <v>A</v>
      </c>
      <c r="L179" t="str">
        <f>INDEX('Draft Engine'!$X$3:$X$225,$M179)</f>
        <v>RATE-ADJUSTED VETERAN</v>
      </c>
      <c r="M179" s="6">
        <f>MATCH($A179,'Draft Engine'!$Q$3:$Q$225,0)</f>
        <v>28</v>
      </c>
    </row>
    <row r="180" spans="1:13" x14ac:dyDescent="0.25">
      <c r="A180">
        <f>178</f>
        <v>178</v>
      </c>
      <c r="B180" t="str">
        <f>INDEX('Draft Engine'!$A$3:$A$225,$M180)</f>
        <v>QB</v>
      </c>
      <c r="C180">
        <f>INDEX('Draft Engine'!$F$3:$F$225,$M180)</f>
        <v>29</v>
      </c>
      <c r="D180" t="str">
        <f>INDEX('Draft Engine'!$B$3:$B$225,$M180)</f>
        <v>Aaron Rodgers</v>
      </c>
      <c r="E180" s="4">
        <f>INDEX('Draft Engine'!$E$3:$E$225,$M180)</f>
        <v>70.884799999999998</v>
      </c>
      <c r="F180" t="str">
        <f>INDEX('LIVE SOURCE'!$H$3:$H$225,$M180)</f>
        <v>Deep QB2; waiver-level in a normal 10-team format.</v>
      </c>
      <c r="G180" t="str">
        <f>INDEX('LIVE SOURCE'!$I$3:$I$225,$M180)</f>
        <v>He produced 14.6 PPR/FP points per game across 16 games. The workload/efficiency profile gives the model a rate-based reason to keep him here. Market price is favorable around ADP 246 versus model overall rank 172.</v>
      </c>
      <c r="H180" t="str">
        <f>INDEX('LIVE SOURCE'!$J$3:$J$225,$M180)</f>
        <v>Passing-TD efficiency, rushing volume and supporting-cast health are the main swing factors.</v>
      </c>
      <c r="I180">
        <f>INDEX('Draft Engine'!$R$3:$R$225,$M180)</f>
        <v>246</v>
      </c>
      <c r="J180">
        <f>INDEX('Draft Engine'!$S$3:$S$225,$M180)</f>
        <v>68</v>
      </c>
      <c r="K180" t="str">
        <f>INDEX('Draft Engine'!$T$3:$T$225,$M180)</f>
        <v>A</v>
      </c>
      <c r="L180" t="str">
        <f>INDEX('Draft Engine'!$X$3:$X$225,$M180)</f>
        <v>RATE-ADJUSTED VETERAN</v>
      </c>
      <c r="M180" s="6">
        <f>MATCH($A180,'Draft Engine'!$Q$3:$Q$225,0)</f>
        <v>29</v>
      </c>
    </row>
    <row r="181" spans="1:13" x14ac:dyDescent="0.25">
      <c r="A181">
        <f>179</f>
        <v>179</v>
      </c>
      <c r="B181" t="str">
        <f>INDEX('Draft Engine'!$A$3:$A$225,$M181)</f>
        <v>WR</v>
      </c>
      <c r="C181">
        <f>INDEX('Draft Engine'!$F$3:$F$225,$M181)</f>
        <v>56</v>
      </c>
      <c r="D181" t="str">
        <f>INDEX('Draft Engine'!$B$3:$B$225,$M181)</f>
        <v>Calvin Ridley</v>
      </c>
      <c r="E181" s="4">
        <f>INDEX('Draft Engine'!$E$3:$E$225,$M181)</f>
        <v>61.48</v>
      </c>
      <c r="F181" t="str">
        <f>INDEX('LIVE SOURCE'!$H$3:$H$225,$M181)</f>
        <v>Late-round bench upside; role growth is required for weekly relevance.</v>
      </c>
      <c r="G181" t="str">
        <f>INDEX('LIVE SOURCE'!$I$3:$I$225,$M181)</f>
        <v>The 2026 opportunity and projection carry most of the grade because detailed 2025 rate data is incomplete. Market price is favorable around ADP 221 versus model overall rank 185.</v>
      </c>
      <c r="H181" t="str">
        <f>INDEX('LIVE SOURCE'!$J$3:$J$225,$M181)</f>
        <v>Evidence is thinner than for established veterans, so camp, depth-chart and role news can move the grade materially.</v>
      </c>
      <c r="I181">
        <f>INDEX('Draft Engine'!$R$3:$R$225,$M181)</f>
        <v>221.4</v>
      </c>
      <c r="J181">
        <f>INDEX('Draft Engine'!$S$3:$S$225,$M181)</f>
        <v>42.400000000000006</v>
      </c>
      <c r="K181" t="str">
        <f>INDEX('Draft Engine'!$T$3:$T$225,$M181)</f>
        <v>C</v>
      </c>
      <c r="L181" t="str">
        <f>INDEX('Draft Engine'!$X$3:$X$225,$M181)</f>
        <v>HISTORY FALLBACK</v>
      </c>
      <c r="M181" s="6">
        <f>MATCH($A181,'Draft Engine'!$Q$3:$Q$225,0)</f>
        <v>139</v>
      </c>
    </row>
    <row r="182" spans="1:13" x14ac:dyDescent="0.25">
      <c r="A182">
        <f>180</f>
        <v>180</v>
      </c>
      <c r="B182" t="str">
        <f>INDEX('Draft Engine'!$A$3:$A$225,$M182)</f>
        <v>WR</v>
      </c>
      <c r="C182">
        <f>INDEX('Draft Engine'!$F$3:$F$225,$M182)</f>
        <v>57</v>
      </c>
      <c r="D182" t="str">
        <f>INDEX('Draft Engine'!$B$3:$B$225,$M182)</f>
        <v>Omar Cooper Jr.</v>
      </c>
      <c r="E182" s="4">
        <f>INDEX('Draft Engine'!$E$3:$E$225,$M182)</f>
        <v>60.81</v>
      </c>
      <c r="F182" t="str">
        <f>INDEX('LIVE SOURCE'!$H$3:$H$225,$M182)</f>
        <v>Late-round bench upside; role growth is required for weekly relevance.</v>
      </c>
      <c r="G182" t="str">
        <f>INDEX('LIVE SOURCE'!$I$3:$I$225,$M182)</f>
        <v>Rookie score 82.1, backed by No. 30 draft capital and a 6.39 NFL prospect grade. The 2026 role projection is strong enough to replace missing NFL history. Market price is favorable around ADP 225 versus model overall rank 186.</v>
      </c>
      <c r="H182" t="str">
        <f>INDEX('LIVE SOURCE'!$J$3:$J$225,$M182)</f>
        <v>NFL translation and exact weekly role are the main variables; preseason first-team usage can move this rating quickly.</v>
      </c>
      <c r="I182">
        <f>INDEX('Draft Engine'!$R$3:$R$225,$M182)</f>
        <v>225.3</v>
      </c>
      <c r="J182">
        <f>INDEX('Draft Engine'!$S$3:$S$225,$M182)</f>
        <v>45.300000000000011</v>
      </c>
      <c r="K182" t="str">
        <f>INDEX('Draft Engine'!$T$3:$T$225,$M182)</f>
        <v>C</v>
      </c>
      <c r="L182" t="str">
        <f>INDEX('Draft Engine'!$X$3:$X$225,$M182)</f>
        <v>HISTORY FALLBACK</v>
      </c>
      <c r="M182" s="6">
        <f>MATCH($A182,'Draft Engine'!$Q$3:$Q$225,0)</f>
        <v>140</v>
      </c>
    </row>
    <row r="183" spans="1:13" x14ac:dyDescent="0.25">
      <c r="A183">
        <f>181</f>
        <v>181</v>
      </c>
      <c r="B183" t="str">
        <f>INDEX('Draft Engine'!$A$3:$A$225,$M183)</f>
        <v>RB</v>
      </c>
      <c r="C183">
        <f>INDEX('Draft Engine'!$F$3:$F$225,$M183)</f>
        <v>48</v>
      </c>
      <c r="D183" t="str">
        <f>INDEX('Draft Engine'!$B$3:$B$225,$M183)</f>
        <v>Isiah Pacheco</v>
      </c>
      <c r="E183" s="4">
        <f>INDEX('Draft Engine'!$E$3:$E$225,$M183)</f>
        <v>60.0092</v>
      </c>
      <c r="F183" t="str">
        <f>INDEX('LIVE SOURCE'!$H$3:$H$225,$M183)</f>
        <v>Bench stash/handcuff profile; value is tied to role change or injury ahead.</v>
      </c>
      <c r="G183" t="str">
        <f>INDEX('LIVE SOURCE'!$I$3:$I$225,$M183)</f>
        <v>The 2026 opportunity and projection carry most of the grade because detailed 2025 rate data is incomplete. Market price is favorable around ADP 199 versus model overall rank 187.</v>
      </c>
      <c r="H183" t="str">
        <f>INDEX('LIVE SOURCE'!$J$3:$J$225,$M183)</f>
        <v>Touchdown variance, receiving-role changes and backfield competition are the main downside paths.</v>
      </c>
      <c r="I183">
        <f>INDEX('Draft Engine'!$R$3:$R$225,$M183)</f>
        <v>199.4</v>
      </c>
      <c r="J183">
        <f>INDEX('Draft Engine'!$S$3:$S$225,$M183)</f>
        <v>18.400000000000006</v>
      </c>
      <c r="K183" t="str">
        <f>INDEX('Draft Engine'!$T$3:$T$225,$M183)</f>
        <v>B</v>
      </c>
      <c r="L183" t="str">
        <f>INDEX('Draft Engine'!$X$3:$X$225,$M183)</f>
        <v>HISTORY FALLBACK</v>
      </c>
      <c r="M183" s="6">
        <f>MATCH($A183,'Draft Engine'!$Q$3:$Q$225,0)</f>
        <v>80</v>
      </c>
    </row>
    <row r="184" spans="1:13" x14ac:dyDescent="0.25">
      <c r="A184">
        <f>182</f>
        <v>182</v>
      </c>
      <c r="B184" t="str">
        <f>INDEX('Draft Engine'!$A$3:$A$225,$M184)</f>
        <v>WR</v>
      </c>
      <c r="C184">
        <f>INDEX('Draft Engine'!$F$3:$F$225,$M184)</f>
        <v>58</v>
      </c>
      <c r="D184" t="str">
        <f>INDEX('Draft Engine'!$B$3:$B$225,$M184)</f>
        <v>Jerry Jeudy</v>
      </c>
      <c r="E184" s="4">
        <f>INDEX('Draft Engine'!$E$3:$E$225,$M184)</f>
        <v>60.14</v>
      </c>
      <c r="F184" t="str">
        <f>INDEX('LIVE SOURCE'!$H$3:$H$225,$M184)</f>
        <v>Late-round bench upside; role growth is required for weekly relevance.</v>
      </c>
      <c r="G184" t="str">
        <f>INDEX('LIVE SOURCE'!$I$3:$I$225,$M184)</f>
        <v>He produced 7.1 PPR/FP points per game across 17 games. The workload/efficiency profile gives the model a rate-based reason to keep him here. Market price is favorable around ADP 229 versus model overall rank 189.</v>
      </c>
      <c r="H184" t="str">
        <f>INDEX('LIVE SOURCE'!$J$3:$J$225,$M184)</f>
        <v>Target competition, quarterback efficiency and touchdown regression are the main downside paths.</v>
      </c>
      <c r="I184">
        <f>INDEX('Draft Engine'!$R$3:$R$225,$M184)</f>
        <v>229.2</v>
      </c>
      <c r="J184">
        <f>INDEX('Draft Engine'!$S$3:$S$225,$M184)</f>
        <v>47.199999999999989</v>
      </c>
      <c r="K184" t="str">
        <f>INDEX('Draft Engine'!$T$3:$T$225,$M184)</f>
        <v>C</v>
      </c>
      <c r="L184" t="str">
        <f>INDEX('Draft Engine'!$X$3:$X$225,$M184)</f>
        <v>HISTORY FALLBACK</v>
      </c>
      <c r="M184" s="6">
        <f>MATCH($A184,'Draft Engine'!$Q$3:$Q$225,0)</f>
        <v>141</v>
      </c>
    </row>
    <row r="185" spans="1:13" x14ac:dyDescent="0.25">
      <c r="A185">
        <f>183</f>
        <v>183</v>
      </c>
      <c r="B185" t="str">
        <f>INDEX('Draft Engine'!$A$3:$A$225,$M185)</f>
        <v>WR</v>
      </c>
      <c r="C185">
        <f>INDEX('Draft Engine'!$F$3:$F$225,$M185)</f>
        <v>59</v>
      </c>
      <c r="D185" t="str">
        <f>INDEX('Draft Engine'!$B$3:$B$225,$M185)</f>
        <v>Jalen Nailor</v>
      </c>
      <c r="E185" s="4">
        <f>INDEX('Draft Engine'!$E$3:$E$225,$M185)</f>
        <v>59.47</v>
      </c>
      <c r="F185" t="str">
        <f>INDEX('LIVE SOURCE'!$H$3:$H$225,$M185)</f>
        <v>Late-round bench upside; role growth is required for weekly relevance.</v>
      </c>
      <c r="G185" t="str">
        <f>INDEX('LIVE SOURCE'!$I$3:$I$225,$M185)</f>
        <v>He produced 5.9 PPR/FP points per game across 17 games. The workload/efficiency profile gives the model a rate-based reason to keep him here. Market price is favorable around ADP 233 versus model overall rank 190.</v>
      </c>
      <c r="H185" t="str">
        <f>INDEX('LIVE SOURCE'!$J$3:$J$225,$M185)</f>
        <v>Target competition, quarterback efficiency and touchdown regression are the main downside paths.</v>
      </c>
      <c r="I185">
        <f>INDEX('Draft Engine'!$R$3:$R$225,$M185)</f>
        <v>233.1</v>
      </c>
      <c r="J185">
        <f>INDEX('Draft Engine'!$S$3:$S$225,$M185)</f>
        <v>50.099999999999994</v>
      </c>
      <c r="K185" t="str">
        <f>INDEX('Draft Engine'!$T$3:$T$225,$M185)</f>
        <v>C</v>
      </c>
      <c r="L185" t="str">
        <f>INDEX('Draft Engine'!$X$3:$X$225,$M185)</f>
        <v>HISTORY FALLBACK</v>
      </c>
      <c r="M185" s="6">
        <f>MATCH($A185,'Draft Engine'!$Q$3:$Q$225,0)</f>
        <v>142</v>
      </c>
    </row>
    <row r="186" spans="1:13" x14ac:dyDescent="0.25">
      <c r="A186">
        <f>184</f>
        <v>184</v>
      </c>
      <c r="B186" t="str">
        <f>INDEX('Draft Engine'!$A$3:$A$225,$M186)</f>
        <v>RB</v>
      </c>
      <c r="C186">
        <f>INDEX('Draft Engine'!$F$3:$F$225,$M186)</f>
        <v>49</v>
      </c>
      <c r="D186" t="str">
        <f>INDEX('Draft Engine'!$B$3:$B$225,$M186)</f>
        <v>Alvin Kamara</v>
      </c>
      <c r="E186" s="4">
        <f>INDEX('Draft Engine'!$E$3:$E$225,$M186)</f>
        <v>59.15</v>
      </c>
      <c r="F186" t="str">
        <f>INDEX('LIVE SOURCE'!$H$3:$H$225,$M186)</f>
        <v>Bench stash/handcuff profile; value is tied to role change or injury ahead.</v>
      </c>
      <c r="G186" t="str">
        <f>INDEX('LIVE SOURCE'!$I$3:$I$225,$M186)</f>
        <v>The 2026 opportunity and projection carry most of the grade because detailed 2025 rate data is incomplete. Market price is favorable around ADP 204 versus model overall rank 191.</v>
      </c>
      <c r="H186" t="str">
        <f>INDEX('LIVE SOURCE'!$J$3:$J$225,$M186)</f>
        <v>Touchdown variance, receiving-role changes and backfield competition are the main downside paths.</v>
      </c>
      <c r="I186">
        <f>INDEX('Draft Engine'!$R$3:$R$225,$M186)</f>
        <v>203.6</v>
      </c>
      <c r="J186">
        <f>INDEX('Draft Engine'!$S$3:$S$225,$M186)</f>
        <v>19.599999999999994</v>
      </c>
      <c r="K186" t="str">
        <f>INDEX('Draft Engine'!$T$3:$T$225,$M186)</f>
        <v>B</v>
      </c>
      <c r="L186" t="str">
        <f>INDEX('Draft Engine'!$X$3:$X$225,$M186)</f>
        <v>HISTORY FALLBACK</v>
      </c>
      <c r="M186" s="6">
        <f>MATCH($A186,'Draft Engine'!$Q$3:$Q$225,0)</f>
        <v>81</v>
      </c>
    </row>
    <row r="187" spans="1:13" x14ac:dyDescent="0.25">
      <c r="A187">
        <f>185</f>
        <v>185</v>
      </c>
      <c r="B187" t="str">
        <f>INDEX('Draft Engine'!$A$3:$A$225,$M187)</f>
        <v>WR</v>
      </c>
      <c r="C187">
        <f>INDEX('Draft Engine'!$F$3:$F$225,$M187)</f>
        <v>60</v>
      </c>
      <c r="D187" t="str">
        <f>INDEX('Draft Engine'!$B$3:$B$225,$M187)</f>
        <v>Jalen McMillan</v>
      </c>
      <c r="E187" s="4">
        <f>INDEX('Draft Engine'!$E$3:$E$225,$M187)</f>
        <v>58.8</v>
      </c>
      <c r="F187" t="str">
        <f>INDEX('LIVE SOURCE'!$H$3:$H$225,$M187)</f>
        <v>Late-round bench upside; role growth is required for weekly relevance.</v>
      </c>
      <c r="G187" t="str">
        <f>INDEX('LIVE SOURCE'!$I$3:$I$225,$M187)</f>
        <v>The 2026 opportunity and projection carry most of the grade because detailed 2025 rate data is incomplete. Market price is favorable around ADP 237 versus model overall rank 192.</v>
      </c>
      <c r="H187" t="str">
        <f>INDEX('LIVE SOURCE'!$J$3:$J$225,$M187)</f>
        <v>Evidence is thinner than for established veterans, so camp, depth-chart and role news can move the grade materially.</v>
      </c>
      <c r="I187">
        <f>INDEX('Draft Engine'!$R$3:$R$225,$M187)</f>
        <v>237</v>
      </c>
      <c r="J187">
        <f>INDEX('Draft Engine'!$S$3:$S$225,$M187)</f>
        <v>52</v>
      </c>
      <c r="K187" t="str">
        <f>INDEX('Draft Engine'!$T$3:$T$225,$M187)</f>
        <v>C</v>
      </c>
      <c r="L187" t="str">
        <f>INDEX('Draft Engine'!$X$3:$X$225,$M187)</f>
        <v>HISTORY FALLBACK</v>
      </c>
      <c r="M187" s="6">
        <f>MATCH($A187,'Draft Engine'!$Q$3:$Q$225,0)</f>
        <v>143</v>
      </c>
    </row>
    <row r="188" spans="1:13" x14ac:dyDescent="0.25">
      <c r="A188">
        <f>186</f>
        <v>186</v>
      </c>
      <c r="B188" t="str">
        <f>INDEX('Draft Engine'!$A$3:$A$225,$M188)</f>
        <v>QB</v>
      </c>
      <c r="C188">
        <f>INDEX('Draft Engine'!$F$3:$F$225,$M188)</f>
        <v>30</v>
      </c>
      <c r="D188" t="str">
        <f>INDEX('Draft Engine'!$B$3:$B$225,$M188)</f>
        <v>Tua Tagovailoa</v>
      </c>
      <c r="E188" s="4">
        <f>INDEX('Draft Engine'!$E$3:$E$225,$M188)</f>
        <v>67.851200000000006</v>
      </c>
      <c r="F188" t="str">
        <f>INDEX('LIVE SOURCE'!$H$3:$H$225,$M188)</f>
        <v>Deep QB2; waiver-level in a normal 10-team format.</v>
      </c>
      <c r="G188" t="str">
        <f>INDEX('LIVE SOURCE'!$I$3:$I$225,$M188)</f>
        <v>He produced 12.5 PPR/FP points per game across 14 games. The workload/efficiency profile gives the model a rate-based reason to keep him here. Market price is favorable around ADP 254 versus model overall rank 183.</v>
      </c>
      <c r="H188" t="str">
        <f>INDEX('LIVE SOURCE'!$J$3:$J$225,$M188)</f>
        <v>Passing-TD efficiency, rushing volume and supporting-cast health are the main swing factors.</v>
      </c>
      <c r="I188">
        <f>INDEX('Draft Engine'!$R$3:$R$225,$M188)</f>
        <v>254</v>
      </c>
      <c r="J188">
        <f>INDEX('Draft Engine'!$S$3:$S$225,$M188)</f>
        <v>68</v>
      </c>
      <c r="K188" t="str">
        <f>INDEX('Draft Engine'!$T$3:$T$225,$M188)</f>
        <v>A</v>
      </c>
      <c r="L188" t="str">
        <f>INDEX('Draft Engine'!$X$3:$X$225,$M188)</f>
        <v>RATE-ADJUSTED VETERAN</v>
      </c>
      <c r="M188" s="6">
        <f>MATCH($A188,'Draft Engine'!$Q$3:$Q$225,0)</f>
        <v>30</v>
      </c>
    </row>
    <row r="189" spans="1:13" x14ac:dyDescent="0.25">
      <c r="A189">
        <f>187</f>
        <v>187</v>
      </c>
      <c r="B189" t="str">
        <f>INDEX('Draft Engine'!$A$3:$A$225,$M189)</f>
        <v>WR</v>
      </c>
      <c r="C189">
        <f>INDEX('Draft Engine'!$F$3:$F$225,$M189)</f>
        <v>61</v>
      </c>
      <c r="D189" t="str">
        <f>INDEX('Draft Engine'!$B$3:$B$225,$M189)</f>
        <v>Adonai Mitchell</v>
      </c>
      <c r="E189" s="4">
        <f>INDEX('Draft Engine'!$E$3:$E$225,$M189)</f>
        <v>58.13</v>
      </c>
      <c r="F189" t="str">
        <f>INDEX('LIVE SOURCE'!$H$3:$H$225,$M189)</f>
        <v>Late-round bench upside; role growth is required for weekly relevance.</v>
      </c>
      <c r="G189" t="str">
        <f>INDEX('LIVE SOURCE'!$I$3:$I$225,$M189)</f>
        <v>The 2026 opportunity and projection carry most of the grade because detailed 2025 rate data is incomplete. Market price is favorable around ADP 241 versus model overall rank 193.</v>
      </c>
      <c r="H189" t="str">
        <f>INDEX('LIVE SOURCE'!$J$3:$J$225,$M189)</f>
        <v>Evidence is thinner than for established veterans, so camp, depth-chart and role news can move the grade materially.</v>
      </c>
      <c r="I189">
        <f>INDEX('Draft Engine'!$R$3:$R$225,$M189)</f>
        <v>240.9</v>
      </c>
      <c r="J189">
        <f>INDEX('Draft Engine'!$S$3:$S$225,$M189)</f>
        <v>53.900000000000006</v>
      </c>
      <c r="K189" t="str">
        <f>INDEX('Draft Engine'!$T$3:$T$225,$M189)</f>
        <v>C</v>
      </c>
      <c r="L189" t="str">
        <f>INDEX('Draft Engine'!$X$3:$X$225,$M189)</f>
        <v>HISTORY FALLBACK</v>
      </c>
      <c r="M189" s="6">
        <f>MATCH($A189,'Draft Engine'!$Q$3:$Q$225,0)</f>
        <v>144</v>
      </c>
    </row>
    <row r="190" spans="1:13" x14ac:dyDescent="0.25">
      <c r="A190">
        <f>188</f>
        <v>188</v>
      </c>
      <c r="B190" t="str">
        <f>INDEX('Draft Engine'!$A$3:$A$225,$M190)</f>
        <v>WR</v>
      </c>
      <c r="C190">
        <f>INDEX('Draft Engine'!$F$3:$F$225,$M190)</f>
        <v>62</v>
      </c>
      <c r="D190" t="str">
        <f>INDEX('Draft Engine'!$B$3:$B$225,$M190)</f>
        <v>Isaac TeSlaa</v>
      </c>
      <c r="E190" s="4">
        <f>INDEX('Draft Engine'!$E$3:$E$225,$M190)</f>
        <v>57.46</v>
      </c>
      <c r="F190" t="str">
        <f>INDEX('LIVE SOURCE'!$H$3:$H$225,$M190)</f>
        <v>Late-round bench upside; role growth is required for weekly relevance.</v>
      </c>
      <c r="G190" t="str">
        <f>INDEX('LIVE SOURCE'!$I$3:$I$225,$M190)</f>
        <v>He produced 4.4 PPR/FP points per game across 17 games. The workload/efficiency profile gives the model a rate-based reason to keep him here. Market price is favorable around ADP 245 versus model overall rank 194.</v>
      </c>
      <c r="H190" t="str">
        <f>INDEX('LIVE SOURCE'!$J$3:$J$225,$M190)</f>
        <v>Target competition, quarterback efficiency and touchdown regression are the main downside paths.</v>
      </c>
      <c r="I190">
        <f>INDEX('Draft Engine'!$R$3:$R$225,$M190)</f>
        <v>244.8</v>
      </c>
      <c r="J190">
        <f>INDEX('Draft Engine'!$S$3:$S$225,$M190)</f>
        <v>56.800000000000011</v>
      </c>
      <c r="K190" t="str">
        <f>INDEX('Draft Engine'!$T$3:$T$225,$M190)</f>
        <v>C</v>
      </c>
      <c r="L190" t="str">
        <f>INDEX('Draft Engine'!$X$3:$X$225,$M190)</f>
        <v>HISTORY FALLBACK</v>
      </c>
      <c r="M190" s="6">
        <f>MATCH($A190,'Draft Engine'!$Q$3:$Q$225,0)</f>
        <v>145</v>
      </c>
    </row>
    <row r="191" spans="1:13" x14ac:dyDescent="0.25">
      <c r="A191">
        <f>189</f>
        <v>189</v>
      </c>
      <c r="B191" t="str">
        <f>INDEX('Draft Engine'!$A$3:$A$225,$M191)</f>
        <v>WR</v>
      </c>
      <c r="C191">
        <f>INDEX('Draft Engine'!$F$3:$F$225,$M191)</f>
        <v>63</v>
      </c>
      <c r="D191" t="str">
        <f>INDEX('Draft Engine'!$B$3:$B$225,$M191)</f>
        <v>Denzel Boston</v>
      </c>
      <c r="E191" s="4">
        <f>INDEX('Draft Engine'!$E$3:$E$225,$M191)</f>
        <v>56.79</v>
      </c>
      <c r="F191" t="str">
        <f>INDEX('LIVE SOURCE'!$H$3:$H$225,$M191)</f>
        <v>Late-round bench upside; role growth is required for weekly relevance.</v>
      </c>
      <c r="G191" t="str">
        <f>INDEX('LIVE SOURCE'!$I$3:$I$225,$M191)</f>
        <v>Rookie score 79.3, backed by No. 39 draft capital and a 6.40 NFL prospect grade. The 2026 role projection is strong enough to replace missing NFL history. Market price is favorable around ADP 249 versus model overall rank 196.</v>
      </c>
      <c r="H191" t="str">
        <f>INDEX('LIVE SOURCE'!$J$3:$J$225,$M191)</f>
        <v>NFL translation and exact weekly role are the main variables; preseason first-team usage can move this rating quickly.</v>
      </c>
      <c r="I191">
        <f>INDEX('Draft Engine'!$R$3:$R$225,$M191)</f>
        <v>248.7</v>
      </c>
      <c r="J191">
        <f>INDEX('Draft Engine'!$S$3:$S$225,$M191)</f>
        <v>59.699999999999989</v>
      </c>
      <c r="K191" t="str">
        <f>INDEX('Draft Engine'!$T$3:$T$225,$M191)</f>
        <v>C</v>
      </c>
      <c r="L191" t="str">
        <f>INDEX('Draft Engine'!$X$3:$X$225,$M191)</f>
        <v>HISTORY FALLBACK</v>
      </c>
      <c r="M191" s="6">
        <f>MATCH($A191,'Draft Engine'!$Q$3:$Q$225,0)</f>
        <v>146</v>
      </c>
    </row>
    <row r="192" spans="1:13" x14ac:dyDescent="0.25">
      <c r="A192">
        <f>190</f>
        <v>190</v>
      </c>
      <c r="B192" t="str">
        <f>INDEX('Draft Engine'!$A$3:$A$225,$M192)</f>
        <v>QB</v>
      </c>
      <c r="C192">
        <f>INDEX('Draft Engine'!$F$3:$F$225,$M192)</f>
        <v>31</v>
      </c>
      <c r="D192" t="str">
        <f>INDEX('Draft Engine'!$B$3:$B$225,$M192)</f>
        <v>Kirk Cousins</v>
      </c>
      <c r="E192" s="4">
        <f>INDEX('Draft Engine'!$E$3:$E$225,$M192)</f>
        <v>65.792900000000003</v>
      </c>
      <c r="F192" t="str">
        <f>INDEX('LIVE SOURCE'!$H$3:$H$225,$M192)</f>
        <v>Deep QB2; waiver-level in a normal 10-team format.</v>
      </c>
      <c r="G192" t="str">
        <f>INDEX('LIVE SOURCE'!$I$3:$I$225,$M192)</f>
        <v>He produced 10.9 PPR/FP points per game across 10 games. The workload/efficiency profile gives the model a rate-based reason to keep him here. Market price is favorable around ADP 262 versus model overall rank 188.</v>
      </c>
      <c r="H192" t="str">
        <f>INDEX('LIVE SOURCE'!$J$3:$J$225,$M192)</f>
        <v>Passing-TD efficiency, rushing volume and supporting-cast health are the main swing factors.</v>
      </c>
      <c r="I192">
        <f>INDEX('Draft Engine'!$R$3:$R$225,$M192)</f>
        <v>262</v>
      </c>
      <c r="J192">
        <f>INDEX('Draft Engine'!$S$3:$S$225,$M192)</f>
        <v>72</v>
      </c>
      <c r="K192" t="str">
        <f>INDEX('Draft Engine'!$T$3:$T$225,$M192)</f>
        <v>B</v>
      </c>
      <c r="L192" t="str">
        <f>INDEX('Draft Engine'!$X$3:$X$225,$M192)</f>
        <v>RATE-ADJUSTED VETERAN</v>
      </c>
      <c r="M192" s="6">
        <f>MATCH($A192,'Draft Engine'!$Q$3:$Q$225,0)</f>
        <v>31</v>
      </c>
    </row>
    <row r="193" spans="1:13" x14ac:dyDescent="0.25">
      <c r="A193">
        <f>191</f>
        <v>191</v>
      </c>
      <c r="B193" t="str">
        <f>INDEX('Draft Engine'!$A$3:$A$225,$M193)</f>
        <v>WR</v>
      </c>
      <c r="C193">
        <f>INDEX('Draft Engine'!$F$3:$F$225,$M193)</f>
        <v>64</v>
      </c>
      <c r="D193" t="str">
        <f>INDEX('Draft Engine'!$B$3:$B$225,$M193)</f>
        <v>Tre Tucker</v>
      </c>
      <c r="E193" s="4">
        <f>INDEX('Draft Engine'!$E$3:$E$225,$M193)</f>
        <v>56.12</v>
      </c>
      <c r="F193" t="str">
        <f>INDEX('LIVE SOURCE'!$H$3:$H$225,$M193)</f>
        <v>Late-round bench upside; role growth is required for weekly relevance.</v>
      </c>
      <c r="G193" t="str">
        <f>INDEX('LIVE SOURCE'!$I$3:$I$225,$M193)</f>
        <v>He produced 9.6 PPR/FP points per game across 17 games. The workload/efficiency profile gives the model a rate-based reason to keep him here. Market price is favorable around ADP 253 versus model overall rank 197.</v>
      </c>
      <c r="H193" t="str">
        <f>INDEX('LIVE SOURCE'!$J$3:$J$225,$M193)</f>
        <v>Target competition, quarterback efficiency and touchdown regression are the main downside paths.</v>
      </c>
      <c r="I193">
        <f>INDEX('Draft Engine'!$R$3:$R$225,$M193)</f>
        <v>252.6</v>
      </c>
      <c r="J193">
        <f>INDEX('Draft Engine'!$S$3:$S$225,$M193)</f>
        <v>61.599999999999994</v>
      </c>
      <c r="K193" t="str">
        <f>INDEX('Draft Engine'!$T$3:$T$225,$M193)</f>
        <v>C</v>
      </c>
      <c r="L193" t="str">
        <f>INDEX('Draft Engine'!$X$3:$X$225,$M193)</f>
        <v>HISTORY FALLBACK</v>
      </c>
      <c r="M193" s="6">
        <f>MATCH($A193,'Draft Engine'!$Q$3:$Q$225,0)</f>
        <v>147</v>
      </c>
    </row>
    <row r="194" spans="1:13" x14ac:dyDescent="0.25">
      <c r="A194">
        <f>192</f>
        <v>192</v>
      </c>
      <c r="B194" t="str">
        <f>INDEX('Draft Engine'!$A$3:$A$225,$M194)</f>
        <v>WR</v>
      </c>
      <c r="C194">
        <f>INDEX('Draft Engine'!$F$3:$F$225,$M194)</f>
        <v>65</v>
      </c>
      <c r="D194" t="str">
        <f>INDEX('Draft Engine'!$B$3:$B$225,$M194)</f>
        <v>Antonio Williams</v>
      </c>
      <c r="E194" s="4">
        <f>INDEX('Draft Engine'!$E$3:$E$225,$M194)</f>
        <v>55.45</v>
      </c>
      <c r="F194" t="str">
        <f>INDEX('LIVE SOURCE'!$H$3:$H$225,$M194)</f>
        <v>Late-round bench upside; role growth is required for weekly relevance.</v>
      </c>
      <c r="G194" t="str">
        <f>INDEX('LIVE SOURCE'!$I$3:$I$225,$M194)</f>
        <v>The 2026 opportunity and projection carry most of the grade because detailed 2025 rate data is incomplete. Market price is favorable around ADP 256 versus model overall rank 198.</v>
      </c>
      <c r="H194" t="str">
        <f>INDEX('LIVE SOURCE'!$J$3:$J$225,$M194)</f>
        <v>Evidence is thinner than for established veterans, so camp, depth-chart and role news can move the grade materially.</v>
      </c>
      <c r="I194">
        <f>INDEX('Draft Engine'!$R$3:$R$225,$M194)</f>
        <v>256.5</v>
      </c>
      <c r="J194">
        <f>INDEX('Draft Engine'!$S$3:$S$225,$M194)</f>
        <v>64.5</v>
      </c>
      <c r="K194" t="str">
        <f>INDEX('Draft Engine'!$T$3:$T$225,$M194)</f>
        <v>C</v>
      </c>
      <c r="L194" t="str">
        <f>INDEX('Draft Engine'!$X$3:$X$225,$M194)</f>
        <v>HISTORY FALLBACK</v>
      </c>
      <c r="M194" s="6">
        <f>MATCH($A194,'Draft Engine'!$Q$3:$Q$225,0)</f>
        <v>148</v>
      </c>
    </row>
    <row r="195" spans="1:13" x14ac:dyDescent="0.25">
      <c r="A195">
        <f>193</f>
        <v>193</v>
      </c>
      <c r="B195" t="str">
        <f>INDEX('Draft Engine'!$A$3:$A$225,$M195)</f>
        <v>RB</v>
      </c>
      <c r="C195">
        <f>INDEX('Draft Engine'!$F$3:$F$225,$M195)</f>
        <v>50</v>
      </c>
      <c r="D195" t="str">
        <f>INDEX('Draft Engine'!$B$3:$B$225,$M195)</f>
        <v>Justice Hill</v>
      </c>
      <c r="E195" s="4">
        <f>INDEX('Draft Engine'!$E$3:$E$225,$M195)</f>
        <v>54.88</v>
      </c>
      <c r="F195" t="str">
        <f>INDEX('LIVE SOURCE'!$H$3:$H$225,$M195)</f>
        <v>Bench stash/handcuff profile; value is tied to role change or injury ahead.</v>
      </c>
      <c r="G195" t="str">
        <f>INDEX('LIVE SOURCE'!$I$3:$I$225,$M195)</f>
        <v>The 2026 opportunity and projection carry most of the grade because detailed 2025 rate data is incomplete.</v>
      </c>
      <c r="H195" t="str">
        <f>INDEX('LIVE SOURCE'!$J$3:$J$225,$M195)</f>
        <v>Touchdown variance, receiving-role changes and backfield competition are the main downside paths.</v>
      </c>
      <c r="I195">
        <f>INDEX('Draft Engine'!$R$3:$R$225,$M195)</f>
        <v>207.8</v>
      </c>
      <c r="J195">
        <f>INDEX('Draft Engine'!$S$3:$S$225,$M195)</f>
        <v>14.800000000000011</v>
      </c>
      <c r="K195" t="str">
        <f>INDEX('Draft Engine'!$T$3:$T$225,$M195)</f>
        <v>B</v>
      </c>
      <c r="L195" t="str">
        <f>INDEX('Draft Engine'!$X$3:$X$225,$M195)</f>
        <v>HISTORY FALLBACK</v>
      </c>
      <c r="M195" s="6">
        <f>MATCH($A195,'Draft Engine'!$Q$3:$Q$225,0)</f>
        <v>82</v>
      </c>
    </row>
    <row r="196" spans="1:13" x14ac:dyDescent="0.25">
      <c r="A196">
        <f>194</f>
        <v>194</v>
      </c>
      <c r="B196" t="str">
        <f>INDEX('Draft Engine'!$A$3:$A$225,$M196)</f>
        <v>WR</v>
      </c>
      <c r="C196">
        <f>INDEX('Draft Engine'!$F$3:$F$225,$M196)</f>
        <v>66</v>
      </c>
      <c r="D196" t="str">
        <f>INDEX('Draft Engine'!$B$3:$B$225,$M196)</f>
        <v>Travis Hunter</v>
      </c>
      <c r="E196" s="4">
        <f>INDEX('Draft Engine'!$E$3:$E$225,$M196)</f>
        <v>54.78</v>
      </c>
      <c r="F196" t="str">
        <f>INDEX('LIVE SOURCE'!$H$3:$H$225,$M196)</f>
        <v>Late-round bench upside; role growth is required for weekly relevance.</v>
      </c>
      <c r="G196" t="str">
        <f>INDEX('LIVE SOURCE'!$I$3:$I$225,$M196)</f>
        <v>The 2026 opportunity and projection carry most of the grade because detailed 2025 rate data is incomplete. Market price is favorable around ADP 260 versus model overall rank 201.</v>
      </c>
      <c r="H196" t="str">
        <f>INDEX('LIVE SOURCE'!$J$3:$J$225,$M196)</f>
        <v>Evidence is thinner than for established veterans, so camp, depth-chart and role news can move the grade materially.</v>
      </c>
      <c r="I196">
        <f>INDEX('Draft Engine'!$R$3:$R$225,$M196)</f>
        <v>260.39999999999998</v>
      </c>
      <c r="J196">
        <f>INDEX('Draft Engine'!$S$3:$S$225,$M196)</f>
        <v>66.399999999999977</v>
      </c>
      <c r="K196" t="str">
        <f>INDEX('Draft Engine'!$T$3:$T$225,$M196)</f>
        <v>C</v>
      </c>
      <c r="L196" t="str">
        <f>INDEX('Draft Engine'!$X$3:$X$225,$M196)</f>
        <v>HISTORY FALLBACK</v>
      </c>
      <c r="M196" s="6">
        <f>MATCH($A196,'Draft Engine'!$Q$3:$Q$225,0)</f>
        <v>149</v>
      </c>
    </row>
    <row r="197" spans="1:13" x14ac:dyDescent="0.25">
      <c r="A197">
        <f>195</f>
        <v>195</v>
      </c>
      <c r="B197" t="str">
        <f>INDEX('Draft Engine'!$A$3:$A$225,$M197)</f>
        <v>QB</v>
      </c>
      <c r="C197">
        <f>INDEX('Draft Engine'!$F$3:$F$225,$M197)</f>
        <v>32</v>
      </c>
      <c r="D197" t="str">
        <f>INDEX('Draft Engine'!$B$3:$B$225,$M197)</f>
        <v>Deshaun Watson</v>
      </c>
      <c r="E197" s="4">
        <f>INDEX('Draft Engine'!$E$3:$E$225,$M197)</f>
        <v>60.25</v>
      </c>
      <c r="F197" t="str">
        <f>INDEX('LIVE SOURCE'!$H$3:$H$225,$M197)</f>
        <v>Deep QB2; waiver-level in a normal 10-team format.</v>
      </c>
      <c r="G197" t="str">
        <f>INDEX('LIVE SOURCE'!$I$3:$I$225,$M197)</f>
        <v>The 2026 opportunity and projection carry most of the grade because detailed 2025 rate data is incomplete. Market price is favorable around ADP 270 versus model overall rank 200.</v>
      </c>
      <c r="H197" t="str">
        <f>INDEX('LIVE SOURCE'!$J$3:$J$225,$M197)</f>
        <v>Evidence is thinner than for established veterans, so camp, depth-chart and role news can move the grade materially.</v>
      </c>
      <c r="I197">
        <f>INDEX('Draft Engine'!$R$3:$R$225,$M197)</f>
        <v>270</v>
      </c>
      <c r="J197">
        <f>INDEX('Draft Engine'!$S$3:$S$225,$M197)</f>
        <v>75</v>
      </c>
      <c r="K197" t="str">
        <f>INDEX('Draft Engine'!$T$3:$T$225,$M197)</f>
        <v>C</v>
      </c>
      <c r="L197" t="str">
        <f>INDEX('Draft Engine'!$X$3:$X$225,$M197)</f>
        <v>HISTORY FALLBACK</v>
      </c>
      <c r="M197" s="6">
        <f>MATCH($A197,'Draft Engine'!$Q$3:$Q$225,0)</f>
        <v>32</v>
      </c>
    </row>
    <row r="198" spans="1:13" x14ac:dyDescent="0.25">
      <c r="A198">
        <f>196</f>
        <v>196</v>
      </c>
      <c r="B198" t="str">
        <f>INDEX('Draft Engine'!$A$3:$A$225,$M198)</f>
        <v>WR</v>
      </c>
      <c r="C198">
        <f>INDEX('Draft Engine'!$F$3:$F$225,$M198)</f>
        <v>67</v>
      </c>
      <c r="D198" t="str">
        <f>INDEX('Draft Engine'!$B$3:$B$225,$M198)</f>
        <v>Ryan Flournoy</v>
      </c>
      <c r="E198" s="4">
        <f>INDEX('Draft Engine'!$E$3:$E$225,$M198)</f>
        <v>54.11</v>
      </c>
      <c r="F198" t="str">
        <f>INDEX('LIVE SOURCE'!$H$3:$H$225,$M198)</f>
        <v>Late-round bench upside; role growth is required for weekly relevance.</v>
      </c>
      <c r="G198" t="str">
        <f>INDEX('LIVE SOURCE'!$I$3:$I$225,$M198)</f>
        <v>He produced 7.6 PPR/FP points per game across 15 games. The workload/efficiency profile gives the model a rate-based reason to keep him here. Market price is favorable around ADP 264 versus model overall rank 202.</v>
      </c>
      <c r="H198" t="str">
        <f>INDEX('LIVE SOURCE'!$J$3:$J$225,$M198)</f>
        <v>Target competition, quarterback efficiency and touchdown regression are the main downside paths.</v>
      </c>
      <c r="I198">
        <f>INDEX('Draft Engine'!$R$3:$R$225,$M198)</f>
        <v>264.3</v>
      </c>
      <c r="J198">
        <f>INDEX('Draft Engine'!$S$3:$S$225,$M198)</f>
        <v>68.300000000000011</v>
      </c>
      <c r="K198" t="str">
        <f>INDEX('Draft Engine'!$T$3:$T$225,$M198)</f>
        <v>C</v>
      </c>
      <c r="L198" t="str">
        <f>INDEX('Draft Engine'!$X$3:$X$225,$M198)</f>
        <v>HISTORY FALLBACK</v>
      </c>
      <c r="M198" s="6">
        <f>MATCH($A198,'Draft Engine'!$Q$3:$Q$225,0)</f>
        <v>150</v>
      </c>
    </row>
    <row r="199" spans="1:13" x14ac:dyDescent="0.25">
      <c r="A199">
        <f>197</f>
        <v>197</v>
      </c>
      <c r="B199" t="str">
        <f>INDEX('Draft Engine'!$A$3:$A$225,$M199)</f>
        <v>WR</v>
      </c>
      <c r="C199">
        <f>INDEX('Draft Engine'!$F$3:$F$225,$M199)</f>
        <v>68</v>
      </c>
      <c r="D199" t="str">
        <f>INDEX('Draft Engine'!$B$3:$B$225,$M199)</f>
        <v>Jauan Jennings</v>
      </c>
      <c r="E199" s="4">
        <f>INDEX('Draft Engine'!$E$3:$E$225,$M199)</f>
        <v>53.44</v>
      </c>
      <c r="F199" t="str">
        <f>INDEX('LIVE SOURCE'!$H$3:$H$225,$M199)</f>
        <v>Late-round bench upside; role growth is required for weekly relevance.</v>
      </c>
      <c r="G199" t="str">
        <f>INDEX('LIVE SOURCE'!$I$3:$I$225,$M199)</f>
        <v>He produced 11.6 PPR/FP points per game across 15 games. The workload/efficiency profile gives the model a rate-based reason to keep him here. Market price is favorable around ADP 268 versus model overall rank 204.</v>
      </c>
      <c r="H199" t="str">
        <f>INDEX('LIVE SOURCE'!$J$3:$J$225,$M199)</f>
        <v>Target competition, quarterback efficiency and touchdown regression are the main downside paths.</v>
      </c>
      <c r="I199">
        <f>INDEX('Draft Engine'!$R$3:$R$225,$M199)</f>
        <v>268.2</v>
      </c>
      <c r="J199">
        <f>INDEX('Draft Engine'!$S$3:$S$225,$M199)</f>
        <v>71.199999999999989</v>
      </c>
      <c r="K199" t="str">
        <f>INDEX('Draft Engine'!$T$3:$T$225,$M199)</f>
        <v>C</v>
      </c>
      <c r="L199" t="str">
        <f>INDEX('Draft Engine'!$X$3:$X$225,$M199)</f>
        <v>HISTORY FALLBACK</v>
      </c>
      <c r="M199" s="6">
        <f>MATCH($A199,'Draft Engine'!$Q$3:$Q$225,0)</f>
        <v>151</v>
      </c>
    </row>
    <row r="200" spans="1:13" x14ac:dyDescent="0.25">
      <c r="A200">
        <f>198</f>
        <v>198</v>
      </c>
      <c r="B200" t="str">
        <f>INDEX('Draft Engine'!$A$3:$A$225,$M200)</f>
        <v>WR</v>
      </c>
      <c r="C200">
        <f>INDEX('Draft Engine'!$F$3:$F$225,$M200)</f>
        <v>69</v>
      </c>
      <c r="D200" t="str">
        <f>INDEX('Draft Engine'!$B$3:$B$225,$M200)</f>
        <v>Darnell Mooney</v>
      </c>
      <c r="E200" s="4">
        <f>INDEX('Draft Engine'!$E$3:$E$225,$M200)</f>
        <v>52.77</v>
      </c>
      <c r="F200" t="str">
        <f>INDEX('LIVE SOURCE'!$H$3:$H$225,$M200)</f>
        <v>Late-round bench upside; role growth is required for weekly relevance.</v>
      </c>
      <c r="G200" t="str">
        <f>INDEX('LIVE SOURCE'!$I$3:$I$225,$M200)</f>
        <v>The 2026 opportunity and projection carry most of the grade because detailed 2025 rate data is incomplete. Market price is favorable around ADP 272 versus model overall rank 205.</v>
      </c>
      <c r="H200" t="str">
        <f>INDEX('LIVE SOURCE'!$J$3:$J$225,$M200)</f>
        <v>Evidence is thinner than for established veterans, so camp, depth-chart and role news can move the grade materially.</v>
      </c>
      <c r="I200">
        <f>INDEX('Draft Engine'!$R$3:$R$225,$M200)</f>
        <v>272.10000000000002</v>
      </c>
      <c r="J200">
        <f>INDEX('Draft Engine'!$S$3:$S$225,$M200)</f>
        <v>74.100000000000023</v>
      </c>
      <c r="K200" t="str">
        <f>INDEX('Draft Engine'!$T$3:$T$225,$M200)</f>
        <v>C</v>
      </c>
      <c r="L200" t="str">
        <f>INDEX('Draft Engine'!$X$3:$X$225,$M200)</f>
        <v>HISTORY FALLBACK</v>
      </c>
      <c r="M200" s="6">
        <f>MATCH($A200,'Draft Engine'!$Q$3:$Q$225,0)</f>
        <v>152</v>
      </c>
    </row>
    <row r="201" spans="1:13" x14ac:dyDescent="0.25">
      <c r="A201">
        <f>199</f>
        <v>199</v>
      </c>
      <c r="B201" t="str">
        <f>INDEX('Draft Engine'!$A$3:$A$225,$M201)</f>
        <v>WR</v>
      </c>
      <c r="C201">
        <f>INDEX('Draft Engine'!$F$3:$F$225,$M201)</f>
        <v>70</v>
      </c>
      <c r="D201" t="str">
        <f>INDEX('Draft Engine'!$B$3:$B$225,$M201)</f>
        <v>Ricky Pearsall</v>
      </c>
      <c r="E201" s="4">
        <f>INDEX('Draft Engine'!$E$3:$E$225,$M201)</f>
        <v>40</v>
      </c>
      <c r="F201" t="str">
        <f>INDEX('LIVE SOURCE'!$H$3:$H$225,$M201)</f>
        <v>FLEX/bench receiver; needs target growth or efficiency spikes.</v>
      </c>
      <c r="G201" t="str">
        <f>INDEX('LIVE SOURCE'!$I$3:$I$225,$M201)</f>
        <v>The 2026 opportunity and projection carry most of the grade because detailed 2025 rate data is incomplete. Market price is favorable around ADP 175 versus model overall rank 150.</v>
      </c>
      <c r="H201" t="str">
        <f>INDEX('LIVE SOURCE'!$J$3:$J$225,$M201)</f>
        <v>Evidence is thinner than for established veterans, so camp, depth-chart and role news can move the grade materially.</v>
      </c>
      <c r="I201">
        <f>INDEX('Draft Engine'!$R$3:$R$225,$M201)</f>
        <v>174.6</v>
      </c>
      <c r="J201">
        <f>INDEX('Draft Engine'!$S$3:$S$225,$M201)</f>
        <v>-24.400000000000006</v>
      </c>
      <c r="K201" t="str">
        <f>INDEX('Draft Engine'!$T$3:$T$225,$M201)</f>
        <v>C</v>
      </c>
      <c r="L201" t="str">
        <f>INDEX('Draft Engine'!$X$3:$X$225,$M201)</f>
        <v>HISTORY FALLBACK</v>
      </c>
      <c r="M201" s="6">
        <f>MATCH($A201,'Draft Engine'!$Q$3:$Q$225,0)</f>
        <v>127</v>
      </c>
    </row>
    <row r="202" spans="1:13" x14ac:dyDescent="0.25">
      <c r="A202">
        <f>200</f>
        <v>200</v>
      </c>
      <c r="B202" t="str">
        <f>INDEX('Draft Engine'!$A$3:$A$225,$M202)</f>
        <v>DST</v>
      </c>
      <c r="C202">
        <f>INDEX('Draft Engine'!$F$3:$F$225,$M202)</f>
        <v>11</v>
      </c>
      <c r="D202" t="str">
        <f>INDEX('Draft Engine'!$B$3:$B$225,$M202)</f>
        <v>Baltimore Ravens</v>
      </c>
      <c r="E202" s="4">
        <f>INDEX('Draft Engine'!$E$3:$E$225,$M202)</f>
        <v>82</v>
      </c>
      <c r="F202" t="str">
        <f>INDEX('LIVE SOURCE'!$H$3:$H$225,$M202)</f>
        <v>Streaming/late-round defense; matchup matters more than preseason rank.</v>
      </c>
      <c r="G202" t="str">
        <f>INDEX('LIVE SOURCE'!$I$3:$I$225,$M202)</f>
        <v>The unit grades well relative to the current DST pool, but the model intentionally keeps defense behind core skill positions.</v>
      </c>
      <c r="H202" t="str">
        <f>INDEX('LIVE SOURCE'!$J$3:$J$225,$M202)</f>
        <v>DST scoring is highly opponent- and turnover-dependent, making season-long rank fragile.</v>
      </c>
      <c r="I202">
        <f>INDEX('Draft Engine'!$R$3:$R$225,$M202)</f>
        <v>200</v>
      </c>
      <c r="J202">
        <f>INDEX('Draft Engine'!$S$3:$S$225,$M202)</f>
        <v>0</v>
      </c>
      <c r="K202" t="str">
        <f>INDEX('Draft Engine'!$T$3:$T$225,$M202)</f>
        <v>B</v>
      </c>
      <c r="L202" t="str">
        <f>INDEX('Draft Engine'!$X$3:$X$225,$M202)</f>
        <v>DST MODEL</v>
      </c>
      <c r="M202" s="6">
        <f>MATCH($A202,'Draft Engine'!$Q$3:$Q$225,0)</f>
        <v>202</v>
      </c>
    </row>
    <row r="203" spans="1:13" x14ac:dyDescent="0.25">
      <c r="A203">
        <f>201</f>
        <v>201</v>
      </c>
      <c r="B203" t="str">
        <f>INDEX('Draft Engine'!$A$3:$A$225,$M203)</f>
        <v>DST</v>
      </c>
      <c r="C203">
        <f>INDEX('Draft Engine'!$F$3:$F$225,$M203)</f>
        <v>12</v>
      </c>
      <c r="D203" t="str">
        <f>INDEX('Draft Engine'!$B$3:$B$225,$M203)</f>
        <v>Green Bay Packers</v>
      </c>
      <c r="E203" s="4">
        <f>INDEX('Draft Engine'!$E$3:$E$225,$M203)</f>
        <v>80.900000000000006</v>
      </c>
      <c r="F203" t="str">
        <f>INDEX('LIVE SOURCE'!$H$3:$H$225,$M203)</f>
        <v>Streaming/late-round defense; matchup matters more than preseason rank.</v>
      </c>
      <c r="G203" t="str">
        <f>INDEX('LIVE SOURCE'!$I$3:$I$225,$M203)</f>
        <v>The unit grades well relative to the current DST pool, but the model intentionally keeps defense behind core skill positions.</v>
      </c>
      <c r="H203" t="str">
        <f>INDEX('LIVE SOURCE'!$J$3:$J$225,$M203)</f>
        <v>DST scoring is highly opponent- and turnover-dependent, making season-long rank fragile.</v>
      </c>
      <c r="I203">
        <f>INDEX('Draft Engine'!$R$3:$R$225,$M203)</f>
        <v>204</v>
      </c>
      <c r="J203">
        <f>INDEX('Draft Engine'!$S$3:$S$225,$M203)</f>
        <v>3</v>
      </c>
      <c r="K203" t="str">
        <f>INDEX('Draft Engine'!$T$3:$T$225,$M203)</f>
        <v>B</v>
      </c>
      <c r="L203" t="str">
        <f>INDEX('Draft Engine'!$X$3:$X$225,$M203)</f>
        <v>DST MODEL</v>
      </c>
      <c r="M203" s="6">
        <f>MATCH($A203,'Draft Engine'!$Q$3:$Q$225,0)</f>
        <v>203</v>
      </c>
    </row>
    <row r="204" spans="1:13" x14ac:dyDescent="0.25">
      <c r="A204">
        <f>202</f>
        <v>202</v>
      </c>
      <c r="B204" t="str">
        <f>INDEX('Draft Engine'!$A$3:$A$225,$M204)</f>
        <v>DST</v>
      </c>
      <c r="C204">
        <f>INDEX('Draft Engine'!$F$3:$F$225,$M204)</f>
        <v>13</v>
      </c>
      <c r="D204" t="str">
        <f>INDEX('Draft Engine'!$B$3:$B$225,$M204)</f>
        <v>Detroit Lions</v>
      </c>
      <c r="E204" s="4">
        <f>INDEX('Draft Engine'!$E$3:$E$225,$M204)</f>
        <v>79.8</v>
      </c>
      <c r="F204" t="str">
        <f>INDEX('LIVE SOURCE'!$H$3:$H$225,$M204)</f>
        <v>Streaming/late-round defense; matchup matters more than preseason rank.</v>
      </c>
      <c r="G204" t="str">
        <f>INDEX('LIVE SOURCE'!$I$3:$I$225,$M204)</f>
        <v>The unit grades well relative to the current DST pool, but the model intentionally keeps defense behind core skill positions.</v>
      </c>
      <c r="H204" t="str">
        <f>INDEX('LIVE SOURCE'!$J$3:$J$225,$M204)</f>
        <v>DST scoring is highly opponent- and turnover-dependent, making season-long rank fragile.</v>
      </c>
      <c r="I204">
        <f>INDEX('Draft Engine'!$R$3:$R$225,$M204)</f>
        <v>208</v>
      </c>
      <c r="J204">
        <f>INDEX('Draft Engine'!$S$3:$S$225,$M204)</f>
        <v>6</v>
      </c>
      <c r="K204" t="str">
        <f>INDEX('Draft Engine'!$T$3:$T$225,$M204)</f>
        <v>B</v>
      </c>
      <c r="L204" t="str">
        <f>INDEX('Draft Engine'!$X$3:$X$225,$M204)</f>
        <v>DST MODEL</v>
      </c>
      <c r="M204" s="6">
        <f>MATCH($A204,'Draft Engine'!$Q$3:$Q$225,0)</f>
        <v>204</v>
      </c>
    </row>
    <row r="205" spans="1:13" x14ac:dyDescent="0.25">
      <c r="A205">
        <f>203</f>
        <v>203</v>
      </c>
      <c r="B205" t="str">
        <f>INDEX('Draft Engine'!$A$3:$A$225,$M205)</f>
        <v>DST</v>
      </c>
      <c r="C205">
        <f>INDEX('Draft Engine'!$F$3:$F$225,$M205)</f>
        <v>14</v>
      </c>
      <c r="D205" t="str">
        <f>INDEX('Draft Engine'!$B$3:$B$225,$M205)</f>
        <v>Buffalo Bills</v>
      </c>
      <c r="E205" s="4">
        <f>INDEX('Draft Engine'!$E$3:$E$225,$M205)</f>
        <v>78.7</v>
      </c>
      <c r="F205" t="str">
        <f>INDEX('LIVE SOURCE'!$H$3:$H$225,$M205)</f>
        <v>Streaming/late-round defense; matchup matters more than preseason rank.</v>
      </c>
      <c r="G205" t="str">
        <f>INDEX('LIVE SOURCE'!$I$3:$I$225,$M205)</f>
        <v>The unit grades well relative to the current DST pool, but the model intentionally keeps defense behind core skill positions.</v>
      </c>
      <c r="H205" t="str">
        <f>INDEX('LIVE SOURCE'!$J$3:$J$225,$M205)</f>
        <v>DST scoring is highly opponent- and turnover-dependent, making season-long rank fragile.</v>
      </c>
      <c r="I205">
        <f>INDEX('Draft Engine'!$R$3:$R$225,$M205)</f>
        <v>212</v>
      </c>
      <c r="J205">
        <f>INDEX('Draft Engine'!$S$3:$S$225,$M205)</f>
        <v>9</v>
      </c>
      <c r="K205" t="str">
        <f>INDEX('Draft Engine'!$T$3:$T$225,$M205)</f>
        <v>B</v>
      </c>
      <c r="L205" t="str">
        <f>INDEX('Draft Engine'!$X$3:$X$225,$M205)</f>
        <v>DST MODEL</v>
      </c>
      <c r="M205" s="6">
        <f>MATCH($A205,'Draft Engine'!$Q$3:$Q$225,0)</f>
        <v>205</v>
      </c>
    </row>
    <row r="206" spans="1:13" x14ac:dyDescent="0.25">
      <c r="A206">
        <f>204</f>
        <v>204</v>
      </c>
      <c r="B206" t="str">
        <f>INDEX('Draft Engine'!$A$3:$A$225,$M206)</f>
        <v>DST</v>
      </c>
      <c r="C206">
        <f>INDEX('Draft Engine'!$F$3:$F$225,$M206)</f>
        <v>15</v>
      </c>
      <c r="D206" t="str">
        <f>INDEX('Draft Engine'!$B$3:$B$225,$M206)</f>
        <v>Kansas City Chiefs</v>
      </c>
      <c r="E206" s="4">
        <f>INDEX('Draft Engine'!$E$3:$E$225,$M206)</f>
        <v>77.599999999999994</v>
      </c>
      <c r="F206" t="str">
        <f>INDEX('LIVE SOURCE'!$H$3:$H$225,$M206)</f>
        <v>Streaming/late-round defense; matchup matters more than preseason rank.</v>
      </c>
      <c r="G206" t="str">
        <f>INDEX('LIVE SOURCE'!$I$3:$I$225,$M206)</f>
        <v>The unit grades well relative to the current DST pool, but the model intentionally keeps defense behind core skill positions.</v>
      </c>
      <c r="H206" t="str">
        <f>INDEX('LIVE SOURCE'!$J$3:$J$225,$M206)</f>
        <v>DST scoring is highly opponent- and turnover-dependent, making season-long rank fragile.</v>
      </c>
      <c r="I206">
        <f>INDEX('Draft Engine'!$R$3:$R$225,$M206)</f>
        <v>216</v>
      </c>
      <c r="J206">
        <f>INDEX('Draft Engine'!$S$3:$S$225,$M206)</f>
        <v>12</v>
      </c>
      <c r="K206" t="str">
        <f>INDEX('Draft Engine'!$T$3:$T$225,$M206)</f>
        <v>B</v>
      </c>
      <c r="L206" t="str">
        <f>INDEX('Draft Engine'!$X$3:$X$225,$M206)</f>
        <v>DST MODEL</v>
      </c>
      <c r="M206" s="6">
        <f>MATCH($A206,'Draft Engine'!$Q$3:$Q$225,0)</f>
        <v>206</v>
      </c>
    </row>
    <row r="207" spans="1:13" x14ac:dyDescent="0.25">
      <c r="A207">
        <f>205</f>
        <v>205</v>
      </c>
      <c r="B207" t="str">
        <f>INDEX('Draft Engine'!$A$3:$A$225,$M207)</f>
        <v>DST</v>
      </c>
      <c r="C207">
        <f>INDEX('Draft Engine'!$F$3:$F$225,$M207)</f>
        <v>16</v>
      </c>
      <c r="D207" t="str">
        <f>INDEX('Draft Engine'!$B$3:$B$225,$M207)</f>
        <v>Cleveland Browns</v>
      </c>
      <c r="E207" s="4">
        <f>INDEX('Draft Engine'!$E$3:$E$225,$M207)</f>
        <v>76.5</v>
      </c>
      <c r="F207" t="str">
        <f>INDEX('LIVE SOURCE'!$H$3:$H$225,$M207)</f>
        <v>Streaming/late-round defense; matchup matters more than preseason rank.</v>
      </c>
      <c r="G207" t="str">
        <f>INDEX('LIVE SOURCE'!$I$3:$I$225,$M207)</f>
        <v>The unit grades well relative to the current DST pool, but the model intentionally keeps defense behind core skill positions.</v>
      </c>
      <c r="H207" t="str">
        <f>INDEX('LIVE SOURCE'!$J$3:$J$225,$M207)</f>
        <v>DST scoring is highly opponent- and turnover-dependent, making season-long rank fragile.</v>
      </c>
      <c r="I207">
        <f>INDEX('Draft Engine'!$R$3:$R$225,$M207)</f>
        <v>220</v>
      </c>
      <c r="J207">
        <f>INDEX('Draft Engine'!$S$3:$S$225,$M207)</f>
        <v>15</v>
      </c>
      <c r="K207" t="str">
        <f>INDEX('Draft Engine'!$T$3:$T$225,$M207)</f>
        <v>B</v>
      </c>
      <c r="L207" t="str">
        <f>INDEX('Draft Engine'!$X$3:$X$225,$M207)</f>
        <v>DST MODEL</v>
      </c>
      <c r="M207" s="6">
        <f>MATCH($A207,'Draft Engine'!$Q$3:$Q$225,0)</f>
        <v>207</v>
      </c>
    </row>
    <row r="208" spans="1:13" x14ac:dyDescent="0.25">
      <c r="A208">
        <f>206</f>
        <v>206</v>
      </c>
      <c r="B208" t="str">
        <f>INDEX('Draft Engine'!$A$3:$A$225,$M208)</f>
        <v>DST</v>
      </c>
      <c r="C208">
        <f>INDEX('Draft Engine'!$F$3:$F$225,$M208)</f>
        <v>17</v>
      </c>
      <c r="D208" t="str">
        <f>INDEX('Draft Engine'!$B$3:$B$225,$M208)</f>
        <v>San Francisco 49ers</v>
      </c>
      <c r="E208" s="4">
        <f>INDEX('Draft Engine'!$E$3:$E$225,$M208)</f>
        <v>75.400000000000006</v>
      </c>
      <c r="F208" t="str">
        <f>INDEX('LIVE SOURCE'!$H$3:$H$225,$M208)</f>
        <v>Streaming/late-round defense; matchup matters more than preseason rank.</v>
      </c>
      <c r="G208" t="str">
        <f>INDEX('LIVE SOURCE'!$I$3:$I$225,$M208)</f>
        <v>The unit grades well relative to the current DST pool, but the model intentionally keeps defense behind core skill positions.</v>
      </c>
      <c r="H208" t="str">
        <f>INDEX('LIVE SOURCE'!$J$3:$J$225,$M208)</f>
        <v>DST scoring is highly opponent- and turnover-dependent, making season-long rank fragile.</v>
      </c>
      <c r="I208">
        <f>INDEX('Draft Engine'!$R$3:$R$225,$M208)</f>
        <v>224</v>
      </c>
      <c r="J208">
        <f>INDEX('Draft Engine'!$S$3:$S$225,$M208)</f>
        <v>18</v>
      </c>
      <c r="K208" t="str">
        <f>INDEX('Draft Engine'!$T$3:$T$225,$M208)</f>
        <v>B</v>
      </c>
      <c r="L208" t="str">
        <f>INDEX('Draft Engine'!$X$3:$X$225,$M208)</f>
        <v>DST MODEL</v>
      </c>
      <c r="M208" s="6">
        <f>MATCH($A208,'Draft Engine'!$Q$3:$Q$225,0)</f>
        <v>208</v>
      </c>
    </row>
    <row r="209" spans="1:13" x14ac:dyDescent="0.25">
      <c r="A209">
        <f>207</f>
        <v>207</v>
      </c>
      <c r="B209" t="str">
        <f>INDEX('Draft Engine'!$A$3:$A$225,$M209)</f>
        <v>DST</v>
      </c>
      <c r="C209">
        <f>INDEX('Draft Engine'!$F$3:$F$225,$M209)</f>
        <v>18</v>
      </c>
      <c r="D209" t="str">
        <f>INDEX('Draft Engine'!$B$3:$B$225,$M209)</f>
        <v>New Orleans Saints</v>
      </c>
      <c r="E209" s="4">
        <f>INDEX('Draft Engine'!$E$3:$E$225,$M209)</f>
        <v>74.3</v>
      </c>
      <c r="F209" t="str">
        <f>INDEX('LIVE SOURCE'!$H$3:$H$225,$M209)</f>
        <v>Streaming/late-round defense; matchup matters more than preseason rank.</v>
      </c>
      <c r="G209" t="str">
        <f>INDEX('LIVE SOURCE'!$I$3:$I$225,$M209)</f>
        <v>The unit grades well relative to the current DST pool, but the model intentionally keeps defense behind core skill positions.</v>
      </c>
      <c r="H209" t="str">
        <f>INDEX('LIVE SOURCE'!$J$3:$J$225,$M209)</f>
        <v>DST scoring is highly opponent- and turnover-dependent, making season-long rank fragile.</v>
      </c>
      <c r="I209">
        <f>INDEX('Draft Engine'!$R$3:$R$225,$M209)</f>
        <v>228</v>
      </c>
      <c r="J209">
        <f>INDEX('Draft Engine'!$S$3:$S$225,$M209)</f>
        <v>21</v>
      </c>
      <c r="K209" t="str">
        <f>INDEX('Draft Engine'!$T$3:$T$225,$M209)</f>
        <v>B</v>
      </c>
      <c r="L209" t="str">
        <f>INDEX('Draft Engine'!$X$3:$X$225,$M209)</f>
        <v>DST MODEL</v>
      </c>
      <c r="M209" s="6">
        <f>MATCH($A209,'Draft Engine'!$Q$3:$Q$225,0)</f>
        <v>209</v>
      </c>
    </row>
    <row r="210" spans="1:13" x14ac:dyDescent="0.25">
      <c r="A210">
        <f>208</f>
        <v>208</v>
      </c>
      <c r="B210" t="str">
        <f>INDEX('Draft Engine'!$A$3:$A$225,$M210)</f>
        <v>DST</v>
      </c>
      <c r="C210">
        <f>INDEX('Draft Engine'!$F$3:$F$225,$M210)</f>
        <v>19</v>
      </c>
      <c r="D210" t="str">
        <f>INDEX('Draft Engine'!$B$3:$B$225,$M210)</f>
        <v>Atlanta Falcons</v>
      </c>
      <c r="E210" s="4">
        <f>INDEX('Draft Engine'!$E$3:$E$225,$M210)</f>
        <v>73.2</v>
      </c>
      <c r="F210" t="str">
        <f>INDEX('LIVE SOURCE'!$H$3:$H$225,$M210)</f>
        <v>Streaming/late-round defense; matchup matters more than preseason rank.</v>
      </c>
      <c r="G210" t="str">
        <f>INDEX('LIVE SOURCE'!$I$3:$I$225,$M210)</f>
        <v>The unit grades well relative to the current DST pool, but the model intentionally keeps defense behind core skill positions.</v>
      </c>
      <c r="H210" t="str">
        <f>INDEX('LIVE SOURCE'!$J$3:$J$225,$M210)</f>
        <v>DST scoring is highly opponent- and turnover-dependent, making season-long rank fragile.</v>
      </c>
      <c r="I210">
        <f>INDEX('Draft Engine'!$R$3:$R$225,$M210)</f>
        <v>232</v>
      </c>
      <c r="J210">
        <f>INDEX('Draft Engine'!$S$3:$S$225,$M210)</f>
        <v>24</v>
      </c>
      <c r="K210" t="str">
        <f>INDEX('Draft Engine'!$T$3:$T$225,$M210)</f>
        <v>B</v>
      </c>
      <c r="L210" t="str">
        <f>INDEX('Draft Engine'!$X$3:$X$225,$M210)</f>
        <v>DST MODEL</v>
      </c>
      <c r="M210" s="6">
        <f>MATCH($A210,'Draft Engine'!$Q$3:$Q$225,0)</f>
        <v>210</v>
      </c>
    </row>
    <row r="211" spans="1:13" x14ac:dyDescent="0.25">
      <c r="A211">
        <f>209</f>
        <v>209</v>
      </c>
      <c r="B211" t="str">
        <f>INDEX('Draft Engine'!$A$3:$A$225,$M211)</f>
        <v>DST</v>
      </c>
      <c r="C211">
        <f>INDEX('Draft Engine'!$F$3:$F$225,$M211)</f>
        <v>20</v>
      </c>
      <c r="D211" t="str">
        <f>INDEX('Draft Engine'!$B$3:$B$225,$M211)</f>
        <v>Chicago Bears</v>
      </c>
      <c r="E211" s="4">
        <f>INDEX('Draft Engine'!$E$3:$E$225,$M211)</f>
        <v>72.099999999999994</v>
      </c>
      <c r="F211" t="str">
        <f>INDEX('LIVE SOURCE'!$H$3:$H$225,$M211)</f>
        <v>Streaming/late-round defense; matchup matters more than preseason rank.</v>
      </c>
      <c r="G211" t="str">
        <f>INDEX('LIVE SOURCE'!$I$3:$I$225,$M211)</f>
        <v>The unit grades well relative to the current DST pool, but the model intentionally keeps defense behind core skill positions.</v>
      </c>
      <c r="H211" t="str">
        <f>INDEX('LIVE SOURCE'!$J$3:$J$225,$M211)</f>
        <v>DST scoring is highly opponent- and turnover-dependent, making season-long rank fragile.</v>
      </c>
      <c r="I211">
        <f>INDEX('Draft Engine'!$R$3:$R$225,$M211)</f>
        <v>236</v>
      </c>
      <c r="J211">
        <f>INDEX('Draft Engine'!$S$3:$S$225,$M211)</f>
        <v>27</v>
      </c>
      <c r="K211" t="str">
        <f>INDEX('Draft Engine'!$T$3:$T$225,$M211)</f>
        <v>B</v>
      </c>
      <c r="L211" t="str">
        <f>INDEX('Draft Engine'!$X$3:$X$225,$M211)</f>
        <v>DST MODEL</v>
      </c>
      <c r="M211" s="6">
        <f>MATCH($A211,'Draft Engine'!$Q$3:$Q$225,0)</f>
        <v>211</v>
      </c>
    </row>
    <row r="212" spans="1:13" x14ac:dyDescent="0.25">
      <c r="A212">
        <f>210</f>
        <v>210</v>
      </c>
      <c r="B212" t="str">
        <f>INDEX('Draft Engine'!$A$3:$A$225,$M212)</f>
        <v>DST</v>
      </c>
      <c r="C212">
        <f>INDEX('Draft Engine'!$F$3:$F$225,$M212)</f>
        <v>21</v>
      </c>
      <c r="D212" t="str">
        <f>INDEX('Draft Engine'!$B$3:$B$225,$M212)</f>
        <v>Indianapolis Colts</v>
      </c>
      <c r="E212" s="4">
        <f>INDEX('Draft Engine'!$E$3:$E$225,$M212)</f>
        <v>71</v>
      </c>
      <c r="F212" t="str">
        <f>INDEX('LIVE SOURCE'!$H$3:$H$225,$M212)</f>
        <v>Streaming/late-round defense; matchup matters more than preseason rank.</v>
      </c>
      <c r="G212" t="str">
        <f>INDEX('LIVE SOURCE'!$I$3:$I$225,$M212)</f>
        <v>The unit grades well relative to the current DST pool, but the model intentionally keeps defense behind core skill positions.</v>
      </c>
      <c r="H212" t="str">
        <f>INDEX('LIVE SOURCE'!$J$3:$J$225,$M212)</f>
        <v>DST scoring is highly opponent- and turnover-dependent, making season-long rank fragile.</v>
      </c>
      <c r="I212">
        <f>INDEX('Draft Engine'!$R$3:$R$225,$M212)</f>
        <v>240</v>
      </c>
      <c r="J212">
        <f>INDEX('Draft Engine'!$S$3:$S$225,$M212)</f>
        <v>30</v>
      </c>
      <c r="K212" t="str">
        <f>INDEX('Draft Engine'!$T$3:$T$225,$M212)</f>
        <v>B</v>
      </c>
      <c r="L212" t="str">
        <f>INDEX('Draft Engine'!$X$3:$X$225,$M212)</f>
        <v>DST MODEL</v>
      </c>
      <c r="M212" s="6">
        <f>MATCH($A212,'Draft Engine'!$Q$3:$Q$225,0)</f>
        <v>212</v>
      </c>
    </row>
    <row r="213" spans="1:13" x14ac:dyDescent="0.25">
      <c r="A213">
        <f>211</f>
        <v>211</v>
      </c>
      <c r="B213" t="str">
        <f>INDEX('Draft Engine'!$A$3:$A$225,$M213)</f>
        <v>DST</v>
      </c>
      <c r="C213">
        <f>INDEX('Draft Engine'!$F$3:$F$225,$M213)</f>
        <v>22</v>
      </c>
      <c r="D213" t="str">
        <f>INDEX('Draft Engine'!$B$3:$B$225,$M213)</f>
        <v>New York Giants</v>
      </c>
      <c r="E213" s="4">
        <f>INDEX('Draft Engine'!$E$3:$E$225,$M213)</f>
        <v>69.900000000000006</v>
      </c>
      <c r="F213" t="str">
        <f>INDEX('LIVE SOURCE'!$H$3:$H$225,$M213)</f>
        <v>Streaming/late-round defense; matchup matters more than preseason rank.</v>
      </c>
      <c r="G213" t="str">
        <f>INDEX('LIVE SOURCE'!$I$3:$I$225,$M213)</f>
        <v>The unit grades well relative to the current DST pool, but the model intentionally keeps defense behind core skill positions.</v>
      </c>
      <c r="H213" t="str">
        <f>INDEX('LIVE SOURCE'!$J$3:$J$225,$M213)</f>
        <v>DST scoring is highly opponent- and turnover-dependent, making season-long rank fragile.</v>
      </c>
      <c r="I213">
        <f>INDEX('Draft Engine'!$R$3:$R$225,$M213)</f>
        <v>244</v>
      </c>
      <c r="J213">
        <f>INDEX('Draft Engine'!$S$3:$S$225,$M213)</f>
        <v>33</v>
      </c>
      <c r="K213" t="str">
        <f>INDEX('Draft Engine'!$T$3:$T$225,$M213)</f>
        <v>B</v>
      </c>
      <c r="L213" t="str">
        <f>INDEX('Draft Engine'!$X$3:$X$225,$M213)</f>
        <v>DST MODEL</v>
      </c>
      <c r="M213" s="6">
        <f>MATCH($A213,'Draft Engine'!$Q$3:$Q$225,0)</f>
        <v>213</v>
      </c>
    </row>
    <row r="214" spans="1:13" x14ac:dyDescent="0.25">
      <c r="A214">
        <f>212</f>
        <v>212</v>
      </c>
      <c r="B214" t="str">
        <f>INDEX('Draft Engine'!$A$3:$A$225,$M214)</f>
        <v>DST</v>
      </c>
      <c r="C214">
        <f>INDEX('Draft Engine'!$F$3:$F$225,$M214)</f>
        <v>23</v>
      </c>
      <c r="D214" t="str">
        <f>INDEX('Draft Engine'!$B$3:$B$225,$M214)</f>
        <v>Tampa Bay Buccaneers</v>
      </c>
      <c r="E214" s="4">
        <f>INDEX('Draft Engine'!$E$3:$E$225,$M214)</f>
        <v>68.8</v>
      </c>
      <c r="F214" t="str">
        <f>INDEX('LIVE SOURCE'!$H$3:$H$225,$M214)</f>
        <v>Streaming/late-round defense; matchup matters more than preseason rank.</v>
      </c>
      <c r="G214" t="str">
        <f>INDEX('LIVE SOURCE'!$I$3:$I$225,$M214)</f>
        <v>The unit grades well relative to the current DST pool, but the model intentionally keeps defense behind core skill positions.</v>
      </c>
      <c r="H214" t="str">
        <f>INDEX('LIVE SOURCE'!$J$3:$J$225,$M214)</f>
        <v>DST scoring is highly opponent- and turnover-dependent, making season-long rank fragile.</v>
      </c>
      <c r="I214">
        <f>INDEX('Draft Engine'!$R$3:$R$225,$M214)</f>
        <v>248</v>
      </c>
      <c r="J214">
        <f>INDEX('Draft Engine'!$S$3:$S$225,$M214)</f>
        <v>36</v>
      </c>
      <c r="K214" t="str">
        <f>INDEX('Draft Engine'!$T$3:$T$225,$M214)</f>
        <v>B</v>
      </c>
      <c r="L214" t="str">
        <f>INDEX('Draft Engine'!$X$3:$X$225,$M214)</f>
        <v>DST MODEL</v>
      </c>
      <c r="M214" s="6">
        <f>MATCH($A214,'Draft Engine'!$Q$3:$Q$225,0)</f>
        <v>214</v>
      </c>
    </row>
    <row r="215" spans="1:13" x14ac:dyDescent="0.25">
      <c r="A215">
        <f>213</f>
        <v>213</v>
      </c>
      <c r="B215" t="str">
        <f>INDEX('Draft Engine'!$A$3:$A$225,$M215)</f>
        <v>DST</v>
      </c>
      <c r="C215">
        <f>INDEX('Draft Engine'!$F$3:$F$225,$M215)</f>
        <v>24</v>
      </c>
      <c r="D215" t="str">
        <f>INDEX('Draft Engine'!$B$3:$B$225,$M215)</f>
        <v>Dallas Cowboys</v>
      </c>
      <c r="E215" s="4">
        <f>INDEX('Draft Engine'!$E$3:$E$225,$M215)</f>
        <v>67.7</v>
      </c>
      <c r="F215" t="str">
        <f>INDEX('LIVE SOURCE'!$H$3:$H$225,$M215)</f>
        <v>Streaming/late-round defense; matchup matters more than preseason rank.</v>
      </c>
      <c r="G215" t="str">
        <f>INDEX('LIVE SOURCE'!$I$3:$I$225,$M215)</f>
        <v>The unit grades well relative to the current DST pool, but the model intentionally keeps defense behind core skill positions.</v>
      </c>
      <c r="H215" t="str">
        <f>INDEX('LIVE SOURCE'!$J$3:$J$225,$M215)</f>
        <v>DST scoring is highly opponent- and turnover-dependent, making season-long rank fragile.</v>
      </c>
      <c r="I215">
        <f>INDEX('Draft Engine'!$R$3:$R$225,$M215)</f>
        <v>252</v>
      </c>
      <c r="J215">
        <f>INDEX('Draft Engine'!$S$3:$S$225,$M215)</f>
        <v>39</v>
      </c>
      <c r="K215" t="str">
        <f>INDEX('Draft Engine'!$T$3:$T$225,$M215)</f>
        <v>B</v>
      </c>
      <c r="L215" t="str">
        <f>INDEX('Draft Engine'!$X$3:$X$225,$M215)</f>
        <v>DST MODEL</v>
      </c>
      <c r="M215" s="6">
        <f>MATCH($A215,'Draft Engine'!$Q$3:$Q$225,0)</f>
        <v>215</v>
      </c>
    </row>
    <row r="216" spans="1:13" x14ac:dyDescent="0.25">
      <c r="A216">
        <f>214</f>
        <v>214</v>
      </c>
      <c r="B216" t="str">
        <f>INDEX('Draft Engine'!$A$3:$A$225,$M216)</f>
        <v>DST</v>
      </c>
      <c r="C216">
        <f>INDEX('Draft Engine'!$F$3:$F$225,$M216)</f>
        <v>25</v>
      </c>
      <c r="D216" t="str">
        <f>INDEX('Draft Engine'!$B$3:$B$225,$M216)</f>
        <v>Carolina Panthers</v>
      </c>
      <c r="E216" s="4">
        <f>INDEX('Draft Engine'!$E$3:$E$225,$M216)</f>
        <v>66.599999999999994</v>
      </c>
      <c r="F216" t="str">
        <f>INDEX('LIVE SOURCE'!$H$3:$H$225,$M216)</f>
        <v>Streaming/late-round defense; matchup matters more than preseason rank.</v>
      </c>
      <c r="G216" t="str">
        <f>INDEX('LIVE SOURCE'!$I$3:$I$225,$M216)</f>
        <v>The unit grades well relative to the current DST pool, but the model intentionally keeps defense behind core skill positions.</v>
      </c>
      <c r="H216" t="str">
        <f>INDEX('LIVE SOURCE'!$J$3:$J$225,$M216)</f>
        <v>DST scoring is highly opponent- and turnover-dependent, making season-long rank fragile.</v>
      </c>
      <c r="I216">
        <f>INDEX('Draft Engine'!$R$3:$R$225,$M216)</f>
        <v>256</v>
      </c>
      <c r="J216">
        <f>INDEX('Draft Engine'!$S$3:$S$225,$M216)</f>
        <v>42</v>
      </c>
      <c r="K216" t="str">
        <f>INDEX('Draft Engine'!$T$3:$T$225,$M216)</f>
        <v>B</v>
      </c>
      <c r="L216" t="str">
        <f>INDEX('Draft Engine'!$X$3:$X$225,$M216)</f>
        <v>DST MODEL</v>
      </c>
      <c r="M216" s="6">
        <f>MATCH($A216,'Draft Engine'!$Q$3:$Q$225,0)</f>
        <v>216</v>
      </c>
    </row>
    <row r="217" spans="1:13" x14ac:dyDescent="0.25">
      <c r="A217">
        <f>215</f>
        <v>215</v>
      </c>
      <c r="B217" t="str">
        <f>INDEX('Draft Engine'!$A$3:$A$225,$M217)</f>
        <v>DST</v>
      </c>
      <c r="C217">
        <f>INDEX('Draft Engine'!$F$3:$F$225,$M217)</f>
        <v>26</v>
      </c>
      <c r="D217" t="str">
        <f>INDEX('Draft Engine'!$B$3:$B$225,$M217)</f>
        <v>Tennessee Titans</v>
      </c>
      <c r="E217" s="4">
        <f>INDEX('Draft Engine'!$E$3:$E$225,$M217)</f>
        <v>65.5</v>
      </c>
      <c r="F217" t="str">
        <f>INDEX('LIVE SOURCE'!$H$3:$H$225,$M217)</f>
        <v>Streaming/late-round defense; matchup matters more than preseason rank.</v>
      </c>
      <c r="G217" t="str">
        <f>INDEX('LIVE SOURCE'!$I$3:$I$225,$M217)</f>
        <v>The unit grades well relative to the current DST pool, but the model intentionally keeps defense behind core skill positions.</v>
      </c>
      <c r="H217" t="str">
        <f>INDEX('LIVE SOURCE'!$J$3:$J$225,$M217)</f>
        <v>DST scoring is highly opponent- and turnover-dependent, making season-long rank fragile.</v>
      </c>
      <c r="I217">
        <f>INDEX('Draft Engine'!$R$3:$R$225,$M217)</f>
        <v>260</v>
      </c>
      <c r="J217">
        <f>INDEX('Draft Engine'!$S$3:$S$225,$M217)</f>
        <v>45</v>
      </c>
      <c r="K217" t="str">
        <f>INDEX('Draft Engine'!$T$3:$T$225,$M217)</f>
        <v>B</v>
      </c>
      <c r="L217" t="str">
        <f>INDEX('Draft Engine'!$X$3:$X$225,$M217)</f>
        <v>DST MODEL</v>
      </c>
      <c r="M217" s="6">
        <f>MATCH($A217,'Draft Engine'!$Q$3:$Q$225,0)</f>
        <v>217</v>
      </c>
    </row>
    <row r="218" spans="1:13" x14ac:dyDescent="0.25">
      <c r="A218">
        <f>216</f>
        <v>216</v>
      </c>
      <c r="B218" t="str">
        <f>INDEX('Draft Engine'!$A$3:$A$225,$M218)</f>
        <v>DST</v>
      </c>
      <c r="C218">
        <f>INDEX('Draft Engine'!$F$3:$F$225,$M218)</f>
        <v>27</v>
      </c>
      <c r="D218" t="str">
        <f>INDEX('Draft Engine'!$B$3:$B$225,$M218)</f>
        <v>Miami Dolphins</v>
      </c>
      <c r="E218" s="4">
        <f>INDEX('Draft Engine'!$E$3:$E$225,$M218)</f>
        <v>64.400000000000006</v>
      </c>
      <c r="F218" t="str">
        <f>INDEX('LIVE SOURCE'!$H$3:$H$225,$M218)</f>
        <v>Streaming/late-round defense; matchup matters more than preseason rank.</v>
      </c>
      <c r="G218" t="str">
        <f>INDEX('LIVE SOURCE'!$I$3:$I$225,$M218)</f>
        <v>The unit grades well relative to the current DST pool, but the model intentionally keeps defense behind core skill positions.</v>
      </c>
      <c r="H218" t="str">
        <f>INDEX('LIVE SOURCE'!$J$3:$J$225,$M218)</f>
        <v>DST scoring is highly opponent- and turnover-dependent, making season-long rank fragile.</v>
      </c>
      <c r="I218">
        <f>INDEX('Draft Engine'!$R$3:$R$225,$M218)</f>
        <v>264</v>
      </c>
      <c r="J218">
        <f>INDEX('Draft Engine'!$S$3:$S$225,$M218)</f>
        <v>48</v>
      </c>
      <c r="K218" t="str">
        <f>INDEX('Draft Engine'!$T$3:$T$225,$M218)</f>
        <v>B</v>
      </c>
      <c r="L218" t="str">
        <f>INDEX('Draft Engine'!$X$3:$X$225,$M218)</f>
        <v>DST MODEL</v>
      </c>
      <c r="M218" s="6">
        <f>MATCH($A218,'Draft Engine'!$Q$3:$Q$225,0)</f>
        <v>218</v>
      </c>
    </row>
    <row r="219" spans="1:13" x14ac:dyDescent="0.25">
      <c r="A219">
        <f>217</f>
        <v>217</v>
      </c>
      <c r="B219" t="str">
        <f>INDEX('Draft Engine'!$A$3:$A$225,$M219)</f>
        <v>DST</v>
      </c>
      <c r="C219">
        <f>INDEX('Draft Engine'!$F$3:$F$225,$M219)</f>
        <v>28</v>
      </c>
      <c r="D219" t="str">
        <f>INDEX('Draft Engine'!$B$3:$B$225,$M219)</f>
        <v>Washington Commanders</v>
      </c>
      <c r="E219" s="4">
        <f>INDEX('Draft Engine'!$E$3:$E$225,$M219)</f>
        <v>63.3</v>
      </c>
      <c r="F219" t="str">
        <f>INDEX('LIVE SOURCE'!$H$3:$H$225,$M219)</f>
        <v>Streaming/late-round defense; matchup matters more than preseason rank.</v>
      </c>
      <c r="G219" t="str">
        <f>INDEX('LIVE SOURCE'!$I$3:$I$225,$M219)</f>
        <v>The unit grades well relative to the current DST pool, but the model intentionally keeps defense behind core skill positions.</v>
      </c>
      <c r="H219" t="str">
        <f>INDEX('LIVE SOURCE'!$J$3:$J$225,$M219)</f>
        <v>DST scoring is highly opponent- and turnover-dependent, making season-long rank fragile.</v>
      </c>
      <c r="I219">
        <f>INDEX('Draft Engine'!$R$3:$R$225,$M219)</f>
        <v>268</v>
      </c>
      <c r="J219">
        <f>INDEX('Draft Engine'!$S$3:$S$225,$M219)</f>
        <v>51</v>
      </c>
      <c r="K219" t="str">
        <f>INDEX('Draft Engine'!$T$3:$T$225,$M219)</f>
        <v>B</v>
      </c>
      <c r="L219" t="str">
        <f>INDEX('Draft Engine'!$X$3:$X$225,$M219)</f>
        <v>DST MODEL</v>
      </c>
      <c r="M219" s="6">
        <f>MATCH($A219,'Draft Engine'!$Q$3:$Q$225,0)</f>
        <v>219</v>
      </c>
    </row>
    <row r="220" spans="1:13" x14ac:dyDescent="0.25">
      <c r="A220">
        <f>218</f>
        <v>218</v>
      </c>
      <c r="B220" t="str">
        <f>INDEX('Draft Engine'!$A$3:$A$225,$M220)</f>
        <v>DST</v>
      </c>
      <c r="C220">
        <f>INDEX('Draft Engine'!$F$3:$F$225,$M220)</f>
        <v>29</v>
      </c>
      <c r="D220" t="str">
        <f>INDEX('Draft Engine'!$B$3:$B$225,$M220)</f>
        <v>New York Jets</v>
      </c>
      <c r="E220" s="4">
        <f>INDEX('Draft Engine'!$E$3:$E$225,$M220)</f>
        <v>62.2</v>
      </c>
      <c r="F220" t="str">
        <f>INDEX('LIVE SOURCE'!$H$3:$H$225,$M220)</f>
        <v>Streaming/late-round defense; matchup matters more than preseason rank.</v>
      </c>
      <c r="G220" t="str">
        <f>INDEX('LIVE SOURCE'!$I$3:$I$225,$M220)</f>
        <v>The unit grades well relative to the current DST pool, but the model intentionally keeps defense behind core skill positions.</v>
      </c>
      <c r="H220" t="str">
        <f>INDEX('LIVE SOURCE'!$J$3:$J$225,$M220)</f>
        <v>DST scoring is highly opponent- and turnover-dependent, making season-long rank fragile.</v>
      </c>
      <c r="I220">
        <f>INDEX('Draft Engine'!$R$3:$R$225,$M220)</f>
        <v>272</v>
      </c>
      <c r="J220">
        <f>INDEX('Draft Engine'!$S$3:$S$225,$M220)</f>
        <v>54</v>
      </c>
      <c r="K220" t="str">
        <f>INDEX('Draft Engine'!$T$3:$T$225,$M220)</f>
        <v>B</v>
      </c>
      <c r="L220" t="str">
        <f>INDEX('Draft Engine'!$X$3:$X$225,$M220)</f>
        <v>DST MODEL</v>
      </c>
      <c r="M220" s="6">
        <f>MATCH($A220,'Draft Engine'!$Q$3:$Q$225,0)</f>
        <v>220</v>
      </c>
    </row>
    <row r="221" spans="1:13" x14ac:dyDescent="0.25">
      <c r="A221">
        <f>219</f>
        <v>219</v>
      </c>
      <c r="B221" t="str">
        <f>INDEX('Draft Engine'!$A$3:$A$225,$M221)</f>
        <v>DST</v>
      </c>
      <c r="C221">
        <f>INDEX('Draft Engine'!$F$3:$F$225,$M221)</f>
        <v>30</v>
      </c>
      <c r="D221" t="str">
        <f>INDEX('Draft Engine'!$B$3:$B$225,$M221)</f>
        <v>Arizona Cardinals</v>
      </c>
      <c r="E221" s="4">
        <f>INDEX('Draft Engine'!$E$3:$E$225,$M221)</f>
        <v>61.1</v>
      </c>
      <c r="F221" t="str">
        <f>INDEX('LIVE SOURCE'!$H$3:$H$225,$M221)</f>
        <v>Streaming/late-round defense; matchup matters more than preseason rank.</v>
      </c>
      <c r="G221" t="str">
        <f>INDEX('LIVE SOURCE'!$I$3:$I$225,$M221)</f>
        <v>The unit grades well relative to the current DST pool, but the model intentionally keeps defense behind core skill positions.</v>
      </c>
      <c r="H221" t="str">
        <f>INDEX('LIVE SOURCE'!$J$3:$J$225,$M221)</f>
        <v>DST scoring is highly opponent- and turnover-dependent, making season-long rank fragile.</v>
      </c>
      <c r="I221">
        <f>INDEX('Draft Engine'!$R$3:$R$225,$M221)</f>
        <v>276</v>
      </c>
      <c r="J221">
        <f>INDEX('Draft Engine'!$S$3:$S$225,$M221)</f>
        <v>57</v>
      </c>
      <c r="K221" t="str">
        <f>INDEX('Draft Engine'!$T$3:$T$225,$M221)</f>
        <v>B</v>
      </c>
      <c r="L221" t="str">
        <f>INDEX('Draft Engine'!$X$3:$X$225,$M221)</f>
        <v>DST MODEL</v>
      </c>
      <c r="M221" s="6">
        <f>MATCH($A221,'Draft Engine'!$Q$3:$Q$225,0)</f>
        <v>221</v>
      </c>
    </row>
    <row r="222" spans="1:13" x14ac:dyDescent="0.25">
      <c r="A222">
        <f>220</f>
        <v>220</v>
      </c>
      <c r="B222" t="str">
        <f>INDEX('Draft Engine'!$A$3:$A$225,$M222)</f>
        <v>DST</v>
      </c>
      <c r="C222">
        <f>INDEX('Draft Engine'!$F$3:$F$225,$M222)</f>
        <v>31</v>
      </c>
      <c r="D222" t="str">
        <f>INDEX('Draft Engine'!$B$3:$B$225,$M222)</f>
        <v>Cincinnati Bengals</v>
      </c>
      <c r="E222" s="4">
        <f>INDEX('Draft Engine'!$E$3:$E$225,$M222)</f>
        <v>60</v>
      </c>
      <c r="F222" t="str">
        <f>INDEX('LIVE SOURCE'!$H$3:$H$225,$M222)</f>
        <v>Streaming/late-round defense; matchup matters more than preseason rank.</v>
      </c>
      <c r="G222" t="str">
        <f>INDEX('LIVE SOURCE'!$I$3:$I$225,$M222)</f>
        <v>The unit grades well relative to the current DST pool, but the model intentionally keeps defense behind core skill positions.</v>
      </c>
      <c r="H222" t="str">
        <f>INDEX('LIVE SOURCE'!$J$3:$J$225,$M222)</f>
        <v>DST scoring is highly opponent- and turnover-dependent, making season-long rank fragile.</v>
      </c>
      <c r="I222">
        <f>INDEX('Draft Engine'!$R$3:$R$225,$M222)</f>
        <v>280</v>
      </c>
      <c r="J222">
        <f>INDEX('Draft Engine'!$S$3:$S$225,$M222)</f>
        <v>60</v>
      </c>
      <c r="K222" t="str">
        <f>INDEX('Draft Engine'!$T$3:$T$225,$M222)</f>
        <v>B</v>
      </c>
      <c r="L222" t="str">
        <f>INDEX('Draft Engine'!$X$3:$X$225,$M222)</f>
        <v>DST MODEL</v>
      </c>
      <c r="M222" s="6">
        <f>MATCH($A222,'Draft Engine'!$Q$3:$Q$225,0)</f>
        <v>222</v>
      </c>
    </row>
    <row r="223" spans="1:13" x14ac:dyDescent="0.25">
      <c r="A223">
        <f>221</f>
        <v>221</v>
      </c>
      <c r="B223" t="str">
        <f>INDEX('Draft Engine'!$A$3:$A$225,$M223)</f>
        <v>DST</v>
      </c>
      <c r="C223">
        <f>INDEX('Draft Engine'!$F$3:$F$225,$M223)</f>
        <v>32</v>
      </c>
      <c r="D223" t="str">
        <f>INDEX('Draft Engine'!$B$3:$B$225,$M223)</f>
        <v>Las Vegas Raiders</v>
      </c>
      <c r="E223" s="4">
        <f>INDEX('Draft Engine'!$E$3:$E$225,$M223)</f>
        <v>58.9</v>
      </c>
      <c r="F223" t="str">
        <f>INDEX('LIVE SOURCE'!$H$3:$H$225,$M223)</f>
        <v>Streaming/late-round defense; matchup matters more than preseason rank.</v>
      </c>
      <c r="G223" t="str">
        <f>INDEX('LIVE SOURCE'!$I$3:$I$225,$M223)</f>
        <v>The unit grades well relative to the current DST pool, but the model intentionally keeps defense behind core skill positions.</v>
      </c>
      <c r="H223" t="str">
        <f>INDEX('LIVE SOURCE'!$J$3:$J$225,$M223)</f>
        <v>DST scoring is highly opponent- and turnover-dependent, making season-long rank fragile.</v>
      </c>
      <c r="I223">
        <f>INDEX('Draft Engine'!$R$3:$R$225,$M223)</f>
        <v>284</v>
      </c>
      <c r="J223">
        <f>INDEX('Draft Engine'!$S$3:$S$225,$M223)</f>
        <v>63</v>
      </c>
      <c r="K223" t="str">
        <f>INDEX('Draft Engine'!$T$3:$T$225,$M223)</f>
        <v>B</v>
      </c>
      <c r="L223" t="str">
        <f>INDEX('Draft Engine'!$X$3:$X$225,$M223)</f>
        <v>DST MODEL</v>
      </c>
      <c r="M223" s="6">
        <f>MATCH($A223,'Draft Engine'!$Q$3:$Q$225,0)</f>
        <v>223</v>
      </c>
    </row>
    <row r="224" spans="1:13" x14ac:dyDescent="0.25">
      <c r="A224">
        <f>222</f>
        <v>222</v>
      </c>
      <c r="B224" t="str">
        <f>INDEX('Draft Engine'!$A$3:$A$225,$M224)</f>
        <v>K</v>
      </c>
      <c r="C224">
        <f>INDEX('Draft Engine'!$F$3:$F$225,$M224)</f>
        <v>11</v>
      </c>
      <c r="D224" t="str">
        <f>INDEX('Draft Engine'!$B$3:$B$225,$M224)</f>
        <v>Andy Borregales</v>
      </c>
      <c r="E224" s="4">
        <f>INDEX('Draft Engine'!$E$3:$E$225,$M224)</f>
        <v>72</v>
      </c>
      <c r="F224" t="str">
        <f>INDEX('LIVE SOURCE'!$H$3:$H$225,$M224)</f>
        <v>Late-round kicker; treat as replaceable unless scoring strongly rewards distance.</v>
      </c>
      <c r="G224" t="str">
        <f>INDEX('LIVE SOURCE'!$I$3:$I$225,$M224)</f>
        <v>Ranks near the top of the current kicker pool, but kicker week-to-week separation is small in a 10-team league.</v>
      </c>
      <c r="H224" t="str">
        <f>INDEX('LIVE SOURCE'!$J$3:$J$225,$M224)</f>
        <v>Kicker scoring is volatile and replaceable on waivers; do not pay meaningful draft capital.</v>
      </c>
      <c r="I224">
        <f>INDEX('Draft Engine'!$R$3:$R$225,$M224)</f>
        <v>205</v>
      </c>
      <c r="J224">
        <f>INDEX('Draft Engine'!$S$3:$S$225,$M224)</f>
        <v>-17</v>
      </c>
      <c r="K224" t="str">
        <f>INDEX('Draft Engine'!$T$3:$T$225,$M224)</f>
        <v>B</v>
      </c>
      <c r="L224" t="str">
        <f>INDEX('Draft Engine'!$X$3:$X$225,$M224)</f>
        <v>KICKER MODEL</v>
      </c>
      <c r="M224" s="6">
        <f>MATCH($A224,'Draft Engine'!$Q$3:$Q$225,0)</f>
        <v>190</v>
      </c>
    </row>
    <row r="225" spans="1:13" x14ac:dyDescent="0.25">
      <c r="A225">
        <f>223</f>
        <v>223</v>
      </c>
      <c r="B225" t="str">
        <f>INDEX('Draft Engine'!$A$3:$A$225,$M225)</f>
        <v>K</v>
      </c>
      <c r="C225">
        <f>INDEX('Draft Engine'!$F$3:$F$225,$M225)</f>
        <v>12</v>
      </c>
      <c r="D225" t="str">
        <f>INDEX('Draft Engine'!$B$3:$B$225,$M225)</f>
        <v>Evan McPherson</v>
      </c>
      <c r="E225" s="4">
        <f>INDEX('Draft Engine'!$E$3:$E$225,$M225)</f>
        <v>69.8</v>
      </c>
      <c r="F225" t="str">
        <f>INDEX('LIVE SOURCE'!$H$3:$H$225,$M225)</f>
        <v>Late-round kicker; treat as replaceable unless scoring strongly rewards distance.</v>
      </c>
      <c r="G225" t="str">
        <f>INDEX('LIVE SOURCE'!$I$3:$I$225,$M225)</f>
        <v>Ranks near the top of the current kicker pool, but kicker week-to-week separation is small in a 10-team league.</v>
      </c>
      <c r="H225" t="str">
        <f>INDEX('LIVE SOURCE'!$J$3:$J$225,$M225)</f>
        <v>Kicker scoring is volatile and replaceable on waivers; do not pay meaningful draft capital.</v>
      </c>
      <c r="I225">
        <f>INDEX('Draft Engine'!$R$3:$R$225,$M225)</f>
        <v>210</v>
      </c>
      <c r="J225">
        <f>INDEX('Draft Engine'!$S$3:$S$225,$M225)</f>
        <v>-13</v>
      </c>
      <c r="K225" t="str">
        <f>INDEX('Draft Engine'!$T$3:$T$225,$M225)</f>
        <v>B</v>
      </c>
      <c r="L225" t="str">
        <f>INDEX('Draft Engine'!$X$3:$X$225,$M225)</f>
        <v>KICKER MODEL</v>
      </c>
      <c r="M225" s="6">
        <f>MATCH($A225,'Draft Engine'!$Q$3:$Q$225,0)</f>
        <v>191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C00000"/>
  </sheetPr>
  <dimension ref="A1:D34"/>
  <sheetViews>
    <sheetView workbookViewId="0"/>
  </sheetViews>
  <sheetFormatPr defaultRowHeight="15" x14ac:dyDescent="0.25"/>
  <cols>
    <col min="1" max="1" width="44" customWidth="1"/>
    <col min="2" max="2" width="10" customWidth="1"/>
    <col min="3" max="3" width="12" customWidth="1"/>
    <col min="4" max="4" width="20" customWidth="1"/>
  </cols>
  <sheetData>
    <row r="1" spans="1:4" ht="18.75" x14ac:dyDescent="0.3">
      <c r="A1" s="1" t="s">
        <v>623</v>
      </c>
    </row>
    <row r="3" spans="1:4" x14ac:dyDescent="0.25">
      <c r="A3" s="7" t="s">
        <v>624</v>
      </c>
      <c r="B3" s="7" t="s">
        <v>625</v>
      </c>
      <c r="C3" s="7" t="s">
        <v>626</v>
      </c>
      <c r="D3" s="7" t="s">
        <v>595</v>
      </c>
    </row>
    <row r="4" spans="1:4" x14ac:dyDescent="0.25">
      <c r="A4" t="s">
        <v>627</v>
      </c>
      <c r="B4">
        <v>223</v>
      </c>
      <c r="C4">
        <f>COUNTA('LIVE SOURCE'!$B$3:$B$225)</f>
        <v>223</v>
      </c>
      <c r="D4" t="str">
        <f t="shared" ref="D4:D16" si="0">IF($C4=$B4,"PASS","FAIL")</f>
        <v>PASS</v>
      </c>
    </row>
    <row r="5" spans="1:4" x14ac:dyDescent="0.25">
      <c r="A5" t="s">
        <v>628</v>
      </c>
      <c r="B5">
        <v>0</v>
      </c>
      <c r="C5">
        <f>SUMPRODUCT(--('LIVE SOURCE'!$B$3:$B$225&lt;&gt;'Draft Engine'!$B$3:$B$225))</f>
        <v>0</v>
      </c>
      <c r="D5" t="str">
        <f t="shared" si="0"/>
        <v>PASS</v>
      </c>
    </row>
    <row r="6" spans="1:4" x14ac:dyDescent="0.25">
      <c r="A6" t="s">
        <v>629</v>
      </c>
      <c r="B6">
        <v>0</v>
      </c>
      <c r="C6">
        <f>SUMPRODUCT(--('LIVE SOURCE'!$B$3:$B$225&lt;&gt;'Manual Adjustments'!$B$3:$B$225))</f>
        <v>0</v>
      </c>
      <c r="D6" t="str">
        <f t="shared" si="0"/>
        <v>PASS</v>
      </c>
    </row>
    <row r="7" spans="1:4" x14ac:dyDescent="0.25">
      <c r="A7" t="s">
        <v>630</v>
      </c>
      <c r="B7">
        <v>0</v>
      </c>
      <c r="C7">
        <f>IFERROR(223-SUMPRODUCT(1/COUNTIF('FINAL Master'!$D$3:$D$225,'FINAL Master'!$D$3:$D$225)),999)+SUMPRODUCT(--ISERROR('FINAL Master'!$A$3:$P$225))</f>
        <v>0</v>
      </c>
      <c r="D7" t="str">
        <f t="shared" si="0"/>
        <v>PASS</v>
      </c>
    </row>
    <row r="8" spans="1:4" x14ac:dyDescent="0.25">
      <c r="A8" t="s">
        <v>631</v>
      </c>
      <c r="B8">
        <v>0</v>
      </c>
      <c r="C8">
        <f>IFERROR(200-SUMPRODUCT(1/COUNTIF('Top 200'!$D$3:$D$202,'Top 200'!$D$3:$D$202)),999)+SUMPRODUCT(--ISERROR('Top 200'!$A$3:$O$202))</f>
        <v>0</v>
      </c>
      <c r="D8" t="str">
        <f t="shared" si="0"/>
        <v>PASS</v>
      </c>
    </row>
    <row r="9" spans="1:4" x14ac:dyDescent="0.25">
      <c r="A9" t="s">
        <v>632</v>
      </c>
      <c r="B9">
        <v>0</v>
      </c>
      <c r="C9">
        <f>SUMPRODUCT(--(COUNTIFS('Draft Engine'!$A$3:$A$225,'Draft Engine'!$A$3:$A$225,'Draft Engine'!$F$3:$F$225,'Draft Engine'!$F$3:$F$225)&gt;1))</f>
        <v>0</v>
      </c>
      <c r="D9" t="str">
        <f t="shared" si="0"/>
        <v>PASS</v>
      </c>
    </row>
    <row r="10" spans="1:4" x14ac:dyDescent="0.25">
      <c r="A10" t="s">
        <v>633</v>
      </c>
      <c r="B10">
        <v>0</v>
      </c>
      <c r="C10">
        <f>SUMPRODUCT(--(COUNTIF('Draft Engine'!$Q$3:$Q$225,'Draft Engine'!$Q$3:$Q$225)&gt;1))</f>
        <v>0</v>
      </c>
      <c r="D10" t="str">
        <f t="shared" si="0"/>
        <v>PASS</v>
      </c>
    </row>
    <row r="11" spans="1:4" x14ac:dyDescent="0.25">
      <c r="A11" t="s">
        <v>634</v>
      </c>
      <c r="B11">
        <v>131</v>
      </c>
      <c r="C11">
        <f>SUMPRODUCT(('Draft Engine'!$A$3:$A$225="DST")*('Draft Engine'!$F$3:$F$225=1)*'Draft Engine'!$Q$3:$Q$225)</f>
        <v>131</v>
      </c>
      <c r="D11" t="str">
        <f t="shared" si="0"/>
        <v>PASS</v>
      </c>
    </row>
    <row r="12" spans="1:4" x14ac:dyDescent="0.25">
      <c r="A12" t="s">
        <v>635</v>
      </c>
      <c r="B12">
        <v>140</v>
      </c>
      <c r="C12">
        <f>SUMPRODUCT(('Draft Engine'!$A$3:$A$225="DST")*('Draft Engine'!$F$3:$F$225=10)*'Draft Engine'!$Q$3:$Q$225)</f>
        <v>140</v>
      </c>
      <c r="D12" t="str">
        <f t="shared" si="0"/>
        <v>PASS</v>
      </c>
    </row>
    <row r="13" spans="1:4" x14ac:dyDescent="0.25">
      <c r="A13" t="s">
        <v>636</v>
      </c>
      <c r="B13">
        <v>141</v>
      </c>
      <c r="C13">
        <f>SUMPRODUCT(('Draft Engine'!$A$3:$A$225="K")*('Draft Engine'!$F$3:$F$225=1)*'Draft Engine'!$Q$3:$Q$225)</f>
        <v>141</v>
      </c>
      <c r="D13" t="str">
        <f t="shared" si="0"/>
        <v>PASS</v>
      </c>
    </row>
    <row r="14" spans="1:4" x14ac:dyDescent="0.25">
      <c r="A14" t="s">
        <v>637</v>
      </c>
      <c r="B14">
        <v>150</v>
      </c>
      <c r="C14">
        <f>SUMPRODUCT(('Draft Engine'!$A$3:$A$225="K")*('Draft Engine'!$F$3:$F$225=10)*'Draft Engine'!$Q$3:$Q$225)</f>
        <v>150</v>
      </c>
      <c r="D14" t="str">
        <f t="shared" si="0"/>
        <v>PASS</v>
      </c>
    </row>
    <row r="15" spans="1:4" x14ac:dyDescent="0.25">
      <c r="A15" t="s">
        <v>638</v>
      </c>
      <c r="B15">
        <v>0</v>
      </c>
      <c r="C15">
        <f>SUMPRODUCT(--(ABS('Draft Engine'!$J$3:$J$225-('Draft Engine'!$G$3:$G$225-'Draft Engine'!$I$3:$I$225))&gt;0.06))</f>
        <v>0</v>
      </c>
      <c r="D15" t="str">
        <f t="shared" si="0"/>
        <v>PASS</v>
      </c>
    </row>
    <row r="16" spans="1:4" x14ac:dyDescent="0.25">
      <c r="A16" t="s">
        <v>639</v>
      </c>
      <c r="B16">
        <v>0</v>
      </c>
      <c r="C16">
        <f>SUMPRODUCT(--ISERROR('Draft Engine'!$A$3:$Z$225))+SUMPRODUCT(--ISERROR('FINAL Master'!$A$3:$P$225))+SUMPRODUCT(--ISERROR('Top 200'!$A$3:$O$202))+SUMPRODUCT(--ISERROR('Player Summaries'!$A$3:$M$225))+SUMPRODUCT(--ISERROR('League Config'!$F$4:$L$9))+SUMPRODUCT(--ISERROR('Manual Adjustments'!$A$3:$J$225))+SUMPRODUCT(--ISERROR('FINAL QB'!$A$3:$N$34))+SUMPRODUCT(--ISERROR('FINAL RB'!$A$3:$N$52))+SUMPRODUCT(--ISERROR('FINAL WR'!$A$3:$N$72))+SUMPRODUCT(--ISERROR('FINAL TE'!$A$3:$N$29))+SUMPRODUCT(--ISERROR(K!$A$3:$O$14))+SUMPRODUCT(--ISERROR(DST!$A$3:$O$34))+SUMPRODUCT(--ISERROR('Draft Room'!$A$5:$G$42))+SUMPRODUCT(--ISERROR('Draft Board'!$A$3:$M$225))</f>
        <v>0</v>
      </c>
      <c r="D16" t="str">
        <f t="shared" si="0"/>
        <v>PASS</v>
      </c>
    </row>
    <row r="18" spans="1:4" ht="15.75" x14ac:dyDescent="0.25">
      <c r="A18" s="11" t="s">
        <v>640</v>
      </c>
      <c r="D18" s="11" t="str">
        <f>IF(COUNTIF($D$4:$D$16,"FAIL")=0,"ALL CHECKS PASS",COUNTIF($D$4:$D$16,"FAIL")&amp;" CHECKS FAILING")</f>
        <v>ALL CHECKS PASS</v>
      </c>
    </row>
    <row r="20" spans="1:4" x14ac:dyDescent="0.25">
      <c r="A20" s="10" t="s">
        <v>641</v>
      </c>
    </row>
    <row r="21" spans="1:4" x14ac:dyDescent="0.25">
      <c r="A21" t="s">
        <v>642</v>
      </c>
      <c r="C21">
        <f>SUMPRODUCT(--ISERROR('Draft Engine'!$A$3:$Z$225))</f>
        <v>0</v>
      </c>
    </row>
    <row r="22" spans="1:4" x14ac:dyDescent="0.25">
      <c r="A22" t="s">
        <v>643</v>
      </c>
      <c r="C22">
        <f>SUMPRODUCT(--ISERROR('FINAL Master'!$A$3:$P$225))</f>
        <v>0</v>
      </c>
    </row>
    <row r="23" spans="1:4" x14ac:dyDescent="0.25">
      <c r="A23" t="s">
        <v>644</v>
      </c>
      <c r="C23">
        <f>SUMPRODUCT(--ISERROR('Top 200'!$A$3:$O$202))</f>
        <v>0</v>
      </c>
    </row>
    <row r="24" spans="1:4" x14ac:dyDescent="0.25">
      <c r="A24" t="s">
        <v>645</v>
      </c>
      <c r="C24">
        <f>SUMPRODUCT(--ISERROR('Player Summaries'!$A$3:$M$225))</f>
        <v>0</v>
      </c>
    </row>
    <row r="25" spans="1:4" x14ac:dyDescent="0.25">
      <c r="A25" t="s">
        <v>646</v>
      </c>
      <c r="C25">
        <f>SUMPRODUCT(--ISERROR('League Config'!$F$4:$L$9))</f>
        <v>0</v>
      </c>
    </row>
    <row r="26" spans="1:4" x14ac:dyDescent="0.25">
      <c r="A26" t="s">
        <v>647</v>
      </c>
      <c r="C26">
        <f>SUMPRODUCT(--ISERROR('Manual Adjustments'!$A$3:$J$225))</f>
        <v>0</v>
      </c>
    </row>
    <row r="27" spans="1:4" x14ac:dyDescent="0.25">
      <c r="A27" t="s">
        <v>648</v>
      </c>
      <c r="C27">
        <f>SUMPRODUCT(--ISERROR('FINAL QB'!$A$3:$N$34))</f>
        <v>0</v>
      </c>
    </row>
    <row r="28" spans="1:4" x14ac:dyDescent="0.25">
      <c r="A28" t="s">
        <v>649</v>
      </c>
      <c r="C28">
        <f>SUMPRODUCT(--ISERROR('FINAL RB'!$A$3:$N$52))</f>
        <v>0</v>
      </c>
    </row>
    <row r="29" spans="1:4" x14ac:dyDescent="0.25">
      <c r="A29" t="s">
        <v>650</v>
      </c>
      <c r="C29">
        <f>SUMPRODUCT(--ISERROR('FINAL WR'!$A$3:$N$72))</f>
        <v>0</v>
      </c>
    </row>
    <row r="30" spans="1:4" x14ac:dyDescent="0.25">
      <c r="A30" t="s">
        <v>651</v>
      </c>
      <c r="C30">
        <f>SUMPRODUCT(--ISERROR('FINAL TE'!$A$3:$N$29))</f>
        <v>0</v>
      </c>
    </row>
    <row r="31" spans="1:4" x14ac:dyDescent="0.25">
      <c r="A31" t="s">
        <v>41</v>
      </c>
      <c r="C31">
        <f>SUMPRODUCT(--ISERROR(K!$A$3:$O$14))</f>
        <v>0</v>
      </c>
    </row>
    <row r="32" spans="1:4" x14ac:dyDescent="0.25">
      <c r="A32" t="s">
        <v>43</v>
      </c>
      <c r="C32">
        <f>SUMPRODUCT(--ISERROR(DST!$A$3:$O$34))</f>
        <v>0</v>
      </c>
    </row>
    <row r="33" spans="1:3" x14ac:dyDescent="0.25">
      <c r="A33" t="s">
        <v>652</v>
      </c>
      <c r="C33">
        <f>SUMPRODUCT(--ISERROR('Draft Room'!$A$5:$G$42))</f>
        <v>0</v>
      </c>
    </row>
    <row r="34" spans="1:3" x14ac:dyDescent="0.25">
      <c r="A34" t="s">
        <v>653</v>
      </c>
      <c r="C34">
        <f>SUMPRODUCT(--ISERROR('Draft Board'!$A$3:$M$225))</f>
        <v>0</v>
      </c>
    </row>
  </sheetData>
  <conditionalFormatting sqref="D4:D18">
    <cfRule type="cellIs" dxfId="2" priority="1" operator="equal">
      <formula>"PASS"</formula>
    </cfRule>
    <cfRule type="cellIs" dxfId="1" priority="2" operator="notEqual">
      <formula>"PASS"</formula>
    </cfRule>
  </conditionalFormatting>
  <conditionalFormatting sqref="D18">
    <cfRule type="cellIs" dxfId="0" priority="3" operator="equal">
      <formula>"ALL CHECKS PASS"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Draft Board</vt:lpstr>
      <vt:lpstr>League Config</vt:lpstr>
      <vt:lpstr>Manual Adjustments</vt:lpstr>
      <vt:lpstr>LIVE SOURCE</vt:lpstr>
      <vt:lpstr>FINAL Master</vt:lpstr>
      <vt:lpstr>Top 200</vt:lpstr>
      <vt:lpstr>FINAL QB</vt:lpstr>
      <vt:lpstr>FINAL RB</vt:lpstr>
      <vt:lpstr>FINAL WR</vt:lpstr>
      <vt:lpstr>FINAL TE</vt:lpstr>
      <vt:lpstr>K</vt:lpstr>
      <vt:lpstr>DST</vt:lpstr>
      <vt:lpstr>Draft Engine</vt:lpstr>
      <vt:lpstr>Draft Room</vt:lpstr>
      <vt:lpstr>Player Summaries</vt:lpstr>
      <vt:lpstr>QA Checks</vt:lpstr>
      <vt:lpstr>DstStart</vt:lpstr>
      <vt:lpstr>GateSize</vt:lpstr>
      <vt:lpstr>KStart</vt:lpstr>
      <vt:lpstr>NDst</vt:lpstr>
      <vt:lpstr>NSkill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Derek Bobola</cp:lastModifiedBy>
  <dcterms:created xsi:type="dcterms:W3CDTF">2026-08-11T17:11:51Z</dcterms:created>
  <dcterms:modified xsi:type="dcterms:W3CDTF">2026-08-11T18:49:21Z</dcterms:modified>
</cp:coreProperties>
</file>