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d4cab646f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kie Engine" sheetId="26" r:id="R819e458bae1e4158"/>
    <x:sheet xmlns:r="http://schemas.openxmlformats.org/officeDocument/2006/relationships" name="FINAL Master" sheetId="28" r:id="Rcd4426bcc7e442a7"/>
    <x:sheet xmlns:r="http://schemas.openxmlformats.org/officeDocument/2006/relationships" name="FINAL QB" sheetId="29" r:id="R27905f2576f647dd"/>
    <x:sheet xmlns:r="http://schemas.openxmlformats.org/officeDocument/2006/relationships" name="FINAL RB" sheetId="30" r:id="Rabc30c1f5f2e44eb"/>
    <x:sheet xmlns:r="http://schemas.openxmlformats.org/officeDocument/2006/relationships" name="FINAL WR" sheetId="31" r:id="Ra7e6bc4bdb6a421b"/>
    <x:sheet xmlns:r="http://schemas.openxmlformats.org/officeDocument/2006/relationships" name="FINAL TE" sheetId="32" r:id="R0119301a82e546b6"/>
    <x:sheet xmlns:r="http://schemas.openxmlformats.org/officeDocument/2006/relationships" name="Player Summaries" sheetId="33" r:id="R8894e1aa302a4682"/>
    <x:sheet xmlns:r="http://schemas.openxmlformats.org/officeDocument/2006/relationships" name="League Config" sheetId="35" r:id="R1ba19a990f4f444c"/>
    <x:sheet xmlns:r="http://schemas.openxmlformats.org/officeDocument/2006/relationships" name="K Rankings" sheetId="36" r:id="Rec4b78f500b64cdf"/>
    <x:sheet xmlns:r="http://schemas.openxmlformats.org/officeDocument/2006/relationships" name="DST Rankings" sheetId="37" r:id="Re70c384f80044ecb"/>
    <x:sheet xmlns:r="http://schemas.openxmlformats.org/officeDocument/2006/relationships" name="Manual Adjustments" sheetId="38" r:id="R988991f854514290"/>
    <x:sheet xmlns:r="http://schemas.openxmlformats.org/officeDocument/2006/relationships" name="Rookie College Inputs" sheetId="39" r:id="Rad4017f82ad74f94"/>
    <x:sheet xmlns:r="http://schemas.openxmlformats.org/officeDocument/2006/relationships" name="Draft Engine" sheetId="40" r:id="R1c6f437b16274467"/>
    <x:sheet xmlns:r="http://schemas.openxmlformats.org/officeDocument/2006/relationships" name="Top 200" sheetId="41" r:id="R38a8fb9f7843467d"/>
    <x:sheet xmlns:r="http://schemas.openxmlformats.org/officeDocument/2006/relationships" name="Draft Room" sheetId="42" r:id="R14ce7e8077654053"/>
    <x:sheet xmlns:r="http://schemas.openxmlformats.org/officeDocument/2006/relationships" name="Sources &amp; Notes" sheetId="43" r:id="Re26bc388f9864d2d"/>
    <x:sheet xmlns:r="http://schemas.openxmlformats.org/officeDocument/2006/relationships" name="Outcome Simulations" sheetId="44" r:id="R0d417d11a1c3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  <x:fill>
      <x:patternFill patternType="solid">
        <x:fgColor rgb="FFEFF6FF"/>
      </x:patternFill>
    </x:fill>
    <x:fill>
      <x:patternFill patternType="solid">
        <x:fgColor rgb="FF172554"/>
      </x:patternFill>
    </x:fill>
    <x:fill>
      <x:patternFill patternType="solid">
        <x:fgColor rgb="FF1E40AF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  <x:fill>
      <x:patternFill patternType="solid">
        <x:fgColor rgb="FFEFF6FF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  <x:fill>
      <x:patternFill patternType="solid">
        <x:fgColor rgb="FFEFF6FF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  <x:fill>
      <x:patternFill patternType="solid">
        <x:fgColor rgb="FFEFF6FF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  <x:fill>
      <x:patternFill patternType="solid">
        <x:fgColor rgb="FFE0F2FE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40AF"/>
      </x:patternFill>
    </x:fill>
  </x:fills>
  <x:borders count="2"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0" fontId="4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/>
    <x:xf numFmtId="0" fontId="0" fillId="21" borderId="0" xfId="0" applyNumberFormat="1" applyFont="1" applyFill="1" applyBorder="1"/>
    <x:xf numFmtId="0" fontId="0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200" fontId="0" fillId="28" borderId="0" xfId="0" applyNumberFormat="1" applyFont="1" applyFill="1" applyBorder="1"/>
    <x:xf numFmtId="0" fontId="1" fillId="29" borderId="0" xfId="0" applyNumberFormat="1" applyFont="1" applyFill="1" applyBorder="1"/>
    <x:xf numFmtId="0" fontId="2" fillId="30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horizont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6723241f84c6c" /><Relationship Type="http://schemas.openxmlformats.org/officeDocument/2006/relationships/theme" Target="/xl/theme/theme1.xml" Id="R836c45e2a0f74efe" /><Relationship Type="http://schemas.openxmlformats.org/officeDocument/2006/relationships/sharedStrings" Target="/xl/sharedStrings.xml" Id="R5bd0e20f05644547" /><Relationship Type="http://schemas.openxmlformats.org/officeDocument/2006/relationships/worksheet" Target="/xl/worksheets/sheet1.xml" Id="R819e458bae1e4158" /><Relationship Type="http://schemas.openxmlformats.org/officeDocument/2006/relationships/worksheet" Target="/xl/worksheets/sheet2.xml" Id="Rcd4426bcc7e442a7" /><Relationship Type="http://schemas.openxmlformats.org/officeDocument/2006/relationships/worksheet" Target="/xl/worksheets/sheet3.xml" Id="R27905f2576f647dd" /><Relationship Type="http://schemas.openxmlformats.org/officeDocument/2006/relationships/worksheet" Target="/xl/worksheets/sheet4.xml" Id="Rabc30c1f5f2e44eb" /><Relationship Type="http://schemas.openxmlformats.org/officeDocument/2006/relationships/worksheet" Target="/xl/worksheets/sheet5.xml" Id="Ra7e6bc4bdb6a421b" /><Relationship Type="http://schemas.openxmlformats.org/officeDocument/2006/relationships/worksheet" Target="/xl/worksheets/sheet6.xml" Id="R0119301a82e546b6" /><Relationship Type="http://schemas.openxmlformats.org/officeDocument/2006/relationships/worksheet" Target="/xl/worksheets/sheet7.xml" Id="R8894e1aa302a4682" /><Relationship Type="http://schemas.openxmlformats.org/officeDocument/2006/relationships/worksheet" Target="/xl/worksheets/sheet8.xml" Id="R1ba19a990f4f444c" /><Relationship Type="http://schemas.openxmlformats.org/officeDocument/2006/relationships/worksheet" Target="/xl/worksheets/sheet9.xml" Id="Rec4b78f500b64cdf" /><Relationship Type="http://schemas.openxmlformats.org/officeDocument/2006/relationships/worksheet" Target="/xl/worksheets/sheet10.xml" Id="Re70c384f80044ecb" /><Relationship Type="http://schemas.openxmlformats.org/officeDocument/2006/relationships/worksheet" Target="/xl/worksheets/sheet11.xml" Id="R988991f854514290" /><Relationship Type="http://schemas.openxmlformats.org/officeDocument/2006/relationships/worksheet" Target="/xl/worksheets/sheet12.xml" Id="Rad4017f82ad74f94" /><Relationship Type="http://schemas.openxmlformats.org/officeDocument/2006/relationships/worksheet" Target="/xl/worksheets/sheet13.xml" Id="R1c6f437b16274467" /><Relationship Type="http://schemas.openxmlformats.org/officeDocument/2006/relationships/worksheet" Target="/xl/worksheets/sheet14.xml" Id="R38a8fb9f7843467d" /><Relationship Type="http://schemas.openxmlformats.org/officeDocument/2006/relationships/worksheet" Target="/xl/worksheets/sheet15.xml" Id="R14ce7e8077654053" /><Relationship Type="http://schemas.openxmlformats.org/officeDocument/2006/relationships/worksheet" Target="/xl/worksheets/sheet16.xml" Id="Re26bc388f9864d2d" /><Relationship Type="http://schemas.openxmlformats.org/officeDocument/2006/relationships/worksheet" Target="/xl/worksheets/sheet17.xml" Id="R0d417d11a1c3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.25" hidden="0" customWidth="1"/>
    <x:col min="3" max="3" width="9.130000114440918" hidden="0" customWidth="1"/>
    <x:col min="4" max="4" width="6.880000114440918" hidden="0" customWidth="1"/>
    <x:col min="5" max="5" width="8.380000114440918" hidden="0" customWidth="1"/>
    <x:col min="6" max="6" width="9" hidden="0" customWidth="1"/>
    <x:col min="7" max="7" width="8" hidden="0" customWidth="1"/>
    <x:col min="8" max="8" width="9.75" hidden="0" customWidth="1"/>
    <x:col min="9" max="9" width="8.5" hidden="0" customWidth="1"/>
    <x:col min="10" max="10" width="10.380000114440918" hidden="0" customWidth="1"/>
    <x:col min="11" max="11" width="9.25" hidden="0" customWidth="1"/>
    <x:col min="12" max="12" width="9.5" hidden="0" customWidth="1"/>
    <x:col min="13" max="13" width="42" hidden="0" customWidth="1"/>
  </x:cols>
  <x:sheetData>
    <x:row r="1">
      <x:c r="A1" s="91" t="str">
        <x:v>2026 Rookie Engine</x:v>
      </x:c>
    </x:row>
    <x:row r="2">
      <x:c r="A2" s="94" t="str">
        <x:v>Rookies: 35% draft capital, 30% rookie ECR, 20% NFL prospect grade, 15% projected 2026 role. This replaces nonexistent NFL history.</x:v>
      </x:c>
    </x:row>
    <x:row r="4">
      <x:c r="A4" s="97" t="str">
        <x:v>Player</x:v>
      </x:c>
      <x:c r="B4" s="97" t="str">
        <x:v>Pos</x:v>
      </x:c>
      <x:c r="C4" s="97" t="str">
        <x:v>Rookie ECR</x:v>
      </x:c>
      <x:c r="D4" s="97" t="str">
        <x:v>NFL Pick</x:v>
      </x:c>
      <x:c r="E4" s="97" t="str">
        <x:v>NFL Grade</x:v>
      </x:c>
      <x:c r="F4" s="97" t="str">
        <x:v>Draft Score</x:v>
      </x:c>
      <x:c r="G4" s="97" t="str">
        <x:v>ECR Score</x:v>
      </x:c>
      <x:c r="H4" s="97" t="str">
        <x:v>Grade Score</x:v>
      </x:c>
      <x:c r="I4" s="97" t="str">
        <x:v>Role Score</x:v>
      </x:c>
      <x:c r="J4" s="97" t="str">
        <x:v>Rookie Score</x:v>
      </x:c>
      <x:c r="K4" s="97" t="str">
        <x:v>V1.3 Rating</x:v>
      </x:c>
      <x:c r="L4" s="97" t="str">
        <x:v>Final Rating</x:v>
      </x:c>
      <x:c r="M4" s="97" t="str">
        <x:v>Source</x:v>
      </x:c>
    </x:row>
    <x:row r="5">
      <x:c r="A5" t="str">
        <x:v>Jeremiyah Love</x:v>
      </x:c>
      <x:c r="B5" t="str">
        <x:v>RB</x:v>
      </x:c>
      <x:c r="C5" t="n">
        <x:v>1</x:v>
      </x:c>
      <x:c r="D5" t="n">
        <x:v>3</x:v>
      </x:c>
      <x:c r="E5" s="48" t="n">
        <x:v>6.73</x:v>
      </x:c>
      <x:c r="F5" s="48" t="n">
        <x:v>99</x:v>
      </x:c>
      <x:c r="G5" s="48" t="n">
        <x:v>100</x:v>
      </x:c>
      <x:c r="H5" s="48" t="n">
        <x:v>91.9</x:v>
      </x:c>
      <x:c r="I5" s="48" t="n">
        <x:v>100</x:v>
      </x:c>
      <x:c r="J5" s="48" t="n">
        <x:v>98.03</x:v>
      </x:c>
      <x:c r="K5" s="48" t="n">
        <x:v>86.47500000000001</x:v>
      </x:c>
      <x:c r="L5" s="48" t="n">
        <x:v>90.86590000000001</x:v>
      </x:c>
      <x:c r="M5" t="str">
        <x:v>https://www.nfl.com/draft/tracker/2026/prospects</x:v>
      </x:c>
    </x:row>
    <x:row r="6">
      <x:c r="A6" t="str">
        <x:v>Carnell Tate</x:v>
      </x:c>
      <x:c r="B6" t="str">
        <x:v>WR</x:v>
      </x:c>
      <x:c r="C6" t="n">
        <x:v>2</x:v>
      </x:c>
      <x:c r="D6" t="n">
        <x:v>4</x:v>
      </x:c>
      <x:c r="E6" s="48" t="n">
        <x:v>6.71</x:v>
      </x:c>
      <x:c r="F6" s="48" t="n">
        <x:v>98.5</x:v>
      </x:c>
      <x:c r="G6" s="48" t="n">
        <x:v>97.2</x:v>
      </x:c>
      <x:c r="H6" s="48" t="n">
        <x:v>91.3</x:v>
      </x:c>
      <x:c r="I6" s="48" t="n">
        <x:v>87.71686036718881</x:v>
      </x:c>
      <x:c r="J6" s="48" t="n">
        <x:v>95.05252905507832</x:v>
      </x:c>
      <x:c r="K6" s="48" t="n">
        <x:v>71.89</x:v>
      </x:c>
      <x:c r="L6" s="48" t="n">
        <x:v>80.69176104092978</x:v>
      </x:c>
      <x:c r="M6" t="str">
        <x:v>https://www.nfl.com/draft/tracker/2026/prospects</x:v>
      </x:c>
    </x:row>
    <x:row r="7">
      <x:c r="A7" t="str">
        <x:v>Jordyn Tyson</x:v>
      </x:c>
      <x:c r="B7" t="str">
        <x:v>WR</x:v>
      </x:c>
      <x:c r="C7" t="n">
        <x:v>3</x:v>
      </x:c>
      <x:c r="D7" t="n">
        <x:v>8</x:v>
      </x:c>
      <x:c r="E7" s="48" t="n">
        <x:v>6.43</x:v>
      </x:c>
      <x:c r="F7" s="48" t="n">
        <x:v>96.5</x:v>
      </x:c>
      <x:c r="G7" s="48" t="n">
        <x:v>94.4</x:v>
      </x:c>
      <x:c r="H7" s="48" t="n">
        <x:v>82.89999999999999</x:v>
      </x:c>
      <x:c r="I7" s="48" t="n">
        <x:v>91.36348324069395</x:v>
      </x:c>
      <x:c r="J7" s="48" t="n">
        <x:v>92.3795224861041</x:v>
      </x:c>
      <x:c r="K7" s="48" t="n">
        <x:v>76.22</x:v>
      </x:c>
      <x:c r="L7" s="48" t="n">
        <x:v>82.36061854471956</x:v>
      </x:c>
      <x:c r="M7" t="str">
        <x:v>https://www.nfl.com/draft/tracker/2026/prospects</x:v>
      </x:c>
    </x:row>
    <x:row r="8">
      <x:c r="A8" t="str">
        <x:v>Makai Lemon</x:v>
      </x:c>
      <x:c r="B8" t="str">
        <x:v>WR</x:v>
      </x:c>
      <x:c r="C8" t="n">
        <x:v>4</x:v>
      </x:c>
      <x:c r="D8" t="n">
        <x:v>20</x:v>
      </x:c>
      <x:c r="E8" s="48" t="n">
        <x:v>6.47</x:v>
      </x:c>
      <x:c r="F8" s="48" t="n">
        <x:v>90.5</x:v>
      </x:c>
      <x:c r="G8" s="48" t="n">
        <x:v>91.6</x:v>
      </x:c>
      <x:c r="H8" s="48" t="n">
        <x:v>84.1</x:v>
      </x:c>
      <x:c r="I8" s="48" t="n">
        <x:v>87.97793498399865</x:v>
      </x:c>
      <x:c r="J8" s="48" t="n">
        <x:v>89.1716902475998</x:v>
      </x:c>
      <x:c r="K8" s="48" t="n">
        <x:v>72.2</x:v>
      </x:c>
      <x:c r="L8" s="48" t="n">
        <x:v>78.64924229408793</x:v>
      </x:c>
      <x:c r="M8" t="str">
        <x:v>https://www.nfl.com/draft/tracker/2026/prospects</x:v>
      </x:c>
    </x:row>
    <x:row r="9">
      <x:c r="A9" t="str">
        <x:v>Jadarian Price</x:v>
      </x:c>
      <x:c r="B9" t="str">
        <x:v>RB</x:v>
      </x:c>
      <x:c r="C9" t="n">
        <x:v>5</x:v>
      </x:c>
      <x:c r="D9" t="n">
        <x:v>32</x:v>
      </x:c>
      <x:c r="E9" s="48" t="n">
        <x:v>6.38</x:v>
      </x:c>
      <x:c r="F9" s="48" t="n">
        <x:v>84.5</x:v>
      </x:c>
      <x:c r="G9" s="48" t="n">
        <x:v>88.8</x:v>
      </x:c>
      <x:c r="H9" s="48" t="n">
        <x:v>81.39999999999999</x:v>
      </x:c>
      <x:c r="I9" s="48" t="n">
        <x:v>87.13996968165739</x:v>
      </x:c>
      <x:c r="J9" s="48" t="n">
        <x:v>85.5659954522486</x:v>
      </x:c>
      <x:c r="K9" s="48" t="n">
        <x:v>71.205</x:v>
      </x:c>
      <x:c r="L9" s="48" t="n">
        <x:v>76.66217827185447</x:v>
      </x:c>
      <x:c r="M9" t="str">
        <x:v>https://www.nfl.com/draft/tracker/2026/prospects</x:v>
      </x:c>
    </x:row>
    <x:row r="10">
      <x:c r="A10" t="str">
        <x:v>KC Concepcion</x:v>
      </x:c>
      <x:c r="B10" t="str">
        <x:v>WR</x:v>
      </x:c>
      <x:c r="C10" t="n">
        <x:v>6</x:v>
      </x:c>
      <x:c r="D10" t="n">
        <x:v>24</x:v>
      </x:c>
      <x:c r="E10" s="48" t="n">
        <x:v>6.42</x:v>
      </x:c>
      <x:c r="F10" s="48" t="n">
        <x:v>88.5</x:v>
      </x:c>
      <x:c r="G10" s="48" t="n">
        <x:v>86</x:v>
      </x:c>
      <x:c r="H10" s="48" t="n">
        <x:v>82.6</x:v>
      </x:c>
      <x:c r="I10" s="48" t="n">
        <x:v>80.07832238504295</x:v>
      </x:c>
      <x:c r="J10" s="48" t="n">
        <x:v>85.30674835775645</x:v>
      </x:c>
      <x:c r="K10" s="48" t="n">
        <x:v>62.82</x:v>
      </x:c>
      <x:c r="L10" s="48" t="n">
        <x:v>71.36496437594745</x:v>
      </x:c>
      <x:c r="M10" t="str">
        <x:v>https://www.nfl.com/draft/tracker/2026/prospects</x:v>
      </x:c>
    </x:row>
    <x:row r="11">
      <x:c r="A11" t="str">
        <x:v>Kenyon Sadiq</x:v>
      </x:c>
      <x:c r="B11" t="str">
        <x:v>TE</x:v>
      </x:c>
      <x:c r="C11" t="n">
        <x:v>7</x:v>
      </x:c>
      <x:c r="D11" t="n">
        <x:v>16</x:v>
      </x:c>
      <x:c r="E11" s="48" t="n">
        <x:v>6.46</x:v>
      </x:c>
      <x:c r="F11" s="48" t="n">
        <x:v>92.5</x:v>
      </x:c>
      <x:c r="G11" s="48" t="n">
        <x:v>83.2</x:v>
      </x:c>
      <x:c r="H11" s="48" t="n">
        <x:v>83.8</x:v>
      </x:c>
      <x:c r="I11" s="48" t="n">
        <x:v>83.1354219302678</x:v>
      </x:c>
      <x:c r="J11" s="48" t="n">
        <x:v>86.56531328954017</x:v>
      </x:c>
      <x:c r="K11" s="48" t="n">
        <x:v>66.44999999999999</x:v>
      </x:c>
      <x:c r="L11" s="48" t="n">
        <x:v>74.09381905002525</x:v>
      </x:c>
      <x:c r="M11" t="str">
        <x:v>https://www.nfl.com/draft/tracker/2026/prospects</x:v>
      </x:c>
    </x:row>
    <x:row r="12">
      <x:c r="A12" t="str">
        <x:v>Omar Cooper Jr.</x:v>
      </x:c>
      <x:c r="B12" t="str">
        <x:v>WR</x:v>
      </x:c>
      <x:c r="C12" t="n">
        <x:v>8</x:v>
      </x:c>
      <x:c r="D12" t="n">
        <x:v>30</x:v>
      </x:c>
      <x:c r="E12" s="48" t="n">
        <x:v>6.39</x:v>
      </x:c>
      <x:c r="F12" s="48" t="n">
        <x:v>85.5</x:v>
      </x:c>
      <x:c r="G12" s="48" t="n">
        <x:v>80.4</x:v>
      </x:c>
      <x:c r="H12" s="48" t="n">
        <x:v>81.69999999999999</x:v>
      </x:c>
      <x:c r="I12" s="48" t="n">
        <x:v>78.3855482566953</x:v>
      </x:c>
      <x:c r="J12" s="48" t="n">
        <x:v>82.1428322385043</x:v>
      </x:c>
      <x:c r="K12" s="48" t="n">
        <x:v>60.809999999999995</x:v>
      </x:c>
      <x:c r="L12" s="48" t="n">
        <x:v>68.91647625063163</x:v>
      </x:c>
      <x:c r="M12" t="str">
        <x:v>https://www.nfl.com/draft/tracker/2026/prospects</x:v>
      </x:c>
    </x:row>
    <x:row r="13">
      <x:c r="A13" t="str">
        <x:v>Denzel Boston</x:v>
      </x:c>
      <x:c r="B13" t="str">
        <x:v>WR</x:v>
      </x:c>
      <x:c r="C13" t="n">
        <x:v>9</x:v>
      </x:c>
      <x:c r="D13" t="n">
        <x:v>39</x:v>
      </x:c>
      <x:c r="E13" s="48" t="n">
        <x:v>6.4</x:v>
      </x:c>
      <x:c r="F13" s="48" t="n">
        <x:v>81</x:v>
      </x:c>
      <x:c r="G13" s="48" t="n">
        <x:v>77.6</x:v>
      </x:c>
      <x:c r="H13" s="48" t="n">
        <x:v>82.00000000000001</x:v>
      </x:c>
      <x:c r="I13" s="48" t="n">
        <x:v>75</x:v>
      </x:c>
      <x:c r="J13" s="48" t="n">
        <x:v>79.28</x:v>
      </x:c>
      <x:c r="K13" s="48" t="n">
        <x:v>56.79</x:v>
      </x:c>
      <x:c r="L13" s="48" t="n">
        <x:v>65.3362</x:v>
      </x:c>
      <x:c r="M13" t="str">
        <x:v>https://www.nfl.com/draft/tracker/2026/prospects</x:v>
      </x:c>
    </x:row>
  </x:sheetData>
  <x:mergeCells>
    <x:mergeCell ref="A1:M1"/>
    <x:mergeCell ref="A2:M2"/>
  </x:mergeCells>
  <x:conditionalFormatting sqref="J5:J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0.87999725341797" hidden="0" customWidth="1"/>
    <x:col min="2" max="2" width="3.380000114440918" hidden="0" customWidth="1"/>
    <x:col min="3" max="3" width="7.380000114440918" hidden="0" customWidth="1"/>
    <x:col min="4" max="4" width="26" hidden="0" customWidth="1"/>
    <x:col min="5" max="5" width="5.380000114440918" hidden="0" customWidth="1"/>
    <x:col min="6" max="6" width="5.130000114440918" hidden="0" customWidth="1"/>
    <x:col min="7" max="7" width="9.75" hidden="0" customWidth="1"/>
    <x:col min="8" max="8" width="8.380000114440918" hidden="0" customWidth="1"/>
    <x:col min="9" max="9" width="40" hidden="0" customWidth="1"/>
    <x:col min="10" max="10" width="48" hidden="0" customWidth="1"/>
    <x:col min="11" max="11" width="44" hidden="0" customWidth="1"/>
    <x:col min="12" max="12" width="9.130000114440918" hidden="0" customWidth="1"/>
    <x:col min="13" max="13" width="19.8799991607666" hidden="0" customWidth="1"/>
    <x:col min="14" max="14" width="9.130000114440918" hidden="0" customWidth="1"/>
    <x:col min="15" max="15" width="22" hidden="0" customWidth="1"/>
    <x:col min="16" max="16" width="28" hidden="0" customWidth="1"/>
    <x:col min="17" max="17" width="48" hidden="0" customWidth="1"/>
  </x:cols>
  <x:sheetData>
    <x:row r="1">
      <x:c r="A1" s="111" t="str">
        <x:v>2026 Fantasy Football — Final Overall Board</x:v>
      </x:c>
    </x:row>
    <x:row r="2">
      <x:c r="A2" s="112" t="str">
        <x:v>All final positions in one place, sorted by model overall rank for the default 10-team PPR lineup.</x:v>
      </x:c>
    </x:row>
    <x:row r="4">
      <x:c r="A4" s="115" t="str">
        <x:v>Overall</x:v>
      </x:c>
      <x:c r="B4" s="115" t="str">
        <x:v>Pos</x:v>
      </x:c>
      <x:c r="C4" s="115" t="str">
        <x:v>Pos Rank</x:v>
      </x:c>
      <x:c r="D4" s="115" t="str">
        <x:v>Player / Defense</x:v>
      </x:c>
      <x:c r="E4" s="115" t="str">
        <x:v>Rating</x:v>
      </x:c>
      <x:c r="F4" s="115" t="str">
        <x:v>Tier</x:v>
      </x:c>
      <x:c r="G4" s="115" t="str">
        <x:v>Market ADP</x:v>
      </x:c>
      <x:c r="H4" s="115" t="str">
        <x:v>Draft Edge</x:v>
      </x:c>
      <x:c r="I4" s="115" t="str">
        <x:v>2026 Expectation</x:v>
      </x:c>
      <x:c r="J4" s="115" t="str">
        <x:v>Why the Model Ranks It Here</x:v>
      </x:c>
      <x:c r="K4" s="115" t="str">
        <x:v>Main Risk</x:v>
      </x:c>
      <x:c r="L4" s="115" t="str">
        <x:v>Confidence</x:v>
      </x:c>
      <x:c r="M4" s="115" t="str">
        <x:v>Model Path</x:v>
      </x:c>
      <x:c r="N4" s="97"/>
      <x:c r="O4" s="97"/>
      <x:c r="P4" s="97"/>
      <x:c r="Q4" s="97"/>
    </x:row>
    <x:row r="5">
      <x:c r="A5" t="n">
        <x:v>1</x:v>
      </x:c>
      <x:c r="B5" t="str">
        <x:v>WR</x:v>
      </x:c>
      <x:c r="C5" t="n">
        <x:v>1</x:v>
      </x:c>
      <x:c r="D5" s="48" t="str">
        <x:v>Puka Nacua</x:v>
      </x:c>
      <x:c r="E5" s="48" t="n">
        <x:v>98.48591</x:v>
      </x:c>
      <x:c r="F5" s="48" t="str">
        <x:v>ELITE</x:v>
      </x:c>
      <x:c r="G5" s="48" t="n">
        <x:v>3.8</x:v>
      </x:c>
      <x:c r="H5" s="48" t="n">
        <x:v>2.8</x:v>
      </x:c>
      <x:c r="I5" s="116" t="str">
        <x:v>Elite WR1 and first-round caliber target with overall WR1 upside.</x:v>
      </x:c>
      <x:c r="J5" s="116" t="str">
        <x:v>He produced 23.5 PPR/FP points per game across 16 games. The workload/efficiency profile gives the model a rate-based reason to keep him here.</x:v>
      </x:c>
      <x:c r="K5" s="116" t="str">
        <x:v>Target competition, quarterback efficiency and touchdown regression are the main downside paths.</x:v>
      </x:c>
      <x:c r="L5" s="48" t="str">
        <x:v>A</x:v>
      </x:c>
      <x:c r="M5" s="48" t="str">
        <x:v>RATE-ADJUSTED VETERAN</x:v>
      </x:c>
      <x:c r="N5"/>
      <x:c r="O5"/>
      <x:c r="P5"/>
      <x:c r="Q5" s="98"/>
    </x:row>
    <x:row r="6">
      <x:c r="A6" t="n">
        <x:v>2</x:v>
      </x:c>
      <x:c r="B6" t="str">
        <x:v>RB</x:v>
      </x:c>
      <x:c r="C6" t="n">
        <x:v>1</x:v>
      </x:c>
      <x:c r="D6" s="48" t="str">
        <x:v>Bijan Robinson</x:v>
      </x:c>
      <x:c r="E6" s="48" t="n">
        <x:v>97.36734220227106</x:v>
      </x:c>
      <x:c r="F6" s="48" t="str">
        <x:v>ELITE</x:v>
      </x:c>
      <x:c r="G6" s="48" t="n">
        <x:v>1.8</x:v>
      </x:c>
      <x:c r="H6" s="48" t="n">
        <x:v>-0.19999999999999996</x:v>
      </x:c>
      <x:c r="I6" s="116" t="str">
        <x:v>Elite RB1 and first-round roster anchor with league-winning ceiling.</x:v>
      </x:c>
      <x:c r="J6" s="116" t="str">
        <x:v>He produced 21.8 PPR/FP points per game across 17 games. The workload/efficiency profile gives the model a rate-based reason to keep him here.</x:v>
      </x:c>
      <x:c r="K6" s="116" t="str">
        <x:v>Touchdown variance, receiving-role changes and backfield competition are the main downside paths.</x:v>
      </x:c>
      <x:c r="L6" s="48" t="str">
        <x:v>A</x:v>
      </x:c>
      <x:c r="M6" s="48" t="str">
        <x:v>RATE-ADJUSTED VETERAN</x:v>
      </x:c>
      <x:c r="N6"/>
      <x:c r="O6"/>
      <x:c r="P6"/>
      <x:c r="Q6" s="98"/>
    </x:row>
    <x:row r="7">
      <x:c r="A7" t="n">
        <x:v>3</x:v>
      </x:c>
      <x:c r="B7" t="str">
        <x:v>WR</x:v>
      </x:c>
      <x:c r="C7" t="n">
        <x:v>2</x:v>
      </x:c>
      <x:c r="D7" s="48" t="str">
        <x:v>Ja'Marr Chase</x:v>
      </x:c>
      <x:c r="E7" s="48" t="n">
        <x:v>96.73226249999999</x:v>
      </x:c>
      <x:c r="F7" s="48" t="str">
        <x:v>ELITE</x:v>
      </x:c>
      <x:c r="G7" s="48" t="n">
        <x:v>3.2</x:v>
      </x:c>
      <x:c r="H7" s="48" t="n">
        <x:v>0.20000000000000018</x:v>
      </x:c>
      <x:c r="I7" s="116" t="str">
        <x:v>Elite WR1 and first-round caliber target with overall WR1 upside.</x:v>
      </x:c>
      <x:c r="J7" s="116" t="str">
        <x:v>He produced 19.6 PPR/FP points per game across 16 games. The workload/efficiency profile gives the model a rate-based reason to keep him here.</x:v>
      </x:c>
      <x:c r="K7" s="116" t="str">
        <x:v>Target competition, quarterback efficiency and touchdown regression are the main downside paths.</x:v>
      </x:c>
      <x:c r="L7" s="48" t="str">
        <x:v>A</x:v>
      </x:c>
      <x:c r="M7" s="48" t="str">
        <x:v>RATE-ADJUSTED VETERAN</x:v>
      </x:c>
      <x:c r="N7"/>
      <x:c r="O7"/>
      <x:c r="P7"/>
      <x:c r="Q7" s="98"/>
    </x:row>
    <x:row r="8">
      <x:c r="A8" t="n">
        <x:v>4</x:v>
      </x:c>
      <x:c r="B8" t="str">
        <x:v>RB</x:v>
      </x:c>
      <x:c r="C8" t="n">
        <x:v>2</x:v>
      </x:c>
      <x:c r="D8" s="48" t="str">
        <x:v>Jahmyr Gibbs</x:v>
      </x:c>
      <x:c r="E8" s="48" t="n">
        <x:v>96.33225593201456</x:v>
      </x:c>
      <x:c r="F8" s="48" t="str">
        <x:v>ELITE</x:v>
      </x:c>
      <x:c r="G8" s="48" t="n">
        <x:v>1.2</x:v>
      </x:c>
      <x:c r="H8" s="48" t="n">
        <x:v>-2.8</x:v>
      </x:c>
      <x:c r="I8" s="116" t="str">
        <x:v>Elite RB1 and first-round roster anchor with league-winning ceiling.</x:v>
      </x:c>
      <x:c r="J8" s="116" t="str">
        <x:v>He produced 21.6 PPR/FP points per game across 17 games. The workload/efficiency profile gives the model a rate-based reason to keep him here.</x:v>
      </x:c>
      <x:c r="K8" s="116" t="str">
        <x:v>Touchdown variance, receiving-role changes and backfield competition are the main downside paths.</x:v>
      </x:c>
      <x:c r="L8" s="48" t="str">
        <x:v>A</x:v>
      </x:c>
      <x:c r="M8" s="48" t="str">
        <x:v>RATE-ADJUSTED VETERAN</x:v>
      </x:c>
      <x:c r="N8"/>
      <x:c r="O8"/>
      <x:c r="P8"/>
      <x:c r="Q8" s="98"/>
    </x:row>
    <x:row r="9">
      <x:c r="A9" t="n">
        <x:v>5</x:v>
      </x:c>
      <x:c r="B9" t="str">
        <x:v>TE</x:v>
      </x:c>
      <x:c r="C9" t="n">
        <x:v>1</x:v>
      </x:c>
      <x:c r="D9" s="48" t="str">
        <x:v>Trey McBride</x:v>
      </x:c>
      <x:c r="E9" s="48" t="n">
        <x:v>97.73707606111353</x:v>
      </x:c>
      <x:c r="F9" s="48" t="str">
        <x:v>ELITE</x:v>
      </x:c>
      <x:c r="G9" s="48" t="n">
        <x:v>17</x:v>
      </x:c>
      <x:c r="H9" s="48" t="n">
        <x:v>12</x:v>
      </x:c>
      <x:c r="I9" s="116" t="str">
        <x:v>Elite difference-making TE; positional advantage is the expectation.</x:v>
      </x:c>
      <x:c r="J9" s="116" t="str">
        <x:v>He produced 18.6 PPR/FP points per game across 17 games. The workload/efficiency profile gives the model a rate-based reason to keep him here. Market price is favorable around ADP 17 versus model overall rank 5.</x:v>
      </x:c>
      <x:c r="K9" s="116" t="str">
        <x:v>Route share, target volume and touchdown volatility are the main swing factors.</x:v>
      </x:c>
      <x:c r="L9" s="48" t="str">
        <x:v>A</x:v>
      </x:c>
      <x:c r="M9" s="48" t="str">
        <x:v>RATE-ADJUSTED VETERAN</x:v>
      </x:c>
      <x:c r="N9"/>
      <x:c r="O9"/>
      <x:c r="P9"/>
      <x:c r="Q9" s="98"/>
    </x:row>
    <x:row r="10">
      <x:c r="A10" t="n">
        <x:v>6</x:v>
      </x:c>
      <x:c r="B10" t="str">
        <x:v>RB</x:v>
      </x:c>
      <x:c r="C10" t="n">
        <x:v>3</x:v>
      </x:c>
      <x:c r="D10" s="48" t="str">
        <x:v>Christian McCaffrey</x:v>
      </x:c>
      <x:c r="E10" s="48" t="n">
        <x:v>94.24472639320388</x:v>
      </x:c>
      <x:c r="F10" s="48" t="str">
        <x:v>TIER 1</x:v>
      </x:c>
      <x:c r="G10" s="48" t="n">
        <x:v>7</x:v>
      </x:c>
      <x:c r="H10" s="48" t="n">
        <x:v>1</x:v>
      </x:c>
      <x:c r="I10" s="116" t="str">
        <x:v>Elite RB1 and first-round roster anchor with league-winning ceiling.</x:v>
      </x:c>
      <x:c r="J10" s="116" t="str">
        <x:v>He produced 24.5 PPR/FP points per game across 17 games. The workload/efficiency profile gives the model a rate-based reason to keep him here.</x:v>
      </x:c>
      <x:c r="K10" s="116" t="str">
        <x:v>Touchdown variance, receiving-role changes and backfield competition are the main downside paths.</x:v>
      </x:c>
      <x:c r="L10" s="48" t="str">
        <x:v>A</x:v>
      </x:c>
      <x:c r="M10" s="48" t="str">
        <x:v>RATE-ADJUSTED VETERAN</x:v>
      </x:c>
      <x:c r="N10"/>
      <x:c r="O10"/>
      <x:c r="P10"/>
      <x:c r="Q10" s="98"/>
    </x:row>
    <x:row r="11">
      <x:c r="A11" t="n">
        <x:v>7</x:v>
      </x:c>
      <x:c r="B11" t="str">
        <x:v>WR</x:v>
      </x:c>
      <x:c r="C11" t="n">
        <x:v>3</x:v>
      </x:c>
      <x:c r="D11" s="48" t="str">
        <x:v>Jaxon Smith-Njigba</x:v>
      </x:c>
      <x:c r="E11" s="48" t="n">
        <x:v>94.07988999999998</x:v>
      </x:c>
      <x:c r="F11" s="48" t="str">
        <x:v>TIER 1</x:v>
      </x:c>
      <x:c r="G11" s="48" t="n">
        <x:v>5.4</x:v>
      </x:c>
      <x:c r="H11" s="48" t="n">
        <x:v>-1.5999999999999996</x:v>
      </x:c>
      <x:c r="I11" s="116" t="str">
        <x:v>Elite WR1 and first-round caliber target with overall WR1 upside.</x:v>
      </x:c>
      <x:c r="J11" s="116" t="str">
        <x:v>He produced 21.2 PPR/FP points per game across 17 games. The workload/efficiency profile gives the model a rate-based reason to keep him here.</x:v>
      </x:c>
      <x:c r="K11" s="116" t="str">
        <x:v>Target competition, quarterback efficiency and touchdown regression are the main downside paths.</x:v>
      </x:c>
      <x:c r="L11" s="48" t="str">
        <x:v>A</x:v>
      </x:c>
      <x:c r="M11" s="48" t="str">
        <x:v>RATE-ADJUSTED VETERAN</x:v>
      </x:c>
      <x:c r="N11"/>
      <x:c r="O11"/>
      <x:c r="P11"/>
      <x:c r="Q11" s="98"/>
    </x:row>
    <x:row r="12">
      <x:c r="A12" t="n">
        <x:v>8</x:v>
      </x:c>
      <x:c r="B12" t="str">
        <x:v>WR</x:v>
      </x:c>
      <x:c r="C12" t="n">
        <x:v>4</x:v>
      </x:c>
      <x:c r="D12" s="48" t="str">
        <x:v>Amon-Ra St. Brown</x:v>
      </x:c>
      <x:c r="E12" s="48" t="n">
        <x:v>93.26387249999999</x:v>
      </x:c>
      <x:c r="F12" s="48" t="str">
        <x:v>TIER 1</x:v>
      </x:c>
      <x:c r="G12" s="48" t="n">
        <x:v>6</x:v>
      </x:c>
      <x:c r="H12" s="48" t="n">
        <x:v>-2</x:v>
      </x:c>
      <x:c r="I12" s="116" t="str">
        <x:v>Elite WR1 and first-round caliber target with overall WR1 upside.</x:v>
      </x:c>
      <x:c r="J12" s="116" t="str">
        <x:v>He produced 19.1 PPR/FP points per game across 17 games. The workload/efficiency profile gives the model a rate-based reason to keep him here.</x:v>
      </x:c>
      <x:c r="K12" s="116" t="str">
        <x:v>Target competition, quarterback efficiency and touchdown regression are the main downside paths.</x:v>
      </x:c>
      <x:c r="L12" s="48" t="str">
        <x:v>A</x:v>
      </x:c>
      <x:c r="M12" s="48" t="str">
        <x:v>RATE-ADJUSTED VETERAN</x:v>
      </x:c>
      <x:c r="N12"/>
      <x:c r="O12"/>
      <x:c r="P12"/>
      <x:c r="Q12" s="98"/>
    </x:row>
    <x:row r="13">
      <x:c r="A13" t="n">
        <x:v>9</x:v>
      </x:c>
      <x:c r="B13" t="str">
        <x:v>RB</x:v>
      </x:c>
      <x:c r="C13" t="n">
        <x:v>4</x:v>
      </x:c>
      <x:c r="D13" s="48" t="str">
        <x:v>Jonathan Taylor</x:v>
      </x:c>
      <x:c r="E13" s="48" t="n">
        <x:v>92.14700218120157</x:v>
      </x:c>
      <x:c r="F13" s="48" t="str">
        <x:v>TIER 1</x:v>
      </x:c>
      <x:c r="G13" s="48" t="n">
        <x:v>11</x:v>
      </x:c>
      <x:c r="H13" s="48" t="n">
        <x:v>2</x:v>
      </x:c>
      <x:c r="I13" s="116" t="str">
        <x:v>Elite RB1 and first-round roster anchor with league-winning ceiling.</x:v>
      </x:c>
      <x:c r="J13" s="116" t="str">
        <x:v>He produced 21.3 PPR/FP points per game across 17 games. The workload/efficiency profile gives the model a rate-based reason to keep him here.</x:v>
      </x:c>
      <x:c r="K13" s="116" t="str">
        <x:v>Touchdown variance, receiving-role changes and backfield competition are the main downside paths.</x:v>
      </x:c>
      <x:c r="L13" s="48" t="str">
        <x:v>A</x:v>
      </x:c>
      <x:c r="M13" s="48" t="str">
        <x:v>RATE-ADJUSTED VETERAN</x:v>
      </x:c>
      <x:c r="N13"/>
      <x:c r="O13"/>
      <x:c r="P13"/>
      <x:c r="Q13" s="98"/>
    </x:row>
    <x:row r="14">
      <x:c r="A14" t="n">
        <x:v>10</x:v>
      </x:c>
      <x:c r="B14" t="str">
        <x:v>QB</x:v>
      </x:c>
      <x:c r="C14" t="n">
        <x:v>1</x:v>
      </x:c>
      <x:c r="D14" s="48" t="str">
        <x:v>Josh Allen</x:v>
      </x:c>
      <x:c r="E14" s="48" t="n">
        <x:v>97.30987910633218</x:v>
      </x:c>
      <x:c r="F14" s="48" t="str">
        <x:v>ELITE</x:v>
      </x:c>
      <x:c r="G14" s="48" t="n">
        <x:v>23</x:v>
      </x:c>
      <x:c r="H14" s="48" t="n">
        <x:v>13</x:v>
      </x:c>
      <x:c r="I14" s="116" t="str">
        <x:v>Elite QB1; weekly top-5 expectation with overall QB1 upside.</x:v>
      </x:c>
      <x:c r="J14" s="116" t="str">
        <x:v>He produced 22.0 PPR/FP points per game across 17 games. The workload/efficiency profile gives the model a rate-based reason to keep him here. Market price is favorable around ADP 23 versus model overall rank 10.</x:v>
      </x:c>
      <x:c r="K14" s="116" t="str">
        <x:v>Passing-TD efficiency, rushing volume and supporting-cast health are the main swing factors.</x:v>
      </x:c>
      <x:c r="L14" s="48" t="str">
        <x:v>A</x:v>
      </x:c>
      <x:c r="M14" s="48" t="str">
        <x:v>RATE-ADJUSTED VETERAN</x:v>
      </x:c>
      <x:c r="N14"/>
      <x:c r="O14"/>
      <x:c r="P14"/>
      <x:c r="Q14" s="98"/>
    </x:row>
    <x:row r="15">
      <x:c r="A15" t="n">
        <x:v>11</x:v>
      </x:c>
      <x:c r="B15" t="str">
        <x:v>TE</x:v>
      </x:c>
      <x:c r="C15" t="n">
        <x:v>2</x:v>
      </x:c>
      <x:c r="D15" s="48" t="str">
        <x:v>Brock Bowers</x:v>
      </x:c>
      <x:c r="E15" s="48" t="n">
        <x:v>94.88455995514477</x:v>
      </x:c>
      <x:c r="F15" s="48" t="str">
        <x:v>TIER 1</x:v>
      </x:c>
      <x:c r="G15" s="48" t="n">
        <x:v>20</x:v>
      </x:c>
      <x:c r="H15" s="48" t="n">
        <x:v>9</x:v>
      </x:c>
      <x:c r="I15" s="116" t="str">
        <x:v>Elite difference-making TE; positional advantage is the expectation.</x:v>
      </x:c>
      <x:c r="J15" s="116" t="str">
        <x:v>He produced 14.7 PPR/FP points per game across 12 games. The workload/efficiency profile gives the model a rate-based reason to keep him here.</x:v>
      </x:c>
      <x:c r="K15" s="116" t="str">
        <x:v>Route share, target volume and touchdown volatility are the main swing factors.</x:v>
      </x:c>
      <x:c r="L15" s="48" t="str">
        <x:v>A</x:v>
      </x:c>
      <x:c r="M15" s="48" t="str">
        <x:v>RATE-ADJUSTED VETERAN</x:v>
      </x:c>
      <x:c r="N15"/>
      <x:c r="O15"/>
      <x:c r="P15"/>
      <x:c r="Q15" s="98"/>
    </x:row>
    <x:row r="16">
      <x:c r="A16" t="n">
        <x:v>12</x:v>
      </x:c>
      <x:c r="B16" t="str">
        <x:v>RB</x:v>
      </x:c>
      <x:c r="C16" t="n">
        <x:v>5</x:v>
      </x:c>
      <x:c r="D16" s="48" t="str">
        <x:v>Jeremiyah Love</x:v>
      </x:c>
      <x:c r="E16" s="48" t="n">
        <x:v>90.86590000000001</x:v>
      </x:c>
      <x:c r="F16" s="48" t="str">
        <x:v>TIER 1</x:v>
      </x:c>
      <x:c r="G16" s="48" t="n">
        <x:v>18.8</x:v>
      </x:c>
      <x:c r="H16" s="48" t="n">
        <x:v>6.800000000000001</x:v>
      </x:c>
      <x:c r="I16" s="116" t="str">
        <x:v>Elite RB1 and first-round roster anchor with league-winning ceiling.</x:v>
      </x:c>
      <x:c r="J16" s="116" t="str">
        <x:v>Rookie score 98.0, backed by No. 3 draft capital and a 6.73 NFL prospect grade. The 2026 role projection is strong enough to replace missing NFL history.</x:v>
      </x:c>
      <x:c r="K16" s="116" t="str">
        <x:v>NFL translation and exact weekly role are the main variables; preseason first-team usage can move this rating quickly.</x:v>
      </x:c>
      <x:c r="L16" s="48" t="str">
        <x:v>B</x:v>
      </x:c>
      <x:c r="M16" s="48" t="str">
        <x:v>ROOKIE ENGINE</x:v>
      </x:c>
      <x:c r="N16"/>
      <x:c r="O16"/>
      <x:c r="P16"/>
      <x:c r="Q16" s="98"/>
    </x:row>
    <x:row r="17">
      <x:c r="A17" t="n">
        <x:v>13</x:v>
      </x:c>
      <x:c r="B17" t="str">
        <x:v>WR</x:v>
      </x:c>
      <x:c r="C17" t="n">
        <x:v>5</x:v>
      </x:c>
      <x:c r="D17" s="48" t="str">
        <x:v>Nico Collins</x:v>
      </x:c>
      <x:c r="E17" s="48" t="n">
        <x:v>91.4925</x:v>
      </x:c>
      <x:c r="F17" s="48" t="str">
        <x:v>TIER 1</x:v>
      </x:c>
      <x:c r="G17" s="48" t="n">
        <x:v>12</x:v>
      </x:c>
      <x:c r="H17" s="48" t="n">
        <x:v>-1</x:v>
      </x:c>
      <x:c r="I17" s="116" t="str">
        <x:v>Elite WR1 and first-round caliber target with overall WR1 upside.</x:v>
      </x:c>
      <x:c r="J17" s="116" t="str">
        <x:v>He produced 15.0 PPR/FP points per game across 15 games. The workload/efficiency profile gives the model a rate-based reason to keep him here.</x:v>
      </x:c>
      <x:c r="K17" s="116" t="str">
        <x:v>Target competition, quarterback efficiency and touchdown regression are the main downside paths.</x:v>
      </x:c>
      <x:c r="L17" s="48" t="str">
        <x:v>A</x:v>
      </x:c>
      <x:c r="M17" s="48" t="str">
        <x:v>RATE-ADJUSTED VETERAN</x:v>
      </x:c>
      <x:c r="N17"/>
      <x:c r="O17"/>
      <x:c r="P17"/>
      <x:c r="Q17" s="98"/>
    </x:row>
    <x:row r="18">
      <x:c r="A18" t="n">
        <x:v>14</x:v>
      </x:c>
      <x:c r="B18" t="str">
        <x:v>RB</x:v>
      </x:c>
      <x:c r="C18" t="n">
        <x:v>6</x:v>
      </x:c>
      <x:c r="D18" s="48" t="str">
        <x:v>Omarion Hampton</x:v>
      </x:c>
      <x:c r="E18" s="48" t="n">
        <x:v>88.64207068235326</x:v>
      </x:c>
      <x:c r="F18" s="48" t="str">
        <x:v>TIER 2</x:v>
      </x:c>
      <x:c r="G18" s="48" t="n">
        <x:v>23</x:v>
      </x:c>
      <x:c r="H18" s="48" t="n">
        <x:v>9</x:v>
      </x:c>
      <x:c r="I18" s="116" t="str">
        <x:v>Strong RB1; weekly top-12 expectation with multi-touchdown ceiling.</x:v>
      </x:c>
      <x:c r="J18" s="116" t="str">
        <x:v>He produced 15.1 PPR/FP points per game across 9 games. The workload/efficiency profile gives the model a rate-based reason to keep him here.</x:v>
      </x:c>
      <x:c r="K18" s="116" t="str">
        <x:v>Availability/sample risk is elevated after only 9 games; talent is not being punished as heavily as durability.</x:v>
      </x:c>
      <x:c r="L18" s="48" t="str">
        <x:v>B</x:v>
      </x:c>
      <x:c r="M18" s="48" t="str">
        <x:v>RATE-ADJUSTED VETERAN</x:v>
      </x:c>
      <x:c r="N18"/>
      <x:c r="O18"/>
      <x:c r="P18"/>
      <x:c r="Q18" s="98"/>
    </x:row>
    <x:row r="19">
      <x:c r="A19" t="n">
        <x:v>15</x:v>
      </x:c>
      <x:c r="B19" t="str">
        <x:v>RB</x:v>
      </x:c>
      <x:c r="C19" t="n">
        <x:v>7</x:v>
      </x:c>
      <x:c r="D19" s="48" t="str">
        <x:v>De'Von Achane</x:v>
      </x:c>
      <x:c r="E19" s="48" t="n">
        <x:v>87.94401204138569</x:v>
      </x:c>
      <x:c r="F19" s="48" t="str">
        <x:v>TIER 2</x:v>
      </x:c>
      <x:c r="G19" s="48" t="n">
        <x:v>18</x:v>
      </x:c>
      <x:c r="H19" s="48" t="n">
        <x:v>3</x:v>
      </x:c>
      <x:c r="I19" s="116" t="str">
        <x:v>Strong RB1; weekly top-12 expectation with multi-touchdown ceiling.</x:v>
      </x:c>
      <x:c r="J19" s="116" t="str">
        <x:v>He produced 20.2 PPR/FP points per game across 16 games. The workload/efficiency profile gives the model a rate-based reason to keep him here.</x:v>
      </x:c>
      <x:c r="K19" s="116" t="str">
        <x:v>Touchdown variance, receiving-role changes and backfield competition are the main downside paths.</x:v>
      </x:c>
      <x:c r="L19" s="48" t="str">
        <x:v>A</x:v>
      </x:c>
      <x:c r="M19" s="48" t="str">
        <x:v>RATE-ADJUSTED VETERAN</x:v>
      </x:c>
      <x:c r="N19"/>
      <x:c r="O19"/>
      <x:c r="P19"/>
      <x:c r="Q19" s="98"/>
    </x:row>
    <x:row r="20">
      <x:c r="A20" t="n">
        <x:v>16</x:v>
      </x:c>
      <x:c r="B20" t="str">
        <x:v>RB</x:v>
      </x:c>
      <x:c r="C20" t="n">
        <x:v>8</x:v>
      </x:c>
      <x:c r="D20" s="48" t="str">
        <x:v>Kenneth Walker III</x:v>
      </x:c>
      <x:c r="E20" s="48" t="n">
        <x:v>87.29261371508893</x:v>
      </x:c>
      <x:c r="F20" s="48" t="str">
        <x:v>TIER 2</x:v>
      </x:c>
      <x:c r="G20" s="48" t="n">
        <x:v>31.400000000000002</x:v>
      </x:c>
      <x:c r="H20" s="48" t="n">
        <x:v>15.400000000000002</x:v>
      </x:c>
      <x:c r="I20" s="116" t="str">
        <x:v>Strong RB1; weekly top-12 expectation with multi-touchdown ceiling.</x:v>
      </x:c>
      <x:c r="J20" s="116" t="str">
        <x:v>He produced 11.3 PPR/FP points per game across 17 games. The workload/efficiency profile gives the model a rate-based reason to keep him here. Market price is favorable around ADP 31 versus model overall rank 16.</x:v>
      </x:c>
      <x:c r="K20" s="116" t="str">
        <x:v>Touchdown variance, receiving-role changes and backfield competition are the main downside paths.</x:v>
      </x:c>
      <x:c r="L20" s="48" t="str">
        <x:v>A</x:v>
      </x:c>
      <x:c r="M20" s="48" t="str">
        <x:v>RATE-ADJUSTED VETERAN</x:v>
      </x:c>
      <x:c r="N20"/>
      <x:c r="O20"/>
      <x:c r="P20"/>
      <x:c r="Q20" s="98"/>
    </x:row>
    <x:row r="21">
      <x:c r="A21" t="n">
        <x:v>17</x:v>
      </x:c>
      <x:c r="B21" t="str">
        <x:v>RB</x:v>
      </x:c>
      <x:c r="C21" t="n">
        <x:v>9</x:v>
      </x:c>
      <x:c r="D21" s="48" t="str">
        <x:v>James Cook III</x:v>
      </x:c>
      <x:c r="E21" s="48" t="n">
        <x:v>87.05801139512144</x:v>
      </x:c>
      <x:c r="F21" s="48" t="str">
        <x:v>TIER 2</x:v>
      </x:c>
      <x:c r="G21" s="48" t="n">
        <x:v>15</x:v>
      </x:c>
      <x:c r="H21" s="48" t="n">
        <x:v>-2</x:v>
      </x:c>
      <x:c r="I21" s="116" t="str">
        <x:v>Strong RB1; weekly top-12 expectation with multi-touchdown ceiling.</x:v>
      </x:c>
      <x:c r="J21" s="116" t="str">
        <x:v>He produced 17.7 PPR/FP points per game across 17 games. The workload/efficiency profile gives the model a rate-based reason to keep him here.</x:v>
      </x:c>
      <x:c r="K21" s="116" t="str">
        <x:v>Touchdown variance, receiving-role changes and backfield competition are the main downside paths.</x:v>
      </x:c>
      <x:c r="L21" s="48" t="str">
        <x:v>A</x:v>
      </x:c>
      <x:c r="M21" s="48" t="str">
        <x:v>RATE-ADJUSTED VETERAN</x:v>
      </x:c>
      <x:c r="N21"/>
      <x:c r="O21"/>
      <x:c r="P21"/>
      <x:c r="Q21" s="98"/>
    </x:row>
    <x:row r="22">
      <x:c r="A22" t="n">
        <x:v>18</x:v>
      </x:c>
      <x:c r="B22" t="str">
        <x:v>WR</x:v>
      </x:c>
      <x:c r="C22" t="n">
        <x:v>11</x:v>
      </x:c>
      <x:c r="D22" s="48" t="str">
        <x:v>CeeDee Lamb</x:v>
      </x:c>
      <x:c r="E22" s="48" t="n">
        <x:v>85.742635</x:v>
      </x:c>
      <x:c r="F22" s="48" t="str">
        <x:v>TIER 2</x:v>
      </x:c>
      <x:c r="G22" s="48" t="n">
        <x:v>8</x:v>
      </x:c>
      <x:c r="H22" s="48" t="n">
        <x:v>-10</x:v>
      </x:c>
      <x:c r="I22" s="116" t="str">
        <x:v>Strong WR1; bankable weekly starter with spike-week ceiling.</x:v>
      </x:c>
      <x:c r="J22" s="116" t="str">
        <x:v>He produced 14.4 PPR/FP points per game across 14 games. The workload/efficiency profile gives the model a rate-based reason to keep him here. The market is more aggressive at ADP 8 versus model overall rank 18, so price matters.</x:v>
      </x:c>
      <x:c r="K22" s="116" t="str">
        <x:v>Price is the biggest risk: the market currently asks you to draft him earlier than the model prefers.</x:v>
      </x:c>
      <x:c r="L22" s="48" t="str">
        <x:v>A</x:v>
      </x:c>
      <x:c r="M22" s="48" t="str">
        <x:v>RATE-ADJUSTED VETERAN</x:v>
      </x:c>
      <x:c r="N22"/>
      <x:c r="O22"/>
      <x:c r="P22"/>
      <x:c r="Q22" s="98"/>
    </x:row>
    <x:row r="23">
      <x:c r="A23" t="n">
        <x:v>19</x:v>
      </x:c>
      <x:c r="B23" t="str">
        <x:v>WR</x:v>
      </x:c>
      <x:c r="C23" t="n">
        <x:v>7</x:v>
      </x:c>
      <x:c r="D23" s="48" t="str">
        <x:v>Drake London</x:v>
      </x:c>
      <x:c r="E23" s="48" t="n">
        <x:v>87.5106325</x:v>
      </x:c>
      <x:c r="F23" s="48" t="str">
        <x:v>TIER 2</x:v>
      </x:c>
      <x:c r="G23" s="48" t="n">
        <x:v>10</x:v>
      </x:c>
      <x:c r="H23" s="48" t="n">
        <x:v>-9</x:v>
      </x:c>
      <x:c r="I23" s="116" t="str">
        <x:v>Strong WR1; bankable weekly starter with spike-week ceiling.</x:v>
      </x:c>
      <x:c r="J23" s="116" t="str">
        <x:v>He produced 16.9 PPR/FP points per game across 12 games. The workload/efficiency profile gives the model a rate-based reason to keep him here.</x:v>
      </x:c>
      <x:c r="K23" s="116" t="str">
        <x:v>Target competition, quarterback efficiency and touchdown regression are the main downside paths.</x:v>
      </x:c>
      <x:c r="L23" s="48" t="str">
        <x:v>A</x:v>
      </x:c>
      <x:c r="M23" s="48" t="str">
        <x:v>RATE-ADJUSTED VETERAN</x:v>
      </x:c>
      <x:c r="N23"/>
      <x:c r="O23"/>
      <x:c r="P23"/>
      <x:c r="Q23" s="98"/>
    </x:row>
    <x:row r="24">
      <x:c r="A24" t="n">
        <x:v>20</x:v>
      </x:c>
      <x:c r="B24" t="str">
        <x:v>WR</x:v>
      </x:c>
      <x:c r="C24" t="n">
        <x:v>6</x:v>
      </x:c>
      <x:c r="D24" s="48" t="str">
        <x:v>Chris Olave</x:v>
      </x:c>
      <x:c r="E24" s="48" t="n">
        <x:v>88.9075</x:v>
      </x:c>
      <x:c r="F24" s="48" t="str">
        <x:v>TIER 2</x:v>
      </x:c>
      <x:c r="G24" s="48" t="n">
        <x:v>19</x:v>
      </x:c>
      <x:c r="H24" s="48" t="n">
        <x:v>-1</x:v>
      </x:c>
      <x:c r="I24" s="116" t="str">
        <x:v>Strong WR1; bankable weekly starter with spike-week ceiling.</x:v>
      </x:c>
      <x:c r="J24" s="116" t="str">
        <x:v>He produced 16.9 PPR/FP points per game across 16 games. The workload/efficiency profile gives the model a rate-based reason to keep him here.</x:v>
      </x:c>
      <x:c r="K24" s="116" t="str">
        <x:v>Target competition, quarterback efficiency and touchdown regression are the main downside paths.</x:v>
      </x:c>
      <x:c r="L24" s="48" t="str">
        <x:v>A</x:v>
      </x:c>
      <x:c r="M24" s="48" t="str">
        <x:v>RATE-ADJUSTED VETERAN</x:v>
      </x:c>
      <x:c r="N24"/>
      <x:c r="O24"/>
      <x:c r="P24"/>
      <x:c r="Q24" s="98"/>
    </x:row>
    <x:row r="25">
      <x:c r="A25" t="n">
        <x:v>21</x:v>
      </x:c>
      <x:c r="B25" t="str">
        <x:v>RB</x:v>
      </x:c>
      <x:c r="C25" t="n">
        <x:v>10</x:v>
      </x:c>
      <x:c r="D25" s="48" t="str">
        <x:v>Kyren Williams</x:v>
      </x:c>
      <x:c r="E25" s="48" t="n">
        <x:v>85.94862618540519</x:v>
      </x:c>
      <x:c r="F25" s="48" t="str">
        <x:v>TIER 2</x:v>
      </x:c>
      <x:c r="G25" s="48" t="n">
        <x:v>39.800000000000004</x:v>
      </x:c>
      <x:c r="H25" s="48" t="n">
        <x:v>18.800000000000004</x:v>
      </x:c>
      <x:c r="I25" s="116" t="str">
        <x:v>Strong RB1; weekly top-12 expectation with multi-touchdown ceiling.</x:v>
      </x:c>
      <x:c r="J25" s="116" t="str">
        <x:v>He produced 15.5 PPR/FP points per game across 17 games. The workload/efficiency profile gives the model a rate-based reason to keep him here. Market price is favorable around ADP 40 versus model overall rank 21.</x:v>
      </x:c>
      <x:c r="K25" s="116" t="str">
        <x:v>Touchdown variance, receiving-role changes and backfield competition are the main downside paths.</x:v>
      </x:c>
      <x:c r="L25" s="48" t="str">
        <x:v>A</x:v>
      </x:c>
      <x:c r="M25" s="48" t="str">
        <x:v>RATE-ADJUSTED VETERAN</x:v>
      </x:c>
      <x:c r="N25"/>
      <x:c r="O25"/>
      <x:c r="P25"/>
      <x:c r="Q25" s="98"/>
    </x:row>
    <x:row r="26">
      <x:c r="A26" t="n">
        <x:v>22</x:v>
      </x:c>
      <x:c r="B26" t="str">
        <x:v>TE</x:v>
      </x:c>
      <x:c r="C26" t="n">
        <x:v>3</x:v>
      </x:c>
      <x:c r="D26" s="48" t="str">
        <x:v>Colston Loveland</x:v>
      </x:c>
      <x:c r="E26" s="48" t="n">
        <x:v>88.75308009954404</x:v>
      </x:c>
      <x:c r="F26" s="48" t="str">
        <x:v>TIER 2</x:v>
      </x:c>
      <x:c r="G26" s="48" t="n">
        <x:v>35</x:v>
      </x:c>
      <x:c r="H26" s="48" t="n">
        <x:v>13</x:v>
      </x:c>
      <x:c r="I26" s="116" t="str">
        <x:v>Elite difference-making TE; positional advantage is the expectation.</x:v>
      </x:c>
      <x:c r="J26" s="116" t="str">
        <x:v>He produced 10.3 PPR/FP points per game across 16 games. The workload/efficiency profile gives the model a rate-based reason to keep him here. Market price is favorable around ADP 35 versus model overall rank 22.</x:v>
      </x:c>
      <x:c r="K26" s="116" t="str">
        <x:v>Route share, target volume and touchdown volatility are the main swing factors.</x:v>
      </x:c>
      <x:c r="L26" s="48" t="str">
        <x:v>A</x:v>
      </x:c>
      <x:c r="M26" s="48" t="str">
        <x:v>RATE-ADJUSTED VETERAN</x:v>
      </x:c>
      <x:c r="N26"/>
      <x:c r="O26"/>
      <x:c r="P26"/>
      <x:c r="Q26" s="98"/>
    </x:row>
    <x:row r="27">
      <x:c r="A27" t="n">
        <x:v>23</x:v>
      </x:c>
      <x:c r="B27" t="str">
        <x:v>RB</x:v>
      </x:c>
      <x:c r="C27" t="n">
        <x:v>11</x:v>
      </x:c>
      <x:c r="D27" s="48" t="str">
        <x:v>Breece Hall</x:v>
      </x:c>
      <x:c r="E27" s="48" t="n">
        <x:v>85.89523439048523</x:v>
      </x:c>
      <x:c r="F27" s="48" t="str">
        <x:v>TIER 2</x:v>
      </x:c>
      <x:c r="G27" s="48" t="n">
        <x:v>44</x:v>
      </x:c>
      <x:c r="H27" s="48" t="n">
        <x:v>21</x:v>
      </x:c>
      <x:c r="I27" s="116" t="str">
        <x:v>Strong RB1; weekly top-12 expectation with multi-touchdown ceiling.</x:v>
      </x:c>
      <x:c r="J27" s="116" t="str">
        <x:v>He produced 12.9 PPR/FP points per game across 16 games. The workload/efficiency profile gives the model a rate-based reason to keep him here. Market price is favorable around ADP 44 versus model overall rank 23.</x:v>
      </x:c>
      <x:c r="K27" s="116" t="str">
        <x:v>Touchdown variance, receiving-role changes and backfield competition are the main downside paths.</x:v>
      </x:c>
      <x:c r="L27" s="48" t="str">
        <x:v>A</x:v>
      </x:c>
      <x:c r="M27" s="48" t="str">
        <x:v>RATE-ADJUSTED VETERAN</x:v>
      </x:c>
      <x:c r="N27"/>
      <x:c r="O27"/>
      <x:c r="P27"/>
      <x:c r="Q27" s="98"/>
    </x:row>
    <x:row r="28">
      <x:c r="A28" t="n">
        <x:v>24</x:v>
      </x:c>
      <x:c r="B28" t="str">
        <x:v>RB</x:v>
      </x:c>
      <x:c r="C28" t="n">
        <x:v>12</x:v>
      </x:c>
      <x:c r="D28" s="48" t="str">
        <x:v>Ashton Jeanty</x:v>
      </x:c>
      <x:c r="E28" s="48" t="n">
        <x:v>85.84326054048074</x:v>
      </x:c>
      <x:c r="F28" s="48" t="str">
        <x:v>TIER 2</x:v>
      </x:c>
      <x:c r="G28" s="48" t="n">
        <x:v>13</x:v>
      </x:c>
      <x:c r="H28" s="48" t="n">
        <x:v>-11</x:v>
      </x:c>
      <x:c r="I28" s="116" t="str">
        <x:v>Strong RB1; weekly top-12 expectation with multi-touchdown ceiling.</x:v>
      </x:c>
      <x:c r="J28" s="116" t="str">
        <x:v>He produced 14.4 PPR/FP points per game across 17 games. The workload/efficiency profile gives the model a rate-based reason to keep him here. The market is more aggressive at ADP 13 versus model overall rank 24, so price matters.</x:v>
      </x:c>
      <x:c r="K28" s="116" t="str">
        <x:v>Price is the biggest risk: the market currently asks you to draft him earlier than the model prefers.</x:v>
      </x:c>
      <x:c r="L28" s="48" t="str">
        <x:v>A</x:v>
      </x:c>
      <x:c r="M28" s="48" t="str">
        <x:v>RATE-ADJUSTED VETERAN</x:v>
      </x:c>
      <x:c r="N28"/>
      <x:c r="O28"/>
      <x:c r="P28"/>
      <x:c r="Q28" s="98"/>
    </x:row>
    <x:row r="29">
      <x:c r="A29" t="n">
        <x:v>25</x:v>
      </x:c>
      <x:c r="B29" t="str">
        <x:v>QB</x:v>
      </x:c>
      <x:c r="C29" t="n">
        <x:v>2</x:v>
      </x:c>
      <x:c r="D29" s="48" t="str">
        <x:v>Caleb Williams</x:v>
      </x:c>
      <x:c r="E29" s="48" t="n">
        <x:v>92.1926680327037</x:v>
      </x:c>
      <x:c r="F29" s="48" t="str">
        <x:v>TIER 1</x:v>
      </x:c>
      <x:c r="G29" s="48" t="n">
        <x:v>30</x:v>
      </x:c>
      <x:c r="H29" s="48" t="n">
        <x:v>5</x:v>
      </x:c>
      <x:c r="I29" s="116" t="str">
        <x:v>Elite QB1; weekly top-5 expectation with overall QB1 upside.</x:v>
      </x:c>
      <x:c r="J29" s="116" t="str">
        <x:v>He produced 19.0 PPR/FP points per game across 17 games. The workload/efficiency profile gives the model a rate-based reason to keep him here.</x:v>
      </x:c>
      <x:c r="K29" s="116" t="str">
        <x:v>Passing-TD efficiency, rushing volume and supporting-cast health are the main swing factors.</x:v>
      </x:c>
      <x:c r="L29" s="48" t="str">
        <x:v>A</x:v>
      </x:c>
      <x:c r="M29" s="48" t="str">
        <x:v>RATE-ADJUSTED VETERAN</x:v>
      </x:c>
      <x:c r="N29"/>
      <x:c r="O29"/>
      <x:c r="P29"/>
      <x:c r="Q29" s="98"/>
    </x:row>
    <x:row r="30">
      <x:c r="A30" t="n">
        <x:v>26</x:v>
      </x:c>
      <x:c r="B30" t="str">
        <x:v>RB</x:v>
      </x:c>
      <x:c r="C30" t="n">
        <x:v>13</x:v>
      </x:c>
      <x:c r="D30" s="48" t="str">
        <x:v>Derrick Henry</x:v>
      </x:c>
      <x:c r="E30" s="48" t="n">
        <x:v>85.66739845204964</x:v>
      </x:c>
      <x:c r="F30" s="48" t="str">
        <x:v>TIER 2</x:v>
      </x:c>
      <x:c r="G30" s="48" t="n">
        <x:v>52.400000000000006</x:v>
      </x:c>
      <x:c r="H30" s="48" t="n">
        <x:v>26.400000000000006</x:v>
      </x:c>
      <x:c r="I30" s="116" t="str">
        <x:v>RB2 with RB1 weeks; should be a regular starter.</x:v>
      </x:c>
      <x:c r="J30" s="116" t="str">
        <x:v>He produced 16.5 PPR/FP points per game across 17 games. The workload/efficiency profile gives the model a rate-based reason to keep him here. Market price is favorable around ADP 52 versus model overall rank 26.</x:v>
      </x:c>
      <x:c r="K30" s="116" t="str">
        <x:v>Touchdown variance, receiving-role changes and backfield competition are the main downside paths.</x:v>
      </x:c>
      <x:c r="L30" s="48" t="str">
        <x:v>A</x:v>
      </x:c>
      <x:c r="M30" s="48" t="str">
        <x:v>RATE-ADJUSTED VETERAN</x:v>
      </x:c>
      <x:c r="N30"/>
      <x:c r="O30"/>
      <x:c r="P30"/>
      <x:c r="Q30" s="98"/>
    </x:row>
    <x:row r="31">
      <x:c r="A31" t="n">
        <x:v>27</x:v>
      </x:c>
      <x:c r="B31" t="str">
        <x:v>RB</x:v>
      </x:c>
      <x:c r="C31" t="n">
        <x:v>14</x:v>
      </x:c>
      <x:c r="D31" s="48" t="str">
        <x:v>Chase Brown</x:v>
      </x:c>
      <x:c r="E31" s="48" t="n">
        <x:v>85.66441832712566</x:v>
      </x:c>
      <x:c r="F31" s="48" t="str">
        <x:v>TIER 2</x:v>
      </x:c>
      <x:c r="G31" s="48" t="n">
        <x:v>21</x:v>
      </x:c>
      <x:c r="H31" s="48" t="n">
        <x:v>-6</x:v>
      </x:c>
      <x:c r="I31" s="116" t="str">
        <x:v>RB2 with RB1 weeks; should be a regular starter.</x:v>
      </x:c>
      <x:c r="J31" s="116" t="str">
        <x:v>He produced 16.7 PPR/FP points per game across 17 games. The workload/efficiency profile gives the model a rate-based reason to keep him here.</x:v>
      </x:c>
      <x:c r="K31" s="116" t="str">
        <x:v>Touchdown variance, receiving-role changes and backfield competition are the main downside paths.</x:v>
      </x:c>
      <x:c r="L31" s="48" t="str">
        <x:v>A</x:v>
      </x:c>
      <x:c r="M31" s="48" t="str">
        <x:v>RATE-ADJUSTED VETERAN</x:v>
      </x:c>
      <x:c r="N31"/>
      <x:c r="O31"/>
      <x:c r="P31"/>
      <x:c r="Q31" s="98"/>
    </x:row>
    <x:row r="32">
      <x:c r="A32" t="n">
        <x:v>28</x:v>
      </x:c>
      <x:c r="B32" t="str">
        <x:v>WR</x:v>
      </x:c>
      <x:c r="C32" t="n">
        <x:v>12</x:v>
      </x:c>
      <x:c r="D32" s="48" t="str">
        <x:v>Tetairoa McMillan</x:v>
      </x:c>
      <x:c r="E32" s="48" t="n">
        <x:v>85.74</x:v>
      </x:c>
      <x:c r="F32" s="48" t="str">
        <x:v>TIER 2</x:v>
      </x:c>
      <x:c r="G32" s="48" t="n">
        <x:v>49.8</x:v>
      </x:c>
      <x:c r="H32" s="48" t="n">
        <x:v>21.799999999999997</x:v>
      </x:c>
      <x:c r="I32" s="116" t="str">
        <x:v>Strong WR1; bankable weekly starter with spike-week ceiling.</x:v>
      </x:c>
      <x:c r="J32" s="116" t="str">
        <x:v>He produced 12.4 PPR/FP points per game across 17 games. The workload/efficiency profile gives the model a rate-based reason to keep him here. Market price is favorable around ADP 50 versus model overall rank 28.</x:v>
      </x:c>
      <x:c r="K32" s="116" t="str">
        <x:v>Target competition, quarterback efficiency and touchdown regression are the main downside paths.</x:v>
      </x:c>
      <x:c r="L32" s="48" t="str">
        <x:v>A</x:v>
      </x:c>
      <x:c r="M32" s="48" t="str">
        <x:v>RATE-ADJUSTED VETERAN</x:v>
      </x:c>
      <x:c r="N32"/>
      <x:c r="O32"/>
      <x:c r="P32"/>
      <x:c r="Q32" s="98"/>
    </x:row>
    <x:row r="33">
      <x:c r="A33" t="n">
        <x:v>29</x:v>
      </x:c>
      <x:c r="B33" t="str">
        <x:v>WR</x:v>
      </x:c>
      <x:c r="C33" t="n">
        <x:v>8</x:v>
      </x:c>
      <x:c r="D33" s="48" t="str">
        <x:v>DeVonta Smith</x:v>
      </x:c>
      <x:c r="E33" s="48" t="n">
        <x:v>87.4875</x:v>
      </x:c>
      <x:c r="F33" s="48" t="str">
        <x:v>TIER 2</x:v>
      </x:c>
      <x:c r="G33" s="48" t="n">
        <x:v>24</x:v>
      </x:c>
      <x:c r="H33" s="48" t="n">
        <x:v>-5</x:v>
      </x:c>
      <x:c r="I33" s="116" t="str">
        <x:v>Strong WR1; bankable weekly starter with spike-week ceiling.</x:v>
      </x:c>
      <x:c r="J33" s="116" t="str">
        <x:v>He produced 11.8 PPR/FP points per game across 17 games. The workload/efficiency profile gives the model a rate-based reason to keep him here.</x:v>
      </x:c>
      <x:c r="K33" s="116" t="str">
        <x:v>Target competition, quarterback efficiency and touchdown regression are the main downside paths.</x:v>
      </x:c>
      <x:c r="L33" s="48" t="str">
        <x:v>A</x:v>
      </x:c>
      <x:c r="M33" s="48" t="str">
        <x:v>RATE-ADJUSTED VETERAN</x:v>
      </x:c>
      <x:c r="N33"/>
      <x:c r="O33"/>
      <x:c r="P33"/>
      <x:c r="Q33" s="98"/>
    </x:row>
    <x:row r="34">
      <x:c r="A34" t="n">
        <x:v>30</x:v>
      </x:c>
      <x:c r="B34" t="str">
        <x:v>WR</x:v>
      </x:c>
      <x:c r="C34" t="n">
        <x:v>14</x:v>
      </x:c>
      <x:c r="D34" s="48" t="str">
        <x:v>Justin Jefferson</x:v>
      </x:c>
      <x:c r="E34" s="48" t="n">
        <x:v>84.7935825</x:v>
      </x:c>
      <x:c r="F34" s="48" t="str">
        <x:v>TIER 3</x:v>
      </x:c>
      <x:c r="G34" s="48" t="n">
        <x:v>9</x:v>
      </x:c>
      <x:c r="H34" s="48" t="n">
        <x:v>-21</x:v>
      </x:c>
      <x:c r="I34" s="116" t="str">
        <x:v>Strong WR2 with top-12 weekly upside.</x:v>
      </x:c>
      <x:c r="J34" s="116" t="str">
        <x:v>The 2026 opportunity and projection carry most of the grade because detailed 2025 rate data is incomplete. The market is more aggressive at ADP 9 versus model overall rank 30, so price matters.</x:v>
      </x:c>
      <x:c r="K34" s="116" t="str">
        <x:v>Price is the biggest risk: the market currently asks you to draft him earlier than the model prefers.</x:v>
      </x:c>
      <x:c r="L34" s="48" t="str">
        <x:v>A</x:v>
      </x:c>
      <x:c r="M34" s="48" t="str">
        <x:v>HISTORY FALLBACK</x:v>
      </x:c>
      <x:c r="N34"/>
      <x:c r="O34"/>
      <x:c r="P34"/>
      <x:c r="Q34" s="98"/>
    </x:row>
    <x:row r="35">
      <x:c r="A35" t="n">
        <x:v>31</x:v>
      </x:c>
      <x:c r="B35" t="str">
        <x:v>WR</x:v>
      </x:c>
      <x:c r="C35" t="n">
        <x:v>10</x:v>
      </x:c>
      <x:c r="D35" s="48" t="str">
        <x:v>Garrett Wilson</x:v>
      </x:c>
      <x:c r="E35" s="48" t="n">
        <x:v>86.155</x:v>
      </x:c>
      <x:c r="F35" s="48" t="str">
        <x:v>TIER 2</x:v>
      </x:c>
      <x:c r="G35" s="48" t="n">
        <x:v>57.6</x:v>
      </x:c>
      <x:c r="H35" s="48" t="n">
        <x:v>26.6</x:v>
      </x:c>
      <x:c r="I35" s="116" t="str">
        <x:v>Strong WR1; bankable weekly starter with spike-week ceiling.</x:v>
      </x:c>
      <x:c r="J35" s="116" t="str">
        <x:v>He produced 14.2 PPR/FP points per game across 7 games. The workload/efficiency profile gives the model a rate-based reason to keep him here. Market price is favorable around ADP 58 versus model overall rank 31.</x:v>
      </x:c>
      <x:c r="K35" s="116" t="str">
        <x:v>Availability/sample risk is elevated after only 7 games; talent is not being punished as heavily as durability.</x:v>
      </x:c>
      <x:c r="L35" s="48" t="str">
        <x:v>B</x:v>
      </x:c>
      <x:c r="M35" s="48" t="str">
        <x:v>RATE-ADJUSTED VETERAN</x:v>
      </x:c>
      <x:c r="N35"/>
      <x:c r="O35"/>
      <x:c r="P35"/>
      <x:c r="Q35" s="98"/>
    </x:row>
    <x:row r="36">
      <x:c r="A36" t="n">
        <x:v>32</x:v>
      </x:c>
      <x:c r="B36" t="str">
        <x:v>WR</x:v>
      </x:c>
      <x:c r="C36" t="n">
        <x:v>9</x:v>
      </x:c>
      <x:c r="D36" s="48" t="str">
        <x:v>Zay Flowers</x:v>
      </x:c>
      <x:c r="E36" s="48" t="n">
        <x:v>86.57</x:v>
      </x:c>
      <x:c r="F36" s="48" t="str">
        <x:v>TIER 2</x:v>
      </x:c>
      <x:c r="G36" s="48" t="n">
        <x:v>65.4</x:v>
      </x:c>
      <x:c r="H36" s="48" t="n">
        <x:v>33.400000000000006</x:v>
      </x:c>
      <x:c r="I36" s="116" t="str">
        <x:v>Strong WR1; bankable weekly starter with spike-week ceiling.</x:v>
      </x:c>
      <x:c r="J36" s="116" t="str">
        <x:v>He produced 14.4 PPR/FP points per game across 17 games. The workload/efficiency profile gives the model a rate-based reason to keep him here. Market price is favorable around ADP 65 versus model overall rank 32.</x:v>
      </x:c>
      <x:c r="K36" s="116" t="str">
        <x:v>Target competition, quarterback efficiency and touchdown regression are the main downside paths.</x:v>
      </x:c>
      <x:c r="L36" s="48" t="str">
        <x:v>A</x:v>
      </x:c>
      <x:c r="M36" s="48" t="str">
        <x:v>RATE-ADJUSTED VETERAN</x:v>
      </x:c>
      <x:c r="N36"/>
      <x:c r="O36"/>
      <x:c r="P36"/>
      <x:c r="Q36" s="98"/>
    </x:row>
    <x:row r="37">
      <x:c r="A37" t="n">
        <x:v>33</x:v>
      </x:c>
      <x:c r="B37" t="str">
        <x:v>RB</x:v>
      </x:c>
      <x:c r="C37" t="n">
        <x:v>15</x:v>
      </x:c>
      <x:c r="D37" s="48" t="str">
        <x:v>Josh Jacobs</x:v>
      </x:c>
      <x:c r="E37" s="48" t="n">
        <x:v>84.42639357709083</x:v>
      </x:c>
      <x:c r="F37" s="48" t="str">
        <x:v>TIER 3</x:v>
      </x:c>
      <x:c r="G37" s="48" t="n">
        <x:v>60.800000000000004</x:v>
      </x:c>
      <x:c r="H37" s="48" t="n">
        <x:v>27.800000000000004</x:v>
      </x:c>
      <x:c r="I37" s="116" t="str">
        <x:v>RB2 with RB1 weeks; should be a regular starter.</x:v>
      </x:c>
      <x:c r="J37" s="116" t="str">
        <x:v>He produced 15.8 PPR/FP points per game across 15 games. The workload/efficiency profile gives the model a rate-based reason to keep him here. Market price is favorable around ADP 61 versus model overall rank 33.</x:v>
      </x:c>
      <x:c r="K37" s="116" t="str">
        <x:v>Touchdown variance, receiving-role changes and backfield competition are the main downside paths.</x:v>
      </x:c>
      <x:c r="L37" s="48" t="str">
        <x:v>A</x:v>
      </x:c>
      <x:c r="M37" s="48" t="str">
        <x:v>RATE-ADJUSTED VETERAN</x:v>
      </x:c>
      <x:c r="N37"/>
      <x:c r="O37"/>
      <x:c r="P37"/>
      <x:c r="Q37" s="98"/>
    </x:row>
    <x:row r="38">
      <x:c r="A38" t="n">
        <x:v>34</x:v>
      </x:c>
      <x:c r="B38" t="str">
        <x:v>RB</x:v>
      </x:c>
      <x:c r="C38" t="n">
        <x:v>16</x:v>
      </x:c>
      <x:c r="D38" s="48" t="str">
        <x:v>Saquon Barkley</x:v>
      </x:c>
      <x:c r="E38" s="48" t="n">
        <x:v>84.03395323879701</x:v>
      </x:c>
      <x:c r="F38" s="48" t="str">
        <x:v>TIER 3</x:v>
      </x:c>
      <x:c r="G38" s="48" t="n">
        <x:v>65</x:v>
      </x:c>
      <x:c r="H38" s="48" t="n">
        <x:v>31</x:v>
      </x:c>
      <x:c r="I38" s="116" t="str">
        <x:v>RB2 with RB1 weeks; should be a regular starter.</x:v>
      </x:c>
      <x:c r="J38" s="116" t="str">
        <x:v>He produced 14.5 PPR/FP points per game across 16 games. The workload/efficiency profile gives the model a rate-based reason to keep him here. Market price is favorable around ADP 65 versus model overall rank 34.</x:v>
      </x:c>
      <x:c r="K38" s="116" t="str">
        <x:v>Touchdown variance, receiving-role changes and backfield competition are the main downside paths.</x:v>
      </x:c>
      <x:c r="L38" s="48" t="str">
        <x:v>A</x:v>
      </x:c>
      <x:c r="M38" s="48" t="str">
        <x:v>RATE-ADJUSTED VETERAN</x:v>
      </x:c>
      <x:c r="N38"/>
      <x:c r="O38"/>
      <x:c r="P38"/>
      <x:c r="Q38" s="98"/>
    </x:row>
    <x:row r="39">
      <x:c r="A39" t="n">
        <x:v>35</x:v>
      </x:c>
      <x:c r="B39" t="str">
        <x:v>RB</x:v>
      </x:c>
      <x:c r="C39" t="n">
        <x:v>17</x:v>
      </x:c>
      <x:c r="D39" s="48" t="str">
        <x:v>Javonte Williams</x:v>
      </x:c>
      <x:c r="E39" s="48" t="n">
        <x:v>83.80323538924502</x:v>
      </x:c>
      <x:c r="F39" s="48" t="str">
        <x:v>TIER 3</x:v>
      </x:c>
      <x:c r="G39" s="48" t="n">
        <x:v>69.2</x:v>
      </x:c>
      <x:c r="H39" s="48" t="n">
        <x:v>34.2</x:v>
      </x:c>
      <x:c r="I39" s="116" t="str">
        <x:v>RB2 with RB1 weeks; should be a regular starter.</x:v>
      </x:c>
      <x:c r="J39" s="116" t="str">
        <x:v>He produced 15.2 PPR/FP points per game across 16 games. The workload/efficiency profile gives the model a rate-based reason to keep him here. Market price is favorable around ADP 69 versus model overall rank 35.</x:v>
      </x:c>
      <x:c r="K39" s="116" t="str">
        <x:v>Touchdown variance, receiving-role changes and backfield competition are the main downside paths.</x:v>
      </x:c>
      <x:c r="L39" s="48" t="str">
        <x:v>A</x:v>
      </x:c>
      <x:c r="M39" s="48" t="str">
        <x:v>RATE-ADJUSTED VETERAN</x:v>
      </x:c>
      <x:c r="N39"/>
      <x:c r="O39"/>
      <x:c r="P39"/>
      <x:c r="Q39" s="98"/>
    </x:row>
    <x:row r="40">
      <x:c r="A40" t="n">
        <x:v>36</x:v>
      </x:c>
      <x:c r="B40" t="str">
        <x:v>TE</x:v>
      </x:c>
      <x:c r="C40" t="n">
        <x:v>4</x:v>
      </x:c>
      <x:c r="D40" s="48" t="str">
        <x:v>Tyler Warren</x:v>
      </x:c>
      <x:c r="E40" s="48" t="n">
        <x:v>87.2023750800111</x:v>
      </x:c>
      <x:c r="F40" s="48" t="str">
        <x:v>TIER 2</x:v>
      </x:c>
      <x:c r="G40" s="48" t="n">
        <x:v>44</x:v>
      </x:c>
      <x:c r="H40" s="48" t="n">
        <x:v>8</x:v>
      </x:c>
      <x:c r="I40" s="116" t="str">
        <x:v>Every-week TE1 with real top-5 upside.</x:v>
      </x:c>
      <x:c r="J40" s="116" t="str">
        <x:v>He produced 11.1 PPR/FP points per game across 17 games. The workload/efficiency profile gives the model a rate-based reason to keep him here.</x:v>
      </x:c>
      <x:c r="K40" s="116" t="str">
        <x:v>Route share, target volume and touchdown volatility are the main swing factors.</x:v>
      </x:c>
      <x:c r="L40" s="48" t="str">
        <x:v>A</x:v>
      </x:c>
      <x:c r="M40" s="48" t="str">
        <x:v>RATE-ADJUSTED VETERAN</x:v>
      </x:c>
      <x:c r="N40"/>
      <x:c r="O40"/>
      <x:c r="P40"/>
      <x:c r="Q40" s="98"/>
    </x:row>
    <x:row r="41">
      <x:c r="A41" t="n">
        <x:v>37</x:v>
      </x:c>
      <x:c r="B41" t="str">
        <x:v>WR</x:v>
      </x:c>
      <x:c r="C41" t="n">
        <x:v>13</x:v>
      </x:c>
      <x:c r="D41" s="48" t="str">
        <x:v>Tee Higgins</x:v>
      </x:c>
      <x:c r="E41" s="48" t="n">
        <x:v>84.82249999999999</x:v>
      </x:c>
      <x:c r="F41" s="48" t="str">
        <x:v>TIER 3</x:v>
      </x:c>
      <x:c r="G41" s="48" t="n">
        <x:v>53.699999999999996</x:v>
      </x:c>
      <x:c r="H41" s="48" t="n">
        <x:v>16.699999999999996</x:v>
      </x:c>
      <x:c r="I41" s="116" t="str">
        <x:v>Strong WR2 with top-12 weekly upside.</x:v>
      </x:c>
      <x:c r="J41" s="116" t="str">
        <x:v>He produced 14.1 PPR/FP points per game across 15 games. The workload/efficiency profile gives the model a rate-based reason to keep him here. Market price is favorable around ADP 54 versus model overall rank 37.</x:v>
      </x:c>
      <x:c r="K41" s="116" t="str">
        <x:v>Target competition, quarterback efficiency and touchdown regression are the main downside paths.</x:v>
      </x:c>
      <x:c r="L41" s="48" t="str">
        <x:v>A</x:v>
      </x:c>
      <x:c r="M41" s="48" t="str">
        <x:v>RATE-ADJUSTED VETERAN</x:v>
      </x:c>
      <x:c r="N41"/>
      <x:c r="O41"/>
      <x:c r="P41"/>
      <x:c r="Q41" s="98"/>
    </x:row>
    <x:row r="42">
      <x:c r="A42" t="n">
        <x:v>38</x:v>
      </x:c>
      <x:c r="B42" t="str">
        <x:v>QB</x:v>
      </x:c>
      <x:c r="C42" t="n">
        <x:v>3</x:v>
      </x:c>
      <x:c r="D42" s="48" t="str">
        <x:v>Drake Maye</x:v>
      </x:c>
      <x:c r="E42" s="48" t="n">
        <x:v>91.04298794920528</x:v>
      </x:c>
      <x:c r="F42" s="48" t="str">
        <x:v>TIER 1</x:v>
      </x:c>
      <x:c r="G42" s="48" t="n">
        <x:v>38</x:v>
      </x:c>
      <x:c r="H42" s="48" t="n">
        <x:v>0</x:v>
      </x:c>
      <x:c r="I42" s="116" t="str">
        <x:v>Elite QB1; weekly top-5 expectation with overall QB1 upside.</x:v>
      </x:c>
      <x:c r="J42" s="116" t="str">
        <x:v>He produced 21.1 PPR/FP points per game across 17 games. The workload/efficiency profile gives the model a rate-based reason to keep him here.</x:v>
      </x:c>
      <x:c r="K42" s="116" t="str">
        <x:v>Passing-TD efficiency, rushing volume and supporting-cast health are the main swing factors.</x:v>
      </x:c>
      <x:c r="L42" s="48" t="str">
        <x:v>A</x:v>
      </x:c>
      <x:c r="M42" s="48" t="str">
        <x:v>RATE-ADJUSTED VETERAN</x:v>
      </x:c>
      <x:c r="N42"/>
      <x:c r="O42"/>
      <x:c r="P42"/>
      <x:c r="Q42" s="98"/>
    </x:row>
    <x:row r="43">
      <x:c r="A43" t="n">
        <x:v>39</x:v>
      </x:c>
      <x:c r="B43" t="str">
        <x:v>RB</x:v>
      </x:c>
      <x:c r="C43" t="n">
        <x:v>18</x:v>
      </x:c>
      <x:c r="D43" s="48" t="str">
        <x:v>Travis Etienne Jr.</x:v>
      </x:c>
      <x:c r="E43" s="48" t="n">
        <x:v>83.04362987072798</x:v>
      </x:c>
      <x:c r="F43" s="48" t="str">
        <x:v>TIER 3</x:v>
      </x:c>
      <x:c r="G43" s="48" t="n">
        <x:v>73.4</x:v>
      </x:c>
      <x:c r="H43" s="48" t="n">
        <x:v>34.400000000000006</x:v>
      </x:c>
      <x:c r="I43" s="116" t="str">
        <x:v>RB2 with RB1 weeks; should be a regular starter.</x:v>
      </x:c>
      <x:c r="J43" s="116" t="str">
        <x:v>He produced 14.9 PPR/FP points per game across 17 games. The workload/efficiency profile gives the model a rate-based reason to keep him here. Market price is favorable around ADP 73 versus model overall rank 39.</x:v>
      </x:c>
      <x:c r="K43" s="116" t="str">
        <x:v>Touchdown variance, receiving-role changes and backfield competition are the main downside paths.</x:v>
      </x:c>
      <x:c r="L43" s="48" t="str">
        <x:v>A</x:v>
      </x:c>
      <x:c r="M43" s="48" t="str">
        <x:v>RATE-ADJUSTED VETERAN</x:v>
      </x:c>
      <x:c r="N43"/>
      <x:c r="O43"/>
      <x:c r="P43"/>
      <x:c r="Q43" s="98"/>
    </x:row>
    <x:row r="44">
      <x:c r="A44" t="n">
        <x:v>40</x:v>
      </x:c>
      <x:c r="B44" t="str">
        <x:v>WR</x:v>
      </x:c>
      <x:c r="C44" t="n">
        <x:v>15</x:v>
      </x:c>
      <x:c r="D44" s="48" t="str">
        <x:v>Rashee Rice</x:v>
      </x:c>
      <x:c r="E44" s="48" t="n">
        <x:v>84.09473</x:v>
      </x:c>
      <x:c r="F44" s="48" t="str">
        <x:v>TIER 3</x:v>
      </x:c>
      <x:c r="G44" s="48" t="n">
        <x:v>22</x:v>
      </x:c>
      <x:c r="H44" s="48" t="n">
        <x:v>-18</x:v>
      </x:c>
      <x:c r="I44" s="116" t="str">
        <x:v>Strong WR2 with top-12 weekly upside.</x:v>
      </x:c>
      <x:c r="J44" s="116" t="str">
        <x:v>He produced 18.7 PPR/FP points per game across 8 games. The workload/efficiency profile gives the model a rate-based reason to keep him here. The market is more aggressive at ADP 22 versus model overall rank 40, so price matters.</x:v>
      </x:c>
      <x:c r="K44" s="116" t="str">
        <x:v>Availability/sample risk is elevated after only 8 games; talent is not being punished as heavily as durability.</x:v>
      </x:c>
      <x:c r="L44" s="48" t="str">
        <x:v>B</x:v>
      </x:c>
      <x:c r="M44" s="48" t="str">
        <x:v>RATE-ADJUSTED VETERAN</x:v>
      </x:c>
      <x:c r="N44"/>
      <x:c r="O44"/>
      <x:c r="P44"/>
      <x:c r="Q44" s="98"/>
    </x:row>
    <x:row r="45">
      <x:c r="A45" t="n">
        <x:v>41</x:v>
      </x:c>
      <x:c r="B45" t="str">
        <x:v>WR</x:v>
      </x:c>
      <x:c r="C45" t="n">
        <x:v>16</x:v>
      </x:c>
      <x:c r="D45" s="48" t="str">
        <x:v>A.J. Brown</x:v>
      </x:c>
      <x:c r="E45" s="48" t="n">
        <x:v>83.23567249999999</x:v>
      </x:c>
      <x:c r="F45" s="48" t="str">
        <x:v>TIER 3</x:v>
      </x:c>
      <x:c r="G45" s="48" t="n">
        <x:v>14</x:v>
      </x:c>
      <x:c r="H45" s="48" t="n">
        <x:v>-27</x:v>
      </x:c>
      <x:c r="I45" s="116" t="str">
        <x:v>Strong WR2 with top-12 weekly upside.</x:v>
      </x:c>
      <x:c r="J45" s="116" t="str">
        <x:v>He produced 14.7 PPR/FP points per game across 15 games. The workload/efficiency profile gives the model a rate-based reason to keep him here. The market is more aggressive at ADP 14 versus model overall rank 41, so price matters.</x:v>
      </x:c>
      <x:c r="K45" s="116" t="str">
        <x:v>Price is the biggest risk: the market currently asks you to draft him earlier than the model prefers.</x:v>
      </x:c>
      <x:c r="L45" s="48" t="str">
        <x:v>A</x:v>
      </x:c>
      <x:c r="M45" s="48" t="str">
        <x:v>RATE-ADJUSTED VETERAN</x:v>
      </x:c>
      <x:c r="N45"/>
      <x:c r="O45"/>
      <x:c r="P45"/>
      <x:c r="Q45" s="98"/>
    </x:row>
    <x:row r="46">
      <x:c r="A46" t="n">
        <x:v>42</x:v>
      </x:c>
      <x:c r="B46" t="str">
        <x:v>RB</x:v>
      </x:c>
      <x:c r="C46" t="n">
        <x:v>19</x:v>
      </x:c>
      <x:c r="D46" s="48" t="str">
        <x:v>Cam Skattebo</x:v>
      </x:c>
      <x:c r="E46" s="48" t="n">
        <x:v>81.88843624288153</x:v>
      </x:c>
      <x:c r="F46" s="48" t="str">
        <x:v>TIER 3</x:v>
      </x:c>
      <x:c r="G46" s="48" t="n">
        <x:v>77.60000000000001</x:v>
      </x:c>
      <x:c r="H46" s="48" t="n">
        <x:v>35.60000000000001</x:v>
      </x:c>
      <x:c r="I46" s="116" t="str">
        <x:v>RB2 with RB1 weeks; should be a regular starter.</x:v>
      </x:c>
      <x:c r="J46" s="116" t="str">
        <x:v>He produced 16.0 PPR/FP points per game across 8 games. The workload/efficiency profile gives the model a rate-based reason to keep him here. Market price is favorable around ADP 78 versus model overall rank 42.</x:v>
      </x:c>
      <x:c r="K46" s="116" t="str">
        <x:v>Availability/sample risk is elevated after only 8 games; talent is not being punished as heavily as durability.</x:v>
      </x:c>
      <x:c r="L46" s="48" t="str">
        <x:v>B</x:v>
      </x:c>
      <x:c r="M46" s="48" t="str">
        <x:v>RATE-ADJUSTED VETERAN</x:v>
      </x:c>
      <x:c r="N46"/>
      <x:c r="O46"/>
      <x:c r="P46"/>
      <x:c r="Q46" s="98"/>
    </x:row>
    <x:row r="47">
      <x:c r="A47" t="n">
        <x:v>43</x:v>
      </x:c>
      <x:c r="B47" t="str">
        <x:v>TE</x:v>
      </x:c>
      <x:c r="C47" t="n">
        <x:v>5</x:v>
      </x:c>
      <x:c r="D47" s="48" t="str">
        <x:v>George Kittle</x:v>
      </x:c>
      <x:c r="E47" s="48" t="n">
        <x:v>86.26638054791886</x:v>
      </x:c>
      <x:c r="F47" s="48" t="str">
        <x:v>TIER 2</x:v>
      </x:c>
      <x:c r="G47" s="48" t="n">
        <x:v>53</x:v>
      </x:c>
      <x:c r="H47" s="48" t="n">
        <x:v>10</x:v>
      </x:c>
      <x:c r="I47" s="116" t="str">
        <x:v>Every-week TE1 with real top-5 upside.</x:v>
      </x:c>
      <x:c r="J47" s="116" t="str">
        <x:v>He produced 14.7 PPR/FP points per game across 11 games. The workload/efficiency profile gives the model a rate-based reason to keep him here. Market price is favorable around ADP 53 versus model overall rank 43.</x:v>
      </x:c>
      <x:c r="K47" s="116" t="str">
        <x:v>Route share, target volume and touchdown volatility are the main swing factors.</x:v>
      </x:c>
      <x:c r="L47" s="48" t="str">
        <x:v>B</x:v>
      </x:c>
      <x:c r="M47" s="48" t="str">
        <x:v>RATE-ADJUSTED VETERAN</x:v>
      </x:c>
      <x:c r="N47"/>
      <x:c r="O47"/>
      <x:c r="P47"/>
      <x:c r="Q47" s="98"/>
    </x:row>
    <x:row r="48">
      <x:c r="A48" t="n">
        <x:v>44</x:v>
      </x:c>
      <x:c r="B48" t="str">
        <x:v>QB</x:v>
      </x:c>
      <x:c r="C48" t="n">
        <x:v>4</x:v>
      </x:c>
      <x:c r="D48" s="48" t="str">
        <x:v>Justin Herbert</x:v>
      </x:c>
      <x:c r="E48" s="48" t="n">
        <x:v>90.11691162251876</x:v>
      </x:c>
      <x:c r="F48" s="48" t="str">
        <x:v>TIER 1</x:v>
      </x:c>
      <x:c r="G48" s="48" t="n">
        <x:v>46</x:v>
      </x:c>
      <x:c r="H48" s="48" t="n">
        <x:v>2</x:v>
      </x:c>
      <x:c r="I48" s="116" t="str">
        <x:v>Strong every-week QB1; frequent top-8 finishes expected.</x:v>
      </x:c>
      <x:c r="J48" s="116" t="str">
        <x:v>He produced 18.7 PPR/FP points per game across 16 games. The workload/efficiency profile gives the model a rate-based reason to keep him here.</x:v>
      </x:c>
      <x:c r="K48" s="116" t="str">
        <x:v>Passing-TD efficiency, rushing volume and supporting-cast health are the main swing factors.</x:v>
      </x:c>
      <x:c r="L48" s="48" t="str">
        <x:v>A</x:v>
      </x:c>
      <x:c r="M48" s="48" t="str">
        <x:v>RATE-ADJUSTED VETERAN</x:v>
      </x:c>
      <x:c r="N48"/>
      <x:c r="O48"/>
      <x:c r="P48"/>
      <x:c r="Q48" s="98"/>
    </x:row>
    <x:row r="49">
      <x:c r="A49" t="n">
        <x:v>45</x:v>
      </x:c>
      <x:c r="B49" t="str">
        <x:v>WR</x:v>
      </x:c>
      <x:c r="C49" t="n">
        <x:v>19</x:v>
      </x:c>
      <x:c r="D49" s="48" t="str">
        <x:v>George Pickens</x:v>
      </x:c>
      <x:c r="E49" s="48" t="n">
        <x:v>81.8366075</x:v>
      </x:c>
      <x:c r="F49" s="48" t="str">
        <x:v>TIER 3</x:v>
      </x:c>
      <x:c r="G49" s="48" t="n">
        <x:v>16</x:v>
      </x:c>
      <x:c r="H49" s="48" t="n">
        <x:v>-29</x:v>
      </x:c>
      <x:c r="I49" s="116" t="str">
        <x:v>Strong WR2 with top-12 weekly upside.</x:v>
      </x:c>
      <x:c r="J49" s="116" t="str">
        <x:v>He produced 17.2 PPR/FP points per game across 17 games. The workload/efficiency profile gives the model a rate-based reason to keep him here. The market is more aggressive at ADP 16 versus model overall rank 45, so price matters.</x:v>
      </x:c>
      <x:c r="K49" s="116" t="str">
        <x:v>Price is the biggest risk: the market currently asks you to draft him earlier than the model prefers.</x:v>
      </x:c>
      <x:c r="L49" s="48" t="str">
        <x:v>A</x:v>
      </x:c>
      <x:c r="M49" s="48" t="str">
        <x:v>RATE-ADJUSTED VETERAN</x:v>
      </x:c>
      <x:c r="N49"/>
      <x:c r="O49"/>
      <x:c r="P49"/>
      <x:c r="Q49" s="98"/>
    </x:row>
    <x:row r="50">
      <x:c r="A50" t="n">
        <x:v>46</x:v>
      </x:c>
      <x:c r="B50" t="str">
        <x:v>TE</x:v>
      </x:c>
      <x:c r="C50" t="n">
        <x:v>6</x:v>
      </x:c>
      <x:c r="D50" s="48" t="str">
        <x:v>Kyle Pitts Sr.</x:v>
      </x:c>
      <x:c r="E50" s="48" t="n">
        <x:v>85.30445968766767</x:v>
      </x:c>
      <x:c r="F50" s="48" t="str">
        <x:v>TIER 2</x:v>
      </x:c>
      <x:c r="G50" s="48" t="n">
        <x:v>62</x:v>
      </x:c>
      <x:c r="H50" s="48" t="n">
        <x:v>16</x:v>
      </x:c>
      <x:c r="I50" s="116" t="str">
        <x:v>Every-week TE1 with real top-5 upside.</x:v>
      </x:c>
      <x:c r="J50" s="116" t="str">
        <x:v>He produced 12.4 PPR/FP points per game across 17 games. The workload/efficiency profile gives the model a rate-based reason to keep him here. Market price is favorable around ADP 62 versus model overall rank 46.</x:v>
      </x:c>
      <x:c r="K50" s="116" t="str">
        <x:v>Route share, target volume and touchdown volatility are the main swing factors.</x:v>
      </x:c>
      <x:c r="L50" s="48" t="str">
        <x:v>A</x:v>
      </x:c>
      <x:c r="M50" s="48" t="str">
        <x:v>RATE-ADJUSTED VETERAN</x:v>
      </x:c>
      <x:c r="N50"/>
      <x:c r="O50"/>
      <x:c r="P50"/>
      <x:c r="Q50" s="98"/>
    </x:row>
    <x:row r="51">
      <x:c r="A51" t="n">
        <x:v>47</x:v>
      </x:c>
      <x:c r="B51" t="str">
        <x:v>RB</x:v>
      </x:c>
      <x:c r="C51" t="n">
        <x:v>20</x:v>
      </x:c>
      <x:c r="D51" s="48" t="str">
        <x:v>D'Andre Swift</x:v>
      </x:c>
      <x:c r="E51" s="48" t="n">
        <x:v>79.98556548600793</x:v>
      </x:c>
      <x:c r="F51" s="48" t="str">
        <x:v>TIER 4</x:v>
      </x:c>
      <x:c r="G51" s="48" t="n">
        <x:v>81.8</x:v>
      </x:c>
      <x:c r="H51" s="48" t="n">
        <x:v>34.8</x:v>
      </x:c>
      <x:c r="I51" s="116" t="str">
        <x:v>RB2 with RB1 weeks; should be a regular starter.</x:v>
      </x:c>
      <x:c r="J51" s="116" t="str">
        <x:v>He produced 14.3 PPR/FP points per game across 16 games. The workload/efficiency profile gives the model a rate-based reason to keep him here. Market price is favorable around ADP 82 versus model overall rank 47.</x:v>
      </x:c>
      <x:c r="K51" s="116" t="str">
        <x:v>Touchdown variance, receiving-role changes and backfield competition are the main downside paths.</x:v>
      </x:c>
      <x:c r="L51" s="48" t="str">
        <x:v>A</x:v>
      </x:c>
      <x:c r="M51" s="48" t="str">
        <x:v>RATE-ADJUSTED VETERAN</x:v>
      </x:c>
      <x:c r="N51"/>
      <x:c r="O51"/>
      <x:c r="P51"/>
      <x:c r="Q51" s="98"/>
    </x:row>
    <x:row r="52">
      <x:c r="A52" t="n">
        <x:v>48</x:v>
      </x:c>
      <x:c r="B52" t="str">
        <x:v>RB</x:v>
      </x:c>
      <x:c r="C52" t="n">
        <x:v>21</x:v>
      </x:c>
      <x:c r="D52" s="48" t="str">
        <x:v>Bucky Irving</x:v>
      </x:c>
      <x:c r="E52" s="48" t="n">
        <x:v>79.93547988785315</x:v>
      </x:c>
      <x:c r="F52" s="48" t="str">
        <x:v>TIER 4</x:v>
      </x:c>
      <x:c r="G52" s="48" t="n">
        <x:v>86</x:v>
      </x:c>
      <x:c r="H52" s="48" t="n">
        <x:v>38</x:v>
      </x:c>
      <x:c r="I52" s="116" t="str">
        <x:v>RB2/FLEX; useful weekly but role and receiving volume matter.</x:v>
      </x:c>
      <x:c r="J52" s="116" t="str">
        <x:v>He produced 13.8 PPR/FP points per game across 10 games. The workload/efficiency profile gives the model a rate-based reason to keep him here. Market price is favorable around ADP 86 versus model overall rank 48.</x:v>
      </x:c>
      <x:c r="K52" s="116" t="str">
        <x:v>Touchdown variance, receiving-role changes and backfield competition are the main downside paths.</x:v>
      </x:c>
      <x:c r="L52" s="48" t="str">
        <x:v>B</x:v>
      </x:c>
      <x:c r="M52" s="48" t="str">
        <x:v>RATE-ADJUSTED VETERAN</x:v>
      </x:c>
      <x:c r="N52"/>
      <x:c r="O52"/>
      <x:c r="P52"/>
      <x:c r="Q52" s="98"/>
    </x:row>
    <x:row r="53">
      <x:c r="A53" t="n">
        <x:v>49</x:v>
      </x:c>
      <x:c r="B53" t="str">
        <x:v>RB</x:v>
      </x:c>
      <x:c r="C53" t="n">
        <x:v>22</x:v>
      </x:c>
      <x:c r="D53" s="48" t="str">
        <x:v>Quinshon Judkins</x:v>
      </x:c>
      <x:c r="E53" s="48" t="n">
        <x:v>79.930324528899</x:v>
      </x:c>
      <x:c r="F53" s="48" t="str">
        <x:v>TIER 4</x:v>
      </x:c>
      <x:c r="G53" s="48" t="n">
        <x:v>90.2</x:v>
      </x:c>
      <x:c r="H53" s="48" t="n">
        <x:v>41.2</x:v>
      </x:c>
      <x:c r="I53" s="116" t="str">
        <x:v>RB2/FLEX; useful weekly but role and receiving volume matter.</x:v>
      </x:c>
      <x:c r="J53" s="116" t="str">
        <x:v>He produced 12.2 PPR/FP points per game across 14 games. The workload/efficiency profile gives the model a rate-based reason to keep him here. Market price is favorable around ADP 90 versus model overall rank 49.</x:v>
      </x:c>
      <x:c r="K53" s="116" t="str">
        <x:v>Touchdown variance, receiving-role changes and backfield competition are the main downside paths.</x:v>
      </x:c>
      <x:c r="L53" s="48" t="str">
        <x:v>A</x:v>
      </x:c>
      <x:c r="M53" s="48" t="str">
        <x:v>RATE-ADJUSTED VETERAN</x:v>
      </x:c>
      <x:c r="N53"/>
      <x:c r="O53"/>
      <x:c r="P53"/>
      <x:c r="Q53" s="98"/>
    </x:row>
    <x:row r="54">
      <x:c r="A54" t="n">
        <x:v>50</x:v>
      </x:c>
      <x:c r="B54" t="str">
        <x:v>QB</x:v>
      </x:c>
      <x:c r="C54" t="n">
        <x:v>5</x:v>
      </x:c>
      <x:c r="D54" s="48" t="str">
        <x:v>Lamar Jackson</x:v>
      </x:c>
      <x:c r="E54" s="48" t="n">
        <x:v>88.71118360968082</x:v>
      </x:c>
      <x:c r="F54" s="48" t="str">
        <x:v>TIER 2</x:v>
      </x:c>
      <x:c r="G54" s="48" t="n">
        <x:v>54</x:v>
      </x:c>
      <x:c r="H54" s="48" t="n">
        <x:v>4</x:v>
      </x:c>
      <x:c r="I54" s="116" t="str">
        <x:v>Strong every-week QB1; frequent top-8 finishes expected.</x:v>
      </x:c>
      <x:c r="J54" s="116" t="str">
        <x:v>He produced 17.1 PPR/FP points per game across 13 games. The workload/efficiency profile gives the model a rate-based reason to keep him here.</x:v>
      </x:c>
      <x:c r="K54" s="116" t="str">
        <x:v>Passing-TD efficiency, rushing volume and supporting-cast health are the main swing factors.</x:v>
      </x:c>
      <x:c r="L54" s="48" t="str">
        <x:v>A</x:v>
      </x:c>
      <x:c r="M54" s="48" t="str">
        <x:v>RATE-ADJUSTED VETERAN</x:v>
      </x:c>
      <x:c r="N54"/>
      <x:c r="O54"/>
      <x:c r="P54"/>
      <x:c r="Q54" s="98"/>
    </x:row>
    <x:row r="55">
      <x:c r="A55" t="n">
        <x:v>51</x:v>
      </x:c>
      <x:c r="B55" t="str">
        <x:v>WR</x:v>
      </x:c>
      <x:c r="C55" t="n">
        <x:v>17</x:v>
      </x:c>
      <x:c r="D55" s="48" t="str">
        <x:v>Ladd McConkey</x:v>
      </x:c>
      <x:c r="E55" s="48" t="n">
        <x:v>82.7325</x:v>
      </x:c>
      <x:c r="F55" s="48" t="str">
        <x:v>TIER 3</x:v>
      </x:c>
      <x:c r="G55" s="48" t="n">
        <x:v>84.89999999999999</x:v>
      </x:c>
      <x:c r="H55" s="48" t="n">
        <x:v>33.89999999999999</x:v>
      </x:c>
      <x:c r="I55" s="116" t="str">
        <x:v>Strong WR2 with top-12 weekly upside.</x:v>
      </x:c>
      <x:c r="J55" s="116" t="str">
        <x:v>The 2026 opportunity and projection carry most of the grade because detailed 2025 rate data is incomplete. Market price is favorable around ADP 85 versus model overall rank 51.</x:v>
      </x:c>
      <x:c r="K55" s="116" t="str">
        <x:v>Target competition, quarterback efficiency and touchdown regression are the main downside paths.</x:v>
      </x:c>
      <x:c r="L55" s="48" t="str">
        <x:v>B</x:v>
      </x:c>
      <x:c r="M55" s="48" t="str">
        <x:v>HISTORY FALLBACK</x:v>
      </x:c>
      <x:c r="N55"/>
      <x:c r="O55"/>
      <x:c r="P55"/>
      <x:c r="Q55" s="98"/>
    </x:row>
    <x:row r="56">
      <x:c r="A56" t="n">
        <x:v>52</x:v>
      </x:c>
      <x:c r="B56" t="str">
        <x:v>WR</x:v>
      </x:c>
      <x:c r="C56" t="n">
        <x:v>18</x:v>
      </x:c>
      <x:c r="D56" s="48" t="str">
        <x:v>Jaylen Waddle</x:v>
      </x:c>
      <x:c r="E56" s="48" t="n">
        <x:v>82.3175</x:v>
      </x:c>
      <x:c r="F56" s="48" t="str">
        <x:v>TIER 3</x:v>
      </x:c>
      <x:c r="G56" s="48" t="n">
        <x:v>77.1</x:v>
      </x:c>
      <x:c r="H56" s="48" t="n">
        <x:v>25.099999999999994</x:v>
      </x:c>
      <x:c r="I56" s="116" t="str">
        <x:v>Strong WR2 with top-12 weekly upside.</x:v>
      </x:c>
      <x:c r="J56" s="116" t="str">
        <x:v>He produced 12.1 PPR/FP points per game across 16 games. The workload/efficiency profile gives the model a rate-based reason to keep him here. Market price is favorable around ADP 77 versus model overall rank 52.</x:v>
      </x:c>
      <x:c r="K56" s="116" t="str">
        <x:v>Target competition, quarterback efficiency and touchdown regression are the main downside paths.</x:v>
      </x:c>
      <x:c r="L56" s="48" t="str">
        <x:v>A</x:v>
      </x:c>
      <x:c r="M56" s="48" t="str">
        <x:v>RATE-ADJUSTED VETERAN</x:v>
      </x:c>
      <x:c r="N56"/>
      <x:c r="O56"/>
      <x:c r="P56"/>
      <x:c r="Q56" s="98"/>
    </x:row>
    <x:row r="57">
      <x:c r="A57" t="n">
        <x:v>53</x:v>
      </x:c>
      <x:c r="B57" t="str">
        <x:v>TE</x:v>
      </x:c>
      <x:c r="C57" t="n">
        <x:v>7</x:v>
      </x:c>
      <x:c r="D57" s="48" t="str">
        <x:v>Harold Fannin Jr.</x:v>
      </x:c>
      <x:c r="E57" s="48" t="n">
        <x:v>84.37768905814795</x:v>
      </x:c>
      <x:c r="F57" s="48" t="str">
        <x:v>TIER 3</x:v>
      </x:c>
      <x:c r="G57" s="48" t="n">
        <x:v>71</x:v>
      </x:c>
      <x:c r="H57" s="48" t="n">
        <x:v>18</x:v>
      </x:c>
      <x:c r="I57" s="116" t="str">
        <x:v>Every-week TE1 with real top-5 upside.</x:v>
      </x:c>
      <x:c r="J57" s="116" t="str">
        <x:v>He produced 11.7 PPR/FP points per game across 16 games. The workload/efficiency profile gives the model a rate-based reason to keep him here. Market price is favorable around ADP 71 versus model overall rank 53.</x:v>
      </x:c>
      <x:c r="K57" s="116" t="str">
        <x:v>Route share, target volume and touchdown volatility are the main swing factors.</x:v>
      </x:c>
      <x:c r="L57" s="48" t="str">
        <x:v>A</x:v>
      </x:c>
      <x:c r="M57" s="48" t="str">
        <x:v>RATE-ADJUSTED VETERAN</x:v>
      </x:c>
      <x:c r="N57"/>
      <x:c r="O57"/>
      <x:c r="P57"/>
      <x:c r="Q57" s="98"/>
    </x:row>
    <x:row r="58">
      <x:c r="A58" t="n">
        <x:v>54</x:v>
      </x:c>
      <x:c r="B58" t="str">
        <x:v>QB</x:v>
      </x:c>
      <x:c r="C58" t="n">
        <x:v>6</x:v>
      </x:c>
      <x:c r="D58" s="48" t="str">
        <x:v>Jalen Hurts</x:v>
      </x:c>
      <x:c r="E58" s="48" t="n">
        <x:v>88.44992587495246</x:v>
      </x:c>
      <x:c r="F58" s="48" t="str">
        <x:v>TIER 2</x:v>
      </x:c>
      <x:c r="G58" s="48" t="n">
        <x:v>62</x:v>
      </x:c>
      <x:c r="H58" s="48" t="n">
        <x:v>8</x:v>
      </x:c>
      <x:c r="I58" s="116" t="str">
        <x:v>Strong every-week QB1; frequent top-8 finishes expected.</x:v>
      </x:c>
      <x:c r="J58" s="116" t="str">
        <x:v>He produced 19.1 PPR/FP points per game across 16 games. The workload/efficiency profile gives the model a rate-based reason to keep him here.</x:v>
      </x:c>
      <x:c r="K58" s="116" t="str">
        <x:v>Passing-TD efficiency, rushing volume and supporting-cast health are the main swing factors.</x:v>
      </x:c>
      <x:c r="L58" s="48" t="str">
        <x:v>A</x:v>
      </x:c>
      <x:c r="M58" s="48" t="str">
        <x:v>RATE-ADJUSTED VETERAN</x:v>
      </x:c>
      <x:c r="N58"/>
      <x:c r="O58"/>
      <x:c r="P58"/>
      <x:c r="Q58" s="98"/>
    </x:row>
    <x:row r="59">
      <x:c r="A59" t="n">
        <x:v>55</x:v>
      </x:c>
      <x:c r="B59" t="str">
        <x:v>WR</x:v>
      </x:c>
      <x:c r="C59" t="n">
        <x:v>20</x:v>
      </x:c>
      <x:c r="D59" s="48" t="str">
        <x:v>Emeka Egbuka</x:v>
      </x:c>
      <x:c r="E59" s="48" t="n">
        <x:v>81.735</x:v>
      </x:c>
      <x:c r="F59" s="48" t="str">
        <x:v>TIER 3</x:v>
      </x:c>
      <x:c r="G59" s="48" t="n">
        <x:v>73.2</x:v>
      </x:c>
      <x:c r="H59" s="48" t="n">
        <x:v>18.200000000000003</x:v>
      </x:c>
      <x:c r="I59" s="116" t="str">
        <x:v>Strong WR2 with top-12 weekly upside.</x:v>
      </x:c>
      <x:c r="J59" s="116" t="str">
        <x:v>He produced 11.5 PPR/FP points per game across 17 games. The workload/efficiency profile gives the model a rate-based reason to keep him here. Market price is favorable around ADP 73 versus model overall rank 55.</x:v>
      </x:c>
      <x:c r="K59" s="116" t="str">
        <x:v>Target competition, quarterback efficiency and touchdown regression are the main downside paths.</x:v>
      </x:c>
      <x:c r="L59" s="48" t="str">
        <x:v>A</x:v>
      </x:c>
      <x:c r="M59" s="48" t="str">
        <x:v>RATE-ADJUSTED VETERAN</x:v>
      </x:c>
      <x:c r="N59"/>
      <x:c r="O59"/>
      <x:c r="P59"/>
      <x:c r="Q59" s="98"/>
    </x:row>
    <x:row r="60">
      <x:c r="A60" t="n">
        <x:v>56</x:v>
      </x:c>
      <x:c r="B60" t="str">
        <x:v>TE</x:v>
      </x:c>
      <x:c r="C60" t="n">
        <x:v>8</x:v>
      </x:c>
      <x:c r="D60" s="48" t="str">
        <x:v>Jake Ferguson</x:v>
      </x:c>
      <x:c r="E60" s="48" t="n">
        <x:v>84.07301065327228</x:v>
      </x:c>
      <x:c r="F60" s="48" t="str">
        <x:v>TIER 3</x:v>
      </x:c>
      <x:c r="G60" s="48" t="n">
        <x:v>80</x:v>
      </x:c>
      <x:c r="H60" s="48" t="n">
        <x:v>24</x:v>
      </x:c>
      <x:c r="I60" s="116" t="str">
        <x:v>Every-week TE1 with real top-5 upside.</x:v>
      </x:c>
      <x:c r="J60" s="116" t="str">
        <x:v>He produced 11.0 PPR/FP points per game across 17 games. The workload/efficiency profile gives the model a rate-based reason to keep him here. Market price is favorable around ADP 80 versus model overall rank 56.</x:v>
      </x:c>
      <x:c r="K60" s="116" t="str">
        <x:v>Route share, target volume and touchdown volatility are the main swing factors.</x:v>
      </x:c>
      <x:c r="L60" s="48" t="str">
        <x:v>A</x:v>
      </x:c>
      <x:c r="M60" s="48" t="str">
        <x:v>RATE-ADJUSTED VETERAN</x:v>
      </x:c>
      <x:c r="N60"/>
      <x:c r="O60"/>
      <x:c r="P60"/>
      <x:c r="Q60" s="98"/>
    </x:row>
    <x:row r="61">
      <x:c r="A61" t="n">
        <x:v>57</x:v>
      </x:c>
      <x:c r="B61" t="str">
        <x:v>WR</x:v>
      </x:c>
      <x:c r="C61" t="n">
        <x:v>21</x:v>
      </x:c>
      <x:c r="D61" s="48" t="str">
        <x:v>Malik Nabers</x:v>
      </x:c>
      <x:c r="E61" s="48" t="n">
        <x:v>81.1525</x:v>
      </x:c>
      <x:c r="F61" s="48" t="str">
        <x:v>TIER 3</x:v>
      </x:c>
      <x:c r="G61" s="48" t="n">
        <x:v>69.3</x:v>
      </x:c>
      <x:c r="H61" s="48" t="n">
        <x:v>12.299999999999997</x:v>
      </x:c>
      <x:c r="I61" s="116" t="str">
        <x:v>Strong WR2 with top-12 weekly upside.</x:v>
      </x:c>
      <x:c r="J61" s="116" t="str">
        <x:v>The 2026 opportunity and projection carry most of the grade because detailed 2025 rate data is incomplete. Market price is favorable around ADP 69 versus model overall rank 57.</x:v>
      </x:c>
      <x:c r="K61" s="116" t="str">
        <x:v>Evidence is thinner than for established veterans, so camp, depth-chart and role news can move the grade materially.</x:v>
      </x:c>
      <x:c r="L61" s="48" t="str">
        <x:v>C</x:v>
      </x:c>
      <x:c r="M61" s="48" t="str">
        <x:v>HISTORY FALLBACK</x:v>
      </x:c>
      <x:c r="N61"/>
      <x:c r="O61"/>
      <x:c r="P61"/>
      <x:c r="Q61" s="98"/>
    </x:row>
    <x:row r="62">
      <x:c r="A62" t="n">
        <x:v>58</x:v>
      </x:c>
      <x:c r="B62" t="str">
        <x:v>TE</x:v>
      </x:c>
      <x:c r="C62" t="n">
        <x:v>9</x:v>
      </x:c>
      <x:c r="D62" s="48" t="str">
        <x:v>Tucker Kraft</x:v>
      </x:c>
      <x:c r="E62" s="48" t="n">
        <x:v>83.80862670075135</x:v>
      </x:c>
      <x:c r="F62" s="48" t="str">
        <x:v>TIER 3</x:v>
      </x:c>
      <x:c r="G62" s="48" t="n">
        <x:v>89</x:v>
      </x:c>
      <x:c r="H62" s="48" t="n">
        <x:v>31</x:v>
      </x:c>
      <x:c r="I62" s="116" t="str">
        <x:v>Low-end TE1; startable but replacement options remain close.</x:v>
      </x:c>
      <x:c r="J62" s="116" t="str">
        <x:v>He produced 14.6 PPR/FP points per game across 8 games. The workload/efficiency profile gives the model a rate-based reason to keep him here. Market price is favorable around ADP 89 versus model overall rank 58.</x:v>
      </x:c>
      <x:c r="K62" s="116" t="str">
        <x:v>Availability/sample risk is elevated after only 8 games; talent is not being punished as heavily as durability.</x:v>
      </x:c>
      <x:c r="L62" s="48" t="str">
        <x:v>B</x:v>
      </x:c>
      <x:c r="M62" s="48" t="str">
        <x:v>RATE-ADJUSTED VETERAN</x:v>
      </x:c>
      <x:c r="N62"/>
      <x:c r="O62"/>
      <x:c r="P62"/>
      <x:c r="Q62" s="98"/>
    </x:row>
    <x:row r="63">
      <x:c r="A63" t="n">
        <x:v>59</x:v>
      </x:c>
      <x:c r="B63" t="str">
        <x:v>RB</x:v>
      </x:c>
      <x:c r="C63" t="n">
        <x:v>23</x:v>
      </x:c>
      <x:c r="D63" s="48" t="str">
        <x:v>David Montgomery</x:v>
      </x:c>
      <x:c r="E63" s="48" t="n">
        <x:v>77.91019458711787</x:v>
      </x:c>
      <x:c r="F63" s="48" t="str">
        <x:v>TIER 4</x:v>
      </x:c>
      <x:c r="G63" s="48" t="n">
        <x:v>94.4</x:v>
      </x:c>
      <x:c r="H63" s="48" t="n">
        <x:v>35.400000000000006</x:v>
      </x:c>
      <x:c r="I63" s="116" t="str">
        <x:v>RB2/FLEX; useful weekly but role and receiving volume matter.</x:v>
      </x:c>
      <x:c r="J63" s="116" t="str">
        <x:v>He produced 9.8 PPR/FP points per game across 17 games. The workload/efficiency profile gives the model a rate-based reason to keep him here. Market price is favorable around ADP 94 versus model overall rank 59.</x:v>
      </x:c>
      <x:c r="K63" s="116" t="str">
        <x:v>Touchdown variance, receiving-role changes and backfield competition are the main downside paths.</x:v>
      </x:c>
      <x:c r="L63" s="48" t="str">
        <x:v>A</x:v>
      </x:c>
      <x:c r="M63" s="48" t="str">
        <x:v>RATE-ADJUSTED VETERAN</x:v>
      </x:c>
      <x:c r="N63"/>
      <x:c r="O63"/>
      <x:c r="P63"/>
      <x:c r="Q63" s="98"/>
    </x:row>
    <x:row r="64">
      <x:c r="A64" t="n">
        <x:v>60</x:v>
      </x:c>
      <x:c r="B64" t="str">
        <x:v>RB</x:v>
      </x:c>
      <x:c r="C64" t="n">
        <x:v>24</x:v>
      </x:c>
      <x:c r="D64" s="48" t="str">
        <x:v>TreVeyon Henderson</x:v>
      </x:c>
      <x:c r="E64" s="48" t="n">
        <x:v>77.83249669656783</x:v>
      </x:c>
      <x:c r="F64" s="48" t="str">
        <x:v>TIER 4</x:v>
      </x:c>
      <x:c r="G64" s="48" t="n">
        <x:v>98.60000000000001</x:v>
      </x:c>
      <x:c r="H64" s="48" t="n">
        <x:v>38.60000000000001</x:v>
      </x:c>
      <x:c r="I64" s="116" t="str">
        <x:v>RB2/FLEX; useful weekly but role and receiving volume matter.</x:v>
      </x:c>
      <x:c r="J64" s="116" t="str">
        <x:v>He produced 12.2 PPR/FP points per game across 17 games. The workload/efficiency profile gives the model a rate-based reason to keep him here. Market price is favorable around ADP 99 versus model overall rank 60.</x:v>
      </x:c>
      <x:c r="K64" s="116" t="str">
        <x:v>Touchdown variance, receiving-role changes and backfield competition are the main downside paths.</x:v>
      </x:c>
      <x:c r="L64" s="48" t="str">
        <x:v>A</x:v>
      </x:c>
      <x:c r="M64" s="48" t="str">
        <x:v>RATE-ADJUSTED VETERAN</x:v>
      </x:c>
      <x:c r="N64"/>
      <x:c r="O64"/>
      <x:c r="P64"/>
      <x:c r="Q64" s="98"/>
    </x:row>
    <x:row r="65">
      <x:c r="A65" t="n">
        <x:v>61</x:v>
      </x:c>
      <x:c r="B65" t="str">
        <x:v>QB</x:v>
      </x:c>
      <x:c r="C65" t="n">
        <x:v>7</x:v>
      </x:c>
      <x:c r="D65" s="48" t="str">
        <x:v>Patrick Mahomes II</x:v>
      </x:c>
      <x:c r="E65" s="48" t="n">
        <x:v>87.00630420406199</x:v>
      </x:c>
      <x:c r="F65" s="48" t="str">
        <x:v>TIER 2</x:v>
      </x:c>
      <x:c r="G65" s="48" t="n">
        <x:v>70</x:v>
      </x:c>
      <x:c r="H65" s="48" t="n">
        <x:v>9</x:v>
      </x:c>
      <x:c r="I65" s="116" t="str">
        <x:v>Strong every-week QB1; frequent top-8 finishes expected.</x:v>
      </x:c>
      <x:c r="J65" s="116" t="str">
        <x:v>He produced 21.1 PPR/FP points per game across 14 games. The workload/efficiency profile gives the model a rate-based reason to keep him here.</x:v>
      </x:c>
      <x:c r="K65" s="116" t="str">
        <x:v>Passing-TD efficiency, rushing volume and supporting-cast health are the main swing factors.</x:v>
      </x:c>
      <x:c r="L65" s="48" t="str">
        <x:v>A</x:v>
      </x:c>
      <x:c r="M65" s="48" t="str">
        <x:v>RATE-ADJUSTED VETERAN</x:v>
      </x:c>
      <x:c r="N65"/>
      <x:c r="O65"/>
      <x:c r="P65"/>
      <x:c r="Q65" s="98"/>
    </x:row>
    <x:row r="66">
      <x:c r="A66" t="n">
        <x:v>62</x:v>
      </x:c>
      <x:c r="B66" t="str">
        <x:v>WR</x:v>
      </x:c>
      <x:c r="C66" t="n">
        <x:v>22</x:v>
      </x:c>
      <x:c r="D66" s="48" t="str">
        <x:v>Terry McLaurin</x:v>
      </x:c>
      <x:c r="E66" s="48" t="n">
        <x:v>79.9</x:v>
      </x:c>
      <x:c r="F66" s="48" t="str">
        <x:v>TIER 4</x:v>
      </x:c>
      <x:c r="G66" s="48" t="n">
        <x:v>81</x:v>
      </x:c>
      <x:c r="H66" s="48" t="n">
        <x:v>19</x:v>
      </x:c>
      <x:c r="I66" s="116" t="str">
        <x:v>Strong WR2 with top-12 weekly upside.</x:v>
      </x:c>
      <x:c r="J66" s="116" t="str">
        <x:v>He produced 11.4 PPR/FP points per game across 10 games. The workload/efficiency profile gives the model a rate-based reason to keep him here. Market price is favorable around ADP 81 versus model overall rank 62.</x:v>
      </x:c>
      <x:c r="K66" s="116" t="str">
        <x:v>Target competition, quarterback efficiency and touchdown regression are the main downside paths.</x:v>
      </x:c>
      <x:c r="L66" s="48" t="str">
        <x:v>B</x:v>
      </x:c>
      <x:c r="M66" s="48" t="str">
        <x:v>RATE-ADJUSTED VETERAN</x:v>
      </x:c>
      <x:c r="N66"/>
      <x:c r="O66"/>
      <x:c r="P66"/>
      <x:c r="Q66" s="98"/>
    </x:row>
    <x:row r="67">
      <x:c r="A67" t="n">
        <x:v>63</x:v>
      </x:c>
      <x:c r="B67" t="str">
        <x:v>TE</x:v>
      </x:c>
      <x:c r="C67" t="n">
        <x:v>10</x:v>
      </x:c>
      <x:c r="D67" s="48" t="str">
        <x:v>Sam LaPorta</x:v>
      </x:c>
      <x:c r="E67" s="48" t="n">
        <x:v>82.86528996546019</x:v>
      </x:c>
      <x:c r="F67" s="48" t="str">
        <x:v>TIER 3</x:v>
      </x:c>
      <x:c r="G67" s="48" t="n">
        <x:v>98</x:v>
      </x:c>
      <x:c r="H67" s="48" t="n">
        <x:v>35</x:v>
      </x:c>
      <x:c r="I67" s="116" t="str">
        <x:v>Low-end TE1; startable but replacement options remain close.</x:v>
      </x:c>
      <x:c r="J67" s="116" t="str">
        <x:v>He produced 11.8 PPR/FP points per game across 9 games. The workload/efficiency profile gives the model a rate-based reason to keep him here. Market price is favorable around ADP 98 versus model overall rank 63.</x:v>
      </x:c>
      <x:c r="K67" s="116" t="str">
        <x:v>Availability/sample risk is elevated after only 9 games; talent is not being punished as heavily as durability.</x:v>
      </x:c>
      <x:c r="L67" s="48" t="str">
        <x:v>B</x:v>
      </x:c>
      <x:c r="M67" s="48" t="str">
        <x:v>RATE-ADJUSTED VETERAN</x:v>
      </x:c>
      <x:c r="N67"/>
      <x:c r="O67"/>
      <x:c r="P67"/>
      <x:c r="Q67" s="98"/>
    </x:row>
    <x:row r="68">
      <x:c r="A68" t="n">
        <x:v>64</x:v>
      </x:c>
      <x:c r="B68" t="str">
        <x:v>QB</x:v>
      </x:c>
      <x:c r="C68" t="n">
        <x:v>8</x:v>
      </x:c>
      <x:c r="D68" s="48" t="str">
        <x:v>Jayden Daniels</x:v>
      </x:c>
      <x:c r="E68" s="48" t="n">
        <x:v>86.70031647962188</x:v>
      </x:c>
      <x:c r="F68" s="48" t="str">
        <x:v>TIER 2</x:v>
      </x:c>
      <x:c r="G68" s="48" t="n">
        <x:v>78</x:v>
      </x:c>
      <x:c r="H68" s="48" t="n">
        <x:v>14</x:v>
      </x:c>
      <x:c r="I68" s="116" t="str">
        <x:v>Strong every-week QB1; frequent top-8 finishes expected.</x:v>
      </x:c>
      <x:c r="J68" s="116" t="str">
        <x:v>He produced 16.7 PPR/FP points per game across 7 games. The workload/efficiency profile gives the model a rate-based reason to keep him here. Market price is favorable around ADP 78 versus model overall rank 64.</x:v>
      </x:c>
      <x:c r="K68" s="116" t="str">
        <x:v>Availability/sample risk is elevated after only 7 games; talent is not being punished as heavily as durability.</x:v>
      </x:c>
      <x:c r="L68" s="48" t="str">
        <x:v>B</x:v>
      </x:c>
      <x:c r="M68" s="48" t="str">
        <x:v>RATE-ADJUSTED VETERAN</x:v>
      </x:c>
      <x:c r="N68"/>
      <x:c r="O68"/>
      <x:c r="P68"/>
      <x:c r="Q68" s="98"/>
    </x:row>
    <x:row r="69">
      <x:c r="A69" t="n">
        <x:v>65</x:v>
      </x:c>
      <x:c r="B69" t="str">
        <x:v>K</x:v>
      </x:c>
      <x:c r="C69" t="n">
        <x:v>1</x:v>
      </x:c>
      <x:c r="D69" s="48" t="str">
        <x:v>Brandon Aubrey</x:v>
      </x:c>
      <x:c r="E69" s="48" t="n">
        <x:v>94</x:v>
      </x:c>
      <x:c r="F69" s="48" t="str">
        <x:v>TIER 1</x:v>
      </x:c>
      <x:c r="G69" s="48" t="n">
        <x:v>155</x:v>
      </x:c>
      <x:c r="H69" s="48" t="n">
        <x:v>90</x:v>
      </x:c>
      <x:c r="I69" s="116" t="str">
        <x:v>Top-tier kicker option, but still a final-round target.</x:v>
      </x:c>
      <x:c r="J69" s="116" t="str">
        <x:v>Ranks near the top of the current kicker pool, but kicker week-to-week separation is small in a 10-team league.</x:v>
      </x:c>
      <x:c r="K69" s="116" t="str">
        <x:v>Kicker scoring is volatile and replaceable on waivers; do not pay meaningful draft capital.</x:v>
      </x:c>
      <x:c r="L69" s="48" t="str">
        <x:v>B</x:v>
      </x:c>
      <x:c r="M69" s="48" t="str">
        <x:v>KICKER MODEL</x:v>
      </x:c>
      <x:c r="N69"/>
      <x:c r="O69"/>
      <x:c r="P69"/>
      <x:c r="Q69" s="98"/>
    </x:row>
    <x:row r="70">
      <x:c r="A70" t="n">
        <x:v>66</x:v>
      </x:c>
      <x:c r="B70" t="str">
        <x:v>RB</x:v>
      </x:c>
      <x:c r="C70" t="n">
        <x:v>25</x:v>
      </x:c>
      <x:c r="D70" s="48" t="str">
        <x:v>Jadarian Price</x:v>
      </x:c>
      <x:c r="E70" s="48" t="n">
        <x:v>76.66217827185447</x:v>
      </x:c>
      <x:c r="F70" s="48" t="str">
        <x:v>TIER 4</x:v>
      </x:c>
      <x:c r="G70" s="48" t="n">
        <x:v>102.80000000000001</x:v>
      </x:c>
      <x:c r="H70" s="48" t="n">
        <x:v>36.80000000000001</x:v>
      </x:c>
      <x:c r="I70" s="116" t="str">
        <x:v>RB2/FLEX; useful weekly but role and receiving volume matter.</x:v>
      </x:c>
      <x:c r="J70" s="116" t="str">
        <x:v>Rookie score 85.6, backed by No. 32 draft capital and a 6.38 NFL prospect grade. The 2026 role projection is strong enough to replace missing NFL history. Market price is favorable around ADP 103 versus model overall rank 66.</x:v>
      </x:c>
      <x:c r="K70" s="116" t="str">
        <x:v>NFL translation and exact weekly role are the main variables; preseason first-team usage can move this rating quickly.</x:v>
      </x:c>
      <x:c r="L70" s="48" t="str">
        <x:v>B</x:v>
      </x:c>
      <x:c r="M70" s="48" t="str">
        <x:v>ROOKIE ENGINE</x:v>
      </x:c>
      <x:c r="N70"/>
      <x:c r="O70"/>
      <x:c r="P70"/>
      <x:c r="Q70" s="98"/>
    </x:row>
    <x:row r="71">
      <x:c r="A71" t="n">
        <x:v>67</x:v>
      </x:c>
      <x:c r="B71" t="str">
        <x:v>TE</x:v>
      </x:c>
      <x:c r="C71" t="n">
        <x:v>11</x:v>
      </x:c>
      <x:c r="D71" s="48" t="str">
        <x:v>Dalton Kincaid</x:v>
      </x:c>
      <x:c r="E71" s="48" t="n">
        <x:v>81.91409342545279</x:v>
      </x:c>
      <x:c r="F71" s="48" t="str">
        <x:v>TIER 3</x:v>
      </x:c>
      <x:c r="G71" s="48" t="n">
        <x:v>107</x:v>
      </x:c>
      <x:c r="H71" s="48" t="n">
        <x:v>40</x:v>
      </x:c>
      <x:c r="I71" s="116" t="str">
        <x:v>Low-end TE1; startable but replacement options remain close.</x:v>
      </x:c>
      <x:c r="J71" s="116" t="str">
        <x:v>He produced 10.6 PPR/FP points per game across 12 games. The workload/efficiency profile gives the model a rate-based reason to keep him here. Market price is favorable around ADP 107 versus model overall rank 67.</x:v>
      </x:c>
      <x:c r="K71" s="116" t="str">
        <x:v>Route share, target volume and touchdown volatility are the main swing factors.</x:v>
      </x:c>
      <x:c r="L71" s="48" t="str">
        <x:v>A</x:v>
      </x:c>
      <x:c r="M71" s="48" t="str">
        <x:v>RATE-ADJUSTED VETERAN</x:v>
      </x:c>
      <x:c r="N71"/>
      <x:c r="O71"/>
      <x:c r="P71"/>
      <x:c r="Q71" s="98"/>
    </x:row>
    <x:row r="72">
      <x:c r="A72" t="n">
        <x:v>68</x:v>
      </x:c>
      <x:c r="B72" t="str">
        <x:v>K</x:v>
      </x:c>
      <x:c r="C72" t="n">
        <x:v>2</x:v>
      </x:c>
      <x:c r="D72" s="48" t="str">
        <x:v>Ka'imi Fairbairn</x:v>
      </x:c>
      <x:c r="E72" s="48" t="n">
        <x:v>91.8</x:v>
      </x:c>
      <x:c r="F72" s="48" t="str">
        <x:v>TIER 1</x:v>
      </x:c>
      <x:c r="G72" s="48" t="n">
        <x:v>160</x:v>
      </x:c>
      <x:c r="H72" s="48" t="n">
        <x:v>92</x:v>
      </x:c>
      <x:c r="I72" s="116" t="str">
        <x:v>Top-tier kicker option, but still a final-round target.</x:v>
      </x:c>
      <x:c r="J72" s="116" t="str">
        <x:v>Ranks near the top of the current kicker pool, but kicker week-to-week separation is small in a 10-team league.</x:v>
      </x:c>
      <x:c r="K72" s="116" t="str">
        <x:v>Kicker scoring is volatile and replaceable on waivers; do not pay meaningful draft capital.</x:v>
      </x:c>
      <x:c r="L72" s="48" t="str">
        <x:v>B</x:v>
      </x:c>
      <x:c r="M72" s="48" t="str">
        <x:v>KICKER MODEL</x:v>
      </x:c>
      <x:c r="N72"/>
      <x:c r="O72"/>
      <x:c r="P72"/>
      <x:c r="Q72" s="98"/>
    </x:row>
    <x:row r="73">
      <x:c r="A73" t="n">
        <x:v>69</x:v>
      </x:c>
      <x:c r="B73" t="str">
        <x:v>RB</x:v>
      </x:c>
      <x:c r="C73" t="n">
        <x:v>26</x:v>
      </x:c>
      <x:c r="D73" s="48" t="str">
        <x:v>Jaylen Warren</x:v>
      </x:c>
      <x:c r="E73" s="48" t="n">
        <x:v>76.09178759711432</x:v>
      </x:c>
      <x:c r="F73" s="48" t="str">
        <x:v>TIER 4</x:v>
      </x:c>
      <x:c r="G73" s="48" t="n">
        <x:v>107</x:v>
      </x:c>
      <x:c r="H73" s="48" t="n">
        <x:v>38</x:v>
      </x:c>
      <x:c r="I73" s="116" t="str">
        <x:v>RB2/FLEX; useful weekly but role and receiving volume matter.</x:v>
      </x:c>
      <x:c r="J73" s="116" t="str">
        <x:v>He produced 13.6 PPR/FP points per game across 16 games. The workload/efficiency profile gives the model a rate-based reason to keep him here. Market price is favorable around ADP 107 versus model overall rank 69.</x:v>
      </x:c>
      <x:c r="K73" s="116" t="str">
        <x:v>Touchdown variance, receiving-role changes and backfield competition are the main downside paths.</x:v>
      </x:c>
      <x:c r="L73" s="48" t="str">
        <x:v>A</x:v>
      </x:c>
      <x:c r="M73" s="48" t="str">
        <x:v>RATE-ADJUSTED VETERAN</x:v>
      </x:c>
      <x:c r="N73"/>
      <x:c r="O73"/>
      <x:c r="P73"/>
      <x:c r="Q73" s="98"/>
    </x:row>
    <x:row r="74">
      <x:c r="A74" t="n">
        <x:v>70</x:v>
      </x:c>
      <x:c r="B74" t="str">
        <x:v>QB</x:v>
      </x:c>
      <x:c r="C74" t="n">
        <x:v>9</x:v>
      </x:c>
      <x:c r="D74" s="48" t="str">
        <x:v>Joe Burrow</x:v>
      </x:c>
      <x:c r="E74" s="48" t="n">
        <x:v>85.59126599193758</x:v>
      </x:c>
      <x:c r="F74" s="48" t="str">
        <x:v>TIER 2</x:v>
      </x:c>
      <x:c r="G74" s="48" t="n">
        <x:v>86</x:v>
      </x:c>
      <x:c r="H74" s="48" t="n">
        <x:v>16</x:v>
      </x:c>
      <x:c r="I74" s="116" t="str">
        <x:v>Low-end QB1/high-end QB2 in a 10-team league; startable most weeks.</x:v>
      </x:c>
      <x:c r="J74" s="116" t="str">
        <x:v>He produced 17.4 PPR/FP points per game across 8 games. The workload/efficiency profile gives the model a rate-based reason to keep him here. Market price is favorable around ADP 86 versus model overall rank 70.</x:v>
      </x:c>
      <x:c r="K74" s="116" t="str">
        <x:v>Availability/sample risk is elevated after only 8 games; talent is not being punished as heavily as durability.</x:v>
      </x:c>
      <x:c r="L74" s="48" t="str">
        <x:v>B</x:v>
      </x:c>
      <x:c r="M74" s="48" t="str">
        <x:v>RATE-ADJUSTED VETERAN</x:v>
      </x:c>
      <x:c r="N74"/>
      <x:c r="O74"/>
      <x:c r="P74"/>
      <x:c r="Q74" s="98"/>
    </x:row>
    <x:row r="75">
      <x:c r="A75" t="n">
        <x:v>71</x:v>
      </x:c>
      <x:c r="B75" t="str">
        <x:v>WR</x:v>
      </x:c>
      <x:c r="C75" t="n">
        <x:v>23</x:v>
      </x:c>
      <x:c r="D75" s="48" t="str">
        <x:v>Luther Burden III</x:v>
      </x:c>
      <x:c r="E75" s="48" t="n">
        <x:v>78.64750000000001</x:v>
      </x:c>
      <x:c r="F75" s="48" t="str">
        <x:v>TIER 4</x:v>
      </x:c>
      <x:c r="G75" s="48" t="n">
        <x:v>92.7</x:v>
      </x:c>
      <x:c r="H75" s="48" t="n">
        <x:v>21.700000000000003</x:v>
      </x:c>
      <x:c r="I75" s="116" t="str">
        <x:v>Strong WR2 with top-12 weekly upside.</x:v>
      </x:c>
      <x:c r="J75" s="116" t="str">
        <x:v>He produced 8.5 PPR/FP points per game across 15 games. The workload/efficiency profile gives the model a rate-based reason to keep him here. Market price is favorable around ADP 93 versus model overall rank 71.</x:v>
      </x:c>
      <x:c r="K75" s="116" t="str">
        <x:v>Target competition, quarterback efficiency and touchdown regression are the main downside paths.</x:v>
      </x:c>
      <x:c r="L75" s="48" t="str">
        <x:v>A</x:v>
      </x:c>
      <x:c r="M75" s="48" t="str">
        <x:v>RATE-ADJUSTED VETERAN</x:v>
      </x:c>
      <x:c r="N75"/>
      <x:c r="O75"/>
      <x:c r="P75"/>
      <x:c r="Q75" s="98"/>
    </x:row>
    <x:row r="76">
      <x:c r="A76" t="n">
        <x:v>72</x:v>
      </x:c>
      <x:c r="B76" t="str">
        <x:v>TE</x:v>
      </x:c>
      <x:c r="C76" t="n">
        <x:v>12</x:v>
      </x:c>
      <x:c r="D76" s="48" t="str">
        <x:v>Travis Kelce</x:v>
      </x:c>
      <x:c r="E76" s="48" t="n">
        <x:v>81.74777495564635</x:v>
      </x:c>
      <x:c r="F76" s="48" t="str">
        <x:v>TIER 3</x:v>
      </x:c>
      <x:c r="G76" s="48" t="n">
        <x:v>116</x:v>
      </x:c>
      <x:c r="H76" s="48" t="n">
        <x:v>44</x:v>
      </x:c>
      <x:c r="I76" s="116" t="str">
        <x:v>Low-end TE1; startable but replacement options remain close.</x:v>
      </x:c>
      <x:c r="J76" s="116" t="str">
        <x:v>He produced 11.4 PPR/FP points per game across 17 games. The workload/efficiency profile gives the model a rate-based reason to keep him here. Market price is favorable around ADP 116 versus model overall rank 72.</x:v>
      </x:c>
      <x:c r="K76" s="116" t="str">
        <x:v>Route share, target volume and touchdown volatility are the main swing factors.</x:v>
      </x:c>
      <x:c r="L76" s="48" t="str">
        <x:v>A</x:v>
      </x:c>
      <x:c r="M76" s="48" t="str">
        <x:v>RATE-ADJUSTED VETERAN</x:v>
      </x:c>
      <x:c r="N76"/>
      <x:c r="O76"/>
      <x:c r="P76"/>
      <x:c r="Q76" s="98"/>
    </x:row>
    <x:row r="77">
      <x:c r="A77" t="n">
        <x:v>73</x:v>
      </x:c>
      <x:c r="B77" t="str">
        <x:v>DST</x:v>
      </x:c>
      <x:c r="C77" t="n">
        <x:v>1</x:v>
      </x:c>
      <x:c r="D77" s="48" t="str">
        <x:v>Houston Texans</x:v>
      </x:c>
      <x:c r="E77" s="48" t="n">
        <x:v>93</x:v>
      </x:c>
      <x:c r="F77" s="48" t="str">
        <x:v>TIER 1</x:v>
      </x:c>
      <x:c r="G77" s="48" t="n">
        <x:v>160</x:v>
      </x:c>
      <x:c r="H77" s="48" t="n">
        <x:v>87</x:v>
      </x:c>
      <x:c r="I77" s="116" t="str">
        <x:v>Elite DST target if available in the final rounds; otherwise streaming remains viable.</x:v>
      </x:c>
      <x:c r="J77" s="116" t="str">
        <x:v>The unit grades well relative to the current DST pool, but the model intentionally keeps defense behind core skill positions.</x:v>
      </x:c>
      <x:c r="K77" s="116" t="str">
        <x:v>DST scoring is highly opponent- and turnover-dependent, making season-long rank fragile.</x:v>
      </x:c>
      <x:c r="L77" s="48" t="str">
        <x:v>B</x:v>
      </x:c>
      <x:c r="M77" s="48" t="str">
        <x:v>DST MODEL</x:v>
      </x:c>
      <x:c r="N77"/>
      <x:c r="O77"/>
      <x:c r="P77"/>
      <x:c r="Q77" s="98"/>
    </x:row>
    <x:row r="78">
      <x:c r="A78" t="n">
        <x:v>74</x:v>
      </x:c>
      <x:c r="B78" t="str">
        <x:v>RB</x:v>
      </x:c>
      <x:c r="C78" t="n">
        <x:v>27</x:v>
      </x:c>
      <x:c r="D78" s="48" t="str">
        <x:v>Rico Dowdle</x:v>
      </x:c>
      <x:c r="E78" s="48" t="n">
        <x:v>75.78578939506124</x:v>
      </x:c>
      <x:c r="F78" s="48" t="str">
        <x:v>TIER 4</x:v>
      </x:c>
      <x:c r="G78" s="48" t="n">
        <x:v>111.2</x:v>
      </x:c>
      <x:c r="H78" s="48" t="n">
        <x:v>37.2</x:v>
      </x:c>
      <x:c r="I78" s="116" t="str">
        <x:v>RB2/FLEX; useful weekly but role and receiving volume matter.</x:v>
      </x:c>
      <x:c r="J78" s="116" t="str">
        <x:v>He produced 12.7 PPR/FP points per game across 17 games. The workload/efficiency profile gives the model a rate-based reason to keep him here. Market price is favorable around ADP 111 versus model overall rank 74.</x:v>
      </x:c>
      <x:c r="K78" s="116" t="str">
        <x:v>Touchdown variance, receiving-role changes and backfield competition are the main downside paths.</x:v>
      </x:c>
      <x:c r="L78" s="48" t="str">
        <x:v>A</x:v>
      </x:c>
      <x:c r="M78" s="48" t="str">
        <x:v>RATE-ADJUSTED VETERAN</x:v>
      </x:c>
      <x:c r="N78"/>
      <x:c r="O78"/>
      <x:c r="P78"/>
      <x:c r="Q78" s="98"/>
    </x:row>
    <x:row r="79">
      <x:c r="A79" t="n">
        <x:v>75</x:v>
      </x:c>
      <x:c r="B79" t="str">
        <x:v>K</x:v>
      </x:c>
      <x:c r="C79" t="n">
        <x:v>3</x:v>
      </x:c>
      <x:c r="D79" s="48" t="str">
        <x:v>Cameron Dicker</x:v>
      </x:c>
      <x:c r="E79" s="48" t="n">
        <x:v>89.6</x:v>
      </x:c>
      <x:c r="F79" s="48" t="str">
        <x:v>TIER 2</x:v>
      </x:c>
      <x:c r="G79" s="48" t="n">
        <x:v>165</x:v>
      </x:c>
      <x:c r="H79" s="48" t="n">
        <x:v>90</x:v>
      </x:c>
      <x:c r="I79" s="116" t="str">
        <x:v>Top-tier kicker option, but still a final-round target.</x:v>
      </x:c>
      <x:c r="J79" s="116" t="str">
        <x:v>Ranks near the top of the current kicker pool, but kicker week-to-week separation is small in a 10-team league.</x:v>
      </x:c>
      <x:c r="K79" s="116" t="str">
        <x:v>Kicker scoring is volatile and replaceable on waivers; do not pay meaningful draft capital.</x:v>
      </x:c>
      <x:c r="L79" s="48" t="str">
        <x:v>B</x:v>
      </x:c>
      <x:c r="M79" s="48" t="str">
        <x:v>KICKER MODEL</x:v>
      </x:c>
      <x:c r="N79"/>
      <x:c r="O79"/>
      <x:c r="P79"/>
      <x:c r="Q79" s="98"/>
    </x:row>
    <x:row r="80">
      <x:c r="A80" t="n">
        <x:v>76</x:v>
      </x:c>
      <x:c r="B80" t="str">
        <x:v>WR</x:v>
      </x:c>
      <x:c r="C80" t="n">
        <x:v>24</x:v>
      </x:c>
      <x:c r="D80" s="48" t="str">
        <x:v>Davante Adams</x:v>
      </x:c>
      <x:c r="E80" s="48" t="n">
        <x:v>78.065</x:v>
      </x:c>
      <x:c r="F80" s="48" t="str">
        <x:v>TIER 4</x:v>
      </x:c>
      <x:c r="G80" s="48" t="n">
        <x:v>88.8</x:v>
      </x:c>
      <x:c r="H80" s="48" t="n">
        <x:v>12.799999999999997</x:v>
      </x:c>
      <x:c r="I80" s="116" t="str">
        <x:v>Strong WR2 with top-12 weekly upside.</x:v>
      </x:c>
      <x:c r="J80" s="116" t="str">
        <x:v>He produced 15.9 PPR/FP points per game across 14 games. The workload/efficiency profile gives the model a rate-based reason to keep him here. Market price is favorable around ADP 89 versus model overall rank 76.</x:v>
      </x:c>
      <x:c r="K80" s="116" t="str">
        <x:v>Target competition, quarterback efficiency and touchdown regression are the main downside paths.</x:v>
      </x:c>
      <x:c r="L80" s="48" t="str">
        <x:v>A</x:v>
      </x:c>
      <x:c r="M80" s="48" t="str">
        <x:v>RATE-ADJUSTED VETERAN</x:v>
      </x:c>
      <x:c r="N80"/>
      <x:c r="O80"/>
      <x:c r="P80"/>
      <x:c r="Q80" s="98"/>
    </x:row>
    <x:row r="81">
      <x:c r="A81" t="n">
        <x:v>77</x:v>
      </x:c>
      <x:c r="B81" t="str">
        <x:v>QB</x:v>
      </x:c>
      <x:c r="C81" t="n">
        <x:v>10</x:v>
      </x:c>
      <x:c r="D81" s="48" t="str">
        <x:v>Matthew Stafford</x:v>
      </x:c>
      <x:c r="E81" s="48" t="n">
        <x:v>85.41970528201219</x:v>
      </x:c>
      <x:c r="F81" s="48" t="str">
        <x:v>TIER 2</x:v>
      </x:c>
      <x:c r="G81" s="48" t="n">
        <x:v>94</x:v>
      </x:c>
      <x:c r="H81" s="48" t="n">
        <x:v>17</x:v>
      </x:c>
      <x:c r="I81" s="116" t="str">
        <x:v>Low-end QB1/high-end QB2 in a 10-team league; startable most weeks.</x:v>
      </x:c>
      <x:c r="J81" s="116" t="str">
        <x:v>He produced 21.1 PPR/FP points per game across 17 games. The workload/efficiency profile gives the model a rate-based reason to keep him here. Market price is favorable around ADP 94 versus model overall rank 77.</x:v>
      </x:c>
      <x:c r="K81" s="116" t="str">
        <x:v>Passing-TD efficiency, rushing volume and supporting-cast health are the main swing factors.</x:v>
      </x:c>
      <x:c r="L81" s="48" t="str">
        <x:v>A</x:v>
      </x:c>
      <x:c r="M81" s="48" t="str">
        <x:v>RATE-ADJUSTED VETERAN</x:v>
      </x:c>
      <x:c r="N81"/>
      <x:c r="O81"/>
      <x:c r="P81"/>
      <x:c r="Q81" s="98"/>
    </x:row>
    <x:row r="82">
      <x:c r="A82" t="n">
        <x:v>78</x:v>
      </x:c>
      <x:c r="B82" t="str">
        <x:v>DST</x:v>
      </x:c>
      <x:c r="C82" t="n">
        <x:v>2</x:v>
      </x:c>
      <x:c r="D82" s="48" t="str">
        <x:v>Denver Broncos</x:v>
      </x:c>
      <x:c r="E82" s="48" t="n">
        <x:v>91.9</x:v>
      </x:c>
      <x:c r="F82" s="48" t="str">
        <x:v>TIER 1</x:v>
      </x:c>
      <x:c r="G82" s="48" t="n">
        <x:v>164</x:v>
      </x:c>
      <x:c r="H82" s="48" t="n">
        <x:v>86</x:v>
      </x:c>
      <x:c r="I82" s="116" t="str">
        <x:v>Elite DST target if available in the final rounds; otherwise streaming remains viable.</x:v>
      </x:c>
      <x:c r="J82" s="116" t="str">
        <x:v>The unit grades well relative to the current DST pool, but the model intentionally keeps defense behind core skill positions.</x:v>
      </x:c>
      <x:c r="K82" s="116" t="str">
        <x:v>DST scoring is highly opponent- and turnover-dependent, making season-long rank fragile.</x:v>
      </x:c>
      <x:c r="L82" s="48" t="str">
        <x:v>B</x:v>
      </x:c>
      <x:c r="M82" s="48" t="str">
        <x:v>DST MODEL</x:v>
      </x:c>
      <x:c r="N82"/>
      <x:c r="O82"/>
      <x:c r="P82"/>
      <x:c r="Q82" s="98"/>
    </x:row>
    <x:row r="83">
      <x:c r="A83" t="n">
        <x:v>79</x:v>
      </x:c>
      <x:c r="B83" t="str">
        <x:v>QB</x:v>
      </x:c>
      <x:c r="C83" t="n">
        <x:v>11</x:v>
      </x:c>
      <x:c r="D83" s="48" t="str">
        <x:v>Bo Nix</x:v>
      </x:c>
      <x:c r="E83" s="48" t="n">
        <x:v>85.24848366137027</x:v>
      </x:c>
      <x:c r="F83" s="48" t="str">
        <x:v>TIER 2</x:v>
      </x:c>
      <x:c r="G83" s="48" t="n">
        <x:v>102</x:v>
      </x:c>
      <x:c r="H83" s="48" t="n">
        <x:v>23</x:v>
      </x:c>
      <x:c r="I83" s="116" t="str">
        <x:v>Low-end QB1/high-end QB2 in a 10-team league; startable most weeks.</x:v>
      </x:c>
      <x:c r="J83" s="116" t="str">
        <x:v>He produced 18.6 PPR/FP points per game across 17 games. The workload/efficiency profile gives the model a rate-based reason to keep him here. Market price is favorable around ADP 102 versus model overall rank 79.</x:v>
      </x:c>
      <x:c r="K83" s="116" t="str">
        <x:v>Passing-TD efficiency, rushing volume and supporting-cast health are the main swing factors.</x:v>
      </x:c>
      <x:c r="L83" s="48" t="str">
        <x:v>A</x:v>
      </x:c>
      <x:c r="M83" s="48" t="str">
        <x:v>RATE-ADJUSTED VETERAN</x:v>
      </x:c>
      <x:c r="N83"/>
      <x:c r="O83"/>
      <x:c r="P83"/>
      <x:c r="Q83" s="98"/>
    </x:row>
    <x:row r="84">
      <x:c r="A84" t="n">
        <x:v>80</x:v>
      </x:c>
      <x:c r="B84" t="str">
        <x:v>K</x:v>
      </x:c>
      <x:c r="C84" t="n">
        <x:v>4</x:v>
      </x:c>
      <x:c r="D84" s="48" t="str">
        <x:v>Jason Myers</x:v>
      </x:c>
      <x:c r="E84" s="48" t="n">
        <x:v>87.4</x:v>
      </x:c>
      <x:c r="F84" s="48" t="str">
        <x:v>TIER 2</x:v>
      </x:c>
      <x:c r="G84" s="48" t="n">
        <x:v>170</x:v>
      </x:c>
      <x:c r="H84" s="48" t="n">
        <x:v>90</x:v>
      </x:c>
      <x:c r="I84" s="116" t="str">
        <x:v>Top-tier kicker option, but still a final-round target.</x:v>
      </x:c>
      <x:c r="J84" s="116" t="str">
        <x:v>Ranks near the top of the current kicker pool, but kicker week-to-week separation is small in a 10-team league.</x:v>
      </x:c>
      <x:c r="K84" s="116" t="str">
        <x:v>Kicker scoring is volatile and replaceable on waivers; do not pay meaningful draft capital.</x:v>
      </x:c>
      <x:c r="L84" s="48" t="str">
        <x:v>B</x:v>
      </x:c>
      <x:c r="M84" s="48" t="str">
        <x:v>KICKER MODEL</x:v>
      </x:c>
      <x:c r="N84"/>
      <x:c r="O84"/>
      <x:c r="P84"/>
      <x:c r="Q84" s="98"/>
    </x:row>
    <x:row r="85">
      <x:c r="A85" t="n">
        <x:v>81</x:v>
      </x:c>
      <x:c r="B85" t="str">
        <x:v>RB</x:v>
      </x:c>
      <x:c r="C85" t="n">
        <x:v>28</x:v>
      </x:c>
      <x:c r="D85" s="48" t="str">
        <x:v>Tony Pollard</x:v>
      </x:c>
      <x:c r="E85" s="48" t="n">
        <x:v>75.0986337752362</x:v>
      </x:c>
      <x:c r="F85" s="48" t="str">
        <x:v>TIER 4</x:v>
      </x:c>
      <x:c r="G85" s="48" t="n">
        <x:v>115.4</x:v>
      </x:c>
      <x:c r="H85" s="48" t="n">
        <x:v>34.400000000000006</x:v>
      </x:c>
      <x:c r="I85" s="116" t="str">
        <x:v>RB2/FLEX; useful weekly but role and receiving volume matter.</x:v>
      </x:c>
      <x:c r="J85" s="116" t="str">
        <x:v>He produced 10.9 PPR/FP points per game across 17 games. The workload/efficiency profile gives the model a rate-based reason to keep him here. Market price is favorable around ADP 115 versus model overall rank 81.</x:v>
      </x:c>
      <x:c r="K85" s="116" t="str">
        <x:v>Touchdown variance, receiving-role changes and backfield competition are the main downside paths.</x:v>
      </x:c>
      <x:c r="L85" s="48" t="str">
        <x:v>A</x:v>
      </x:c>
      <x:c r="M85" s="48" t="str">
        <x:v>RATE-ADJUSTED VETERAN</x:v>
      </x:c>
      <x:c r="N85"/>
      <x:c r="O85"/>
      <x:c r="P85"/>
      <x:c r="Q85" s="98"/>
    </x:row>
    <x:row r="86">
      <x:c r="A86" t="n">
        <x:v>82</x:v>
      </x:c>
      <x:c r="B86" t="str">
        <x:v>QB</x:v>
      </x:c>
      <x:c r="C86" t="n">
        <x:v>12</x:v>
      </x:c>
      <x:c r="D86" s="48" t="str">
        <x:v>Dak Prescott</x:v>
      </x:c>
      <x:c r="E86" s="48" t="n">
        <x:v>85.11563022939153</x:v>
      </x:c>
      <x:c r="F86" s="48" t="str">
        <x:v>TIER 2</x:v>
      </x:c>
      <x:c r="G86" s="48" t="n">
        <x:v>110</x:v>
      </x:c>
      <x:c r="H86" s="48" t="n">
        <x:v>28</x:v>
      </x:c>
      <x:c r="I86" s="116" t="str">
        <x:v>Low-end QB1/high-end QB2 in a 10-team league; startable most weeks.</x:v>
      </x:c>
      <x:c r="J86" s="116" t="str">
        <x:v>He produced 19.0 PPR/FP points per game across 17 games. The workload/efficiency profile gives the model a rate-based reason to keep him here. Market price is favorable around ADP 110 versus model overall rank 82.</x:v>
      </x:c>
      <x:c r="K86" s="116" t="str">
        <x:v>Passing-TD efficiency, rushing volume and supporting-cast health are the main swing factors.</x:v>
      </x:c>
      <x:c r="L86" s="48" t="str">
        <x:v>A</x:v>
      </x:c>
      <x:c r="M86" s="48" t="str">
        <x:v>RATE-ADJUSTED VETERAN</x:v>
      </x:c>
      <x:c r="N86"/>
      <x:c r="O86"/>
      <x:c r="P86"/>
      <x:c r="Q86" s="98"/>
    </x:row>
    <x:row r="87">
      <x:c r="A87" t="n">
        <x:v>83</x:v>
      </x:c>
      <x:c r="B87" t="str">
        <x:v>DST</x:v>
      </x:c>
      <x:c r="C87" t="n">
        <x:v>3</x:v>
      </x:c>
      <x:c r="D87" s="48" t="str">
        <x:v>Seattle Seahawks</x:v>
      </x:c>
      <x:c r="E87" s="48" t="n">
        <x:v>90.8</x:v>
      </x:c>
      <x:c r="F87" s="48" t="str">
        <x:v>TIER 1</x:v>
      </x:c>
      <x:c r="G87" s="48" t="n">
        <x:v>168</x:v>
      </x:c>
      <x:c r="H87" s="48" t="n">
        <x:v>85</x:v>
      </x:c>
      <x:c r="I87" s="116" t="str">
        <x:v>Elite DST target if available in the final rounds; otherwise streaming remains viable.</x:v>
      </x:c>
      <x:c r="J87" s="116" t="str">
        <x:v>The unit grades well relative to the current DST pool, but the model intentionally keeps defense behind core skill positions.</x:v>
      </x:c>
      <x:c r="K87" s="116" t="str">
        <x:v>DST scoring is highly opponent- and turnover-dependent, making season-long rank fragile.</x:v>
      </x:c>
      <x:c r="L87" s="48" t="str">
        <x:v>B</x:v>
      </x:c>
      <x:c r="M87" s="48" t="str">
        <x:v>DST MODEL</x:v>
      </x:c>
      <x:c r="N87"/>
      <x:c r="O87"/>
      <x:c r="P87"/>
      <x:c r="Q87" s="98"/>
    </x:row>
    <x:row r="88">
      <x:c r="A88" t="n">
        <x:v>84</x:v>
      </x:c>
      <x:c r="B88" t="str">
        <x:v>RB</x:v>
      </x:c>
      <x:c r="C88" t="n">
        <x:v>29</x:v>
      </x:c>
      <x:c r="D88" s="48" t="str">
        <x:v>Rhamondre Stevenson</x:v>
      </x:c>
      <x:c r="E88" s="48" t="n">
        <x:v>74.58812104950168</x:v>
      </x:c>
      <x:c r="F88" s="48" t="str">
        <x:v>TIER 5</x:v>
      </x:c>
      <x:c r="G88" s="48" t="n">
        <x:v>119.60000000000001</x:v>
      </x:c>
      <x:c r="H88" s="48" t="n">
        <x:v>35.60000000000001</x:v>
      </x:c>
      <x:c r="I88" s="116" t="str">
        <x:v>RB2/FLEX; useful weekly but role and receiving volume matter.</x:v>
      </x:c>
      <x:c r="J88" s="116" t="str">
        <x:v>He produced 12.8 PPR/FP points per game across 14 games. The workload/efficiency profile gives the model a rate-based reason to keep him here. Market price is favorable around ADP 120 versus model overall rank 84.</x:v>
      </x:c>
      <x:c r="K88" s="116" t="str">
        <x:v>Touchdown variance, receiving-role changes and backfield competition are the main downside paths.</x:v>
      </x:c>
      <x:c r="L88" s="48" t="str">
        <x:v>A</x:v>
      </x:c>
      <x:c r="M88" s="48" t="str">
        <x:v>RATE-ADJUSTED VETERAN</x:v>
      </x:c>
      <x:c r="N88"/>
      <x:c r="O88"/>
      <x:c r="P88"/>
      <x:c r="Q88" s="98"/>
    </x:row>
    <x:row r="89">
      <x:c r="A89" t="n">
        <x:v>85</x:v>
      </x:c>
      <x:c r="B89" t="str">
        <x:v>K</x:v>
      </x:c>
      <x:c r="C89" t="n">
        <x:v>5</x:v>
      </x:c>
      <x:c r="D89" s="48" t="str">
        <x:v>Cam Little</x:v>
      </x:c>
      <x:c r="E89" s="48" t="n">
        <x:v>85.2</x:v>
      </x:c>
      <x:c r="F89" s="48" t="str">
        <x:v>TIER 2</x:v>
      </x:c>
      <x:c r="G89" s="48" t="n">
        <x:v>175</x:v>
      </x:c>
      <x:c r="H89" s="48" t="n">
        <x:v>90</x:v>
      </x:c>
      <x:c r="I89" s="116" t="str">
        <x:v>Top-tier kicker option, but still a final-round target.</x:v>
      </x:c>
      <x:c r="J89" s="116" t="str">
        <x:v>Ranks near the top of the current kicker pool, but kicker week-to-week separation is small in a 10-team league.</x:v>
      </x:c>
      <x:c r="K89" s="116" t="str">
        <x:v>Kicker scoring is volatile and replaceable on waivers; do not pay meaningful draft capital.</x:v>
      </x:c>
      <x:c r="L89" s="48" t="str">
        <x:v>B</x:v>
      </x:c>
      <x:c r="M89" s="48" t="str">
        <x:v>KICKER MODEL</x:v>
      </x:c>
      <x:c r="N89"/>
      <x:c r="O89"/>
      <x:c r="P89"/>
      <x:c r="Q89" s="98"/>
    </x:row>
    <x:row r="90">
      <x:c r="A90" t="n">
        <x:v>86</x:v>
      </x:c>
      <x:c r="B90" t="str">
        <x:v>RB</x:v>
      </x:c>
      <x:c r="C90" t="n">
        <x:v>30</x:v>
      </x:c>
      <x:c r="D90" s="48" t="str">
        <x:v>Kenneth Gainwell</x:v>
      </x:c>
      <x:c r="E90" s="48" t="n">
        <x:v>74.50491919835545</x:v>
      </x:c>
      <x:c r="F90" s="48" t="str">
        <x:v>TIER 5</x:v>
      </x:c>
      <x:c r="G90" s="48" t="n">
        <x:v>123.80000000000001</x:v>
      </x:c>
      <x:c r="H90" s="48" t="n">
        <x:v>37.80000000000001</x:v>
      </x:c>
      <x:c r="I90" s="116" t="str">
        <x:v>RB2/FLEX; useful weekly but role and receiving volume matter.</x:v>
      </x:c>
      <x:c r="J90" s="116" t="str">
        <x:v>He produced 13.0 PPR/FP points per game across 17 games. The workload/efficiency profile gives the model a rate-based reason to keep him here. Market price is favorable around ADP 124 versus model overall rank 86.</x:v>
      </x:c>
      <x:c r="K90" s="116" t="str">
        <x:v>Touchdown variance, receiving-role changes and backfield competition are the main downside paths.</x:v>
      </x:c>
      <x:c r="L90" s="48" t="str">
        <x:v>A</x:v>
      </x:c>
      <x:c r="M90" s="48" t="str">
        <x:v>RATE-ADJUSTED VETERAN</x:v>
      </x:c>
      <x:c r="N90"/>
      <x:c r="O90"/>
      <x:c r="P90"/>
      <x:c r="Q90" s="98"/>
    </x:row>
    <x:row r="91">
      <x:c r="A91" t="n">
        <x:v>87</x:v>
      </x:c>
      <x:c r="B91" t="str">
        <x:v>QB</x:v>
      </x:c>
      <x:c r="C91" t="n">
        <x:v>13</x:v>
      </x:c>
      <x:c r="D91" s="48" t="str">
        <x:v>Trevor Lawrence</x:v>
      </x:c>
      <x:c r="E91" s="48" t="n">
        <x:v>84.69210205685258</x:v>
      </x:c>
      <x:c r="F91" s="48" t="str">
        <x:v>TIER 3</x:v>
      </x:c>
      <x:c r="G91" s="48" t="n">
        <x:v>118</x:v>
      </x:c>
      <x:c r="H91" s="48" t="n">
        <x:v>31</x:v>
      </x:c>
      <x:c r="I91" s="116" t="str">
        <x:v>QB2/streaming tier; useful when matchup and supporting cast line up.</x:v>
      </x:c>
      <x:c r="J91" s="116" t="str">
        <x:v>He produced 20.6 PPR/FP points per game across 17 games. The workload/efficiency profile gives the model a rate-based reason to keep him here. Market price is favorable around ADP 118 versus model overall rank 87.</x:v>
      </x:c>
      <x:c r="K91" s="116" t="str">
        <x:v>Passing-TD efficiency, rushing volume and supporting-cast health are the main swing factors.</x:v>
      </x:c>
      <x:c r="L91" s="48" t="str">
        <x:v>A</x:v>
      </x:c>
      <x:c r="M91" s="48" t="str">
        <x:v>RATE-ADJUSTED VETERAN</x:v>
      </x:c>
      <x:c r="N91"/>
      <x:c r="O91"/>
      <x:c r="P91"/>
      <x:c r="Q91" s="98"/>
    </x:row>
    <x:row r="92">
      <x:c r="A92" t="n">
        <x:v>88</x:v>
      </x:c>
      <x:c r="B92" t="str">
        <x:v>TE</x:v>
      </x:c>
      <x:c r="C92" t="n">
        <x:v>13</x:v>
      </x:c>
      <x:c r="D92" s="48" t="str">
        <x:v>Dallas Goedert</x:v>
      </x:c>
      <x:c r="E92" s="48" t="n">
        <x:v>79.9181106679422</x:v>
      </x:c>
      <x:c r="F92" s="48" t="str">
        <x:v>TIER 4</x:v>
      </x:c>
      <x:c r="G92" s="48" t="n">
        <x:v>125</x:v>
      </x:c>
      <x:c r="H92" s="48" t="n">
        <x:v>37</x:v>
      </x:c>
      <x:c r="I92" s="116" t="str">
        <x:v>Streaming/TE2 range; touchdown and route volume drive usefulness.</x:v>
      </x:c>
      <x:c r="J92" s="116" t="str">
        <x:v>He produced 12.3 PPR/FP points per game across 15 games. The workload/efficiency profile gives the model a rate-based reason to keep him here. Market price is favorable around ADP 125 versus model overall rank 88.</x:v>
      </x:c>
      <x:c r="K92" s="116" t="str">
        <x:v>Route share, target volume and touchdown volatility are the main swing factors.</x:v>
      </x:c>
      <x:c r="L92" s="48" t="str">
        <x:v>A</x:v>
      </x:c>
      <x:c r="M92" s="48" t="str">
        <x:v>RATE-ADJUSTED VETERAN</x:v>
      </x:c>
      <x:c r="N92"/>
      <x:c r="O92"/>
      <x:c r="P92"/>
      <x:c r="Q92" s="98"/>
    </x:row>
    <x:row r="93">
      <x:c r="A93" t="n">
        <x:v>89</x:v>
      </x:c>
      <x:c r="B93" t="str">
        <x:v>RB</x:v>
      </x:c>
      <x:c r="C93" t="n">
        <x:v>31</x:v>
      </x:c>
      <x:c r="D93" s="48" t="str">
        <x:v>Bhayshul Tuten</x:v>
      </x:c>
      <x:c r="E93" s="48" t="n">
        <x:v>74.46766975676302</x:v>
      </x:c>
      <x:c r="F93" s="48" t="str">
        <x:v>TIER 5</x:v>
      </x:c>
      <x:c r="G93" s="48" t="n">
        <x:v>128</x:v>
      </x:c>
      <x:c r="H93" s="48" t="n">
        <x:v>39</x:v>
      </x:c>
      <x:c r="I93" s="116" t="str">
        <x:v>FLEX/bench depth with upside if workload grows.</x:v>
      </x:c>
      <x:c r="J93" s="116" t="str">
        <x:v>He produced 5.9 PPR/FP points per game across 15 games. The workload/efficiency profile gives the model a rate-based reason to keep him here. Market price is favorable around ADP 128 versus model overall rank 89.</x:v>
      </x:c>
      <x:c r="K93" s="116" t="str">
        <x:v>Touchdown variance, receiving-role changes and backfield competition are the main downside paths.</x:v>
      </x:c>
      <x:c r="L93" s="48" t="str">
        <x:v>A</x:v>
      </x:c>
      <x:c r="M93" s="48" t="str">
        <x:v>RATE-ADJUSTED VETERAN</x:v>
      </x:c>
      <x:c r="N93"/>
      <x:c r="O93"/>
      <x:c r="P93"/>
      <x:c r="Q93" s="98"/>
    </x:row>
    <x:row r="94">
      <x:c r="A94" t="n">
        <x:v>90</x:v>
      </x:c>
      <x:c r="B94" t="str">
        <x:v>K</x:v>
      </x:c>
      <x:c r="C94" t="n">
        <x:v>6</x:v>
      </x:c>
      <x:c r="D94" s="48" t="str">
        <x:v>Eddy Pineiro</x:v>
      </x:c>
      <x:c r="E94" s="48" t="n">
        <x:v>83</x:v>
      </x:c>
      <x:c r="F94" s="48" t="str">
        <x:v>TIER 3</x:v>
      </x:c>
      <x:c r="G94" s="48" t="n">
        <x:v>180</x:v>
      </x:c>
      <x:c r="H94" s="48" t="n">
        <x:v>90</x:v>
      </x:c>
      <x:c r="I94" s="116" t="str">
        <x:v>Late-round kicker; treat as replaceable unless scoring strongly rewards distance.</x:v>
      </x:c>
      <x:c r="J94" s="116" t="str">
        <x:v>Ranks near the top of the current kicker pool, but kicker week-to-week separation is small in a 10-team league.</x:v>
      </x:c>
      <x:c r="K94" s="116" t="str">
        <x:v>Kicker scoring is volatile and replaceable on waivers; do not pay meaningful draft capital.</x:v>
      </x:c>
      <x:c r="L94" s="48" t="str">
        <x:v>B</x:v>
      </x:c>
      <x:c r="M94" s="48" t="str">
        <x:v>KICKER MODEL</x:v>
      </x:c>
      <x:c r="N94"/>
      <x:c r="O94"/>
      <x:c r="P94"/>
      <x:c r="Q94" s="98"/>
    </x:row>
    <x:row r="95">
      <x:c r="A95" t="n">
        <x:v>91</x:v>
      </x:c>
      <x:c r="B95" t="str">
        <x:v>WR</x:v>
      </x:c>
      <x:c r="C95" t="n">
        <x:v>25</x:v>
      </x:c>
      <x:c r="D95" s="48" t="str">
        <x:v>Mike Evans</x:v>
      </x:c>
      <x:c r="E95" s="48" t="n">
        <x:v>76.47749999999999</x:v>
      </x:c>
      <x:c r="F95" s="48" t="str">
        <x:v>TIER 4</x:v>
      </x:c>
      <x:c r="G95" s="48" t="n">
        <x:v>108.3</x:v>
      </x:c>
      <x:c r="H95" s="48" t="n">
        <x:v>17.299999999999997</x:v>
      </x:c>
      <x:c r="I95" s="116" t="str">
        <x:v>WR2/FLEX; dependable lineup option with matchup-driven ceiling.</x:v>
      </x:c>
      <x:c r="J95" s="116" t="str">
        <x:v>The 2026 opportunity and projection carry most of the grade because detailed 2025 rate data is incomplete. Market price is favorable around ADP 108 versus model overall rank 91.</x:v>
      </x:c>
      <x:c r="K95" s="116" t="str">
        <x:v>Evidence is thinner than for established veterans, so camp, depth-chart and role news can move the grade materially.</x:v>
      </x:c>
      <x:c r="L95" s="48" t="str">
        <x:v>C</x:v>
      </x:c>
      <x:c r="M95" s="48" t="str">
        <x:v>HISTORY FALLBACK</x:v>
      </x:c>
      <x:c r="N95"/>
      <x:c r="O95"/>
      <x:c r="P95"/>
      <x:c r="Q95" s="98"/>
    </x:row>
    <x:row r="96">
      <x:c r="A96" t="n">
        <x:v>92</x:v>
      </x:c>
      <x:c r="B96" t="str">
        <x:v>WR</x:v>
      </x:c>
      <x:c r="C96" t="n">
        <x:v>27</x:v>
      </x:c>
      <x:c r="D96" s="48" t="str">
        <x:v>Jameson Williams</x:v>
      </x:c>
      <x:c r="E96" s="48" t="n">
        <x:v>76.0625</x:v>
      </x:c>
      <x:c r="F96" s="48" t="str">
        <x:v>TIER 4</x:v>
      </x:c>
      <x:c r="G96" s="48" t="n">
        <x:v>100.5</x:v>
      </x:c>
      <x:c r="H96" s="48" t="n">
        <x:v>8.5</x:v>
      </x:c>
      <x:c r="I96" s="116" t="str">
        <x:v>WR2/FLEX; dependable lineup option with matchup-driven ceiling.</x:v>
      </x:c>
      <x:c r="J96" s="116" t="str">
        <x:v>He produced 12.9 PPR/FP points per game across 17 games. The workload/efficiency profile gives the model a rate-based reason to keep him here.</x:v>
      </x:c>
      <x:c r="K96" s="116" t="str">
        <x:v>Target competition, quarterback efficiency and touchdown regression are the main downside paths.</x:v>
      </x:c>
      <x:c r="L96" s="48" t="str">
        <x:v>A</x:v>
      </x:c>
      <x:c r="M96" s="48" t="str">
        <x:v>RATE-ADJUSTED VETERAN</x:v>
      </x:c>
      <x:c r="N96"/>
      <x:c r="O96"/>
      <x:c r="P96"/>
      <x:c r="Q96" s="98"/>
    </x:row>
    <x:row r="97">
      <x:c r="A97" t="n">
        <x:v>93</x:v>
      </x:c>
      <x:c r="B97" t="str">
        <x:v>DST</x:v>
      </x:c>
      <x:c r="C97" t="n">
        <x:v>4</x:v>
      </x:c>
      <x:c r="D97" s="48" t="str">
        <x:v>Los Angeles Rams</x:v>
      </x:c>
      <x:c r="E97" s="48" t="n">
        <x:v>89.7</x:v>
      </x:c>
      <x:c r="F97" s="48" t="str">
        <x:v>TIER 2</x:v>
      </x:c>
      <x:c r="G97" s="48" t="n">
        <x:v>172</x:v>
      </x:c>
      <x:c r="H97" s="48" t="n">
        <x:v>79</x:v>
      </x:c>
      <x:c r="I97" s="116" t="str">
        <x:v>Elite DST target if available in the final rounds; otherwise streaming remains viable.</x:v>
      </x:c>
      <x:c r="J97" s="116" t="str">
        <x:v>The unit grades well relative to the current DST pool, but the model intentionally keeps defense behind core skill positions.</x:v>
      </x:c>
      <x:c r="K97" s="116" t="str">
        <x:v>DST scoring is highly opponent- and turnover-dependent, making season-long rank fragile.</x:v>
      </x:c>
      <x:c r="L97" s="48" t="str">
        <x:v>B</x:v>
      </x:c>
      <x:c r="M97" s="48" t="str">
        <x:v>DST MODEL</x:v>
      </x:c>
      <x:c r="N97"/>
      <x:c r="O97"/>
      <x:c r="P97"/>
      <x:c r="Q97" s="98"/>
    </x:row>
    <x:row r="98">
      <x:c r="A98" t="n">
        <x:v>94</x:v>
      </x:c>
      <x:c r="B98" t="str">
        <x:v>WR</x:v>
      </x:c>
      <x:c r="C98" t="n">
        <x:v>29</x:v>
      </x:c>
      <x:c r="D98" s="48" t="str">
        <x:v>DJ Moore</x:v>
      </x:c>
      <x:c r="E98" s="48" t="n">
        <x:v>75.48</x:v>
      </x:c>
      <x:c r="F98" s="48" t="str">
        <x:v>TIER 4</x:v>
      </x:c>
      <x:c r="G98" s="48" t="n">
        <x:v>96.6</x:v>
      </x:c>
      <x:c r="H98" s="48" t="n">
        <x:v>2.5999999999999943</x:v>
      </x:c>
      <x:c r="I98" s="116" t="str">
        <x:v>WR2/FLEX; dependable lineup option with matchup-driven ceiling.</x:v>
      </x:c>
      <x:c r="J98" s="116" t="str">
        <x:v>He produced 10.0 PPR/FP points per game across 17 games. The workload/efficiency profile gives the model a rate-based reason to keep him here.</x:v>
      </x:c>
      <x:c r="K98" s="116" t="str">
        <x:v>Target competition, quarterback efficiency and touchdown regression are the main downside paths.</x:v>
      </x:c>
      <x:c r="L98" s="48" t="str">
        <x:v>A</x:v>
      </x:c>
      <x:c r="M98" s="48" t="str">
        <x:v>RATE-ADJUSTED VETERAN</x:v>
      </x:c>
      <x:c r="N98"/>
      <x:c r="O98"/>
      <x:c r="P98"/>
      <x:c r="Q98" s="98"/>
    </x:row>
    <x:row r="99">
      <x:c r="A99" t="n">
        <x:v>95</x:v>
      </x:c>
      <x:c r="B99" t="str">
        <x:v>QB</x:v>
      </x:c>
      <x:c r="C99" t="n">
        <x:v>14</x:v>
      </x:c>
      <x:c r="D99" s="48" t="str">
        <x:v>Brock Purdy</x:v>
      </x:c>
      <x:c r="E99" s="48" t="n">
        <x:v>83.83859812261841</x:v>
      </x:c>
      <x:c r="F99" s="48" t="str">
        <x:v>TIER 3</x:v>
      </x:c>
      <x:c r="G99" s="48" t="n">
        <x:v>126</x:v>
      </x:c>
      <x:c r="H99" s="48" t="n">
        <x:v>31</x:v>
      </x:c>
      <x:c r="I99" s="116" t="str">
        <x:v>QB2/streaming tier; useful when matchup and supporting cast line up.</x:v>
      </x:c>
      <x:c r="J99" s="116" t="str">
        <x:v>He produced 20.8 PPR/FP points per game across 9 games. The workload/efficiency profile gives the model a rate-based reason to keep him here. Market price is favorable around ADP 126 versus model overall rank 95.</x:v>
      </x:c>
      <x:c r="K99" s="116" t="str">
        <x:v>Availability/sample risk is elevated after only 9 games; talent is not being punished as heavily as durability.</x:v>
      </x:c>
      <x:c r="L99" s="48" t="str">
        <x:v>B</x:v>
      </x:c>
      <x:c r="M99" s="48" t="str">
        <x:v>RATE-ADJUSTED VETERAN</x:v>
      </x:c>
      <x:c r="N99"/>
      <x:c r="O99"/>
      <x:c r="P99"/>
      <x:c r="Q99" s="98"/>
    </x:row>
    <x:row r="100">
      <x:c r="A100" t="n">
        <x:v>96</x:v>
      </x:c>
      <x:c r="B100" t="str">
        <x:v>RB</x:v>
      </x:c>
      <x:c r="C100" t="n">
        <x:v>32</x:v>
      </x:c>
      <x:c r="D100" s="48" t="str">
        <x:v>RJ Harvey</x:v>
      </x:c>
      <x:c r="E100" s="48" t="n">
        <x:v>73.56779045370797</x:v>
      </x:c>
      <x:c r="F100" s="48" t="str">
        <x:v>TIER 5</x:v>
      </x:c>
      <x:c r="G100" s="48" t="n">
        <x:v>132.20000000000002</x:v>
      </x:c>
      <x:c r="H100" s="48" t="n">
        <x:v>36.20000000000002</x:v>
      </x:c>
      <x:c r="I100" s="116" t="str">
        <x:v>FLEX/bench depth with upside if workload grows.</x:v>
      </x:c>
      <x:c r="J100" s="116" t="str">
        <x:v>He produced 12.2 PPR/FP points per game across 17 games. The workload/efficiency profile gives the model a rate-based reason to keep him here. Market price is favorable around ADP 132 versus model overall rank 96.</x:v>
      </x:c>
      <x:c r="K100" s="116" t="str">
        <x:v>Touchdown variance, receiving-role changes and backfield competition are the main downside paths.</x:v>
      </x:c>
      <x:c r="L100" s="48" t="str">
        <x:v>A</x:v>
      </x:c>
      <x:c r="M100" s="48" t="str">
        <x:v>RATE-ADJUSTED VETERAN</x:v>
      </x:c>
      <x:c r="N100"/>
      <x:c r="O100"/>
      <x:c r="P100"/>
      <x:c r="Q100" s="98"/>
    </x:row>
    <x:row r="101">
      <x:c r="A101" t="n">
        <x:v>97</x:v>
      </x:c>
      <x:c r="B101" t="str">
        <x:v>TE</x:v>
      </x:c>
      <x:c r="C101" t="n">
        <x:v>14</x:v>
      </x:c>
      <x:c r="D101" s="48" t="str">
        <x:v>Mark Andrews</x:v>
      </x:c>
      <x:c r="E101" s="48" t="n">
        <x:v>79.06538980083114</x:v>
      </x:c>
      <x:c r="F101" s="48" t="str">
        <x:v>TIER 4</x:v>
      </x:c>
      <x:c r="G101" s="48" t="n">
        <x:v>134</x:v>
      </x:c>
      <x:c r="H101" s="48" t="n">
        <x:v>37</x:v>
      </x:c>
      <x:c r="I101" s="116" t="str">
        <x:v>Streaming/TE2 range; touchdown and route volume drive usefulness.</x:v>
      </x:c>
      <x:c r="J101" s="116" t="str">
        <x:v>He produced 7.7 PPR/FP points per game across 17 games. The workload/efficiency profile gives the model a rate-based reason to keep him here. Market price is favorable around ADP 134 versus model overall rank 97.</x:v>
      </x:c>
      <x:c r="K101" s="116" t="str">
        <x:v>Route share, target volume and touchdown volatility are the main swing factors.</x:v>
      </x:c>
      <x:c r="L101" s="48" t="str">
        <x:v>A</x:v>
      </x:c>
      <x:c r="M101" s="48" t="str">
        <x:v>RATE-ADJUSTED VETERAN</x:v>
      </x:c>
      <x:c r="N101"/>
      <x:c r="O101"/>
      <x:c r="P101"/>
      <x:c r="Q101" s="98"/>
    </x:row>
    <x:row r="102">
      <x:c r="A102" t="n">
        <x:v>98</x:v>
      </x:c>
      <x:c r="B102" t="str">
        <x:v>WR</x:v>
      </x:c>
      <x:c r="C102" t="n">
        <x:v>26</x:v>
      </x:c>
      <x:c r="D102" s="48" t="str">
        <x:v>Jordyn Tyson</x:v>
      </x:c>
      <x:c r="E102" s="48" t="n">
        <x:v>76.22</x:v>
      </x:c>
      <x:c r="F102" s="48" t="str">
        <x:v>TIER 4</x:v>
      </x:c>
      <x:c r="G102" s="48" t="n">
        <x:v>135.6</x:v>
      </x:c>
      <x:c r="H102" s="48" t="n">
        <x:v>37.599999999999994</x:v>
      </x:c>
      <x:c r="I102" s="116" t="str">
        <x:v>WR2/FLEX; dependable lineup option with matchup-driven ceiling.</x:v>
      </x:c>
      <x:c r="J102" s="116" t="str">
        <x:v>Rookie score 92.4, backed by No. 8 draft capital and a 6.43 NFL prospect grade. The 2026 role projection is strong enough to replace missing NFL history. Market price is favorable around ADP 136 versus model overall rank 98.</x:v>
      </x:c>
      <x:c r="K102" s="116" t="str">
        <x:v>NFL translation and exact weekly role are the main variables; preseason first-team usage can move this rating quickly.</x:v>
      </x:c>
      <x:c r="L102" s="48" t="str">
        <x:v>B</x:v>
      </x:c>
      <x:c r="M102" s="48" t="str">
        <x:v>ROOKIE ENGINE</x:v>
      </x:c>
      <x:c r="N102"/>
      <x:c r="O102"/>
      <x:c r="P102"/>
      <x:c r="Q102" s="98"/>
    </x:row>
    <x:row r="103">
      <x:c r="A103" t="n">
        <x:v>99</x:v>
      </x:c>
      <x:c r="B103" t="str">
        <x:v>TE</x:v>
      </x:c>
      <x:c r="C103" t="n">
        <x:v>15</x:v>
      </x:c>
      <x:c r="D103" s="48" t="str">
        <x:v>Isaiah Likely</x:v>
      </x:c>
      <x:c r="E103" s="48" t="n">
        <x:v>78.57945648354206</x:v>
      </x:c>
      <x:c r="F103" s="48" t="str">
        <x:v>TIER 4</x:v>
      </x:c>
      <x:c r="G103" s="48" t="n">
        <x:v>143</x:v>
      </x:c>
      <x:c r="H103" s="48" t="n">
        <x:v>44</x:v>
      </x:c>
      <x:c r="I103" s="116" t="str">
        <x:v>Streaming/TE2 range; touchdown and route volume drive usefulness.</x:v>
      </x:c>
      <x:c r="J103" s="116" t="str">
        <x:v>He produced 4.4 PPR/FP points per game across 14 games. The workload/efficiency profile gives the model a rate-based reason to keep him here. Market price is favorable around ADP 143 versus model overall rank 99.</x:v>
      </x:c>
      <x:c r="K103" s="116" t="str">
        <x:v>Route share, target volume and touchdown volatility are the main swing factors.</x:v>
      </x:c>
      <x:c r="L103" s="48" t="str">
        <x:v>A</x:v>
      </x:c>
      <x:c r="M103" s="48" t="str">
        <x:v>RATE-ADJUSTED VETERAN</x:v>
      </x:c>
      <x:c r="N103"/>
      <x:c r="O103"/>
      <x:c r="P103"/>
      <x:c r="Q103" s="98"/>
    </x:row>
    <x:row r="104">
      <x:c r="A104" t="n">
        <x:v>100</x:v>
      </x:c>
      <x:c r="B104" t="str">
        <x:v>DST</x:v>
      </x:c>
      <x:c r="C104" t="n">
        <x:v>5</x:v>
      </x:c>
      <x:c r="D104" s="48" t="str">
        <x:v>Philadelphia Eagles</x:v>
      </x:c>
      <x:c r="E104" s="48" t="n">
        <x:v>88.6</x:v>
      </x:c>
      <x:c r="F104" s="48" t="str">
        <x:v>TIER 2</x:v>
      </x:c>
      <x:c r="G104" s="48" t="n">
        <x:v>176</x:v>
      </x:c>
      <x:c r="H104" s="48" t="n">
        <x:v>76</x:v>
      </x:c>
      <x:c r="I104" s="116" t="str">
        <x:v>Elite DST target if available in the final rounds; otherwise streaming remains viable.</x:v>
      </x:c>
      <x:c r="J104" s="116" t="str">
        <x:v>The unit grades well relative to the current DST pool, but the model intentionally keeps defense behind core skill positions.</x:v>
      </x:c>
      <x:c r="K104" s="116" t="str">
        <x:v>DST scoring is highly opponent- and turnover-dependent, making season-long rank fragile.</x:v>
      </x:c>
      <x:c r="L104" s="48" t="str">
        <x:v>B</x:v>
      </x:c>
      <x:c r="M104" s="48" t="str">
        <x:v>DST MODEL</x:v>
      </x:c>
      <x:c r="N104"/>
      <x:c r="O104"/>
      <x:c r="P104"/>
      <x:c r="Q104" s="98"/>
    </x:row>
    <x:row r="105">
      <x:c r="A105" t="n">
        <x:v>101</x:v>
      </x:c>
      <x:c r="B105" t="str">
        <x:v>QB</x:v>
      </x:c>
      <x:c r="C105" t="n">
        <x:v>15</x:v>
      </x:c>
      <x:c r="D105" s="48" t="str">
        <x:v>Jaxson Dart</x:v>
      </x:c>
      <x:c r="E105" s="48" t="n">
        <x:v>83.0606951237557</x:v>
      </x:c>
      <x:c r="F105" s="48" t="str">
        <x:v>TIER 3</x:v>
      </x:c>
      <x:c r="G105" s="48" t="n">
        <x:v>134</x:v>
      </x:c>
      <x:c r="H105" s="48" t="n">
        <x:v>33</x:v>
      </x:c>
      <x:c r="I105" s="116" t="str">
        <x:v>QB2/streaming tier; useful when matchup and supporting cast line up.</x:v>
      </x:c>
      <x:c r="J105" s="116" t="str">
        <x:v>He produced 17.6 PPR/FP points per game across 14 games. The workload/efficiency profile gives the model a rate-based reason to keep him here. Market price is favorable around ADP 134 versus model overall rank 101.</x:v>
      </x:c>
      <x:c r="K105" s="116" t="str">
        <x:v>Passing-TD efficiency, rushing volume and supporting-cast health are the main swing factors.</x:v>
      </x:c>
      <x:c r="L105" s="48" t="str">
        <x:v>A</x:v>
      </x:c>
      <x:c r="M105" s="48" t="str">
        <x:v>RATE-ADJUSTED VETERAN</x:v>
      </x:c>
      <x:c r="N105"/>
      <x:c r="O105"/>
      <x:c r="P105"/>
      <x:c r="Q105" s="98"/>
    </x:row>
    <x:row r="106">
      <x:c r="A106" t="n">
        <x:v>102</x:v>
      </x:c>
      <x:c r="B106" t="str">
        <x:v>RB</x:v>
      </x:c>
      <x:c r="C106" t="n">
        <x:v>33</x:v>
      </x:c>
      <x:c r="D106" s="48" t="str">
        <x:v>Kyle Monangai</x:v>
      </x:c>
      <x:c r="E106" s="48" t="n">
        <x:v>72.61019893136515</x:v>
      </x:c>
      <x:c r="F106" s="48" t="str">
        <x:v>TIER 5</x:v>
      </x:c>
      <x:c r="G106" s="48" t="n">
        <x:v>136.4</x:v>
      </x:c>
      <x:c r="H106" s="48" t="n">
        <x:v>34.400000000000006</x:v>
      </x:c>
      <x:c r="I106" s="116" t="str">
        <x:v>FLEX/bench depth with upside if workload grows.</x:v>
      </x:c>
      <x:c r="J106" s="116" t="str">
        <x:v>He produced 8.7 PPR/FP points per game across 17 games. The workload/efficiency profile gives the model a rate-based reason to keep him here. Market price is favorable around ADP 136 versus model overall rank 102.</x:v>
      </x:c>
      <x:c r="K106" s="116" t="str">
        <x:v>Touchdown variance, receiving-role changes and backfield competition are the main downside paths.</x:v>
      </x:c>
      <x:c r="L106" s="48" t="str">
        <x:v>A</x:v>
      </x:c>
      <x:c r="M106" s="48" t="str">
        <x:v>RATE-ADJUSTED VETERAN</x:v>
      </x:c>
      <x:c r="N106"/>
      <x:c r="O106"/>
      <x:c r="P106"/>
      <x:c r="Q106" s="98"/>
    </x:row>
    <x:row r="107">
      <x:c r="A107" t="n">
        <x:v>103</x:v>
      </x:c>
      <x:c r="B107" t="str">
        <x:v>TE</x:v>
      </x:c>
      <x:c r="C107" t="n">
        <x:v>16</x:v>
      </x:c>
      <x:c r="D107" s="48" t="str">
        <x:v>Juwan Johnson</x:v>
      </x:c>
      <x:c r="E107" s="48" t="n">
        <x:v>78.32031359820323</x:v>
      </x:c>
      <x:c r="F107" s="48" t="str">
        <x:v>TIER 4</x:v>
      </x:c>
      <x:c r="G107" s="48" t="n">
        <x:v>152</x:v>
      </x:c>
      <x:c r="H107" s="48" t="n">
        <x:v>49</x:v>
      </x:c>
      <x:c r="I107" s="116" t="str">
        <x:v>Streaming/TE2 range; touchdown and route volume drive usefulness.</x:v>
      </x:c>
      <x:c r="J107" s="116" t="str">
        <x:v>He produced 10.6 PPR/FP points per game across 17 games. The workload/efficiency profile gives the model a rate-based reason to keep him here. Market price is favorable around ADP 152 versus model overall rank 103.</x:v>
      </x:c>
      <x:c r="K107" s="116" t="str">
        <x:v>Route share, target volume and touchdown volatility are the main swing factors.</x:v>
      </x:c>
      <x:c r="L107" s="48" t="str">
        <x:v>A</x:v>
      </x:c>
      <x:c r="M107" s="48" t="str">
        <x:v>RATE-ADJUSTED VETERAN</x:v>
      </x:c>
      <x:c r="N107"/>
      <x:c r="O107"/>
      <x:c r="P107"/>
      <x:c r="Q107" s="98"/>
    </x:row>
    <x:row r="108">
      <x:c r="A108" t="n">
        <x:v>104</x:v>
      </x:c>
      <x:c r="B108" t="str">
        <x:v>K</x:v>
      </x:c>
      <x:c r="C108" t="n">
        <x:v>7</x:v>
      </x:c>
      <x:c r="D108" s="48" t="str">
        <x:v>Tyler Loop</x:v>
      </x:c>
      <x:c r="E108" s="48" t="n">
        <x:v>80.8</x:v>
      </x:c>
      <x:c r="F108" s="48" t="str">
        <x:v>TIER 3</x:v>
      </x:c>
      <x:c r="G108" s="48" t="n">
        <x:v>185</x:v>
      </x:c>
      <x:c r="H108" s="48" t="n">
        <x:v>81</x:v>
      </x:c>
      <x:c r="I108" s="116" t="str">
        <x:v>Late-round kicker; treat as replaceable unless scoring strongly rewards distance.</x:v>
      </x:c>
      <x:c r="J108" s="116" t="str">
        <x:v>Ranks near the top of the current kicker pool, but kicker week-to-week separation is small in a 10-team league.</x:v>
      </x:c>
      <x:c r="K108" s="116" t="str">
        <x:v>Kicker scoring is volatile and replaceable on waivers; do not pay meaningful draft capital.</x:v>
      </x:c>
      <x:c r="L108" s="48" t="str">
        <x:v>B</x:v>
      </x:c>
      <x:c r="M108" s="48" t="str">
        <x:v>KICKER MODEL</x:v>
      </x:c>
      <x:c r="N108"/>
      <x:c r="O108"/>
      <x:c r="P108"/>
      <x:c r="Q108" s="98"/>
    </x:row>
    <x:row r="109">
      <x:c r="A109" t="n">
        <x:v>105</x:v>
      </x:c>
      <x:c r="B109" t="str">
        <x:v>WR</x:v>
      </x:c>
      <x:c r="C109" t="n">
        <x:v>28</x:v>
      </x:c>
      <x:c r="D109" s="48" t="str">
        <x:v>Michael Pittman Jr.</x:v>
      </x:c>
      <x:c r="E109" s="48" t="n">
        <x:v>75.55</x:v>
      </x:c>
      <x:c r="F109" s="48" t="str">
        <x:v>TIER 4</x:v>
      </x:c>
      <x:c r="G109" s="48" t="n">
        <x:v>139.5</x:v>
      </x:c>
      <x:c r="H109" s="48" t="n">
        <x:v>34.5</x:v>
      </x:c>
      <x:c r="I109" s="116" t="str">
        <x:v>WR2/FLEX; dependable lineup option with matchup-driven ceiling.</x:v>
      </x:c>
      <x:c r="J109" s="116" t="str">
        <x:v>He produced 11.9 PPR/FP points per game across 17 games. The workload/efficiency profile gives the model a rate-based reason to keep him here. Market price is favorable around ADP 140 versus model overall rank 105.</x:v>
      </x:c>
      <x:c r="K109" s="116" t="str">
        <x:v>Target competition, quarterback efficiency and touchdown regression are the main downside paths.</x:v>
      </x:c>
      <x:c r="L109" s="48" t="str">
        <x:v>A</x:v>
      </x:c>
      <x:c r="M109" s="48" t="str">
        <x:v>RATE-ADJUSTED VETERAN</x:v>
      </x:c>
      <x:c r="N109"/>
      <x:c r="O109"/>
      <x:c r="P109"/>
      <x:c r="Q109" s="98"/>
    </x:row>
    <x:row r="110">
      <x:c r="A110" t="n">
        <x:v>106</x:v>
      </x:c>
      <x:c r="B110" t="str">
        <x:v>QB</x:v>
      </x:c>
      <x:c r="C110" t="n">
        <x:v>16</x:v>
      </x:c>
      <x:c r="D110" s="48" t="str">
        <x:v>Jared Goff</x:v>
      </x:c>
      <x:c r="E110" s="48" t="n">
        <x:v>82.64253383916756</x:v>
      </x:c>
      <x:c r="F110" s="48" t="str">
        <x:v>TIER 3</x:v>
      </x:c>
      <x:c r="G110" s="48" t="n">
        <x:v>142</x:v>
      </x:c>
      <x:c r="H110" s="48" t="n">
        <x:v>36</x:v>
      </x:c>
      <x:c r="I110" s="116" t="str">
        <x:v>QB2/streaming tier; useful when matchup and supporting cast line up.</x:v>
      </x:c>
      <x:c r="J110" s="116" t="str">
        <x:v>He produced 17.9 PPR/FP points per game across 17 games. The workload/efficiency profile gives the model a rate-based reason to keep him here. Market price is favorable around ADP 142 versus model overall rank 106.</x:v>
      </x:c>
      <x:c r="K110" s="116" t="str">
        <x:v>Passing-TD efficiency, rushing volume and supporting-cast health are the main swing factors.</x:v>
      </x:c>
      <x:c r="L110" s="48" t="str">
        <x:v>A</x:v>
      </x:c>
      <x:c r="M110" s="48" t="str">
        <x:v>RATE-ADJUSTED VETERAN</x:v>
      </x:c>
      <x:c r="N110"/>
      <x:c r="O110"/>
      <x:c r="P110"/>
      <x:c r="Q110" s="98"/>
    </x:row>
    <x:row r="111">
      <x:c r="A111" t="n">
        <x:v>107</x:v>
      </x:c>
      <x:c r="B111" t="str">
        <x:v>RB</x:v>
      </x:c>
      <x:c r="C111" t="n">
        <x:v>34</x:v>
      </x:c>
      <x:c r="D111" s="48" t="str">
        <x:v>Chuba Hubbard</x:v>
      </x:c>
      <x:c r="E111" s="48" t="n">
        <x:v>71.86665989322354</x:v>
      </x:c>
      <x:c r="F111" s="48" t="str">
        <x:v>TIER 5</x:v>
      </x:c>
      <x:c r="G111" s="48" t="n">
        <x:v>140.6</x:v>
      </x:c>
      <x:c r="H111" s="48" t="n">
        <x:v>33.599999999999994</x:v>
      </x:c>
      <x:c r="I111" s="116" t="str">
        <x:v>FLEX/bench depth with upside if workload grows.</x:v>
      </x:c>
      <x:c r="J111" s="116" t="str">
        <x:v>He produced 8.4 PPR/FP points per game across 15 games. The workload/efficiency profile gives the model a rate-based reason to keep him here. Market price is favorable around ADP 141 versus model overall rank 107.</x:v>
      </x:c>
      <x:c r="K111" s="116" t="str">
        <x:v>Touchdown variance, receiving-role changes and backfield competition are the main downside paths.</x:v>
      </x:c>
      <x:c r="L111" s="48" t="str">
        <x:v>A</x:v>
      </x:c>
      <x:c r="M111" s="48" t="str">
        <x:v>RATE-ADJUSTED VETERAN</x:v>
      </x:c>
      <x:c r="N111"/>
      <x:c r="O111"/>
      <x:c r="P111"/>
      <x:c r="Q111" s="98"/>
    </x:row>
    <x:row r="112">
      <x:c r="A112" t="n">
        <x:v>108</x:v>
      </x:c>
      <x:c r="B112" t="str">
        <x:v>WR</x:v>
      </x:c>
      <x:c r="C112" t="n">
        <x:v>33</x:v>
      </x:c>
      <x:c r="D112" s="48" t="str">
        <x:v>Rome Odunze</x:v>
      </x:c>
      <x:c r="E112" s="48" t="n">
        <x:v>73.645</x:v>
      </x:c>
      <x:c r="F112" s="48" t="str">
        <x:v>TIER 5</x:v>
      </x:c>
      <x:c r="G112" s="48" t="n">
        <x:v>104.39999999999999</x:v>
      </x:c>
      <x:c r="H112" s="48" t="n">
        <x:v>-3.6000000000000085</x:v>
      </x:c>
      <x:c r="I112" s="116" t="str">
        <x:v>WR2/FLEX; dependable lineup option with matchup-driven ceiling.</x:v>
      </x:c>
      <x:c r="J112" s="116" t="str">
        <x:v>He produced 12.2 PPR/FP points per game across 12 games. The workload/efficiency profile gives the model a rate-based reason to keep him here.</x:v>
      </x:c>
      <x:c r="K112" s="116" t="str">
        <x:v>Target competition, quarterback efficiency and touchdown regression are the main downside paths.</x:v>
      </x:c>
      <x:c r="L112" s="48" t="str">
        <x:v>A</x:v>
      </x:c>
      <x:c r="M112" s="48" t="str">
        <x:v>RATE-ADJUSTED VETERAN</x:v>
      </x:c>
      <x:c r="N112"/>
      <x:c r="O112"/>
      <x:c r="P112"/>
      <x:c r="Q112" s="98"/>
    </x:row>
    <x:row r="113">
      <x:c r="A113" t="n">
        <x:v>109</x:v>
      </x:c>
      <x:c r="B113" t="str">
        <x:v>WR</x:v>
      </x:c>
      <x:c r="C113" t="n">
        <x:v>32</x:v>
      </x:c>
      <x:c r="D113" s="48" t="str">
        <x:v>Christian Watson</x:v>
      </x:c>
      <x:c r="E113" s="48" t="n">
        <x:v>73.8925</x:v>
      </x:c>
      <x:c r="F113" s="48" t="str">
        <x:v>TIER 5</x:v>
      </x:c>
      <x:c r="G113" s="48" t="n">
        <x:v>116.1</x:v>
      </x:c>
      <x:c r="H113" s="48" t="n">
        <x:v>7.099999999999994</x:v>
      </x:c>
      <x:c r="I113" s="116" t="str">
        <x:v>WR2/FLEX; dependable lineup option with matchup-driven ceiling.</x:v>
      </x:c>
      <x:c r="J113" s="116" t="str">
        <x:v>He produced 13.2 PPR/FP points per game across 10 games. The workload/efficiency profile gives the model a rate-based reason to keep him here.</x:v>
      </x:c>
      <x:c r="K113" s="116" t="str">
        <x:v>Target competition, quarterback efficiency and touchdown regression are the main downside paths.</x:v>
      </x:c>
      <x:c r="L113" s="48" t="str">
        <x:v>B</x:v>
      </x:c>
      <x:c r="M113" s="48" t="str">
        <x:v>RATE-ADJUSTED VETERAN</x:v>
      </x:c>
      <x:c r="N113"/>
      <x:c r="O113"/>
      <x:c r="P113"/>
      <x:c r="Q113" s="98"/>
    </x:row>
    <x:row r="114">
      <x:c r="A114" t="n">
        <x:v>110</x:v>
      </x:c>
      <x:c r="B114" t="str">
        <x:v>WR</x:v>
      </x:c>
      <x:c r="C114" t="n">
        <x:v>30</x:v>
      </x:c>
      <x:c r="D114" s="48" t="str">
        <x:v>Jakobi Meyers</x:v>
      </x:c>
      <x:c r="E114" s="48" t="n">
        <x:v>74.88</x:v>
      </x:c>
      <x:c r="F114" s="48" t="str">
        <x:v>TIER 5</x:v>
      </x:c>
      <x:c r="G114" s="48" t="n">
        <x:v>143.4</x:v>
      </x:c>
      <x:c r="H114" s="48" t="n">
        <x:v>33.400000000000006</x:v>
      </x:c>
      <x:c r="I114" s="116" t="str">
        <x:v>WR2/FLEX; dependable lineup option with matchup-driven ceiling.</x:v>
      </x:c>
      <x:c r="J114" s="116" t="str">
        <x:v>He produced 11.0 PPR/FP points per game across 16 games. The workload/efficiency profile gives the model a rate-based reason to keep him here. Market price is favorable around ADP 143 versus model overall rank 110.</x:v>
      </x:c>
      <x:c r="K114" s="116" t="str">
        <x:v>Target competition, quarterback efficiency and touchdown regression are the main downside paths.</x:v>
      </x:c>
      <x:c r="L114" s="48" t="str">
        <x:v>A</x:v>
      </x:c>
      <x:c r="M114" s="48" t="str">
        <x:v>RATE-ADJUSTED VETERAN</x:v>
      </x:c>
      <x:c r="N114"/>
      <x:c r="O114"/>
      <x:c r="P114"/>
      <x:c r="Q114" s="98"/>
    </x:row>
    <x:row r="115">
      <x:c r="A115" t="n">
        <x:v>111</x:v>
      </x:c>
      <x:c r="B115" t="str">
        <x:v>RB</x:v>
      </x:c>
      <x:c r="C115" t="n">
        <x:v>35</x:v>
      </x:c>
      <x:c r="D115" s="48" t="str">
        <x:v>Aaron Jones Sr.</x:v>
      </x:c>
      <x:c r="E115" s="48" t="n">
        <x:v>71.6976534059668</x:v>
      </x:c>
      <x:c r="F115" s="48" t="str">
        <x:v>TIER 5</x:v>
      </x:c>
      <x:c r="G115" s="48" t="n">
        <x:v>144.8</x:v>
      </x:c>
      <x:c r="H115" s="48" t="n">
        <x:v>33.80000000000001</x:v>
      </x:c>
      <x:c r="I115" s="116" t="str">
        <x:v>FLEX/bench depth with upside if workload grows.</x:v>
      </x:c>
      <x:c r="J115" s="116" t="str">
        <x:v>He produced 9.9 PPR/FP points per game across 12 games. The workload/efficiency profile gives the model a rate-based reason to keep him here. Market price is favorable around ADP 145 versus model overall rank 111.</x:v>
      </x:c>
      <x:c r="K115" s="116" t="str">
        <x:v>Touchdown variance, receiving-role changes and backfield competition are the main downside paths.</x:v>
      </x:c>
      <x:c r="L115" s="48" t="str">
        <x:v>A</x:v>
      </x:c>
      <x:c r="M115" s="48" t="str">
        <x:v>RATE-ADJUSTED VETERAN</x:v>
      </x:c>
      <x:c r="N115"/>
      <x:c r="O115"/>
      <x:c r="P115"/>
      <x:c r="Q115" s="98"/>
    </x:row>
    <x:row r="116">
      <x:c r="A116" t="n">
        <x:v>112</x:v>
      </x:c>
      <x:c r="B116" t="str">
        <x:v>DST</x:v>
      </x:c>
      <x:c r="C116" t="n">
        <x:v>6</x:v>
      </x:c>
      <x:c r="D116" s="48" t="str">
        <x:v>Minnesota Vikings</x:v>
      </x:c>
      <x:c r="E116" s="48" t="n">
        <x:v>87.5</x:v>
      </x:c>
      <x:c r="F116" s="48" t="str">
        <x:v>TIER 2</x:v>
      </x:c>
      <x:c r="G116" s="48" t="n">
        <x:v>180</x:v>
      </x:c>
      <x:c r="H116" s="48" t="n">
        <x:v>68</x:v>
      </x:c>
      <x:c r="I116" s="116" t="str">
        <x:v>Streaming/late-round defense; matchup matters more than preseason rank.</x:v>
      </x:c>
      <x:c r="J116" s="116" t="str">
        <x:v>The unit grades well relative to the current DST pool, but the model intentionally keeps defense behind core skill positions.</x:v>
      </x:c>
      <x:c r="K116" s="116" t="str">
        <x:v>DST scoring is highly opponent- and turnover-dependent, making season-long rank fragile.</x:v>
      </x:c>
      <x:c r="L116" s="48" t="str">
        <x:v>B</x:v>
      </x:c>
      <x:c r="M116" s="48" t="str">
        <x:v>DST MODEL</x:v>
      </x:c>
      <x:c r="N116"/>
      <x:c r="O116"/>
      <x:c r="P116"/>
      <x:c r="Q116" s="98"/>
    </x:row>
    <x:row r="117">
      <x:c r="A117" t="n">
        <x:v>113</x:v>
      </x:c>
      <x:c r="B117" t="str">
        <x:v>RB</x:v>
      </x:c>
      <x:c r="C117" t="n">
        <x:v>36</x:v>
      </x:c>
      <x:c r="D117" s="48" t="str">
        <x:v>J.K. Dobbins</x:v>
      </x:c>
      <x:c r="E117" s="48" t="n">
        <x:v>71.16661350850421</x:v>
      </x:c>
      <x:c r="F117" s="48" t="str">
        <x:v>TIER 5</x:v>
      </x:c>
      <x:c r="G117" s="48" t="n">
        <x:v>149</x:v>
      </x:c>
      <x:c r="H117" s="48" t="n">
        <x:v>36</x:v>
      </x:c>
      <x:c r="I117" s="116" t="str">
        <x:v>FLEX/bench depth with upside if workload grows.</x:v>
      </x:c>
      <x:c r="J117" s="116" t="str">
        <x:v>He produced 11.6 PPR/FP points per game across 10 games. The workload/efficiency profile gives the model a rate-based reason to keep him here. Market price is favorable around ADP 149 versus model overall rank 113.</x:v>
      </x:c>
      <x:c r="K117" s="116" t="str">
        <x:v>Touchdown variance, receiving-role changes and backfield competition are the main downside paths.</x:v>
      </x:c>
      <x:c r="L117" s="48" t="str">
        <x:v>B</x:v>
      </x:c>
      <x:c r="M117" s="48" t="str">
        <x:v>RATE-ADJUSTED VETERAN</x:v>
      </x:c>
      <x:c r="N117"/>
      <x:c r="O117"/>
      <x:c r="P117"/>
      <x:c r="Q117" s="98"/>
    </x:row>
    <x:row r="118">
      <x:c r="A118" t="n">
        <x:v>114</x:v>
      </x:c>
      <x:c r="B118" t="str">
        <x:v>WR</x:v>
      </x:c>
      <x:c r="C118" t="n">
        <x:v>31</x:v>
      </x:c>
      <x:c r="D118" s="48" t="str">
        <x:v>Jordan Addison</x:v>
      </x:c>
      <x:c r="E118" s="48" t="n">
        <x:v>74.21</x:v>
      </x:c>
      <x:c r="F118" s="48" t="str">
        <x:v>TIER 5</x:v>
      </x:c>
      <x:c r="G118" s="48" t="n">
        <x:v>147.29999999999998</x:v>
      </x:c>
      <x:c r="H118" s="48" t="n">
        <x:v>33.29999999999998</x:v>
      </x:c>
      <x:c r="I118" s="116" t="str">
        <x:v>WR2/FLEX; dependable lineup option with matchup-driven ceiling.</x:v>
      </x:c>
      <x:c r="J118" s="116" t="str">
        <x:v>He produced 9.6 PPR/FP points per game across 14 games. The workload/efficiency profile gives the model a rate-based reason to keep him here. Market price is favorable around ADP 147 versus model overall rank 114.</x:v>
      </x:c>
      <x:c r="K118" s="116" t="str">
        <x:v>Target competition, quarterback efficiency and touchdown regression are the main downside paths.</x:v>
      </x:c>
      <x:c r="L118" s="48" t="str">
        <x:v>A</x:v>
      </x:c>
      <x:c r="M118" s="48" t="str">
        <x:v>RATE-ADJUSTED VETERAN</x:v>
      </x:c>
      <x:c r="N118"/>
      <x:c r="O118"/>
      <x:c r="P118"/>
      <x:c r="Q118" s="98"/>
    </x:row>
    <x:row r="119">
      <x:c r="A119" t="n">
        <x:v>115</x:v>
      </x:c>
      <x:c r="B119" t="str">
        <x:v>DST</x:v>
      </x:c>
      <x:c r="C119" t="n">
        <x:v>7</x:v>
      </x:c>
      <x:c r="D119" s="48" t="str">
        <x:v>New England Patriots</x:v>
      </x:c>
      <x:c r="E119" s="48" t="n">
        <x:v>86.4</x:v>
      </x:c>
      <x:c r="F119" s="48" t="str">
        <x:v>TIER 2</x:v>
      </x:c>
      <x:c r="G119" s="48" t="n">
        <x:v>184</x:v>
      </x:c>
      <x:c r="H119" s="48" t="n">
        <x:v>69</x:v>
      </x:c>
      <x:c r="I119" s="116" t="str">
        <x:v>Streaming/late-round defense; matchup matters more than preseason rank.</x:v>
      </x:c>
      <x:c r="J119" s="116" t="str">
        <x:v>The unit grades well relative to the current DST pool, but the model intentionally keeps defense behind core skill positions.</x:v>
      </x:c>
      <x:c r="K119" s="116" t="str">
        <x:v>DST scoring is highly opponent- and turnover-dependent, making season-long rank fragile.</x:v>
      </x:c>
      <x:c r="L119" s="48" t="str">
        <x:v>B</x:v>
      </x:c>
      <x:c r="M119" s="48" t="str">
        <x:v>DST MODEL</x:v>
      </x:c>
      <x:c r="N119"/>
      <x:c r="O119"/>
      <x:c r="P119"/>
      <x:c r="Q119" s="98"/>
    </x:row>
    <x:row r="120">
      <x:c r="A120" t="n">
        <x:v>116</x:v>
      </x:c>
      <x:c r="B120" t="str">
        <x:v>TE</x:v>
      </x:c>
      <x:c r="C120" t="n">
        <x:v>17</x:v>
      </x:c>
      <x:c r="D120" s="48" t="str">
        <x:v>Hunter Henry</x:v>
      </x:c>
      <x:c r="E120" s="48" t="n">
        <x:v>76.2525933033895</x:v>
      </x:c>
      <x:c r="F120" s="48" t="str">
        <x:v>TIER 4</x:v>
      </x:c>
      <x:c r="G120" s="48" t="n">
        <x:v>161</x:v>
      </x:c>
      <x:c r="H120" s="48" t="n">
        <x:v>45</x:v>
      </x:c>
      <x:c r="I120" s="116" t="str">
        <x:v>Streaming/TE2 range; touchdown and route volume drive usefulness.</x:v>
      </x:c>
      <x:c r="J120" s="116" t="str">
        <x:v>He produced 10.5 PPR/FP points per game across 17 games. The workload/efficiency profile gives the model a rate-based reason to keep him here. Market price is favorable around ADP 161 versus model overall rank 116.</x:v>
      </x:c>
      <x:c r="K120" s="116" t="str">
        <x:v>Route share, target volume and touchdown volatility are the main swing factors.</x:v>
      </x:c>
      <x:c r="L120" s="48" t="str">
        <x:v>A</x:v>
      </x:c>
      <x:c r="M120" s="48" t="str">
        <x:v>RATE-ADJUSTED VETERAN</x:v>
      </x:c>
      <x:c r="N120"/>
      <x:c r="O120"/>
      <x:c r="P120"/>
      <x:c r="Q120" s="98"/>
    </x:row>
    <x:row r="121">
      <x:c r="A121" t="n">
        <x:v>117</x:v>
      </x:c>
      <x:c r="B121" t="str">
        <x:v>K</x:v>
      </x:c>
      <x:c r="C121" t="n">
        <x:v>8</x:v>
      </x:c>
      <x:c r="D121" s="48" t="str">
        <x:v>Harrison Mevis</x:v>
      </x:c>
      <x:c r="E121" s="48" t="n">
        <x:v>78.6</x:v>
      </x:c>
      <x:c r="F121" s="48" t="str">
        <x:v>TIER 4</x:v>
      </x:c>
      <x:c r="G121" s="48" t="n">
        <x:v>190</x:v>
      </x:c>
      <x:c r="H121" s="48" t="n">
        <x:v>73</x:v>
      </x:c>
      <x:c r="I121" s="116" t="str">
        <x:v>Late-round kicker; treat as replaceable unless scoring strongly rewards distance.</x:v>
      </x:c>
      <x:c r="J121" s="116" t="str">
        <x:v>Ranks near the top of the current kicker pool, but kicker week-to-week separation is small in a 10-team league.</x:v>
      </x:c>
      <x:c r="K121" s="116" t="str">
        <x:v>Kicker scoring is volatile and replaceable on waivers; do not pay meaningful draft capital.</x:v>
      </x:c>
      <x:c r="L121" s="48" t="str">
        <x:v>B</x:v>
      </x:c>
      <x:c r="M121" s="48" t="str">
        <x:v>KICKER MODEL</x:v>
      </x:c>
      <x:c r="N121"/>
      <x:c r="O121"/>
      <x:c r="P121"/>
      <x:c r="Q121" s="98"/>
    </x:row>
    <x:row r="122">
      <x:c r="A122" t="n">
        <x:v>118</x:v>
      </x:c>
      <x:c r="B122" t="str">
        <x:v>WR</x:v>
      </x:c>
      <x:c r="C122" t="n">
        <x:v>34</x:v>
      </x:c>
      <x:c r="D122" s="48" t="str">
        <x:v>Wan'Dale Robinson</x:v>
      </x:c>
      <x:c r="E122" s="48" t="n">
        <x:v>73.53999999999999</x:v>
      </x:c>
      <x:c r="F122" s="48" t="str">
        <x:v>TIER 5</x:v>
      </x:c>
      <x:c r="G122" s="48" t="n">
        <x:v>151.2</x:v>
      </x:c>
      <x:c r="H122" s="48" t="n">
        <x:v>33.19999999999999</x:v>
      </x:c>
      <x:c r="I122" s="116" t="str">
        <x:v>WR2/FLEX; dependable lineup option with matchup-driven ceiling.</x:v>
      </x:c>
      <x:c r="J122" s="116" t="str">
        <x:v>He produced 13.7 PPR/FP points per game across 16 games. The workload/efficiency profile gives the model a rate-based reason to keep him here. Market price is favorable around ADP 151 versus model overall rank 118.</x:v>
      </x:c>
      <x:c r="K122" s="116" t="str">
        <x:v>Target competition, quarterback efficiency and touchdown regression are the main downside paths.</x:v>
      </x:c>
      <x:c r="L122" s="48" t="str">
        <x:v>A</x:v>
      </x:c>
      <x:c r="M122" s="48" t="str">
        <x:v>RATE-ADJUSTED VETERAN</x:v>
      </x:c>
      <x:c r="N122"/>
      <x:c r="O122"/>
      <x:c r="P122"/>
      <x:c r="Q122" s="98"/>
    </x:row>
    <x:row r="123">
      <x:c r="A123" t="n">
        <x:v>119</x:v>
      </x:c>
      <x:c r="B123" t="str">
        <x:v>QB</x:v>
      </x:c>
      <x:c r="C123" t="n">
        <x:v>17</x:v>
      </x:c>
      <x:c r="D123" s="48" t="str">
        <x:v>Kyler Murray</x:v>
      </x:c>
      <x:c r="E123" s="48" t="n">
        <x:v>80.71009771989318</x:v>
      </x:c>
      <x:c r="F123" s="48" t="str">
        <x:v>TIER 3</x:v>
      </x:c>
      <x:c r="G123" s="48" t="n">
        <x:v>150</x:v>
      </x:c>
      <x:c r="H123" s="48" t="n">
        <x:v>31</x:v>
      </x:c>
      <x:c r="I123" s="116" t="str">
        <x:v>QB2/streaming tier; useful when matchup and supporting cast line up.</x:v>
      </x:c>
      <x:c r="J123" s="116" t="str">
        <x:v>He produced 16.2 PPR/FP points per game across 5 games. The workload/efficiency profile gives the model a rate-based reason to keep him here. Market price is favorable around ADP 150 versus model overall rank 119.</x:v>
      </x:c>
      <x:c r="K123" s="116" t="str">
        <x:v>Availability/sample risk is elevated after only 5 games; talent is not being punished as heavily as durability.</x:v>
      </x:c>
      <x:c r="L123" s="48" t="str">
        <x:v>B</x:v>
      </x:c>
      <x:c r="M123" s="48" t="str">
        <x:v>RATE-ADJUSTED VETERAN</x:v>
      </x:c>
      <x:c r="N123"/>
      <x:c r="O123"/>
      <x:c r="P123"/>
      <x:c r="Q123" s="98"/>
    </x:row>
    <x:row r="124">
      <x:c r="A124" t="n">
        <x:v>120</x:v>
      </x:c>
      <x:c r="B124" t="str">
        <x:v>WR</x:v>
      </x:c>
      <x:c r="C124" t="n">
        <x:v>37</x:v>
      </x:c>
      <x:c r="D124" s="48" t="str">
        <x:v>Marvin Harrison Jr.</x:v>
      </x:c>
      <x:c r="E124" s="48" t="n">
        <x:v>71.81</x:v>
      </x:c>
      <x:c r="F124" s="48" t="str">
        <x:v>TIER 5</x:v>
      </x:c>
      <x:c r="G124" s="48" t="n">
        <x:v>112.2</x:v>
      </x:c>
      <x:c r="H124" s="48" t="n">
        <x:v>-7.799999999999997</x:v>
      </x:c>
      <x:c r="I124" s="116" t="str">
        <x:v>FLEX/bench receiver; needs target growth or efficiency spikes.</x:v>
      </x:c>
      <x:c r="J124" s="116" t="str">
        <x:v>He produced 10.6 PPR/FP points per game across 12 games. The workload/efficiency profile gives the model a rate-based reason to keep him here.</x:v>
      </x:c>
      <x:c r="K124" s="116" t="str">
        <x:v>Target competition, quarterback efficiency and touchdown regression are the main downside paths.</x:v>
      </x:c>
      <x:c r="L124" s="48" t="str">
        <x:v>A</x:v>
      </x:c>
      <x:c r="M124" s="48" t="str">
        <x:v>RATE-ADJUSTED VETERAN</x:v>
      </x:c>
      <x:c r="N124"/>
      <x:c r="O124"/>
      <x:c r="P124"/>
      <x:c r="Q124" s="98"/>
    </x:row>
    <x:row r="125">
      <x:c r="A125" t="n">
        <x:v>121</x:v>
      </x:c>
      <x:c r="B125" t="str">
        <x:v>TE</x:v>
      </x:c>
      <x:c r="C125" t="n">
        <x:v>18</x:v>
      </x:c>
      <x:c r="D125" s="48" t="str">
        <x:v>Brenton Strange</x:v>
      </x:c>
      <x:c r="E125" s="48" t="n">
        <x:v>76.03210666780286</x:v>
      </x:c>
      <x:c r="F125" s="48" t="str">
        <x:v>TIER 4</x:v>
      </x:c>
      <x:c r="G125" s="48" t="n">
        <x:v>170</x:v>
      </x:c>
      <x:c r="H125" s="48" t="n">
        <x:v>49</x:v>
      </x:c>
      <x:c r="I125" s="116" t="str">
        <x:v>Streaming/TE2 range; touchdown and route volume drive usefulness.</x:v>
      </x:c>
      <x:c r="J125" s="116" t="str">
        <x:v>He produced 9.8 PPR/FP points per game across 12 games. The workload/efficiency profile gives the model a rate-based reason to keep him here. Market price is favorable around ADP 170 versus model overall rank 121.</x:v>
      </x:c>
      <x:c r="K125" s="116" t="str">
        <x:v>Route share, target volume and touchdown volatility are the main swing factors.</x:v>
      </x:c>
      <x:c r="L125" s="48" t="str">
        <x:v>A</x:v>
      </x:c>
      <x:c r="M125" s="48" t="str">
        <x:v>RATE-ADJUSTED VETERAN</x:v>
      </x:c>
      <x:c r="N125"/>
      <x:c r="O125"/>
      <x:c r="P125"/>
      <x:c r="Q125" s="98"/>
    </x:row>
    <x:row r="126">
      <x:c r="A126" t="n">
        <x:v>122</x:v>
      </x:c>
      <x:c r="B126" t="str">
        <x:v>WR</x:v>
      </x:c>
      <x:c r="C126" t="n">
        <x:v>36</x:v>
      </x:c>
      <x:c r="D126" s="48" t="str">
        <x:v>Carnell Tate</x:v>
      </x:c>
      <x:c r="E126" s="48" t="n">
        <x:v>71.89</x:v>
      </x:c>
      <x:c r="F126" s="48" t="str">
        <x:v>TIER 5</x:v>
      </x:c>
      <x:c r="G126" s="48" t="n">
        <x:v>127.8</x:v>
      </x:c>
      <x:c r="H126" s="48" t="n">
        <x:v>5.799999999999997</x:v>
      </x:c>
      <x:c r="I126" s="116" t="str">
        <x:v>WR2/FLEX; dependable lineup option with matchup-driven ceiling.</x:v>
      </x:c>
      <x:c r="J126" s="116" t="str">
        <x:v>Rookie score 95.1, backed by No. 4 draft capital and a 6.71 NFL prospect grade. The 2026 role projection is strong enough to replace missing NFL history.</x:v>
      </x:c>
      <x:c r="K126" s="116" t="str">
        <x:v>NFL translation and exact weekly role are the main variables; preseason first-team usage can move this rating quickly.</x:v>
      </x:c>
      <x:c r="L126" s="48" t="str">
        <x:v>B</x:v>
      </x:c>
      <x:c r="M126" s="48" t="str">
        <x:v>ROOKIE ENGINE</x:v>
      </x:c>
      <x:c r="N126"/>
      <x:c r="O126"/>
      <x:c r="P126"/>
      <x:c r="Q126" s="98"/>
    </x:row>
    <x:row r="127">
      <x:c r="A127" t="n">
        <x:v>123</x:v>
      </x:c>
      <x:c r="B127" t="str">
        <x:v>RB</x:v>
      </x:c>
      <x:c r="C127" t="n">
        <x:v>37</x:v>
      </x:c>
      <x:c r="D127" s="48" t="str">
        <x:v>Blake Corum</x:v>
      </x:c>
      <x:c r="E127" s="48" t="n">
        <x:v>69.51960871574394</x:v>
      </x:c>
      <x:c r="F127" s="48" t="str">
        <x:v>TIER 6</x:v>
      </x:c>
      <x:c r="G127" s="48" t="n">
        <x:v>153.20000000000002</x:v>
      </x:c>
      <x:c r="H127" s="48" t="n">
        <x:v>30.200000000000017</x:v>
      </x:c>
      <x:c r="I127" s="116" t="str">
        <x:v>FLEX/bench depth with upside if workload grows.</x:v>
      </x:c>
      <x:c r="J127" s="116" t="str">
        <x:v>He produced 7.2 PPR/FP points per game across 17 games. The workload/efficiency profile gives the model a rate-based reason to keep him here. Market price is favorable around ADP 153 versus model overall rank 123.</x:v>
      </x:c>
      <x:c r="K127" s="116" t="str">
        <x:v>Touchdown variance, receiving-role changes and backfield competition are the main downside paths.</x:v>
      </x:c>
      <x:c r="L127" s="48" t="str">
        <x:v>A</x:v>
      </x:c>
      <x:c r="M127" s="48" t="str">
        <x:v>RATE-ADJUSTED VETERAN</x:v>
      </x:c>
      <x:c r="N127"/>
      <x:c r="O127"/>
      <x:c r="P127"/>
      <x:c r="Q127" s="98"/>
    </x:row>
    <x:row r="128">
      <x:c r="A128" t="n">
        <x:v>124</x:v>
      </x:c>
      <x:c r="B128" t="str">
        <x:v>DST</x:v>
      </x:c>
      <x:c r="C128" t="n">
        <x:v>8</x:v>
      </x:c>
      <x:c r="D128" s="48" t="str">
        <x:v>Jacksonville Jaguars</x:v>
      </x:c>
      <x:c r="E128" s="48" t="n">
        <x:v>85.3</x:v>
      </x:c>
      <x:c r="F128" s="48" t="str">
        <x:v>TIER 2</x:v>
      </x:c>
      <x:c r="G128" s="48" t="n">
        <x:v>188</x:v>
      </x:c>
      <x:c r="H128" s="48" t="n">
        <x:v>64</x:v>
      </x:c>
      <x:c r="I128" s="116" t="str">
        <x:v>Streaming/late-round defense; matchup matters more than preseason rank.</x:v>
      </x:c>
      <x:c r="J128" s="116" t="str">
        <x:v>The unit grades well relative to the current DST pool, but the model intentionally keeps defense behind core skill positions.</x:v>
      </x:c>
      <x:c r="K128" s="116" t="str">
        <x:v>DST scoring is highly opponent- and turnover-dependent, making season-long rank fragile.</x:v>
      </x:c>
      <x:c r="L128" s="48" t="str">
        <x:v>B</x:v>
      </x:c>
      <x:c r="M128" s="48" t="str">
        <x:v>DST MODEL</x:v>
      </x:c>
      <x:c r="N128"/>
      <x:c r="O128"/>
      <x:c r="P128"/>
      <x:c r="Q128" s="98"/>
    </x:row>
    <x:row r="129">
      <x:c r="A129" t="n">
        <x:v>125</x:v>
      </x:c>
      <x:c r="B129" t="str">
        <x:v>TE</x:v>
      </x:c>
      <x:c r="C129" t="n">
        <x:v>19</x:v>
      </x:c>
      <x:c r="D129" s="48" t="str">
        <x:v>Chig Okonkwo</x:v>
      </x:c>
      <x:c r="E129" s="48" t="n">
        <x:v>75.51323575633128</x:v>
      </x:c>
      <x:c r="F129" s="48" t="str">
        <x:v>TIER 4</x:v>
      </x:c>
      <x:c r="G129" s="48" t="n">
        <x:v>179</x:v>
      </x:c>
      <x:c r="H129" s="48" t="n">
        <x:v>54</x:v>
      </x:c>
      <x:c r="I129" s="116" t="str">
        <x:v>Deep TE stash; needs a larger route/target role to matter in 10-team leagues.</x:v>
      </x:c>
      <x:c r="J129" s="116" t="str">
        <x:v>He produced 7.3 PPR/FP points per game across 17 games. The workload/efficiency profile gives the model a rate-based reason to keep him here. Market price is favorable around ADP 179 versus model overall rank 125.</x:v>
      </x:c>
      <x:c r="K129" s="116" t="str">
        <x:v>Route share, target volume and touchdown volatility are the main swing factors.</x:v>
      </x:c>
      <x:c r="L129" s="48" t="str">
        <x:v>A</x:v>
      </x:c>
      <x:c r="M129" s="48" t="str">
        <x:v>RATE-ADJUSTED VETERAN</x:v>
      </x:c>
      <x:c r="N129"/>
      <x:c r="O129"/>
      <x:c r="P129"/>
      <x:c r="Q129" s="98"/>
    </x:row>
    <x:row r="130">
      <x:c r="A130" t="n">
        <x:v>126</x:v>
      </x:c>
      <x:c r="B130" t="str">
        <x:v>QB</x:v>
      </x:c>
      <x:c r="C130" t="n">
        <x:v>18</x:v>
      </x:c>
      <x:c r="D130" s="48" t="str">
        <x:v>Jordan Love</x:v>
      </x:c>
      <x:c r="E130" s="48" t="n">
        <x:v>80.04076246709151</x:v>
      </x:c>
      <x:c r="F130" s="48" t="str">
        <x:v>TIER 3</x:v>
      </x:c>
      <x:c r="G130" s="48" t="n">
        <x:v>158</x:v>
      </x:c>
      <x:c r="H130" s="48" t="n">
        <x:v>32</x:v>
      </x:c>
      <x:c r="I130" s="116" t="str">
        <x:v>QB2/streaming tier; useful when matchup and supporting cast line up.</x:v>
      </x:c>
      <x:c r="J130" s="116" t="str">
        <x:v>He produced 16.1 PPR/FP points per game across 15 games. The workload/efficiency profile gives the model a rate-based reason to keep him here. Market price is favorable around ADP 158 versus model overall rank 126.</x:v>
      </x:c>
      <x:c r="K130" s="116" t="str">
        <x:v>Passing-TD efficiency, rushing volume and supporting-cast health are the main swing factors.</x:v>
      </x:c>
      <x:c r="L130" s="48" t="str">
        <x:v>A</x:v>
      </x:c>
      <x:c r="M130" s="48" t="str">
        <x:v>RATE-ADJUSTED VETERAN</x:v>
      </x:c>
      <x:c r="N130"/>
      <x:c r="O130"/>
      <x:c r="P130"/>
      <x:c r="Q130" s="98"/>
    </x:row>
    <x:row r="131">
      <x:c r="A131" t="n">
        <x:v>127</x:v>
      </x:c>
      <x:c r="B131" t="str">
        <x:v>RB</x:v>
      </x:c>
      <x:c r="C131" t="n">
        <x:v>38</x:v>
      </x:c>
      <x:c r="D131" s="48" t="str">
        <x:v>Rachaad White</x:v>
      </x:c>
      <x:c r="E131" s="48" t="n">
        <x:v>69.2036568927438</x:v>
      </x:c>
      <x:c r="F131" s="48" t="str">
        <x:v>TIER 6</x:v>
      </x:c>
      <x:c r="G131" s="48" t="n">
        <x:v>157.4</x:v>
      </x:c>
      <x:c r="H131" s="48" t="n">
        <x:v>30.400000000000006</x:v>
      </x:c>
      <x:c r="I131" s="116" t="str">
        <x:v>FLEX/bench depth with upside if workload grows.</x:v>
      </x:c>
      <x:c r="J131" s="116" t="str">
        <x:v>He produced 8.5 PPR/FP points per game across 17 games. The workload/efficiency profile gives the model a rate-based reason to keep him here. Market price is favorable around ADP 157 versus model overall rank 127.</x:v>
      </x:c>
      <x:c r="K131" s="116" t="str">
        <x:v>Touchdown variance, receiving-role changes and backfield competition are the main downside paths.</x:v>
      </x:c>
      <x:c r="L131" s="48" t="str">
        <x:v>A</x:v>
      </x:c>
      <x:c r="M131" s="48" t="str">
        <x:v>RATE-ADJUSTED VETERAN</x:v>
      </x:c>
      <x:c r="N131"/>
      <x:c r="O131"/>
      <x:c r="P131"/>
      <x:c r="Q131" s="98"/>
    </x:row>
    <x:row r="132">
      <x:c r="A132" t="n">
        <x:v>128</x:v>
      </x:c>
      <x:c r="B132" t="str">
        <x:v>WR</x:v>
      </x:c>
      <x:c r="C132" t="n">
        <x:v>40</x:v>
      </x:c>
      <x:c r="D132" s="48" t="str">
        <x:v>Alec Pierce</x:v>
      </x:c>
      <x:c r="E132" s="48" t="n">
        <x:v>70.725</x:v>
      </x:c>
      <x:c r="F132" s="48" t="str">
        <x:v>TIER 5</x:v>
      </x:c>
      <x:c r="G132" s="48" t="n">
        <x:v>120</x:v>
      </x:c>
      <x:c r="H132" s="48" t="n">
        <x:v>-8</x:v>
      </x:c>
      <x:c r="I132" s="116" t="str">
        <x:v>FLEX/bench receiver; needs target growth or efficiency spikes.</x:v>
      </x:c>
      <x:c r="J132" s="116" t="str">
        <x:v>He produced 12.2 PPR/FP points per game across 15 games. The workload/efficiency profile gives the model a rate-based reason to keep him here.</x:v>
      </x:c>
      <x:c r="K132" s="116" t="str">
        <x:v>Target competition, quarterback efficiency and touchdown regression are the main downside paths.</x:v>
      </x:c>
      <x:c r="L132" s="48" t="str">
        <x:v>A</x:v>
      </x:c>
      <x:c r="M132" s="48" t="str">
        <x:v>RATE-ADJUSTED VETERAN</x:v>
      </x:c>
      <x:c r="N132"/>
      <x:c r="O132"/>
      <x:c r="P132"/>
      <x:c r="Q132" s="98"/>
    </x:row>
    <x:row r="133">
      <x:c r="A133" t="n">
        <x:v>129</x:v>
      </x:c>
      <x:c r="B133" t="str">
        <x:v>RB</x:v>
      </x:c>
      <x:c r="C133" t="n">
        <x:v>39</x:v>
      </x:c>
      <x:c r="D133" s="48" t="str">
        <x:v>Jacory Croskey-Merritt</x:v>
      </x:c>
      <x:c r="E133" s="48" t="n">
        <x:v>68.99221175225878</x:v>
      </x:c>
      <x:c r="F133" s="48" t="str">
        <x:v>TIER 6</x:v>
      </x:c>
      <x:c r="G133" s="48" t="n">
        <x:v>161.6</x:v>
      </x:c>
      <x:c r="H133" s="48" t="n">
        <x:v>32.599999999999994</x:v>
      </x:c>
      <x:c r="I133" s="116" t="str">
        <x:v>FLEX/bench depth with upside if workload grows.</x:v>
      </x:c>
      <x:c r="J133" s="116" t="str">
        <x:v>He produced 8.2 PPR/FP points per game across 17 games. The workload/efficiency profile gives the model a rate-based reason to keep him here. Market price is favorable around ADP 162 versus model overall rank 129.</x:v>
      </x:c>
      <x:c r="K133" s="116" t="str">
        <x:v>Touchdown variance, receiving-role changes and backfield competition are the main downside paths.</x:v>
      </x:c>
      <x:c r="L133" s="48" t="str">
        <x:v>A</x:v>
      </x:c>
      <x:c r="M133" s="48" t="str">
        <x:v>RATE-ADJUSTED VETERAN</x:v>
      </x:c>
      <x:c r="N133"/>
      <x:c r="O133"/>
      <x:c r="P133"/>
      <x:c r="Q133" s="98"/>
    </x:row>
    <x:row r="134">
      <x:c r="A134" t="n">
        <x:v>130</x:v>
      </x:c>
      <x:c r="B134" t="str">
        <x:v>QB</x:v>
      </x:c>
      <x:c r="C134" t="n">
        <x:v>19</x:v>
      </x:c>
      <x:c r="D134" s="48" t="str">
        <x:v>Baker Mayfield</x:v>
      </x:c>
      <x:c r="E134" s="48" t="n">
        <x:v>79.82600097102224</x:v>
      </x:c>
      <x:c r="F134" s="48" t="str">
        <x:v>TIER 4</x:v>
      </x:c>
      <x:c r="G134" s="48" t="n">
        <x:v>166</x:v>
      </x:c>
      <x:c r="H134" s="48" t="n">
        <x:v>36</x:v>
      </x:c>
      <x:c r="I134" s="116" t="str">
        <x:v>Bench/streaming option; needs matchup, rushing or TD spike weeks.</x:v>
      </x:c>
      <x:c r="J134" s="116" t="str">
        <x:v>He produced 16.6 PPR/FP points per game across 17 games. The workload/efficiency profile gives the model a rate-based reason to keep him here. Market price is favorable around ADP 166 versus model overall rank 130.</x:v>
      </x:c>
      <x:c r="K134" s="116" t="str">
        <x:v>Passing-TD efficiency, rushing volume and supporting-cast health are the main swing factors.</x:v>
      </x:c>
      <x:c r="L134" s="48" t="str">
        <x:v>A</x:v>
      </x:c>
      <x:c r="M134" s="48" t="str">
        <x:v>RATE-ADJUSTED VETERAN</x:v>
      </x:c>
      <x:c r="N134"/>
      <x:c r="O134"/>
      <x:c r="P134"/>
      <x:c r="Q134" s="98"/>
    </x:row>
    <x:row r="135">
      <x:c r="A135" t="n">
        <x:v>131</x:v>
      </x:c>
      <x:c r="B135" t="str">
        <x:v>K</x:v>
      </x:c>
      <x:c r="C135" t="n">
        <x:v>9</x:v>
      </x:c>
      <x:c r="D135" s="48" t="str">
        <x:v>Chase McLaughlin</x:v>
      </x:c>
      <x:c r="E135" s="48" t="n">
        <x:v>76.4</x:v>
      </x:c>
      <x:c r="F135" s="48" t="str">
        <x:v>TIER 4</x:v>
      </x:c>
      <x:c r="G135" s="48" t="n">
        <x:v>195</x:v>
      </x:c>
      <x:c r="H135" s="48" t="n">
        <x:v>64</x:v>
      </x:c>
      <x:c r="I135" s="116" t="str">
        <x:v>Late-round kicker; treat as replaceable unless scoring strongly rewards distance.</x:v>
      </x:c>
      <x:c r="J135" s="116" t="str">
        <x:v>Ranks near the top of the current kicker pool, but kicker week-to-week separation is small in a 10-team league.</x:v>
      </x:c>
      <x:c r="K135" s="116" t="str">
        <x:v>Kicker scoring is volatile and replaceable on waivers; do not pay meaningful draft capital.</x:v>
      </x:c>
      <x:c r="L135" s="48" t="str">
        <x:v>B</x:v>
      </x:c>
      <x:c r="M135" s="48" t="str">
        <x:v>KICKER MODEL</x:v>
      </x:c>
      <x:c r="N135"/>
      <x:c r="O135"/>
      <x:c r="P135"/>
      <x:c r="Q135" s="98"/>
    </x:row>
    <x:row r="136">
      <x:c r="A136" t="n">
        <x:v>132</x:v>
      </x:c>
      <x:c r="B136" t="str">
        <x:v>DST</x:v>
      </x:c>
      <x:c r="C136" t="n">
        <x:v>9</x:v>
      </x:c>
      <x:c r="D136" s="48" t="str">
        <x:v>Pittsburgh Steelers</x:v>
      </x:c>
      <x:c r="E136" s="48" t="n">
        <x:v>84.2</x:v>
      </x:c>
      <x:c r="F136" s="48" t="str">
        <x:v>TIER 3</x:v>
      </x:c>
      <x:c r="G136" s="48" t="n">
        <x:v>192</x:v>
      </x:c>
      <x:c r="H136" s="48" t="n">
        <x:v>60</x:v>
      </x:c>
      <x:c r="I136" s="116" t="str">
        <x:v>Streaming/late-round defense; matchup matters more than preseason rank.</x:v>
      </x:c>
      <x:c r="J136" s="116" t="str">
        <x:v>The unit grades well relative to the current DST pool, but the model intentionally keeps defense behind core skill positions.</x:v>
      </x:c>
      <x:c r="K136" s="116" t="str">
        <x:v>DST scoring is highly opponent- and turnover-dependent, making season-long rank fragile.</x:v>
      </x:c>
      <x:c r="L136" s="48" t="str">
        <x:v>B</x:v>
      </x:c>
      <x:c r="M136" s="48" t="str">
        <x:v>DST MODEL</x:v>
      </x:c>
      <x:c r="N136"/>
      <x:c r="O136"/>
      <x:c r="P136"/>
      <x:c r="Q136" s="98"/>
    </x:row>
    <x:row r="137">
      <x:c r="A137" t="n">
        <x:v>133</x:v>
      </x:c>
      <x:c r="B137" t="str">
        <x:v>WR</x:v>
      </x:c>
      <x:c r="C137" t="n">
        <x:v>38</x:v>
      </x:c>
      <x:c r="D137" s="48" t="str">
        <x:v>Parker Washington</x:v>
      </x:c>
      <x:c r="E137" s="48" t="n">
        <x:v>71.53</x:v>
      </x:c>
      <x:c r="F137" s="48" t="str">
        <x:v>TIER 5</x:v>
      </x:c>
      <x:c r="G137" s="48" t="n">
        <x:v>162.9</x:v>
      </x:c>
      <x:c r="H137" s="48" t="n">
        <x:v>29.900000000000006</x:v>
      </x:c>
      <x:c r="I137" s="116" t="str">
        <x:v>FLEX/bench receiver; needs target growth or efficiency spikes.</x:v>
      </x:c>
      <x:c r="J137" s="116" t="str">
        <x:v>He produced 11.5 PPR/FP points per game across 16 games. The workload/efficiency profile gives the model a rate-based reason to keep him here. Market price is favorable around ADP 163 versus model overall rank 133.</x:v>
      </x:c>
      <x:c r="K137" s="116" t="str">
        <x:v>Target competition, quarterback efficiency and touchdown regression are the main downside paths.</x:v>
      </x:c>
      <x:c r="L137" s="48" t="str">
        <x:v>A</x:v>
      </x:c>
      <x:c r="M137" s="48" t="str">
        <x:v>RATE-ADJUSTED VETERAN</x:v>
      </x:c>
      <x:c r="N137"/>
      <x:c r="O137"/>
      <x:c r="P137"/>
      <x:c r="Q137" s="98"/>
    </x:row>
    <x:row r="138">
      <x:c r="A138" t="n">
        <x:v>134</x:v>
      </x:c>
      <x:c r="B138" t="str">
        <x:v>WR</x:v>
      </x:c>
      <x:c r="C138" t="n">
        <x:v>42</x:v>
      </x:c>
      <x:c r="D138" s="48" t="str">
        <x:v>DK Metcalf</x:v>
      </x:c>
      <x:c r="E138" s="48" t="n">
        <x:v>69.8075</x:v>
      </x:c>
      <x:c r="F138" s="48" t="str">
        <x:v>TIER 6</x:v>
      </x:c>
      <x:c r="G138" s="48" t="n">
        <x:v>123.89999999999999</x:v>
      </x:c>
      <x:c r="H138" s="48" t="n">
        <x:v>-10.100000000000009</x:v>
      </x:c>
      <x:c r="I138" s="116" t="str">
        <x:v>FLEX/bench receiver; needs target growth or efficiency spikes.</x:v>
      </x:c>
      <x:c r="J138" s="116" t="str">
        <x:v>He produced 12.4 PPR/FP points per game across 15 games. The workload/efficiency profile gives the model a rate-based reason to keep him here. The market is more aggressive at ADP 124 versus model overall rank 134, so price matters.</x:v>
      </x:c>
      <x:c r="K138" s="116" t="str">
        <x:v>Price is the biggest risk: the market currently asks you to draft him earlier than the model prefers.</x:v>
      </x:c>
      <x:c r="L138" s="48" t="str">
        <x:v>A</x:v>
      </x:c>
      <x:c r="M138" s="48" t="str">
        <x:v>RATE-ADJUSTED VETERAN</x:v>
      </x:c>
      <x:c r="N138"/>
      <x:c r="O138"/>
      <x:c r="P138"/>
      <x:c r="Q138" s="98"/>
    </x:row>
    <x:row r="139">
      <x:c r="A139" t="n">
        <x:v>135</x:v>
      </x:c>
      <x:c r="B139" t="str">
        <x:v>TE</x:v>
      </x:c>
      <x:c r="C139" t="n">
        <x:v>20</x:v>
      </x:c>
      <x:c r="D139" s="48" t="str">
        <x:v>Kenyon Sadiq</x:v>
      </x:c>
      <x:c r="E139" s="48" t="n">
        <x:v>74.09381905002525</x:v>
      </x:c>
      <x:c r="F139" s="48" t="str">
        <x:v>TIER 5</x:v>
      </x:c>
      <x:c r="G139" s="48" t="n">
        <x:v>188</x:v>
      </x:c>
      <x:c r="H139" s="48" t="n">
        <x:v>53</x:v>
      </x:c>
      <x:c r="I139" s="116" t="str">
        <x:v>Deep TE stash; needs a larger route/target role to matter in 10-team leagues.</x:v>
      </x:c>
      <x:c r="J139" s="116" t="str">
        <x:v>Rookie score 86.6, backed by No. 16 draft capital and a 6.46 NFL prospect grade. The 2026 role projection is strong enough to replace missing NFL history. Market price is favorable around ADP 188 versus model overall rank 135.</x:v>
      </x:c>
      <x:c r="K139" s="116" t="str">
        <x:v>NFL translation and exact weekly role are the main variables; preseason first-team usage can move this rating quickly.</x:v>
      </x:c>
      <x:c r="L139" s="48" t="str">
        <x:v>B</x:v>
      </x:c>
      <x:c r="M139" s="48" t="str">
        <x:v>ROOKIE ENGINE</x:v>
      </x:c>
      <x:c r="N139"/>
      <x:c r="O139"/>
      <x:c r="P139"/>
      <x:c r="Q139" s="98"/>
    </x:row>
    <x:row r="140">
      <x:c r="A140" t="n">
        <x:v>136</x:v>
      </x:c>
      <x:c r="B140" t="str">
        <x:v>RB</x:v>
      </x:c>
      <x:c r="C140" t="n">
        <x:v>40</x:v>
      </x:c>
      <x:c r="D140" s="48" t="str">
        <x:v>Jordan Mason</x:v>
      </x:c>
      <x:c r="E140" s="48" t="n">
        <x:v>67.65739288663394</x:v>
      </x:c>
      <x:c r="F140" s="48" t="str">
        <x:v>TIER 6</x:v>
      </x:c>
      <x:c r="G140" s="48" t="n">
        <x:v>165.8</x:v>
      </x:c>
      <x:c r="H140" s="48" t="n">
        <x:v>29.80000000000001</x:v>
      </x:c>
      <x:c r="I140" s="116" t="str">
        <x:v>FLEX/bench depth with upside if workload grows.</x:v>
      </x:c>
      <x:c r="J140" s="116" t="str">
        <x:v>He produced 8.1 PPR/FP points per game across 16 games. The workload/efficiency profile gives the model a rate-based reason to keep him here. Market price is favorable around ADP 166 versus model overall rank 136.</x:v>
      </x:c>
      <x:c r="K140" s="116" t="str">
        <x:v>Touchdown variance, receiving-role changes and backfield competition are the main downside paths.</x:v>
      </x:c>
      <x:c r="L140" s="48" t="str">
        <x:v>A</x:v>
      </x:c>
      <x:c r="M140" s="48" t="str">
        <x:v>RATE-ADJUSTED VETERAN</x:v>
      </x:c>
      <x:c r="N140"/>
      <x:c r="O140"/>
      <x:c r="P140"/>
      <x:c r="Q140" s="98"/>
    </x:row>
    <x:row r="141">
      <x:c r="A141" t="n">
        <x:v>137</x:v>
      </x:c>
      <x:c r="B141" t="str">
        <x:v>WR</x:v>
      </x:c>
      <x:c r="C141" t="n">
        <x:v>39</x:v>
      </x:c>
      <x:c r="D141" s="48" t="str">
        <x:v>Chris Godwin Jr.</x:v>
      </x:c>
      <x:c r="E141" s="48" t="n">
        <x:v>70.86</x:v>
      </x:c>
      <x:c r="F141" s="48" t="str">
        <x:v>TIER 5</x:v>
      </x:c>
      <x:c r="G141" s="48" t="n">
        <x:v>166.79999999999998</x:v>
      </x:c>
      <x:c r="H141" s="48" t="n">
        <x:v>29.799999999999983</x:v>
      </x:c>
      <x:c r="I141" s="116" t="str">
        <x:v>FLEX/bench receiver; needs target growth or efficiency spikes.</x:v>
      </x:c>
      <x:c r="J141" s="116" t="str">
        <x:v>The 2026 opportunity and projection carry most of the grade because detailed 2025 rate data is incomplete. Market price is favorable around ADP 167 versus model overall rank 137.</x:v>
      </x:c>
      <x:c r="K141" s="116" t="str">
        <x:v>Evidence is thinner than for established veterans, so camp, depth-chart and role news can move the grade materially.</x:v>
      </x:c>
      <x:c r="L141" s="48" t="str">
        <x:v>C</x:v>
      </x:c>
      <x:c r="M141" s="48" t="str">
        <x:v>HISTORY FALLBACK</x:v>
      </x:c>
      <x:c r="N141"/>
      <x:c r="O141"/>
      <x:c r="P141"/>
      <x:c r="Q141" s="98"/>
    </x:row>
    <x:row r="142">
      <x:c r="A142" t="n">
        <x:v>138</x:v>
      </x:c>
      <x:c r="B142" t="str">
        <x:v>TE</x:v>
      </x:c>
      <x:c r="C142" t="n">
        <x:v>21</x:v>
      </x:c>
      <x:c r="D142" s="48" t="str">
        <x:v>T.J. Hockenson</x:v>
      </x:c>
      <x:c r="E142" s="48" t="n">
        <x:v>73.85269503643518</x:v>
      </x:c>
      <x:c r="F142" s="48" t="str">
        <x:v>TIER 5</x:v>
      </x:c>
      <x:c r="G142" s="48" t="n">
        <x:v>197</x:v>
      </x:c>
      <x:c r="H142" s="48" t="n">
        <x:v>59</x:v>
      </x:c>
      <x:c r="I142" s="116" t="str">
        <x:v>Deep TE stash; needs a larger route/target role to matter in 10-team leagues.</x:v>
      </x:c>
      <x:c r="J142" s="116" t="str">
        <x:v>He produced 7.5 PPR/FP points per game across 15 games. The workload/efficiency profile gives the model a rate-based reason to keep him here. Market price is favorable around ADP 197 versus model overall rank 138.</x:v>
      </x:c>
      <x:c r="K142" s="116" t="str">
        <x:v>Route share, target volume and touchdown volatility are the main swing factors.</x:v>
      </x:c>
      <x:c r="L142" s="48" t="str">
        <x:v>A</x:v>
      </x:c>
      <x:c r="M142" s="48" t="str">
        <x:v>RATE-ADJUSTED VETERAN</x:v>
      </x:c>
      <x:c r="N142"/>
      <x:c r="O142"/>
      <x:c r="P142"/>
      <x:c r="Q142" s="98"/>
    </x:row>
    <x:row r="143">
      <x:c r="A143" t="n">
        <x:v>139</x:v>
      </x:c>
      <x:c r="B143" t="str">
        <x:v>DST</x:v>
      </x:c>
      <x:c r="C143" t="n">
        <x:v>10</x:v>
      </x:c>
      <x:c r="D143" s="48" t="str">
        <x:v>Los Angeles Chargers</x:v>
      </x:c>
      <x:c r="E143" s="48" t="n">
        <x:v>83.1</x:v>
      </x:c>
      <x:c r="F143" s="48" t="str">
        <x:v>TIER 3</x:v>
      </x:c>
      <x:c r="G143" s="48" t="n">
        <x:v>196</x:v>
      </x:c>
      <x:c r="H143" s="48" t="n">
        <x:v>57</x:v>
      </x:c>
      <x:c r="I143" s="116" t="str">
        <x:v>Streaming/late-round defense; matchup matters more than preseason rank.</x:v>
      </x:c>
      <x:c r="J143" s="116" t="str">
        <x:v>The unit grades well relative to the current DST pool, but the model intentionally keeps defense behind core skill positions.</x:v>
      </x:c>
      <x:c r="K143" s="116" t="str">
        <x:v>DST scoring is highly opponent- and turnover-dependent, making season-long rank fragile.</x:v>
      </x:c>
      <x:c r="L143" s="48" t="str">
        <x:v>B</x:v>
      </x:c>
      <x:c r="M143" s="48" t="str">
        <x:v>DST MODEL</x:v>
      </x:c>
      <x:c r="N143"/>
      <x:c r="O143"/>
      <x:c r="P143"/>
      <x:c r="Q143" s="98"/>
    </x:row>
    <x:row r="144">
      <x:c r="A144" t="n">
        <x:v>140</x:v>
      </x:c>
      <x:c r="B144" t="str">
        <x:v>TE</x:v>
      </x:c>
      <x:c r="C144" t="n">
        <x:v>22</x:v>
      </x:c>
      <x:c r="D144" s="48" t="str">
        <x:v>Dalton Schultz</x:v>
      </x:c>
      <x:c r="E144" s="48" t="n">
        <x:v>73.27947609768881</x:v>
      </x:c>
      <x:c r="F144" s="48" t="str">
        <x:v>TIER 5</x:v>
      </x:c>
      <x:c r="G144" s="48" t="n">
        <x:v>206</x:v>
      </x:c>
      <x:c r="H144" s="48" t="n">
        <x:v>66</x:v>
      </x:c>
      <x:c r="I144" s="116" t="str">
        <x:v>Deep TE stash; needs a larger route/target role to matter in 10-team leagues.</x:v>
      </x:c>
      <x:c r="J144" s="116" t="str">
        <x:v>He produced 10.4 PPR/FP points per game across 17 games. The workload/efficiency profile gives the model a rate-based reason to keep him here. Market price is favorable around ADP 206 versus model overall rank 140.</x:v>
      </x:c>
      <x:c r="K144" s="116" t="str">
        <x:v>Route share, target volume and touchdown volatility are the main swing factors.</x:v>
      </x:c>
      <x:c r="L144" s="48" t="str">
        <x:v>A</x:v>
      </x:c>
      <x:c r="M144" s="48" t="str">
        <x:v>RATE-ADJUSTED VETERAN</x:v>
      </x:c>
      <x:c r="N144"/>
      <x:c r="O144"/>
      <x:c r="P144"/>
      <x:c r="Q144" s="98"/>
    </x:row>
    <x:row r="145">
      <x:c r="A145" t="n">
        <x:v>141</x:v>
      </x:c>
      <x:c r="B145" t="str">
        <x:v>WR</x:v>
      </x:c>
      <x:c r="C145" t="n">
        <x:v>45</x:v>
      </x:c>
      <x:c r="D145" s="48" t="str">
        <x:v>Courtland Sutton</x:v>
      </x:c>
      <x:c r="E145" s="48" t="n">
        <x:v>68.7225</x:v>
      </x:c>
      <x:c r="F145" s="48" t="str">
        <x:v>TIER 6</x:v>
      </x:c>
      <x:c r="G145" s="48" t="n">
        <x:v>131.7</x:v>
      </x:c>
      <x:c r="H145" s="48" t="n">
        <x:v>-9.300000000000011</x:v>
      </x:c>
      <x:c r="I145" s="116" t="str">
        <x:v>FLEX/bench receiver; needs target growth or efficiency spikes.</x:v>
      </x:c>
      <x:c r="J145" s="116" t="str">
        <x:v>He produced 13.0 PPR/FP points per game across 17 games. The workload/efficiency profile gives the model a rate-based reason to keep him here.</x:v>
      </x:c>
      <x:c r="K145" s="116" t="str">
        <x:v>Target competition, quarterback efficiency and touchdown regression are the main downside paths.</x:v>
      </x:c>
      <x:c r="L145" s="48" t="str">
        <x:v>A</x:v>
      </x:c>
      <x:c r="M145" s="48" t="str">
        <x:v>RATE-ADJUSTED VETERAN</x:v>
      </x:c>
      <x:c r="N145"/>
      <x:c r="O145"/>
      <x:c r="P145"/>
      <x:c r="Q145" s="98"/>
    </x:row>
    <x:row r="146">
      <x:c r="A146" t="n">
        <x:v>142</x:v>
      </x:c>
      <x:c r="B146" t="str">
        <x:v>WR</x:v>
      </x:c>
      <x:c r="C146" t="n">
        <x:v>41</x:v>
      </x:c>
      <x:c r="D146" s="48" t="str">
        <x:v>Quentin Johnston</x:v>
      </x:c>
      <x:c r="E146" s="48" t="n">
        <x:v>70.19</x:v>
      </x:c>
      <x:c r="F146" s="48" t="str">
        <x:v>TIER 5</x:v>
      </x:c>
      <x:c r="G146" s="48" t="n">
        <x:v>170.7</x:v>
      </x:c>
      <x:c r="H146" s="48" t="n">
        <x:v>28.69999999999999</x:v>
      </x:c>
      <x:c r="I146" s="116" t="str">
        <x:v>FLEX/bench receiver; needs target growth or efficiency spikes.</x:v>
      </x:c>
      <x:c r="J146" s="116" t="str">
        <x:v>He produced 12.2 PPR/FP points per game across 14 games. The workload/efficiency profile gives the model a rate-based reason to keep him here. Market price is favorable around ADP 171 versus model overall rank 142.</x:v>
      </x:c>
      <x:c r="K146" s="116" t="str">
        <x:v>Target competition, quarterback efficiency and touchdown regression are the main downside paths.</x:v>
      </x:c>
      <x:c r="L146" s="48" t="str">
        <x:v>A</x:v>
      </x:c>
      <x:c r="M146" s="48" t="str">
        <x:v>RATE-ADJUSTED VETERAN</x:v>
      </x:c>
      <x:c r="N146"/>
      <x:c r="O146"/>
      <x:c r="P146"/>
      <x:c r="Q146" s="98"/>
    </x:row>
    <x:row r="147">
      <x:c r="A147" t="n">
        <x:v>143</x:v>
      </x:c>
      <x:c r="B147" t="str">
        <x:v>RB</x:v>
      </x:c>
      <x:c r="C147" t="n">
        <x:v>41</x:v>
      </x:c>
      <x:c r="D147" s="48" t="str">
        <x:v>Woody Marks</x:v>
      </x:c>
      <x:c r="E147" s="48" t="n">
        <x:v>66.86623003473099</x:v>
      </x:c>
      <x:c r="F147" s="48" t="str">
        <x:v>TIER 6</x:v>
      </x:c>
      <x:c r="G147" s="48" t="n">
        <x:v>170</x:v>
      </x:c>
      <x:c r="H147" s="48" t="n">
        <x:v>27</x:v>
      </x:c>
      <x:c r="I147" s="116" t="str">
        <x:v>Bench stash/handcuff profile; value is tied to role change or injury ahead.</x:v>
      </x:c>
      <x:c r="J147" s="116" t="str">
        <x:v>He produced 9.4 PPR/FP points per game across 16 games. The workload/efficiency profile gives the model a rate-based reason to keep him here. Market price is favorable around ADP 170 versus model overall rank 143.</x:v>
      </x:c>
      <x:c r="K147" s="116" t="str">
        <x:v>Touchdown variance, receiving-role changes and backfield competition are the main downside paths.</x:v>
      </x:c>
      <x:c r="L147" s="48" t="str">
        <x:v>A</x:v>
      </x:c>
      <x:c r="M147" s="48" t="str">
        <x:v>RATE-ADJUSTED VETERAN</x:v>
      </x:c>
      <x:c r="N147"/>
      <x:c r="O147"/>
      <x:c r="P147"/>
      <x:c r="Q147" s="98"/>
    </x:row>
    <x:row r="148">
      <x:c r="A148" t="n">
        <x:v>144</x:v>
      </x:c>
      <x:c r="B148" t="str">
        <x:v>QB</x:v>
      </x:c>
      <x:c r="C148" t="n">
        <x:v>20</x:v>
      </x:c>
      <x:c r="D148" s="48" t="str">
        <x:v>Tyler Shough</x:v>
      </x:c>
      <x:c r="E148" s="48" t="n">
        <x:v>77.36561414654547</x:v>
      </x:c>
      <x:c r="F148" s="48" t="str">
        <x:v>TIER 4</x:v>
      </x:c>
      <x:c r="G148" s="48" t="n">
        <x:v>174</x:v>
      </x:c>
      <x:c r="H148" s="48" t="n">
        <x:v>30</x:v>
      </x:c>
      <x:c r="I148" s="116" t="str">
        <x:v>Bench/streaming option; needs matchup, rushing or TD spike weeks.</x:v>
      </x:c>
      <x:c r="J148" s="116" t="str">
        <x:v>He produced 14.9 PPR/FP points per game across 11 games. The workload/efficiency profile gives the model a rate-based reason to keep him here. Market price is favorable around ADP 174 versus model overall rank 144.</x:v>
      </x:c>
      <x:c r="K148" s="116" t="str">
        <x:v>Passing-TD efficiency, rushing volume and supporting-cast health are the main swing factors.</x:v>
      </x:c>
      <x:c r="L148" s="48" t="str">
        <x:v>B</x:v>
      </x:c>
      <x:c r="M148" s="48" t="str">
        <x:v>RATE-ADJUSTED VETERAN</x:v>
      </x:c>
      <x:c r="N148"/>
      <x:c r="O148"/>
      <x:c r="P148"/>
      <x:c r="Q148" s="98"/>
    </x:row>
    <x:row r="149">
      <x:c r="A149" t="n">
        <x:v>145</x:v>
      </x:c>
      <x:c r="B149" t="str">
        <x:v>WR</x:v>
      </x:c>
      <x:c r="C149" t="n">
        <x:v>35</x:v>
      </x:c>
      <x:c r="D149" s="48" t="str">
        <x:v>Makai Lemon</x:v>
      </x:c>
      <x:c r="E149" s="48" t="n">
        <x:v>72.2</x:v>
      </x:c>
      <x:c r="F149" s="48" t="str">
        <x:v>TIER 5</x:v>
      </x:c>
      <x:c r="G149" s="48" t="n">
        <x:v>159</x:v>
      </x:c>
      <x:c r="H149" s="48" t="n">
        <x:v>14</x:v>
      </x:c>
      <x:c r="I149" s="116" t="str">
        <x:v>WR2/FLEX; dependable lineup option with matchup-driven ceiling.</x:v>
      </x:c>
      <x:c r="J149" s="116" t="str">
        <x:v>Rookie score 89.2, backed by No. 20 draft capital and a 6.47 NFL prospect grade. The 2026 role projection is strong enough to replace missing NFL history. Market price is favorable around ADP 159 versus model overall rank 145.</x:v>
      </x:c>
      <x:c r="K149" s="116" t="str">
        <x:v>NFL translation and exact weekly role are the main variables; preseason first-team usage can move this rating quickly.</x:v>
      </x:c>
      <x:c r="L149" s="48" t="str">
        <x:v>B</x:v>
      </x:c>
      <x:c r="M149" s="48" t="str">
        <x:v>ROOKIE ENGINE</x:v>
      </x:c>
      <x:c r="N149"/>
      <x:c r="O149"/>
      <x:c r="P149"/>
      <x:c r="Q149" s="98"/>
    </x:row>
    <x:row r="150">
      <x:c r="A150" t="n">
        <x:v>146</x:v>
      </x:c>
      <x:c r="B150" t="str">
        <x:v>TE</x:v>
      </x:c>
      <x:c r="C150" t="n">
        <x:v>23</x:v>
      </x:c>
      <x:c r="D150" s="48" t="str">
        <x:v>Oronde Gadsden II</x:v>
      </x:c>
      <x:c r="E150" s="48" t="n">
        <x:v>72.5137519384936</x:v>
      </x:c>
      <x:c r="F150" s="48" t="str">
        <x:v>TIER 5</x:v>
      </x:c>
      <x:c r="G150" s="48" t="n">
        <x:v>215</x:v>
      </x:c>
      <x:c r="H150" s="48" t="n">
        <x:v>69</x:v>
      </x:c>
      <x:c r="I150" s="116" t="str">
        <x:v>Deep TE stash; needs a larger route/target role to matter in 10-team leagues.</x:v>
      </x:c>
      <x:c r="J150" s="116" t="str">
        <x:v>He produced 8.8 PPR/FP points per game across 15 games. The workload/efficiency profile gives the model a rate-based reason to keep him here. Market price is favorable around ADP 215 versus model overall rank 146.</x:v>
      </x:c>
      <x:c r="K150" s="116" t="str">
        <x:v>Route share, target volume and touchdown volatility are the main swing factors.</x:v>
      </x:c>
      <x:c r="L150" s="48" t="str">
        <x:v>A</x:v>
      </x:c>
      <x:c r="M150" s="48" t="str">
        <x:v>RATE-ADJUSTED VETERAN</x:v>
      </x:c>
      <x:c r="N150"/>
      <x:c r="O150"/>
      <x:c r="P150"/>
      <x:c r="Q150" s="98"/>
    </x:row>
    <x:row r="151">
      <x:c r="A151" t="n">
        <x:v>147</x:v>
      </x:c>
      <x:c r="B151" t="str">
        <x:v>RB</x:v>
      </x:c>
      <x:c r="C151" t="n">
        <x:v>42</x:v>
      </x:c>
      <x:c r="D151" s="48" t="str">
        <x:v>Chris Rodriguez Jr.</x:v>
      </x:c>
      <x:c r="E151" s="48" t="n">
        <x:v>66.53699590996025</x:v>
      </x:c>
      <x:c r="F151" s="48" t="str">
        <x:v>TIER 6</x:v>
      </x:c>
      <x:c r="G151" s="48" t="n">
        <x:v>174.20000000000002</x:v>
      </x:c>
      <x:c r="H151" s="48" t="n">
        <x:v>27.200000000000017</x:v>
      </x:c>
      <x:c r="I151" s="116" t="str">
        <x:v>Bench stash/handcuff profile; value is tied to role change or injury ahead.</x:v>
      </x:c>
      <x:c r="J151" s="116" t="str">
        <x:v>He produced 7.0 PPR/FP points per game across 13 games. The workload/efficiency profile gives the model a rate-based reason to keep him here. Market price is favorable around ADP 174 versus model overall rank 147.</x:v>
      </x:c>
      <x:c r="K151" s="116" t="str">
        <x:v>Touchdown variance, receiving-role changes and backfield competition are the main downside paths.</x:v>
      </x:c>
      <x:c r="L151" s="48" t="str">
        <x:v>A</x:v>
      </x:c>
      <x:c r="M151" s="48" t="str">
        <x:v>RATE-ADJUSTED VETERAN</x:v>
      </x:c>
      <x:c r="N151"/>
      <x:c r="O151"/>
      <x:c r="P151"/>
      <x:c r="Q151" s="98"/>
    </x:row>
    <x:row r="152">
      <x:c r="A152" t="n">
        <x:v>148</x:v>
      </x:c>
      <x:c r="B152" t="str">
        <x:v>K</x:v>
      </x:c>
      <x:c r="C152" t="n">
        <x:v>10</x:v>
      </x:c>
      <x:c r="D152" s="48" t="str">
        <x:v>Cairo Santos</x:v>
      </x:c>
      <x:c r="E152" s="48" t="n">
        <x:v>74.2</x:v>
      </x:c>
      <x:c r="F152" s="48" t="str">
        <x:v>TIER 5</x:v>
      </x:c>
      <x:c r="G152" s="48" t="n">
        <x:v>200</x:v>
      </x:c>
      <x:c r="H152" s="48" t="n">
        <x:v>52</x:v>
      </x:c>
      <x:c r="I152" s="116" t="str">
        <x:v>Late-round kicker; treat as replaceable unless scoring strongly rewards distance.</x:v>
      </x:c>
      <x:c r="J152" s="116" t="str">
        <x:v>Ranks near the top of the current kicker pool, but kicker week-to-week separation is small in a 10-team league.</x:v>
      </x:c>
      <x:c r="K152" s="116" t="str">
        <x:v>Kicker scoring is volatile and replaceable on waivers; do not pay meaningful draft capital.</x:v>
      </x:c>
      <x:c r="L152" s="48" t="str">
        <x:v>B</x:v>
      </x:c>
      <x:c r="M152" s="48" t="str">
        <x:v>KICKER MODEL</x:v>
      </x:c>
      <x:c r="N152"/>
      <x:c r="O152"/>
      <x:c r="P152"/>
      <x:c r="Q152" s="98"/>
    </x:row>
    <x:row r="153">
      <x:c r="A153" t="n">
        <x:v>149</x:v>
      </x:c>
      <x:c r="B153" t="str">
        <x:v>RB</x:v>
      </x:c>
      <x:c r="C153" t="n">
        <x:v>43</x:v>
      </x:c>
      <x:c r="D153" s="48" t="str">
        <x:v>Tyrone Tracy Jr.</x:v>
      </x:c>
      <x:c r="E153" s="48" t="n">
        <x:v>66.53102686810404</x:v>
      </x:c>
      <x:c r="F153" s="48" t="str">
        <x:v>TIER 6</x:v>
      </x:c>
      <x:c r="G153" s="48" t="n">
        <x:v>178.4</x:v>
      </x:c>
      <x:c r="H153" s="48" t="n">
        <x:v>29.400000000000006</x:v>
      </x:c>
      <x:c r="I153" s="116" t="str">
        <x:v>Bench stash/handcuff profile; value is tied to role change or injury ahead.</x:v>
      </x:c>
      <x:c r="J153" s="116" t="str">
        <x:v>He produced 10.7 PPR/FP points per game across 15 games. The workload/efficiency profile gives the model a rate-based reason to keep him here. Market price is favorable around ADP 178 versus model overall rank 149.</x:v>
      </x:c>
      <x:c r="K153" s="116" t="str">
        <x:v>Touchdown variance, receiving-role changes and backfield competition are the main downside paths.</x:v>
      </x:c>
      <x:c r="L153" s="48" t="str">
        <x:v>A</x:v>
      </x:c>
      <x:c r="M153" s="48" t="str">
        <x:v>RATE-ADJUSTED VETERAN</x:v>
      </x:c>
      <x:c r="N153"/>
      <x:c r="O153"/>
      <x:c r="P153"/>
      <x:c r="Q153" s="98"/>
    </x:row>
    <x:row r="154">
      <x:c r="A154" t="n">
        <x:v>150</x:v>
      </x:c>
      <x:c r="B154" t="str">
        <x:v>WR</x:v>
      </x:c>
      <x:c r="C154" t="n">
        <x:v>43</x:v>
      </x:c>
      <x:c r="D154" s="48" t="str">
        <x:v>Ricky Pearsall</x:v>
      </x:c>
      <x:c r="E154" s="48" t="n">
        <x:v>69.52</x:v>
      </x:c>
      <x:c r="F154" s="48" t="str">
        <x:v>TIER 6</x:v>
      </x:c>
      <x:c r="G154" s="48" t="n">
        <x:v>174.6</x:v>
      </x:c>
      <x:c r="H154" s="48" t="n">
        <x:v>24.599999999999994</x:v>
      </x:c>
      <x:c r="I154" s="116" t="str">
        <x:v>FLEX/bench receiver; needs target growth or efficiency spikes.</x:v>
      </x:c>
      <x:c r="J154" s="116" t="str">
        <x:v>The 2026 opportunity and projection carry most of the grade because detailed 2025 rate data is incomplete. Market price is favorable around ADP 175 versus model overall rank 150.</x:v>
      </x:c>
      <x:c r="K154" s="116" t="str">
        <x:v>Evidence is thinner than for established veterans, so camp, depth-chart and role news can move the grade materially.</x:v>
      </x:c>
      <x:c r="L154" s="48" t="str">
        <x:v>C</x:v>
      </x:c>
      <x:c r="M154" s="48" t="str">
        <x:v>HISTORY FALLBACK</x:v>
      </x:c>
      <x:c r="N154"/>
      <x:c r="O154"/>
      <x:c r="P154"/>
      <x:c r="Q154" s="98"/>
    </x:row>
    <x:row r="155">
      <x:c r="A155" t="n">
        <x:v>151</x:v>
      </x:c>
      <x:c r="B155" t="str">
        <x:v>DST</x:v>
      </x:c>
      <x:c r="C155" t="n">
        <x:v>11</x:v>
      </x:c>
      <x:c r="D155" s="48" t="str">
        <x:v>Baltimore Ravens</x:v>
      </x:c>
      <x:c r="E155" s="48" t="n">
        <x:v>82</x:v>
      </x:c>
      <x:c r="F155" s="48" t="str">
        <x:v>TIER 3</x:v>
      </x:c>
      <x:c r="G155" s="48" t="n">
        <x:v>200</x:v>
      </x:c>
      <x:c r="H155" s="48" t="n">
        <x:v>49</x:v>
      </x:c>
      <x:c r="I155" s="116" t="str">
        <x:v>Streaming/late-round defense; matchup matters more than preseason rank.</x:v>
      </x:c>
      <x:c r="J155" s="116" t="str">
        <x:v>The unit grades well relative to the current DST pool, but the model intentionally keeps defense behind core skill positions.</x:v>
      </x:c>
      <x:c r="K155" s="116" t="str">
        <x:v>DST scoring is highly opponent- and turnover-dependent, making season-long rank fragile.</x:v>
      </x:c>
      <x:c r="L155" s="48" t="str">
        <x:v>B</x:v>
      </x:c>
      <x:c r="M155" s="48" t="str">
        <x:v>DST MODEL</x:v>
      </x:c>
      <x:c r="N155"/>
      <x:c r="O155"/>
      <x:c r="P155"/>
      <x:c r="Q155" s="98"/>
    </x:row>
    <x:row r="156">
      <x:c r="A156" t="n">
        <x:v>152</x:v>
      </x:c>
      <x:c r="B156" t="str">
        <x:v>WR</x:v>
      </x:c>
      <x:c r="C156" t="n">
        <x:v>48</x:v>
      </x:c>
      <x:c r="D156" s="48" t="str">
        <x:v>Brian Thomas Jr.</x:v>
      </x:c>
      <x:c r="E156" s="48" t="n">
        <x:v>66.9675</x:v>
      </x:c>
      <x:c r="F156" s="48" t="str">
        <x:v>TIER 6</x:v>
      </x:c>
      <x:c r="G156" s="48" t="n">
        <x:v>155.1</x:v>
      </x:c>
      <x:c r="H156" s="48" t="n">
        <x:v>3.0999999999999943</x:v>
      </x:c>
      <x:c r="I156" s="116" t="str">
        <x:v>FLEX/bench receiver; needs target growth or efficiency spikes.</x:v>
      </x:c>
      <x:c r="J156" s="116" t="str">
        <x:v>The 2026 opportunity and projection carry most of the grade because detailed 2025 rate data is incomplete.</x:v>
      </x:c>
      <x:c r="K156" s="116" t="str">
        <x:v>Target competition, quarterback efficiency and touchdown regression are the main downside paths.</x:v>
      </x:c>
      <x:c r="L156" s="48" t="str">
        <x:v>B</x:v>
      </x:c>
      <x:c r="M156" s="48" t="str">
        <x:v>HISTORY FALLBACK</x:v>
      </x:c>
      <x:c r="N156"/>
      <x:c r="O156"/>
      <x:c r="P156"/>
      <x:c r="Q156" s="98"/>
    </x:row>
    <x:row r="157">
      <x:c r="A157" t="n">
        <x:v>153</x:v>
      </x:c>
      <x:c r="B157" t="str">
        <x:v>WR</x:v>
      </x:c>
      <x:c r="C157" t="n">
        <x:v>44</x:v>
      </x:c>
      <x:c r="D157" s="48" t="str">
        <x:v>Michael Wilson</x:v>
      </x:c>
      <x:c r="E157" s="48" t="n">
        <x:v>68.85</x:v>
      </x:c>
      <x:c r="F157" s="48" t="str">
        <x:v>TIER 6</x:v>
      </x:c>
      <x:c r="G157" s="48" t="n">
        <x:v>178.5</x:v>
      </x:c>
      <x:c r="H157" s="48" t="n">
        <x:v>25.5</x:v>
      </x:c>
      <x:c r="I157" s="116" t="str">
        <x:v>FLEX/bench receiver; needs target growth or efficiency spikes.</x:v>
      </x:c>
      <x:c r="J157" s="116" t="str">
        <x:v>He produced 13.0 PPR/FP points per game across 17 games. The workload/efficiency profile gives the model a rate-based reason to keep him here. Market price is favorable around ADP 178 versus model overall rank 153.</x:v>
      </x:c>
      <x:c r="K157" s="116" t="str">
        <x:v>Target competition, quarterback efficiency and touchdown regression are the main downside paths.</x:v>
      </x:c>
      <x:c r="L157" s="48" t="str">
        <x:v>A</x:v>
      </x:c>
      <x:c r="M157" s="48" t="str">
        <x:v>RATE-ADJUSTED VETERAN</x:v>
      </x:c>
      <x:c r="N157"/>
      <x:c r="O157"/>
      <x:c r="P157"/>
      <x:c r="Q157" s="98"/>
    </x:row>
    <x:row r="158">
      <x:c r="A158" t="n">
        <x:v>154</x:v>
      </x:c>
      <x:c r="B158" t="str">
        <x:v>QB</x:v>
      </x:c>
      <x:c r="C158" t="n">
        <x:v>21</x:v>
      </x:c>
      <x:c r="D158" s="48" t="str">
        <x:v>C.J. Stroud</x:v>
      </x:c>
      <x:c r="E158" s="48" t="n">
        <x:v>75.76205455491312</x:v>
      </x:c>
      <x:c r="F158" s="48" t="str">
        <x:v>TIER 4</x:v>
      </x:c>
      <x:c r="G158" s="48" t="n">
        <x:v>182</x:v>
      </x:c>
      <x:c r="H158" s="48" t="n">
        <x:v>28</x:v>
      </x:c>
      <x:c r="I158" s="116" t="str">
        <x:v>Bench/streaming option; needs matchup, rushing or TD spike weeks.</x:v>
      </x:c>
      <x:c r="J158" s="116" t="str">
        <x:v>He produced 15.5 PPR/FP points per game across 14 games. The workload/efficiency profile gives the model a rate-based reason to keep him here. Market price is favorable around ADP 182 versus model overall rank 154.</x:v>
      </x:c>
      <x:c r="K158" s="116" t="str">
        <x:v>Passing-TD efficiency, rushing volume and supporting-cast health are the main swing factors.</x:v>
      </x:c>
      <x:c r="L158" s="48" t="str">
        <x:v>A</x:v>
      </x:c>
      <x:c r="M158" s="48" t="str">
        <x:v>RATE-ADJUSTED VETERAN</x:v>
      </x:c>
      <x:c r="N158"/>
      <x:c r="O158"/>
      <x:c r="P158"/>
      <x:c r="Q158" s="98"/>
    </x:row>
    <x:row r="159">
      <x:c r="A159" t="n">
        <x:v>155</x:v>
      </x:c>
      <x:c r="B159" t="str">
        <x:v>WR</x:v>
      </x:c>
      <x:c r="C159" t="n">
        <x:v>46</x:v>
      </x:c>
      <x:c r="D159" s="48" t="str">
        <x:v>Xavier Worthy</x:v>
      </x:c>
      <x:c r="E159" s="48" t="n">
        <x:v>68.18</x:v>
      </x:c>
      <x:c r="F159" s="48" t="str">
        <x:v>TIER 6</x:v>
      </x:c>
      <x:c r="G159" s="48" t="n">
        <x:v>182.4</x:v>
      </x:c>
      <x:c r="H159" s="48" t="n">
        <x:v>27.400000000000006</x:v>
      </x:c>
      <x:c r="I159" s="116" t="str">
        <x:v>FLEX/bench receiver; needs target growth or efficiency spikes.</x:v>
      </x:c>
      <x:c r="J159" s="116" t="str">
        <x:v>He produced 7.9 PPR/FP points per game across 14 games. The workload/efficiency profile gives the model a rate-based reason to keep him here. Market price is favorable around ADP 182 versus model overall rank 155.</x:v>
      </x:c>
      <x:c r="K159" s="116" t="str">
        <x:v>Target competition, quarterback efficiency and touchdown regression are the main downside paths.</x:v>
      </x:c>
      <x:c r="L159" s="48" t="str">
        <x:v>A</x:v>
      </x:c>
      <x:c r="M159" s="48" t="str">
        <x:v>RATE-ADJUSTED VETERAN</x:v>
      </x:c>
      <x:c r="N159"/>
      <x:c r="O159"/>
      <x:c r="P159"/>
      <x:c r="Q159" s="98"/>
    </x:row>
    <x:row r="160">
      <x:c r="A160" t="n">
        <x:v>156</x:v>
      </x:c>
      <x:c r="B160" t="str">
        <x:v>TE</x:v>
      </x:c>
      <x:c r="C160" t="n">
        <x:v>24</x:v>
      </x:c>
      <x:c r="D160" s="48" t="str">
        <x:v>AJ Barner</x:v>
      </x:c>
      <x:c r="E160" s="48" t="n">
        <x:v>70.12450665294148</x:v>
      </x:c>
      <x:c r="F160" s="48" t="str">
        <x:v>TIER 5</x:v>
      </x:c>
      <x:c r="G160" s="48" t="n">
        <x:v>224</x:v>
      </x:c>
      <x:c r="H160" s="48" t="n">
        <x:v>68</x:v>
      </x:c>
      <x:c r="I160" s="116" t="str">
        <x:v>Deep TE stash; needs a larger route/target role to matter in 10-team leagues.</x:v>
      </x:c>
      <x:c r="J160" s="116" t="str">
        <x:v>He produced 8.7 PPR/FP points per game across 17 games. The workload/efficiency profile gives the model a rate-based reason to keep him here. Market price is favorable around ADP 224 versus model overall rank 156.</x:v>
      </x:c>
      <x:c r="K160" s="116" t="str">
        <x:v>Route share, target volume and touchdown volatility are the main swing factors.</x:v>
      </x:c>
      <x:c r="L160" s="48" t="str">
        <x:v>A</x:v>
      </x:c>
      <x:c r="M160" s="48" t="str">
        <x:v>RATE-ADJUSTED VETERAN</x:v>
      </x:c>
      <x:c r="N160"/>
      <x:c r="O160"/>
      <x:c r="P160"/>
      <x:c r="Q160" s="98"/>
    </x:row>
    <x:row r="161">
      <x:c r="A161" t="n">
        <x:v>157</x:v>
      </x:c>
      <x:c r="B161" t="str">
        <x:v>QB</x:v>
      </x:c>
      <x:c r="C161" t="n">
        <x:v>22</x:v>
      </x:c>
      <x:c r="D161" s="48" t="str">
        <x:v>Sam Darnold</x:v>
      </x:c>
      <x:c r="E161" s="48" t="n">
        <x:v>75.55416867822036</x:v>
      </x:c>
      <x:c r="F161" s="48" t="str">
        <x:v>TIER 4</x:v>
      </x:c>
      <x:c r="G161" s="48" t="n">
        <x:v>190</x:v>
      </x:c>
      <x:c r="H161" s="48" t="n">
        <x:v>33</x:v>
      </x:c>
      <x:c r="I161" s="116" t="str">
        <x:v>Bench/streaming option; needs matchup, rushing or TD spike weeks.</x:v>
      </x:c>
      <x:c r="J161" s="116" t="str">
        <x:v>He produced 14.7 PPR/FP points per game across 17 games. The workload/efficiency profile gives the model a rate-based reason to keep him here. Market price is favorable around ADP 190 versus model overall rank 157.</x:v>
      </x:c>
      <x:c r="K161" s="116" t="str">
        <x:v>Passing-TD efficiency, rushing volume and supporting-cast health are the main swing factors.</x:v>
      </x:c>
      <x:c r="L161" s="48" t="str">
        <x:v>A</x:v>
      </x:c>
      <x:c r="M161" s="48" t="str">
        <x:v>RATE-ADJUSTED VETERAN</x:v>
      </x:c>
      <x:c r="N161"/>
      <x:c r="O161"/>
      <x:c r="P161"/>
      <x:c r="Q161" s="98"/>
    </x:row>
    <x:row r="162">
      <x:c r="A162" t="n">
        <x:v>158</x:v>
      </x:c>
      <x:c r="B162" t="str">
        <x:v>QB</x:v>
      </x:c>
      <x:c r="C162" t="n">
        <x:v>23</x:v>
      </x:c>
      <x:c r="D162" s="48" t="str">
        <x:v>Daniel Jones</x:v>
      </x:c>
      <x:c r="E162" s="48" t="n">
        <x:v>74.79037310491178</x:v>
      </x:c>
      <x:c r="F162" s="48" t="str">
        <x:v>TIER 5</x:v>
      </x:c>
      <x:c r="G162" s="48" t="n">
        <x:v>198</x:v>
      </x:c>
      <x:c r="H162" s="48" t="n">
        <x:v>40</x:v>
      </x:c>
      <x:c r="I162" s="116" t="str">
        <x:v>Bench/streaming option; needs matchup, rushing or TD spike weeks.</x:v>
      </x:c>
      <x:c r="J162" s="116" t="str">
        <x:v>He produced 18.0 PPR/FP points per game across 13 games. The workload/efficiency profile gives the model a rate-based reason to keep him here. Market price is favorable around ADP 198 versus model overall rank 158.</x:v>
      </x:c>
      <x:c r="K162" s="116" t="str">
        <x:v>Passing-TD efficiency, rushing volume and supporting-cast health are the main swing factors.</x:v>
      </x:c>
      <x:c r="L162" s="48" t="str">
        <x:v>A</x:v>
      </x:c>
      <x:c r="M162" s="48" t="str">
        <x:v>RATE-ADJUSTED VETERAN</x:v>
      </x:c>
      <x:c r="N162"/>
      <x:c r="O162"/>
      <x:c r="P162"/>
      <x:c r="Q162" s="98"/>
    </x:row>
    <x:row r="163">
      <x:c r="A163" t="n">
        <x:v>159</x:v>
      </x:c>
      <x:c r="B163" t="str">
        <x:v>WR</x:v>
      </x:c>
      <x:c r="C163" t="n">
        <x:v>47</x:v>
      </x:c>
      <x:c r="D163" s="48" t="str">
        <x:v>Matthew Golden</x:v>
      </x:c>
      <x:c r="E163" s="48" t="n">
        <x:v>67.50999999999999</x:v>
      </x:c>
      <x:c r="F163" s="48" t="str">
        <x:v>TIER 6</x:v>
      </x:c>
      <x:c r="G163" s="48" t="n">
        <x:v>186.29999999999998</x:v>
      </x:c>
      <x:c r="H163" s="48" t="n">
        <x:v>27.299999999999983</x:v>
      </x:c>
      <x:c r="I163" s="116" t="str">
        <x:v>FLEX/bench receiver; needs target growth or efficiency spikes.</x:v>
      </x:c>
      <x:c r="J163" s="116" t="str">
        <x:v>The 2026 opportunity and projection carry most of the grade because detailed 2025 rate data is incomplete. Market price is favorable around ADP 186 versus model overall rank 159.</x:v>
      </x:c>
      <x:c r="K163" s="116" t="str">
        <x:v>Evidence is thinner than for established veterans, so camp, depth-chart and role news can move the grade materially.</x:v>
      </x:c>
      <x:c r="L163" s="48" t="str">
        <x:v>C</x:v>
      </x:c>
      <x:c r="M163" s="48" t="str">
        <x:v>HISTORY FALLBACK</x:v>
      </x:c>
      <x:c r="N163"/>
      <x:c r="O163"/>
      <x:c r="P163"/>
      <x:c r="Q163" s="98"/>
    </x:row>
    <x:row r="164">
      <x:c r="A164" t="n">
        <x:v>160</x:v>
      </x:c>
      <x:c r="B164" t="str">
        <x:v>QB</x:v>
      </x:c>
      <x:c r="C164" t="n">
        <x:v>24</x:v>
      </x:c>
      <x:c r="D164" s="48" t="str">
        <x:v>Malik Willis</x:v>
      </x:c>
      <x:c r="E164" s="48" t="n">
        <x:v>74.24027225755167</x:v>
      </x:c>
      <x:c r="F164" s="48" t="str">
        <x:v>TIER 5</x:v>
      </x:c>
      <x:c r="G164" s="48" t="n">
        <x:v>206</x:v>
      </x:c>
      <x:c r="H164" s="48" t="n">
        <x:v>46</x:v>
      </x:c>
      <x:c r="I164" s="116" t="str">
        <x:v>Bench/streaming option; needs matchup, rushing or TD spike weeks.</x:v>
      </x:c>
      <x:c r="J164" s="116" t="str">
        <x:v>He produced 12.8 PPR/FP points per game across 4 games. The workload/efficiency profile gives the model a rate-based reason to keep him here. Market price is favorable around ADP 206 versus model overall rank 160.</x:v>
      </x:c>
      <x:c r="K164" s="116" t="str">
        <x:v>Availability/sample risk is elevated after only 4 games; talent is not being punished as heavily as durability.</x:v>
      </x:c>
      <x:c r="L164" s="48" t="str">
        <x:v>B</x:v>
      </x:c>
      <x:c r="M164" s="48" t="str">
        <x:v>RATE-ADJUSTED VETERAN</x:v>
      </x:c>
      <x:c r="N164"/>
      <x:c r="O164"/>
      <x:c r="P164"/>
      <x:c r="Q164" s="98"/>
    </x:row>
    <x:row r="165">
      <x:c r="A165" t="n">
        <x:v>161</x:v>
      </x:c>
      <x:c r="B165" t="str">
        <x:v>DST</x:v>
      </x:c>
      <x:c r="C165" t="n">
        <x:v>12</x:v>
      </x:c>
      <x:c r="D165" s="48" t="str">
        <x:v>Green Bay Packers</x:v>
      </x:c>
      <x:c r="E165" s="48" t="n">
        <x:v>80.9</x:v>
      </x:c>
      <x:c r="F165" s="48" t="str">
        <x:v>TIER 3</x:v>
      </x:c>
      <x:c r="G165" s="48" t="n">
        <x:v>204</x:v>
      </x:c>
      <x:c r="H165" s="48" t="n">
        <x:v>43</x:v>
      </x:c>
      <x:c r="I165" s="116" t="str">
        <x:v>Streaming/late-round defense; matchup matters more than preseason rank.</x:v>
      </x:c>
      <x:c r="J165" s="116" t="str">
        <x:v>The unit grades well relative to the current DST pool, but the model intentionally keeps defense behind core skill positions.</x:v>
      </x:c>
      <x:c r="K165" s="116" t="str">
        <x:v>DST scoring is highly opponent- and turnover-dependent, making season-long rank fragile.</x:v>
      </x:c>
      <x:c r="L165" s="48" t="str">
        <x:v>B</x:v>
      </x:c>
      <x:c r="M165" s="48" t="str">
        <x:v>DST MODEL</x:v>
      </x:c>
      <x:c r="N165"/>
      <x:c r="O165"/>
      <x:c r="P165"/>
      <x:c r="Q165" s="98"/>
    </x:row>
    <x:row r="166">
      <x:c r="A166" t="n">
        <x:v>162</x:v>
      </x:c>
      <x:c r="B166" t="str">
        <x:v>WR</x:v>
      </x:c>
      <x:c r="C166" t="n">
        <x:v>49</x:v>
      </x:c>
      <x:c r="D166" s="48" t="str">
        <x:v>Josh Downs</x:v>
      </x:c>
      <x:c r="E166" s="48" t="n">
        <x:v>66.84</x:v>
      </x:c>
      <x:c r="F166" s="48" t="str">
        <x:v>TIER 6</x:v>
      </x:c>
      <x:c r="G166" s="48" t="n">
        <x:v>190.2</x:v>
      </x:c>
      <x:c r="H166" s="48" t="n">
        <x:v>28.19999999999999</x:v>
      </x:c>
      <x:c r="I166" s="116" t="str">
        <x:v>FLEX/bench receiver; needs target growth or efficiency spikes.</x:v>
      </x:c>
      <x:c r="J166" s="116" t="str">
        <x:v>He produced 8.5 PPR/FP points per game across 16 games. The workload/efficiency profile gives the model a rate-based reason to keep him here. Market price is favorable around ADP 190 versus model overall rank 162.</x:v>
      </x:c>
      <x:c r="K166" s="116" t="str">
        <x:v>Target competition, quarterback efficiency and touchdown regression are the main downside paths.</x:v>
      </x:c>
      <x:c r="L166" s="48" t="str">
        <x:v>A</x:v>
      </x:c>
      <x:c r="M166" s="48" t="str">
        <x:v>RATE-ADJUSTED VETERAN</x:v>
      </x:c>
      <x:c r="N166"/>
      <x:c r="O166"/>
      <x:c r="P166"/>
      <x:c r="Q166" s="98"/>
    </x:row>
    <x:row r="167">
      <x:c r="A167" t="n">
        <x:v>163</x:v>
      </x:c>
      <x:c r="B167" t="str">
        <x:v>QB</x:v>
      </x:c>
      <x:c r="C167" t="n">
        <x:v>25</x:v>
      </x:c>
      <x:c r="D167" s="48" t="str">
        <x:v>Bryce Young</x:v>
      </x:c>
      <x:c r="E167" s="48" t="n">
        <x:v>72.79764579957634</x:v>
      </x:c>
      <x:c r="F167" s="48" t="str">
        <x:v>TIER 5</x:v>
      </x:c>
      <x:c r="G167" s="48" t="n">
        <x:v>214</x:v>
      </x:c>
      <x:c r="H167" s="48" t="n">
        <x:v>51</x:v>
      </x:c>
      <x:c r="I167" s="116" t="str">
        <x:v>Deep QB2; waiver-level in a normal 10-team format.</x:v>
      </x:c>
      <x:c r="J167" s="116" t="str">
        <x:v>He produced 14.3 PPR/FP points per game across 16 games. The workload/efficiency profile gives the model a rate-based reason to keep him here. Market price is favorable around ADP 214 versus model overall rank 163.</x:v>
      </x:c>
      <x:c r="K167" s="116" t="str">
        <x:v>Passing-TD efficiency, rushing volume and supporting-cast health are the main swing factors.</x:v>
      </x:c>
      <x:c r="L167" s="48" t="str">
        <x:v>A</x:v>
      </x:c>
      <x:c r="M167" s="48" t="str">
        <x:v>RATE-ADJUSTED VETERAN</x:v>
      </x:c>
      <x:c r="N167"/>
      <x:c r="O167"/>
      <x:c r="P167"/>
      <x:c r="Q167" s="98"/>
    </x:row>
    <x:row r="168">
      <x:c r="A168" t="n">
        <x:v>164</x:v>
      </x:c>
      <x:c r="B168" t="str">
        <x:v>QB</x:v>
      </x:c>
      <x:c r="C168" t="n">
        <x:v>26</x:v>
      </x:c>
      <x:c r="D168" s="48" t="str">
        <x:v>Cam Ward</x:v>
      </x:c>
      <x:c r="E168" s="48" t="n">
        <x:v>72.66457683651541</x:v>
      </x:c>
      <x:c r="F168" s="48" t="str">
        <x:v>TIER 5</x:v>
      </x:c>
      <x:c r="G168" s="48" t="n">
        <x:v>222</x:v>
      </x:c>
      <x:c r="H168" s="48" t="n">
        <x:v>58</x:v>
      </x:c>
      <x:c r="I168" s="116" t="str">
        <x:v>Deep QB2; waiver-level in a normal 10-team format.</x:v>
      </x:c>
      <x:c r="J168" s="116" t="str">
        <x:v>He produced 11.4 PPR/FP points per game across 17 games. The workload/efficiency profile gives the model a rate-based reason to keep him here. Market price is favorable around ADP 222 versus model overall rank 164.</x:v>
      </x:c>
      <x:c r="K168" s="116" t="str">
        <x:v>Passing-TD efficiency, rushing volume and supporting-cast health are the main swing factors.</x:v>
      </x:c>
      <x:c r="L168" s="48" t="str">
        <x:v>A</x:v>
      </x:c>
      <x:c r="M168" s="48" t="str">
        <x:v>RATE-ADJUSTED VETERAN</x:v>
      </x:c>
      <x:c r="N168"/>
      <x:c r="O168"/>
      <x:c r="P168"/>
      <x:c r="Q168" s="98"/>
    </x:row>
    <x:row r="169">
      <x:c r="A169" t="n">
        <x:v>165</x:v>
      </x:c>
      <x:c r="B169" t="str">
        <x:v>TE</x:v>
      </x:c>
      <x:c r="C169" t="n">
        <x:v>25</x:v>
      </x:c>
      <x:c r="D169" s="48" t="str">
        <x:v>Cade Otton</x:v>
      </x:c>
      <x:c r="E169" s="48" t="n">
        <x:v>66.64902120836972</x:v>
      </x:c>
      <x:c r="F169" s="48" t="str">
        <x:v>TIER 6</x:v>
      </x:c>
      <x:c r="G169" s="48" t="n">
        <x:v>233</x:v>
      </x:c>
      <x:c r="H169" s="48" t="n">
        <x:v>68</x:v>
      </x:c>
      <x:c r="I169" s="116" t="str">
        <x:v>Deep TE stash; needs a larger route/target role to matter in 10-team leagues.</x:v>
      </x:c>
      <x:c r="J169" s="116" t="str">
        <x:v>He produced 7.6 PPR/FP points per game across 16 games. The workload/efficiency profile gives the model a rate-based reason to keep him here. Market price is favorable around ADP 233 versus model overall rank 165.</x:v>
      </x:c>
      <x:c r="K169" s="116" t="str">
        <x:v>Route share, target volume and touchdown volatility are the main swing factors.</x:v>
      </x:c>
      <x:c r="L169" s="48" t="str">
        <x:v>A</x:v>
      </x:c>
      <x:c r="M169" s="48" t="str">
        <x:v>RATE-ADJUSTED VETERAN</x:v>
      </x:c>
      <x:c r="N169"/>
      <x:c r="O169"/>
      <x:c r="P169"/>
      <x:c r="Q169" s="98"/>
    </x:row>
    <x:row r="170">
      <x:c r="A170" t="n">
        <x:v>166</x:v>
      </x:c>
      <x:c r="B170" t="str">
        <x:v>TE</x:v>
      </x:c>
      <x:c r="C170" t="n">
        <x:v>26</x:v>
      </x:c>
      <x:c r="D170" s="48" t="str">
        <x:v>Gunnar Helm</x:v>
      </x:c>
      <x:c r="E170" s="48" t="n">
        <x:v>66.62233998586467</x:v>
      </x:c>
      <x:c r="F170" s="48" t="str">
        <x:v>TIER 6</x:v>
      </x:c>
      <x:c r="G170" s="48" t="n">
        <x:v>242</x:v>
      </x:c>
      <x:c r="H170" s="48" t="n">
        <x:v>76</x:v>
      </x:c>
      <x:c r="I170" s="116" t="str">
        <x:v>Deep TE stash; needs a larger route/target role to matter in 10-team leagues.</x:v>
      </x:c>
      <x:c r="J170" s="116" t="str">
        <x:v>He produced 5.8 PPR/FP points per game across 16 games. The workload/efficiency profile gives the model a rate-based reason to keep him here. Market price is favorable around ADP 242 versus model overall rank 166.</x:v>
      </x:c>
      <x:c r="K170" s="116" t="str">
        <x:v>Route share, target volume and touchdown volatility are the main swing factors.</x:v>
      </x:c>
      <x:c r="L170" s="48" t="str">
        <x:v>A</x:v>
      </x:c>
      <x:c r="M170" s="48" t="str">
        <x:v>RATE-ADJUSTED VETERAN</x:v>
      </x:c>
      <x:c r="N170"/>
      <x:c r="O170"/>
      <x:c r="P170"/>
      <x:c r="Q170" s="98"/>
    </x:row>
    <x:row r="171">
      <x:c r="A171" t="n">
        <x:v>167</x:v>
      </x:c>
      <x:c r="B171" t="str">
        <x:v>WR</x:v>
      </x:c>
      <x:c r="C171" t="n">
        <x:v>50</x:v>
      </x:c>
      <x:c r="D171" s="48" t="str">
        <x:v>Jayden Reed</x:v>
      </x:c>
      <x:c r="E171" s="48" t="n">
        <x:v>66.16999999999999</x:v>
      </x:c>
      <x:c r="F171" s="48" t="str">
        <x:v>TIER 6</x:v>
      </x:c>
      <x:c r="G171" s="48" t="n">
        <x:v>194.1</x:v>
      </x:c>
      <x:c r="H171" s="48" t="n">
        <x:v>27.099999999999994</x:v>
      </x:c>
      <x:c r="I171" s="116" t="str">
        <x:v>FLEX/bench receiver; needs target growth or efficiency spikes.</x:v>
      </x:c>
      <x:c r="J171" s="116" t="str">
        <x:v>The 2026 opportunity and projection carry most of the grade because detailed 2025 rate data is incomplete. Market price is favorable around ADP 194 versus model overall rank 167.</x:v>
      </x:c>
      <x:c r="K171" s="116" t="str">
        <x:v>Evidence is thinner than for established veterans, so camp, depth-chart and role news can move the grade materially.</x:v>
      </x:c>
      <x:c r="L171" s="48" t="str">
        <x:v>C</x:v>
      </x:c>
      <x:c r="M171" s="48" t="str">
        <x:v>HISTORY FALLBACK</x:v>
      </x:c>
      <x:c r="N171"/>
      <x:c r="O171"/>
      <x:c r="P171"/>
      <x:c r="Q171" s="98"/>
    </x:row>
    <x:row r="172">
      <x:c r="A172" t="n">
        <x:v>168</x:v>
      </x:c>
      <x:c r="B172" t="str">
        <x:v>RB</x:v>
      </x:c>
      <x:c r="C172" t="n">
        <x:v>44</x:v>
      </x:c>
      <x:c r="D172" s="48" t="str">
        <x:v>Tyler Allgeier</x:v>
      </x:c>
      <x:c r="E172" s="48" t="n">
        <x:v>63.03217197650326</x:v>
      </x:c>
      <x:c r="F172" s="48" t="str">
        <x:v>TIER 7</x:v>
      </x:c>
      <x:c r="G172" s="48" t="n">
        <x:v>182.6</x:v>
      </x:c>
      <x:c r="H172" s="48" t="n">
        <x:v>14.599999999999994</x:v>
      </x:c>
      <x:c r="I172" s="116" t="str">
        <x:v>Bench stash/handcuff profile; value is tied to role change or injury ahead.</x:v>
      </x:c>
      <x:c r="J172" s="116" t="str">
        <x:v>He produced 7.2 PPR/FP points per game across 17 games. The workload/efficiency profile gives the model a rate-based reason to keep him here. Market price is favorable around ADP 183 versus model overall rank 168.</x:v>
      </x:c>
      <x:c r="K172" s="116" t="str">
        <x:v>Touchdown variance, receiving-role changes and backfield competition are the main downside paths.</x:v>
      </x:c>
      <x:c r="L172" s="48" t="str">
        <x:v>A</x:v>
      </x:c>
      <x:c r="M172" s="48" t="str">
        <x:v>RATE-ADJUSTED VETERAN</x:v>
      </x:c>
      <x:c r="N172"/>
      <x:c r="O172"/>
      <x:c r="P172"/>
      <x:c r="Q172" s="98"/>
    </x:row>
    <x:row r="173">
      <x:c r="A173" t="n">
        <x:v>169</x:v>
      </x:c>
      <x:c r="B173" t="str">
        <x:v>QB</x:v>
      </x:c>
      <x:c r="C173" t="n">
        <x:v>27</x:v>
      </x:c>
      <x:c r="D173" s="48" t="str">
        <x:v>Jacoby Brissett</x:v>
      </x:c>
      <x:c r="E173" s="48" t="n">
        <x:v>71.3334204764594</x:v>
      </x:c>
      <x:c r="F173" s="48" t="str">
        <x:v>TIER 5</x:v>
      </x:c>
      <x:c r="G173" s="48" t="n">
        <x:v>230</x:v>
      </x:c>
      <x:c r="H173" s="48" t="n">
        <x:v>61</x:v>
      </x:c>
      <x:c r="I173" s="116" t="str">
        <x:v>Deep QB2; waiver-level in a normal 10-team format.</x:v>
      </x:c>
      <x:c r="J173" s="116" t="str">
        <x:v>He produced 16.8 PPR/FP points per game across 14 games. The workload/efficiency profile gives the model a rate-based reason to keep him here. Market price is favorable around ADP 230 versus model overall rank 169.</x:v>
      </x:c>
      <x:c r="K173" s="116" t="str">
        <x:v>Passing-TD efficiency, rushing volume and supporting-cast health are the main swing factors.</x:v>
      </x:c>
      <x:c r="L173" s="48" t="str">
        <x:v>A</x:v>
      </x:c>
      <x:c r="M173" s="48" t="str">
        <x:v>RATE-ADJUSTED VETERAN</x:v>
      </x:c>
      <x:c r="N173"/>
      <x:c r="O173"/>
      <x:c r="P173"/>
      <x:c r="Q173" s="98"/>
    </x:row>
    <x:row r="174">
      <x:c r="A174" t="n">
        <x:v>170</x:v>
      </x:c>
      <x:c r="B174" t="str">
        <x:v>QB</x:v>
      </x:c>
      <x:c r="C174" t="n">
        <x:v>28</x:v>
      </x:c>
      <x:c r="D174" s="48" t="str">
        <x:v>Geno Smith</x:v>
      </x:c>
      <x:c r="E174" s="48" t="n">
        <x:v>71.09857323143055</x:v>
      </x:c>
      <x:c r="F174" s="48" t="str">
        <x:v>TIER 5</x:v>
      </x:c>
      <x:c r="G174" s="48" t="n">
        <x:v>238</x:v>
      </x:c>
      <x:c r="H174" s="48" t="n">
        <x:v>68</x:v>
      </x:c>
      <x:c r="I174" s="116" t="str">
        <x:v>Deep QB2; waiver-level in a normal 10-team format.</x:v>
      </x:c>
      <x:c r="J174" s="116" t="str">
        <x:v>He produced 12.7 PPR/FP points per game across 15 games. The workload/efficiency profile gives the model a rate-based reason to keep him here. Market price is favorable around ADP 238 versus model overall rank 170.</x:v>
      </x:c>
      <x:c r="K174" s="116" t="str">
        <x:v>Passing-TD efficiency, rushing volume and supporting-cast health are the main swing factors.</x:v>
      </x:c>
      <x:c r="L174" s="48" t="str">
        <x:v>A</x:v>
      </x:c>
      <x:c r="M174" s="48" t="str">
        <x:v>RATE-ADJUSTED VETERAN</x:v>
      </x:c>
      <x:c r="N174"/>
      <x:c r="O174"/>
      <x:c r="P174"/>
      <x:c r="Q174" s="98"/>
    </x:row>
    <x:row r="175">
      <x:c r="A175" t="n">
        <x:v>171</x:v>
      </x:c>
      <x:c r="B175" t="str">
        <x:v>WR</x:v>
      </x:c>
      <x:c r="C175" t="n">
        <x:v>51</x:v>
      </x:c>
      <x:c r="D175" s="48" t="str">
        <x:v>Khalil Shakir</x:v>
      </x:c>
      <x:c r="E175" s="48" t="n">
        <x:v>65.5</x:v>
      </x:c>
      <x:c r="F175" s="48" t="str">
        <x:v>TIER 6</x:v>
      </x:c>
      <x:c r="G175" s="48" t="n">
        <x:v>198</x:v>
      </x:c>
      <x:c r="H175" s="48" t="n">
        <x:v>27</x:v>
      </x:c>
      <x:c r="I175" s="116" t="str">
        <x:v>Late-round bench upside; role growth is required for weekly relevance.</x:v>
      </x:c>
      <x:c r="J175" s="116" t="str">
        <x:v>He produced 10.4 PPR/FP points per game across 16 games. The workload/efficiency profile gives the model a rate-based reason to keep him here. Market price is favorable around ADP 198 versus model overall rank 171.</x:v>
      </x:c>
      <x:c r="K175" s="116" t="str">
        <x:v>Target competition, quarterback efficiency and touchdown regression are the main downside paths.</x:v>
      </x:c>
      <x:c r="L175" s="48" t="str">
        <x:v>A</x:v>
      </x:c>
      <x:c r="M175" s="48" t="str">
        <x:v>RATE-ADJUSTED VETERAN</x:v>
      </x:c>
      <x:c r="N175"/>
      <x:c r="O175"/>
      <x:c r="P175"/>
      <x:c r="Q175" s="98"/>
    </x:row>
    <x:row r="176">
      <x:c r="A176" t="n">
        <x:v>172</x:v>
      </x:c>
      <x:c r="B176" t="str">
        <x:v>QB</x:v>
      </x:c>
      <x:c r="C176" t="n">
        <x:v>29</x:v>
      </x:c>
      <x:c r="D176" s="48" t="str">
        <x:v>Aaron Rodgers</x:v>
      </x:c>
      <x:c r="E176" s="48" t="n">
        <x:v>70.88484375797985</x:v>
      </x:c>
      <x:c r="F176" s="48" t="str">
        <x:v>TIER 5</x:v>
      </x:c>
      <x:c r="G176" s="48" t="n">
        <x:v>246</x:v>
      </x:c>
      <x:c r="H176" s="48" t="n">
        <x:v>74</x:v>
      </x:c>
      <x:c r="I176" s="116" t="str">
        <x:v>Deep QB2; waiver-level in a normal 10-team format.</x:v>
      </x:c>
      <x:c r="J176" s="116" t="str">
        <x:v>He produced 14.6 PPR/FP points per game across 16 games. The workload/efficiency profile gives the model a rate-based reason to keep him here. Market price is favorable around ADP 246 versus model overall rank 172.</x:v>
      </x:c>
      <x:c r="K176" s="116" t="str">
        <x:v>Passing-TD efficiency, rushing volume and supporting-cast health are the main swing factors.</x:v>
      </x:c>
      <x:c r="L176" s="48" t="str">
        <x:v>A</x:v>
      </x:c>
      <x:c r="M176" s="48" t="str">
        <x:v>RATE-ADJUSTED VETERAN</x:v>
      </x:c>
      <x:c r="N176"/>
      <x:c r="O176"/>
      <x:c r="P176"/>
      <x:c r="Q176" s="98"/>
    </x:row>
    <x:row r="177">
      <x:c r="A177" t="n">
        <x:v>173</x:v>
      </x:c>
      <x:c r="B177" t="str">
        <x:v>RB</x:v>
      </x:c>
      <x:c r="C177" t="n">
        <x:v>45</x:v>
      </x:c>
      <x:c r="D177" s="48" t="str">
        <x:v>Zach Charbonnet</x:v>
      </x:c>
      <x:c r="E177" s="48" t="n">
        <x:v>62.5498230438228</x:v>
      </x:c>
      <x:c r="F177" s="48" t="str">
        <x:v>TIER 7</x:v>
      </x:c>
      <x:c r="G177" s="48" t="n">
        <x:v>186.8</x:v>
      </x:c>
      <x:c r="H177" s="48" t="n">
        <x:v>13.800000000000011</x:v>
      </x:c>
      <x:c r="I177" s="116" t="str">
        <x:v>Bench stash/handcuff profile; value is tied to role change or injury ahead.</x:v>
      </x:c>
      <x:c r="J177" s="116" t="str">
        <x:v>He produced 11.3 PPR/FP points per game across 16 games. The workload/efficiency profile gives the model a rate-based reason to keep him here. Market price is favorable around ADP 187 versus model overall rank 173.</x:v>
      </x:c>
      <x:c r="K177" s="116" t="str">
        <x:v>Touchdown variance, receiving-role changes and backfield competition are the main downside paths.</x:v>
      </x:c>
      <x:c r="L177" s="48" t="str">
        <x:v>A</x:v>
      </x:c>
      <x:c r="M177" s="48" t="str">
        <x:v>RATE-ADJUSTED VETERAN</x:v>
      </x:c>
      <x:c r="N177"/>
      <x:c r="O177"/>
      <x:c r="P177"/>
      <x:c r="Q177" s="98"/>
    </x:row>
    <x:row r="178">
      <x:c r="A178" t="n">
        <x:v>174</x:v>
      </x:c>
      <x:c r="B178" t="str">
        <x:v>WR</x:v>
      </x:c>
      <x:c r="C178" t="n">
        <x:v>52</x:v>
      </x:c>
      <x:c r="D178" s="48" t="str">
        <x:v>Jalin Hyatt</x:v>
      </x:c>
      <x:c r="E178" s="48" t="n">
        <x:v>64.83</x:v>
      </x:c>
      <x:c r="F178" s="48" t="str">
        <x:v>TIER 7</x:v>
      </x:c>
      <x:c r="G178" s="48" t="n">
        <x:v>201.9</x:v>
      </x:c>
      <x:c r="H178" s="48" t="n">
        <x:v>27.900000000000006</x:v>
      </x:c>
      <x:c r="I178" s="116" t="str">
        <x:v>Late-round bench upside; role growth is required for weekly relevance.</x:v>
      </x:c>
      <x:c r="J178" s="116" t="str">
        <x:v>The 2026 opportunity and projection carry most of the grade because detailed 2025 rate data is incomplete. Market price is favorable around ADP 202 versus model overall rank 174.</x:v>
      </x:c>
      <x:c r="K178" s="116" t="str">
        <x:v>Evidence is thinner than for established veterans, so camp, depth-chart and role news can move the grade materially.</x:v>
      </x:c>
      <x:c r="L178" s="48" t="str">
        <x:v>C</x:v>
      </x:c>
      <x:c r="M178" s="48" t="str">
        <x:v>HISTORY FALLBACK</x:v>
      </x:c>
      <x:c r="N178"/>
      <x:c r="O178"/>
      <x:c r="P178"/>
      <x:c r="Q178" s="98"/>
    </x:row>
    <x:row r="179">
      <x:c r="A179" t="n">
        <x:v>175</x:v>
      </x:c>
      <x:c r="B179" t="str">
        <x:v>TE</x:v>
      </x:c>
      <x:c r="C179" t="n">
        <x:v>27</x:v>
      </x:c>
      <x:c r="D179" s="48" t="str">
        <x:v>Terrance Ferguson</x:v>
      </x:c>
      <x:c r="E179" s="48" t="n">
        <x:v>64.36205882352941</x:v>
      </x:c>
      <x:c r="F179" s="48" t="str">
        <x:v>TIER 7</x:v>
      </x:c>
      <x:c r="G179" s="48" t="n">
        <x:v>251</x:v>
      </x:c>
      <x:c r="H179" s="48" t="n">
        <x:v>76</x:v>
      </x:c>
      <x:c r="I179" s="116" t="str">
        <x:v>Deep TE stash; needs a larger route/target role to matter in 10-team leagues.</x:v>
      </x:c>
      <x:c r="J179" s="116" t="str">
        <x:v>He produced 4.0 PPR/FP points per game across 13 games. The workload/efficiency profile gives the model a rate-based reason to keep him here. Market price is favorable around ADP 251 versus model overall rank 175.</x:v>
      </x:c>
      <x:c r="K179" s="116" t="str">
        <x:v>Route share, target volume and touchdown volatility are the main swing factors.</x:v>
      </x:c>
      <x:c r="L179" s="48" t="str">
        <x:v>A</x:v>
      </x:c>
      <x:c r="M179" s="48" t="str">
        <x:v>RATE-ADJUSTED VETERAN</x:v>
      </x:c>
      <x:c r="N179"/>
      <x:c r="O179"/>
      <x:c r="P179"/>
      <x:c r="Q179" s="98"/>
    </x:row>
    <x:row r="180">
      <x:c r="A180" t="n">
        <x:v>176</x:v>
      </x:c>
      <x:c r="B180" t="str">
        <x:v>K</x:v>
      </x:c>
      <x:c r="C180" t="n">
        <x:v>11</x:v>
      </x:c>
      <x:c r="D180" s="48" t="str">
        <x:v>Andy Borregales</x:v>
      </x:c>
      <x:c r="E180" s="48" t="n">
        <x:v>72</x:v>
      </x:c>
      <x:c r="F180" s="48" t="str">
        <x:v>TIER 5</x:v>
      </x:c>
      <x:c r="G180" s="48" t="n">
        <x:v>205</x:v>
      </x:c>
      <x:c r="H180" s="48" t="n">
        <x:v>29</x:v>
      </x:c>
      <x:c r="I180" s="116" t="str">
        <x:v>Late-round kicker; treat as replaceable unless scoring strongly rewards distance.</x:v>
      </x:c>
      <x:c r="J180" s="116" t="str">
        <x:v>Ranks near the top of the current kicker pool, but kicker week-to-week separation is small in a 10-team league.</x:v>
      </x:c>
      <x:c r="K180" s="116" t="str">
        <x:v>Kicker scoring is volatile and replaceable on waivers; do not pay meaningful draft capital.</x:v>
      </x:c>
      <x:c r="L180" s="48" t="str">
        <x:v>B</x:v>
      </x:c>
      <x:c r="M180" s="48" t="str">
        <x:v>KICKER MODEL</x:v>
      </x:c>
      <x:c r="N180"/>
      <x:c r="O180"/>
      <x:c r="P180"/>
      <x:c r="Q180" s="98"/>
    </x:row>
    <x:row r="181">
      <x:c r="A181" t="n">
        <x:v>177</x:v>
      </x:c>
      <x:c r="B181" t="str">
        <x:v>RB</x:v>
      </x:c>
      <x:c r="C181" t="n">
        <x:v>46</x:v>
      </x:c>
      <x:c r="D181" s="48" t="str">
        <x:v>Jonathon Brooks</x:v>
      </x:c>
      <x:c r="E181" s="48" t="n">
        <x:v>62.199999999999996</x:v>
      </x:c>
      <x:c r="F181" s="48" t="str">
        <x:v>TIER 7</x:v>
      </x:c>
      <x:c r="G181" s="48" t="n">
        <x:v>191</x:v>
      </x:c>
      <x:c r="H181" s="48" t="n">
        <x:v>14</x:v>
      </x:c>
      <x:c r="I181" s="116" t="str">
        <x:v>Bench stash/handcuff profile; value is tied to role change or injury ahead.</x:v>
      </x:c>
      <x:c r="J181" s="116" t="str">
        <x:v>The 2026 opportunity and projection carry most of the grade because detailed 2025 rate data is incomplete. Market price is favorable around ADP 191 versus model overall rank 177.</x:v>
      </x:c>
      <x:c r="K181" s="116" t="str">
        <x:v>Evidence is thinner than for established veterans, so camp, depth-chart and role news can move the grade materially.</x:v>
      </x:c>
      <x:c r="L181" s="48" t="str">
        <x:v>C</x:v>
      </x:c>
      <x:c r="M181" s="48" t="str">
        <x:v>HISTORY FALLBACK</x:v>
      </x:c>
      <x:c r="N181"/>
      <x:c r="O181"/>
      <x:c r="P181"/>
      <x:c r="Q181" s="98"/>
    </x:row>
    <x:row r="182">
      <x:c r="A182" t="n">
        <x:v>178</x:v>
      </x:c>
      <x:c r="B182" t="str">
        <x:v>WR</x:v>
      </x:c>
      <x:c r="C182" t="n">
        <x:v>53</x:v>
      </x:c>
      <x:c r="D182" s="48" t="str">
        <x:v>Romeo Doubs</x:v>
      </x:c>
      <x:c r="E182" s="48" t="n">
        <x:v>64.16</x:v>
      </x:c>
      <x:c r="F182" s="48" t="str">
        <x:v>TIER 7</x:v>
      </x:c>
      <x:c r="G182" s="48" t="n">
        <x:v>205.79999999999998</x:v>
      </x:c>
      <x:c r="H182" s="48" t="n">
        <x:v>27.799999999999983</x:v>
      </x:c>
      <x:c r="I182" s="116" t="str">
        <x:v>Late-round bench upside; role growth is required for weekly relevance.</x:v>
      </x:c>
      <x:c r="J182" s="116" t="str">
        <x:v>He produced 10.3 PPR/FP points per game across 16 games. The workload/efficiency profile gives the model a rate-based reason to keep him here. Market price is favorable around ADP 206 versus model overall rank 178.</x:v>
      </x:c>
      <x:c r="K182" s="116" t="str">
        <x:v>Target competition, quarterback efficiency and touchdown regression are the main downside paths.</x:v>
      </x:c>
      <x:c r="L182" s="48" t="str">
        <x:v>A</x:v>
      </x:c>
      <x:c r="M182" s="48" t="str">
        <x:v>RATE-ADJUSTED VETERAN</x:v>
      </x:c>
      <x:c r="N182"/>
      <x:c r="O182"/>
      <x:c r="P182"/>
      <x:c r="Q182" s="98"/>
    </x:row>
    <x:row r="183">
      <x:c r="A183" t="n">
        <x:v>179</x:v>
      </x:c>
      <x:c r="B183" t="str">
        <x:v>WR</x:v>
      </x:c>
      <x:c r="C183" t="n">
        <x:v>54</x:v>
      </x:c>
      <x:c r="D183" s="48" t="str">
        <x:v>Jalen Coker</x:v>
      </x:c>
      <x:c r="E183" s="48" t="n">
        <x:v>63.489999999999995</x:v>
      </x:c>
      <x:c r="F183" s="48" t="str">
        <x:v>TIER 7</x:v>
      </x:c>
      <x:c r="G183" s="48" t="n">
        <x:v>209.7</x:v>
      </x:c>
      <x:c r="H183" s="48" t="n">
        <x:v>30.69999999999999</x:v>
      </x:c>
      <x:c r="I183" s="116" t="str">
        <x:v>Late-round bench upside; role growth is required for weekly relevance.</x:v>
      </x:c>
      <x:c r="J183" s="116" t="str">
        <x:v>He produced 8.2 PPR/FP points per game across 11 games. The workload/efficiency profile gives the model a rate-based reason to keep him here. Market price is favorable around ADP 210 versus model overall rank 179.</x:v>
      </x:c>
      <x:c r="K183" s="116" t="str">
        <x:v>Target competition, quarterback efficiency and touchdown regression are the main downside paths.</x:v>
      </x:c>
      <x:c r="L183" s="48" t="str">
        <x:v>B</x:v>
      </x:c>
      <x:c r="M183" s="48" t="str">
        <x:v>RATE-ADJUSTED VETERAN</x:v>
      </x:c>
      <x:c r="N183"/>
      <x:c r="O183"/>
      <x:c r="P183"/>
      <x:c r="Q183" s="98"/>
    </x:row>
    <x:row r="184">
      <x:c r="A184" t="n">
        <x:v>180</x:v>
      </x:c>
      <x:c r="B184" t="str">
        <x:v>RB</x:v>
      </x:c>
      <x:c r="C184" t="n">
        <x:v>47</x:v>
      </x:c>
      <x:c r="D184" t="str">
        <x:v>Emanuel Wilson</x:v>
      </x:c>
      <x:c r="E184" s="48" t="n">
        <x:v>61.982145601653485</x:v>
      </x:c>
      <x:c r="F184" s="48" t="str">
        <x:v>TIER 7</x:v>
      </x:c>
      <x:c r="G184" s="48" t="n">
        <x:v>195.20000000000002</x:v>
      </x:c>
      <x:c r="H184" s="48" t="n">
        <x:v>15.200000000000017</x:v>
      </x:c>
      <x:c r="I184" s="98" t="str">
        <x:v>Bench stash/handcuff profile; value is tied to role change or injury ahead.</x:v>
      </x:c>
      <x:c r="J184" s="98" t="str">
        <x:v>He produced 5.6 PPR/FP points per game across 17 games. The workload/efficiency profile gives the model a rate-based reason to keep him here. Market price is favorable around ADP 195 versus model overall rank 180.</x:v>
      </x:c>
      <x:c r="K184" s="98" t="str">
        <x:v>Touchdown variance, receiving-role changes and backfield competition are the main downside paths.</x:v>
      </x:c>
      <x:c r="L184" t="str">
        <x:v>A</x:v>
      </x:c>
      <x:c r="M184" t="str">
        <x:v>RATE-ADJUSTED VETERAN</x:v>
      </x:c>
    </x:row>
    <x:row r="185">
      <x:c r="A185" t="n">
        <x:v>181</x:v>
      </x:c>
      <x:c r="B185" t="str">
        <x:v>WR</x:v>
      </x:c>
      <x:c r="C185" t="n">
        <x:v>55</x:v>
      </x:c>
      <x:c r="D185" t="str">
        <x:v>KC Concepcion</x:v>
      </x:c>
      <x:c r="E185" s="48" t="n">
        <x:v>62.82</x:v>
      </x:c>
      <x:c r="F185" s="48" t="str">
        <x:v>TIER 7</x:v>
      </x:c>
      <x:c r="G185" s="48" t="n">
        <x:v>213.6</x:v>
      </x:c>
      <x:c r="H185" s="48" t="n">
        <x:v>32.599999999999994</x:v>
      </x:c>
      <x:c r="I185" s="98" t="str">
        <x:v>Late-round bench upside; role growth is required for weekly relevance.</x:v>
      </x:c>
      <x:c r="J185" s="98" t="str">
        <x:v>Rookie score 85.3, backed by No. 24 draft capital and a 6.42 NFL prospect grade. The 2026 role projection is strong enough to replace missing NFL history. Market price is favorable around ADP 214 versus model overall rank 181.</x:v>
      </x:c>
      <x:c r="K185" s="98" t="str">
        <x:v>NFL translation and exact weekly role are the main variables; preseason first-team usage can move this rating quickly.</x:v>
      </x:c>
      <x:c r="L185" t="str">
        <x:v>B</x:v>
      </x:c>
      <x:c r="M185" t="str">
        <x:v>ROOKIE ENGINE</x:v>
      </x:c>
    </x:row>
    <x:row r="186">
      <x:c r="A186" t="n">
        <x:v>182</x:v>
      </x:c>
      <x:c r="B186" t="str">
        <x:v>DST</x:v>
      </x:c>
      <x:c r="C186" t="n">
        <x:v>13</x:v>
      </x:c>
      <x:c r="D186" t="str">
        <x:v>Detroit Lions</x:v>
      </x:c>
      <x:c r="E186" s="48" t="n">
        <x:v>79.8</x:v>
      </x:c>
      <x:c r="F186" s="48" t="str">
        <x:v>TIER 4</x:v>
      </x:c>
      <x:c r="G186" s="48" t="n">
        <x:v>208</x:v>
      </x:c>
      <x:c r="H186" s="48" t="n">
        <x:v>26</x:v>
      </x:c>
      <x:c r="I186" s="98" t="str">
        <x:v>Streaming/late-round defense; matchup matters more than preseason rank.</x:v>
      </x:c>
      <x:c r="J186" s="98" t="str">
        <x:v>The unit grades well relative to the current DST pool, but the model intentionally keeps defense behind core skill positions.</x:v>
      </x:c>
      <x:c r="K186" s="98" t="str">
        <x:v>DST scoring is highly opponent- and turnover-dependent, making season-long rank fragile.</x:v>
      </x:c>
      <x:c r="L186" t="str">
        <x:v>B</x:v>
      </x:c>
      <x:c r="M186" t="str">
        <x:v>DST MODEL</x:v>
      </x:c>
    </x:row>
    <x:row r="187">
      <x:c r="A187" t="n">
        <x:v>183</x:v>
      </x:c>
      <x:c r="B187" t="str">
        <x:v>QB</x:v>
      </x:c>
      <x:c r="C187" t="n">
        <x:v>30</x:v>
      </x:c>
      <x:c r="D187" t="str">
        <x:v>Tua Tagovailoa</x:v>
      </x:c>
      <x:c r="E187" s="48" t="n">
        <x:v>67.85117431898288</x:v>
      </x:c>
      <x:c r="F187" s="48" t="str">
        <x:v>TIER 6</x:v>
      </x:c>
      <x:c r="G187" s="48" t="n">
        <x:v>254</x:v>
      </x:c>
      <x:c r="H187" s="48" t="n">
        <x:v>71</x:v>
      </x:c>
      <x:c r="I187" s="98" t="str">
        <x:v>Deep QB2; waiver-level in a normal 10-team format.</x:v>
      </x:c>
      <x:c r="J187" s="98" t="str">
        <x:v>He produced 12.5 PPR/FP points per game across 14 games. The workload/efficiency profile gives the model a rate-based reason to keep him here. Market price is favorable around ADP 254 versus model overall rank 183.</x:v>
      </x:c>
      <x:c r="K187" s="98" t="str">
        <x:v>Passing-TD efficiency, rushing volume and supporting-cast health are the main swing factors.</x:v>
      </x:c>
      <x:c r="L187" t="str">
        <x:v>A</x:v>
      </x:c>
      <x:c r="M187" t="str">
        <x:v>RATE-ADJUSTED VETERAN</x:v>
      </x:c>
    </x:row>
    <x:row r="188">
      <x:c r="A188" t="n">
        <x:v>184</x:v>
      </x:c>
      <x:c r="B188" t="str">
        <x:v>WR</x:v>
      </x:c>
      <x:c r="C188" t="n">
        <x:v>56</x:v>
      </x:c>
      <x:c r="D188" t="str">
        <x:v>Rashid Shaheed</x:v>
      </x:c>
      <x:c r="E188" s="48" t="n">
        <x:v>62.15</x:v>
      </x:c>
      <x:c r="F188" s="48" t="str">
        <x:v>TIER 7</x:v>
      </x:c>
      <x:c r="G188" s="48" t="n">
        <x:v>217.5</x:v>
      </x:c>
      <x:c r="H188" s="48" t="n">
        <x:v>33.5</x:v>
      </x:c>
      <x:c r="I188" s="98" t="str">
        <x:v>Late-round bench upside; role growth is required for weekly relevance.</x:v>
      </x:c>
      <x:c r="J188" s="98" t="str">
        <x:v>He produced 8.7 PPR/FP points per game across 18 games. The workload/efficiency profile gives the model a rate-based reason to keep him here. Market price is favorable around ADP 218 versus model overall rank 184.</x:v>
      </x:c>
      <x:c r="K188" s="98" t="str">
        <x:v>Target competition, quarterback efficiency and touchdown regression are the main downside paths.</x:v>
      </x:c>
      <x:c r="L188" t="str">
        <x:v>A</x:v>
      </x:c>
      <x:c r="M188" t="str">
        <x:v>RATE-ADJUSTED VETERAN</x:v>
      </x:c>
    </x:row>
    <x:row r="189">
      <x:c r="A189" t="n">
        <x:v>185</x:v>
      </x:c>
      <x:c r="B189" t="str">
        <x:v>WR</x:v>
      </x:c>
      <x:c r="C189" t="n">
        <x:v>57</x:v>
      </x:c>
      <x:c r="D189" t="str">
        <x:v>Calvin Ridley</x:v>
      </x:c>
      <x:c r="E189" s="48" t="n">
        <x:v>61.48</x:v>
      </x:c>
      <x:c r="F189" s="48" t="str">
        <x:v>TIER 7</x:v>
      </x:c>
      <x:c r="G189" s="48" t="n">
        <x:v>221.4</x:v>
      </x:c>
      <x:c r="H189" s="48" t="n">
        <x:v>36.400000000000006</x:v>
      </x:c>
      <x:c r="I189" s="98" t="str">
        <x:v>Late-round bench upside; role growth is required for weekly relevance.</x:v>
      </x:c>
      <x:c r="J189" s="98" t="str">
        <x:v>The 2026 opportunity and projection carry most of the grade because detailed 2025 rate data is incomplete. Market price is favorable around ADP 221 versus model overall rank 185.</x:v>
      </x:c>
      <x:c r="K189" s="98" t="str">
        <x:v>Evidence is thinner than for established veterans, so camp, depth-chart and role news can move the grade materially.</x:v>
      </x:c>
      <x:c r="L189" t="str">
        <x:v>C</x:v>
      </x:c>
      <x:c r="M189" t="str">
        <x:v>HISTORY FALLBACK</x:v>
      </x:c>
    </x:row>
    <x:row r="190">
      <x:c r="A190" t="n">
        <x:v>186</x:v>
      </x:c>
      <x:c r="B190" t="str">
        <x:v>WR</x:v>
      </x:c>
      <x:c r="C190" t="n">
        <x:v>58</x:v>
      </x:c>
      <x:c r="D190" t="str">
        <x:v>Omar Cooper Jr.</x:v>
      </x:c>
      <x:c r="E190" s="48" t="n">
        <x:v>60.809999999999995</x:v>
      </x:c>
      <x:c r="F190" s="48" t="str">
        <x:v>TIER 7</x:v>
      </x:c>
      <x:c r="G190" s="48" t="n">
        <x:v>225.29999999999998</x:v>
      </x:c>
      <x:c r="H190" s="48" t="n">
        <x:v>39.29999999999998</x:v>
      </x:c>
      <x:c r="I190" s="98" t="str">
        <x:v>Late-round bench upside; role growth is required for weekly relevance.</x:v>
      </x:c>
      <x:c r="J190" s="98" t="str">
        <x:v>Rookie score 82.1, backed by No. 30 draft capital and a 6.39 NFL prospect grade. The 2026 role projection is strong enough to replace missing NFL history. Market price is favorable around ADP 225 versus model overall rank 186.</x:v>
      </x:c>
      <x:c r="K190" s="98" t="str">
        <x:v>NFL translation and exact weekly role are the main variables; preseason first-team usage can move this rating quickly.</x:v>
      </x:c>
      <x:c r="L190" t="str">
        <x:v>B</x:v>
      </x:c>
      <x:c r="M190" t="str">
        <x:v>ROOKIE ENGINE</x:v>
      </x:c>
    </x:row>
    <x:row r="191">
      <x:c r="A191" t="n">
        <x:v>187</x:v>
      </x:c>
      <x:c r="B191" t="str">
        <x:v>RB</x:v>
      </x:c>
      <x:c r="C191" t="n">
        <x:v>48</x:v>
      </x:c>
      <x:c r="D191" t="str">
        <x:v>Isiah Pacheco</x:v>
      </x:c>
      <x:c r="E191" s="48" t="n">
        <x:v>60.00923076923077</x:v>
      </x:c>
      <x:c r="F191" s="48" t="str">
        <x:v>TIER 7</x:v>
      </x:c>
      <x:c r="G191" s="48" t="n">
        <x:v>199.4</x:v>
      </x:c>
      <x:c r="H191" s="48" t="n">
        <x:v>12.400000000000006</x:v>
      </x:c>
      <x:c r="I191" s="98" t="str">
        <x:v>Bench stash/handcuff profile; value is tied to role change or injury ahead.</x:v>
      </x:c>
      <x:c r="J191" s="98" t="str">
        <x:v>The 2026 opportunity and projection carry most of the grade because detailed 2025 rate data is incomplete. Market price is favorable around ADP 199 versus model overall rank 187.</x:v>
      </x:c>
      <x:c r="K191" s="98" t="str">
        <x:v>Touchdown variance, receiving-role changes and backfield competition are the main downside paths.</x:v>
      </x:c>
      <x:c r="L191" t="str">
        <x:v>B</x:v>
      </x:c>
      <x:c r="M191" t="str">
        <x:v>HISTORY FALLBACK</x:v>
      </x:c>
    </x:row>
    <x:row r="192">
      <x:c r="A192" t="n">
        <x:v>188</x:v>
      </x:c>
      <x:c r="B192" t="str">
        <x:v>QB</x:v>
      </x:c>
      <x:c r="C192" t="n">
        <x:v>31</x:v>
      </x:c>
      <x:c r="D192" t="str">
        <x:v>Kirk Cousins</x:v>
      </x:c>
      <x:c r="E192" s="48" t="n">
        <x:v>65.79292388521264</x:v>
      </x:c>
      <x:c r="F192" s="48" t="str">
        <x:v>TIER 6</x:v>
      </x:c>
      <x:c r="G192" s="48" t="n">
        <x:v>262</x:v>
      </x:c>
      <x:c r="H192" s="48" t="n">
        <x:v>74</x:v>
      </x:c>
      <x:c r="I192" s="98" t="str">
        <x:v>Deep QB2; waiver-level in a normal 10-team format.</x:v>
      </x:c>
      <x:c r="J192" s="98" t="str">
        <x:v>He produced 10.9 PPR/FP points per game across 10 games. The workload/efficiency profile gives the model a rate-based reason to keep him here. Market price is favorable around ADP 262 versus model overall rank 188.</x:v>
      </x:c>
      <x:c r="K192" s="98" t="str">
        <x:v>Passing-TD efficiency, rushing volume and supporting-cast health are the main swing factors.</x:v>
      </x:c>
      <x:c r="L192" t="str">
        <x:v>B</x:v>
      </x:c>
      <x:c r="M192" t="str">
        <x:v>RATE-ADJUSTED VETERAN</x:v>
      </x:c>
    </x:row>
    <x:row r="193">
      <x:c r="A193" t="n">
        <x:v>189</x:v>
      </x:c>
      <x:c r="B193" t="str">
        <x:v>WR</x:v>
      </x:c>
      <x:c r="C193" t="n">
        <x:v>59</x:v>
      </x:c>
      <x:c r="D193" t="str">
        <x:v>Jerry Jeudy</x:v>
      </x:c>
      <x:c r="E193" s="48" t="n">
        <x:v>60.14</x:v>
      </x:c>
      <x:c r="F193" s="48" t="str">
        <x:v>TIER 7</x:v>
      </x:c>
      <x:c r="G193" s="48" t="n">
        <x:v>229.2</x:v>
      </x:c>
      <x:c r="H193" s="48" t="n">
        <x:v>40.19999999999999</x:v>
      </x:c>
      <x:c r="I193" s="98" t="str">
        <x:v>Late-round bench upside; role growth is required for weekly relevance.</x:v>
      </x:c>
      <x:c r="J193" s="98" t="str">
        <x:v>He produced 7.1 PPR/FP points per game across 17 games. The workload/efficiency profile gives the model a rate-based reason to keep him here. Market price is favorable around ADP 229 versus model overall rank 189.</x:v>
      </x:c>
      <x:c r="K193" s="98" t="str">
        <x:v>Target competition, quarterback efficiency and touchdown regression are the main downside paths.</x:v>
      </x:c>
      <x:c r="L193" t="str">
        <x:v>A</x:v>
      </x:c>
      <x:c r="M193" t="str">
        <x:v>RATE-ADJUSTED VETERAN</x:v>
      </x:c>
    </x:row>
    <x:row r="194">
      <x:c r="A194" t="n">
        <x:v>190</x:v>
      </x:c>
      <x:c r="B194" t="str">
        <x:v>WR</x:v>
      </x:c>
      <x:c r="C194" t="n">
        <x:v>60</x:v>
      </x:c>
      <x:c r="D194" t="str">
        <x:v>Jalen Nailor</x:v>
      </x:c>
      <x:c r="E194" s="48" t="n">
        <x:v>59.47</x:v>
      </x:c>
      <x:c r="F194" s="48" t="str">
        <x:v>TIER 7</x:v>
      </x:c>
      <x:c r="G194" s="48" t="n">
        <x:v>233.1</x:v>
      </x:c>
      <x:c r="H194" s="48" t="n">
        <x:v>43.099999999999994</x:v>
      </x:c>
      <x:c r="I194" s="98" t="str">
        <x:v>Late-round bench upside; role growth is required for weekly relevance.</x:v>
      </x:c>
      <x:c r="J194" s="98" t="str">
        <x:v>He produced 5.9 PPR/FP points per game across 17 games. The workload/efficiency profile gives the model a rate-based reason to keep him here. Market price is favorable around ADP 233 versus model overall rank 190.</x:v>
      </x:c>
      <x:c r="K194" s="98" t="str">
        <x:v>Target competition, quarterback efficiency and touchdown regression are the main downside paths.</x:v>
      </x:c>
      <x:c r="L194" t="str">
        <x:v>A</x:v>
      </x:c>
      <x:c r="M194" t="str">
        <x:v>RATE-ADJUSTED VETERAN</x:v>
      </x:c>
    </x:row>
    <x:row r="195">
      <x:c r="A195" t="n">
        <x:v>191</x:v>
      </x:c>
      <x:c r="B195" t="str">
        <x:v>RB</x:v>
      </x:c>
      <x:c r="C195" t="n">
        <x:v>49</x:v>
      </x:c>
      <x:c r="D195" t="str">
        <x:v>Alvin Kamara</x:v>
      </x:c>
      <x:c r="E195" s="48" t="n">
        <x:v>59.150000000000006</x:v>
      </x:c>
      <x:c r="F195" s="48" t="str">
        <x:v>TIER 7</x:v>
      </x:c>
      <x:c r="G195" s="48" t="n">
        <x:v>203.60000000000002</x:v>
      </x:c>
      <x:c r="H195" s="48" t="n">
        <x:v>12.600000000000023</x:v>
      </x:c>
      <x:c r="I195" s="98" t="str">
        <x:v>Bench stash/handcuff profile; value is tied to role change or injury ahead.</x:v>
      </x:c>
      <x:c r="J195" s="98" t="str">
        <x:v>The 2026 opportunity and projection carry most of the grade because detailed 2025 rate data is incomplete. Market price is favorable around ADP 204 versus model overall rank 191.</x:v>
      </x:c>
      <x:c r="K195" s="98" t="str">
        <x:v>Touchdown variance, receiving-role changes and backfield competition are the main downside paths.</x:v>
      </x:c>
      <x:c r="L195" t="str">
        <x:v>B</x:v>
      </x:c>
      <x:c r="M195" t="str">
        <x:v>HISTORY FALLBACK</x:v>
      </x:c>
    </x:row>
    <x:row r="196">
      <x:c r="A196" t="n">
        <x:v>192</x:v>
      </x:c>
      <x:c r="B196" t="str">
        <x:v>WR</x:v>
      </x:c>
      <x:c r="C196" t="n">
        <x:v>61</x:v>
      </x:c>
      <x:c r="D196" t="str">
        <x:v>Jalen McMillan</x:v>
      </x:c>
      <x:c r="E196" s="48" t="n">
        <x:v>58.8</x:v>
      </x:c>
      <x:c r="F196" s="48" t="str">
        <x:v>TIER 7</x:v>
      </x:c>
      <x:c r="G196" s="48" t="n">
        <x:v>237</x:v>
      </x:c>
      <x:c r="H196" s="48" t="n">
        <x:v>45</x:v>
      </x:c>
      <x:c r="I196" s="98" t="str">
        <x:v>Late-round bench upside; role growth is required for weekly relevance.</x:v>
      </x:c>
      <x:c r="J196" s="98" t="str">
        <x:v>The 2026 opportunity and projection carry most of the grade because detailed 2025 rate data is incomplete. Market price is favorable around ADP 237 versus model overall rank 192.</x:v>
      </x:c>
      <x:c r="K196" s="98" t="str">
        <x:v>Evidence is thinner than for established veterans, so camp, depth-chart and role news can move the grade materially.</x:v>
      </x:c>
      <x:c r="L196" t="str">
        <x:v>C</x:v>
      </x:c>
      <x:c r="M196" t="str">
        <x:v>HISTORY FALLBACK</x:v>
      </x:c>
    </x:row>
    <x:row r="197">
      <x:c r="A197" t="n">
        <x:v>193</x:v>
      </x:c>
      <x:c r="B197" t="str">
        <x:v>WR</x:v>
      </x:c>
      <x:c r="C197" t="n">
        <x:v>62</x:v>
      </x:c>
      <x:c r="D197" t="str">
        <x:v>Adonai Mitchell</x:v>
      </x:c>
      <x:c r="E197" s="48" t="n">
        <x:v>58.129999999999995</x:v>
      </x:c>
      <x:c r="F197" s="48" t="str">
        <x:v>TIER 7</x:v>
      </x:c>
      <x:c r="G197" s="48" t="n">
        <x:v>240.9</x:v>
      </x:c>
      <x:c r="H197" s="48" t="n">
        <x:v>47.900000000000006</x:v>
      </x:c>
      <x:c r="I197" s="98" t="str">
        <x:v>Late-round bench upside; role growth is required for weekly relevance.</x:v>
      </x:c>
      <x:c r="J197" s="98" t="str">
        <x:v>The 2026 opportunity and projection carry most of the grade because detailed 2025 rate data is incomplete. Market price is favorable around ADP 241 versus model overall rank 193.</x:v>
      </x:c>
      <x:c r="K197" s="98" t="str">
        <x:v>Evidence is thinner than for established veterans, so camp, depth-chart and role news can move the grade materially.</x:v>
      </x:c>
      <x:c r="L197" t="str">
        <x:v>C</x:v>
      </x:c>
      <x:c r="M197" t="str">
        <x:v>HISTORY FALLBACK</x:v>
      </x:c>
    </x:row>
    <x:row r="198">
      <x:c r="A198" t="n">
        <x:v>194</x:v>
      </x:c>
      <x:c r="B198" t="str">
        <x:v>WR</x:v>
      </x:c>
      <x:c r="C198" t="n">
        <x:v>63</x:v>
      </x:c>
      <x:c r="D198" t="str">
        <x:v>Isaac TeSlaa</x:v>
      </x:c>
      <x:c r="E198" s="48" t="n">
        <x:v>57.46</x:v>
      </x:c>
      <x:c r="F198" s="48" t="str">
        <x:v>TIER 7</x:v>
      </x:c>
      <x:c r="G198" s="48" t="n">
        <x:v>244.79999999999998</x:v>
      </x:c>
      <x:c r="H198" s="48" t="n">
        <x:v>50.79999999999998</x:v>
      </x:c>
      <x:c r="I198" s="98" t="str">
        <x:v>Late-round bench upside; role growth is required for weekly relevance.</x:v>
      </x:c>
      <x:c r="J198" s="98" t="str">
        <x:v>He produced 4.4 PPR/FP points per game across 17 games. The workload/efficiency profile gives the model a rate-based reason to keep him here. Market price is favorable around ADP 245 versus model overall rank 194.</x:v>
      </x:c>
      <x:c r="K198" s="98" t="str">
        <x:v>Target competition, quarterback efficiency and touchdown regression are the main downside paths.</x:v>
      </x:c>
      <x:c r="L198" t="str">
        <x:v>A</x:v>
      </x:c>
      <x:c r="M198" t="str">
        <x:v>RATE-ADJUSTED VETERAN</x:v>
      </x:c>
    </x:row>
    <x:row r="199">
      <x:c r="A199" t="n">
        <x:v>195</x:v>
      </x:c>
      <x:c r="B199" t="str">
        <x:v>DST</x:v>
      </x:c>
      <x:c r="C199" t="n">
        <x:v>14</x:v>
      </x:c>
      <x:c r="D199" t="str">
        <x:v>Buffalo Bills</x:v>
      </x:c>
      <x:c r="E199" s="48" t="n">
        <x:v>78.7</x:v>
      </x:c>
      <x:c r="F199" s="48" t="str">
        <x:v>TIER 4</x:v>
      </x:c>
      <x:c r="G199" s="48" t="n">
        <x:v>212</x:v>
      </x:c>
      <x:c r="H199" s="48" t="n">
        <x:v>17</x:v>
      </x:c>
      <x:c r="I199" s="98" t="str">
        <x:v>Streaming/late-round defense; matchup matters more than preseason rank.</x:v>
      </x:c>
      <x:c r="J199" s="98" t="str">
        <x:v>The unit grades well relative to the current DST pool, but the model intentionally keeps defense behind core skill positions.</x:v>
      </x:c>
      <x:c r="K199" s="98" t="str">
        <x:v>DST scoring is highly opponent- and turnover-dependent, making season-long rank fragile.</x:v>
      </x:c>
      <x:c r="L199" t="str">
        <x:v>B</x:v>
      </x:c>
      <x:c r="M199" t="str">
        <x:v>DST MODEL</x:v>
      </x:c>
    </x:row>
    <x:row r="200">
      <x:c r="A200" t="n">
        <x:v>196</x:v>
      </x:c>
      <x:c r="B200" t="str">
        <x:v>WR</x:v>
      </x:c>
      <x:c r="C200" t="n">
        <x:v>64</x:v>
      </x:c>
      <x:c r="D200" t="str">
        <x:v>Denzel Boston</x:v>
      </x:c>
      <x:c r="E200" s="48" t="n">
        <x:v>56.79</x:v>
      </x:c>
      <x:c r="F200" s="48" t="str">
        <x:v>TIER 7</x:v>
      </x:c>
      <x:c r="G200" s="48" t="n">
        <x:v>248.7</x:v>
      </x:c>
      <x:c r="H200" s="48" t="n">
        <x:v>52.69999999999999</x:v>
      </x:c>
      <x:c r="I200" s="98" t="str">
        <x:v>Late-round bench upside; role growth is required for weekly relevance.</x:v>
      </x:c>
      <x:c r="J200" s="98" t="str">
        <x:v>Rookie score 79.3, backed by No. 39 draft capital and a 6.40 NFL prospect grade. The 2026 role projection is strong enough to replace missing NFL history. Market price is favorable around ADP 249 versus model overall rank 196.</x:v>
      </x:c>
      <x:c r="K200" s="98" t="str">
        <x:v>NFL translation and exact weekly role are the main variables; preseason first-team usage can move this rating quickly.</x:v>
      </x:c>
      <x:c r="L200" t="str">
        <x:v>C</x:v>
      </x:c>
      <x:c r="M200" t="str">
        <x:v>ROOKIE ENGINE</x:v>
      </x:c>
    </x:row>
    <x:row r="201">
      <x:c r="A201" t="n">
        <x:v>197</x:v>
      </x:c>
      <x:c r="B201" t="str">
        <x:v>WR</x:v>
      </x:c>
      <x:c r="C201" t="n">
        <x:v>65</x:v>
      </x:c>
      <x:c r="D201" t="str">
        <x:v>Tre Tucker</x:v>
      </x:c>
      <x:c r="E201" s="48" t="n">
        <x:v>56.12</x:v>
      </x:c>
      <x:c r="F201" s="48" t="str">
        <x:v>TIER 7</x:v>
      </x:c>
      <x:c r="G201" s="48" t="n">
        <x:v>252.6</x:v>
      </x:c>
      <x:c r="H201" s="48" t="n">
        <x:v>55.599999999999994</x:v>
      </x:c>
      <x:c r="I201" s="98" t="str">
        <x:v>Late-round bench upside; role growth is required for weekly relevance.</x:v>
      </x:c>
      <x:c r="J201" s="98" t="str">
        <x:v>He produced 9.6 PPR/FP points per game across 17 games. The workload/efficiency profile gives the model a rate-based reason to keep him here. Market price is favorable around ADP 253 versus model overall rank 197.</x:v>
      </x:c>
      <x:c r="K201" s="98" t="str">
        <x:v>Target competition, quarterback efficiency and touchdown regression are the main downside paths.</x:v>
      </x:c>
      <x:c r="L201" t="str">
        <x:v>A</x:v>
      </x:c>
      <x:c r="M201" t="str">
        <x:v>RATE-ADJUSTED VETERAN</x:v>
      </x:c>
    </x:row>
    <x:row r="202">
      <x:c r="A202" t="n">
        <x:v>198</x:v>
      </x:c>
      <x:c r="B202" t="str">
        <x:v>WR</x:v>
      </x:c>
      <x:c r="C202" t="n">
        <x:v>66</x:v>
      </x:c>
      <x:c r="D202" t="str">
        <x:v>Antonio Williams</x:v>
      </x:c>
      <x:c r="E202" s="48" t="n">
        <x:v>55.449999999999996</x:v>
      </x:c>
      <x:c r="F202" s="48" t="str">
        <x:v>TIER 7</x:v>
      </x:c>
      <x:c r="G202" s="48" t="n">
        <x:v>256.5</x:v>
      </x:c>
      <x:c r="H202" s="48" t="n">
        <x:v>58.5</x:v>
      </x:c>
      <x:c r="I202" s="98" t="str">
        <x:v>Late-round bench upside; role growth is required for weekly relevance.</x:v>
      </x:c>
      <x:c r="J202" s="98" t="str">
        <x:v>The 2026 opportunity and projection carry most of the grade because detailed 2025 rate data is incomplete. Market price is favorable around ADP 256 versus model overall rank 198.</x:v>
      </x:c>
      <x:c r="K202" s="98" t="str">
        <x:v>Evidence is thinner than for established veterans, so camp, depth-chart and role news can move the grade materially.</x:v>
      </x:c>
      <x:c r="L202" t="str">
        <x:v>C</x:v>
      </x:c>
      <x:c r="M202" t="str">
        <x:v>HISTORY FALLBACK</x:v>
      </x:c>
    </x:row>
    <x:row r="203">
      <x:c r="A203" t="n">
        <x:v>199</x:v>
      </x:c>
      <x:c r="B203" t="str">
        <x:v>RB</x:v>
      </x:c>
      <x:c r="C203" t="n">
        <x:v>50</x:v>
      </x:c>
      <x:c r="D203" t="str">
        <x:v>Justice Hill</x:v>
      </x:c>
      <x:c r="E203" s="48" t="n">
        <x:v>54.879999999999995</x:v>
      </x:c>
      <x:c r="F203" s="48" t="str">
        <x:v>TIER 7</x:v>
      </x:c>
      <x:c r="G203" s="48" t="n">
        <x:v>207.8</x:v>
      </x:c>
      <x:c r="H203" s="48" t="n">
        <x:v>8.800000000000011</x:v>
      </x:c>
      <x:c r="I203" s="98" t="str">
        <x:v>Bench stash/handcuff profile; value is tied to role change or injury ahead.</x:v>
      </x:c>
      <x:c r="J203" s="98" t="str">
        <x:v>The 2026 opportunity and projection carry most of the grade because detailed 2025 rate data is incomplete.</x:v>
      </x:c>
      <x:c r="K203" s="98" t="str">
        <x:v>Touchdown variance, receiving-role changes and backfield competition are the main downside paths.</x:v>
      </x:c>
      <x:c r="L203" t="str">
        <x:v>B</x:v>
      </x:c>
      <x:c r="M203" t="str">
        <x:v>HISTORY FALLBACK</x:v>
      </x:c>
    </x:row>
    <x:row r="204">
      <x:c r="A204" t="n">
        <x:v>200</x:v>
      </x:c>
      <x:c r="B204" t="str">
        <x:v>QB</x:v>
      </x:c>
      <x:c r="C204" t="n">
        <x:v>32</x:v>
      </x:c>
      <x:c r="D204" t="str">
        <x:v>Deshaun Watson</x:v>
      </x:c>
      <x:c r="E204" s="48" t="n">
        <x:v>60.25</x:v>
      </x:c>
      <x:c r="F204" s="48" t="str">
        <x:v>TIER 7</x:v>
      </x:c>
      <x:c r="G204" s="48" t="n">
        <x:v>270</x:v>
      </x:c>
      <x:c r="H204" s="48" t="n">
        <x:v>70</x:v>
      </x:c>
      <x:c r="I204" s="98" t="str">
        <x:v>Deep QB2; waiver-level in a normal 10-team format.</x:v>
      </x:c>
      <x:c r="J204" s="98" t="str">
        <x:v>The 2026 opportunity and projection carry most of the grade because detailed 2025 rate data is incomplete. Market price is favorable around ADP 270 versus model overall rank 200.</x:v>
      </x:c>
      <x:c r="K204" s="98" t="str">
        <x:v>Evidence is thinner than for established veterans, so camp, depth-chart and role news can move the grade materially.</x:v>
      </x:c>
      <x:c r="L204" t="str">
        <x:v>C</x:v>
      </x:c>
      <x:c r="M204" t="str">
        <x:v>HISTORY FALLBACK</x:v>
      </x:c>
    </x:row>
    <x:row r="205">
      <x:c r="A205" t="n">
        <x:v>201</x:v>
      </x:c>
      <x:c r="B205" t="str">
        <x:v>WR</x:v>
      </x:c>
      <x:c r="C205" t="n">
        <x:v>67</x:v>
      </x:c>
      <x:c r="D205" t="str">
        <x:v>Travis Hunter</x:v>
      </x:c>
      <x:c r="E205" s="48" t="n">
        <x:v>54.779999999999994</x:v>
      </x:c>
      <x:c r="F205" s="48" t="str">
        <x:v>TIER 7</x:v>
      </x:c>
      <x:c r="G205" s="48" t="n">
        <x:v>260.4</x:v>
      </x:c>
      <x:c r="H205" s="48" t="n">
        <x:v>59.39999999999998</x:v>
      </x:c>
      <x:c r="I205" s="98" t="str">
        <x:v>Late-round bench upside; role growth is required for weekly relevance.</x:v>
      </x:c>
      <x:c r="J205" s="98" t="str">
        <x:v>The 2026 opportunity and projection carry most of the grade because detailed 2025 rate data is incomplete. Market price is favorable around ADP 260 versus model overall rank 201.</x:v>
      </x:c>
      <x:c r="K205" s="98" t="str">
        <x:v>Evidence is thinner than for established veterans, so camp, depth-chart and role news can move the grade materially.</x:v>
      </x:c>
      <x:c r="L205" t="str">
        <x:v>C</x:v>
      </x:c>
      <x:c r="M205" t="str">
        <x:v>HISTORY FALLBACK</x:v>
      </x:c>
    </x:row>
    <x:row r="206">
      <x:c r="A206" t="n">
        <x:v>202</x:v>
      </x:c>
      <x:c r="B206" t="str">
        <x:v>WR</x:v>
      </x:c>
      <x:c r="C206" t="n">
        <x:v>68</x:v>
      </x:c>
      <x:c r="D206" t="str">
        <x:v>Ryan Flournoy</x:v>
      </x:c>
      <x:c r="E206" s="48" t="n">
        <x:v>54.11</x:v>
      </x:c>
      <x:c r="F206" s="48" t="str">
        <x:v>TIER 7</x:v>
      </x:c>
      <x:c r="G206" s="48" t="n">
        <x:v>264.3</x:v>
      </x:c>
      <x:c r="H206" s="48" t="n">
        <x:v>62.30000000000001</x:v>
      </x:c>
      <x:c r="I206" s="98" t="str">
        <x:v>Late-round bench upside; role growth is required for weekly relevance.</x:v>
      </x:c>
      <x:c r="J206" s="98" t="str">
        <x:v>He produced 7.6 PPR/FP points per game across 15 games. The workload/efficiency profile gives the model a rate-based reason to keep him here. Market price is favorable around ADP 264 versus model overall rank 202.</x:v>
      </x:c>
      <x:c r="K206" s="98" t="str">
        <x:v>Target competition, quarterback efficiency and touchdown regression are the main downside paths.</x:v>
      </x:c>
      <x:c r="L206" t="str">
        <x:v>A</x:v>
      </x:c>
      <x:c r="M206" t="str">
        <x:v>RATE-ADJUSTED VETERAN</x:v>
      </x:c>
    </x:row>
    <x:row r="207">
      <x:c r="A207" t="n">
        <x:v>203</x:v>
      </x:c>
      <x:c r="B207" t="str">
        <x:v>K</x:v>
      </x:c>
      <x:c r="C207" t="n">
        <x:v>12</x:v>
      </x:c>
      <x:c r="D207" t="str">
        <x:v>Evan McPherson</x:v>
      </x:c>
      <x:c r="E207" s="48" t="n">
        <x:v>69.8</x:v>
      </x:c>
      <x:c r="F207" s="48" t="str">
        <x:v>TIER 6</x:v>
      </x:c>
      <x:c r="G207" s="48" t="n">
        <x:v>210</x:v>
      </x:c>
      <x:c r="H207" s="48" t="n">
        <x:v>7</x:v>
      </x:c>
      <x:c r="I207" s="98" t="str">
        <x:v>Late-round kicker; treat as replaceable unless scoring strongly rewards distance.</x:v>
      </x:c>
      <x:c r="J207" s="98" t="str">
        <x:v>Ranks near the top of the current kicker pool, but kicker week-to-week separation is small in a 10-team league.</x:v>
      </x:c>
      <x:c r="K207" s="98" t="str">
        <x:v>Kicker scoring is volatile and replaceable on waivers; do not pay meaningful draft capital.</x:v>
      </x:c>
      <x:c r="L207" t="str">
        <x:v>B</x:v>
      </x:c>
      <x:c r="M207" t="str">
        <x:v>KICKER MODEL</x:v>
      </x:c>
    </x:row>
    <x:row r="208">
      <x:c r="A208" t="n">
        <x:v>204</x:v>
      </x:c>
      <x:c r="B208" t="str">
        <x:v>WR</x:v>
      </x:c>
      <x:c r="C208" t="n">
        <x:v>69</x:v>
      </x:c>
      <x:c r="D208" t="str">
        <x:v>Jauan Jennings</x:v>
      </x:c>
      <x:c r="E208" s="48" t="n">
        <x:v>53.44</x:v>
      </x:c>
      <x:c r="F208" s="48" t="str">
        <x:v>TIER 7</x:v>
      </x:c>
      <x:c r="G208" s="48" t="n">
        <x:v>268.2</x:v>
      </x:c>
      <x:c r="H208" s="48" t="n">
        <x:v>64.19999999999999</x:v>
      </x:c>
      <x:c r="I208" s="98" t="str">
        <x:v>Late-round bench upside; role growth is required for weekly relevance.</x:v>
      </x:c>
      <x:c r="J208" s="98" t="str">
        <x:v>He produced 11.6 PPR/FP points per game across 15 games. The workload/efficiency profile gives the model a rate-based reason to keep him here. Market price is favorable around ADP 268 versus model overall rank 204.</x:v>
      </x:c>
      <x:c r="K208" s="98" t="str">
        <x:v>Target competition, quarterback efficiency and touchdown regression are the main downside paths.</x:v>
      </x:c>
      <x:c r="L208" t="str">
        <x:v>A</x:v>
      </x:c>
      <x:c r="M208" t="str">
        <x:v>RATE-ADJUSTED VETERAN</x:v>
      </x:c>
    </x:row>
    <x:row r="209">
      <x:c r="A209" t="n">
        <x:v>205</x:v>
      </x:c>
      <x:c r="B209" t="str">
        <x:v>WR</x:v>
      </x:c>
      <x:c r="C209" t="n">
        <x:v>70</x:v>
      </x:c>
      <x:c r="D209" t="str">
        <x:v>Darnell Mooney</x:v>
      </x:c>
      <x:c r="E209" s="48" t="n">
        <x:v>52.769999999999996</x:v>
      </x:c>
      <x:c r="F209" s="48" t="str">
        <x:v>TIER 7</x:v>
      </x:c>
      <x:c r="G209" s="48" t="n">
        <x:v>272.09999999999997</x:v>
      </x:c>
      <x:c r="H209" s="48" t="n">
        <x:v>67.09999999999997</x:v>
      </x:c>
      <x:c r="I209" s="98" t="str">
        <x:v>Late-round bench upside; role growth is required for weekly relevance.</x:v>
      </x:c>
      <x:c r="J209" s="98" t="str">
        <x:v>The 2026 opportunity and projection carry most of the grade because detailed 2025 rate data is incomplete. Market price is favorable around ADP 272 versus model overall rank 205.</x:v>
      </x:c>
      <x:c r="K209" s="98" t="str">
        <x:v>Evidence is thinner than for established veterans, so camp, depth-chart and role news can move the grade materially.</x:v>
      </x:c>
      <x:c r="L209" t="str">
        <x:v>C</x:v>
      </x:c>
      <x:c r="M209" t="str">
        <x:v>HISTORY FALLBACK</x:v>
      </x:c>
    </x:row>
    <x:row r="210">
      <x:c r="A210" t="n">
        <x:v>206</x:v>
      </x:c>
      <x:c r="B210" t="str">
        <x:v>DST</x:v>
      </x:c>
      <x:c r="C210" t="n">
        <x:v>15</x:v>
      </x:c>
      <x:c r="D210" t="str">
        <x:v>Kansas City Chiefs</x:v>
      </x:c>
      <x:c r="E210" s="48" t="n">
        <x:v>77.6</x:v>
      </x:c>
      <x:c r="F210" s="48" t="str">
        <x:v>TIER 4</x:v>
      </x:c>
      <x:c r="G210" s="48" t="n">
        <x:v>216</x:v>
      </x:c>
      <x:c r="H210" s="48" t="n">
        <x:v>10</x:v>
      </x:c>
      <x:c r="I210" s="98" t="str">
        <x:v>Streaming/late-round defense; matchup matters more than preseason rank.</x:v>
      </x:c>
      <x:c r="J210" s="98" t="str">
        <x:v>The unit grades well relative to the current DST pool, but the model intentionally keeps defense behind core skill positions.</x:v>
      </x:c>
      <x:c r="K210" s="98" t="str">
        <x:v>DST scoring is highly opponent- and turnover-dependent, making season-long rank fragile.</x:v>
      </x:c>
      <x:c r="L210" t="str">
        <x:v>B</x:v>
      </x:c>
      <x:c r="M210" t="str">
        <x:v>DST MODEL</x:v>
      </x:c>
    </x:row>
    <x:row r="211">
      <x:c r="A211" t="n">
        <x:v>207</x:v>
      </x:c>
      <x:c r="B211" t="str">
        <x:v>DST</x:v>
      </x:c>
      <x:c r="C211" t="n">
        <x:v>16</x:v>
      </x:c>
      <x:c r="D211" t="str">
        <x:v>Cleveland Browns</x:v>
      </x:c>
      <x:c r="E211" s="48" t="n">
        <x:v>76.5</x:v>
      </x:c>
      <x:c r="F211" s="48" t="str">
        <x:v>TIER 4</x:v>
      </x:c>
      <x:c r="G211" s="48" t="n">
        <x:v>220</x:v>
      </x:c>
      <x:c r="H211" s="48" t="n">
        <x:v>13</x:v>
      </x:c>
      <x:c r="I211" s="98" t="str">
        <x:v>Streaming/late-round defense; matchup matters more than preseason rank.</x:v>
      </x:c>
      <x:c r="J211" s="98" t="str">
        <x:v>The unit grades well relative to the current DST pool, but the model intentionally keeps defense behind core skill positions.</x:v>
      </x:c>
      <x:c r="K211" s="98" t="str">
        <x:v>DST scoring is highly opponent- and turnover-dependent, making season-long rank fragile.</x:v>
      </x:c>
      <x:c r="L211" t="str">
        <x:v>B</x:v>
      </x:c>
      <x:c r="M211" t="str">
        <x:v>DST MODEL</x:v>
      </x:c>
    </x:row>
    <x:row r="212">
      <x:c r="A212" t="n">
        <x:v>208</x:v>
      </x:c>
      <x:c r="B212" t="str">
        <x:v>DST</x:v>
      </x:c>
      <x:c r="C212" t="n">
        <x:v>17</x:v>
      </x:c>
      <x:c r="D212" t="str">
        <x:v>San Francisco 49ers</x:v>
      </x:c>
      <x:c r="E212" s="48" t="n">
        <x:v>75.4</x:v>
      </x:c>
      <x:c r="F212" s="48" t="str">
        <x:v>TIER 4</x:v>
      </x:c>
      <x:c r="G212" s="48" t="n">
        <x:v>224</x:v>
      </x:c>
      <x:c r="H212" s="48" t="n">
        <x:v>16</x:v>
      </x:c>
      <x:c r="I212" s="98" t="str">
        <x:v>Streaming/late-round defense; matchup matters more than preseason rank.</x:v>
      </x:c>
      <x:c r="J212" s="98" t="str">
        <x:v>The unit grades well relative to the current DST pool, but the model intentionally keeps defense behind core skill positions.</x:v>
      </x:c>
      <x:c r="K212" s="98" t="str">
        <x:v>DST scoring is highly opponent- and turnover-dependent, making season-long rank fragile.</x:v>
      </x:c>
      <x:c r="L212" t="str">
        <x:v>B</x:v>
      </x:c>
      <x:c r="M212" t="str">
        <x:v>DST MODEL</x:v>
      </x:c>
    </x:row>
    <x:row r="213">
      <x:c r="A213" t="n">
        <x:v>209</x:v>
      </x:c>
      <x:c r="B213" t="str">
        <x:v>DST</x:v>
      </x:c>
      <x:c r="C213" t="n">
        <x:v>18</x:v>
      </x:c>
      <x:c r="D213" t="str">
        <x:v>New Orleans Saints</x:v>
      </x:c>
      <x:c r="E213" s="48" t="n">
        <x:v>74.3</x:v>
      </x:c>
      <x:c r="F213" s="48" t="str">
        <x:v>TIER 5</x:v>
      </x:c>
      <x:c r="G213" s="48" t="n">
        <x:v>228</x:v>
      </x:c>
      <x:c r="H213" s="48" t="n">
        <x:v>19</x:v>
      </x:c>
      <x:c r="I213" s="98" t="str">
        <x:v>Streaming/late-round defense; matchup matters more than preseason rank.</x:v>
      </x:c>
      <x:c r="J213" s="98" t="str">
        <x:v>The unit grades well relative to the current DST pool, but the model intentionally keeps defense behind core skill positions.</x:v>
      </x:c>
      <x:c r="K213" s="98" t="str">
        <x:v>DST scoring is highly opponent- and turnover-dependent, making season-long rank fragile.</x:v>
      </x:c>
      <x:c r="L213" t="str">
        <x:v>B</x:v>
      </x:c>
      <x:c r="M213" t="str">
        <x:v>DST MODEL</x:v>
      </x:c>
    </x:row>
    <x:row r="214">
      <x:c r="A214" t="n">
        <x:v>210</x:v>
      </x:c>
      <x:c r="B214" t="str">
        <x:v>DST</x:v>
      </x:c>
      <x:c r="C214" t="n">
        <x:v>19</x:v>
      </x:c>
      <x:c r="D214" t="str">
        <x:v>Atlanta Falcons</x:v>
      </x:c>
      <x:c r="E214" s="48" t="n">
        <x:v>73.2</x:v>
      </x:c>
      <x:c r="F214" s="48" t="str">
        <x:v>TIER 5</x:v>
      </x:c>
      <x:c r="G214" s="48" t="n">
        <x:v>232</x:v>
      </x:c>
      <x:c r="H214" s="48" t="n">
        <x:v>22</x:v>
      </x:c>
      <x:c r="I214" s="98" t="str">
        <x:v>Streaming/late-round defense; matchup matters more than preseason rank.</x:v>
      </x:c>
      <x:c r="J214" s="98" t="str">
        <x:v>The unit grades well relative to the current DST pool, but the model intentionally keeps defense behind core skill positions.</x:v>
      </x:c>
      <x:c r="K214" s="98" t="str">
        <x:v>DST scoring is highly opponent- and turnover-dependent, making season-long rank fragile.</x:v>
      </x:c>
      <x:c r="L214" t="str">
        <x:v>B</x:v>
      </x:c>
      <x:c r="M214" t="str">
        <x:v>DST MODEL</x:v>
      </x:c>
    </x:row>
    <x:row r="215">
      <x:c r="A215" t="n">
        <x:v>211</x:v>
      </x:c>
      <x:c r="B215" t="str">
        <x:v>DST</x:v>
      </x:c>
      <x:c r="C215" t="n">
        <x:v>20</x:v>
      </x:c>
      <x:c r="D215" t="str">
        <x:v>Chicago Bears</x:v>
      </x:c>
      <x:c r="E215" s="48" t="n">
        <x:v>72.1</x:v>
      </x:c>
      <x:c r="F215" s="48" t="str">
        <x:v>TIER 5</x:v>
      </x:c>
      <x:c r="G215" s="48" t="n">
        <x:v>236</x:v>
      </x:c>
      <x:c r="H215" s="48" t="n">
        <x:v>25</x:v>
      </x:c>
      <x:c r="I215" s="98" t="str">
        <x:v>Streaming/late-round defense; matchup matters more than preseason rank.</x:v>
      </x:c>
      <x:c r="J215" s="98" t="str">
        <x:v>The unit grades well relative to the current DST pool, but the model intentionally keeps defense behind core skill positions.</x:v>
      </x:c>
      <x:c r="K215" s="98" t="str">
        <x:v>DST scoring is highly opponent- and turnover-dependent, making season-long rank fragile.</x:v>
      </x:c>
      <x:c r="L215" t="str">
        <x:v>B</x:v>
      </x:c>
      <x:c r="M215" t="str">
        <x:v>DST MODEL</x:v>
      </x:c>
    </x:row>
    <x:row r="216">
      <x:c r="A216" t="n">
        <x:v>212</x:v>
      </x:c>
      <x:c r="B216" t="str">
        <x:v>DST</x:v>
      </x:c>
      <x:c r="C216" t="n">
        <x:v>21</x:v>
      </x:c>
      <x:c r="D216" t="str">
        <x:v>Indianapolis Colts</x:v>
      </x:c>
      <x:c r="E216" s="48" t="n">
        <x:v>71</x:v>
      </x:c>
      <x:c r="F216" s="48" t="str">
        <x:v>TIER 5</x:v>
      </x:c>
      <x:c r="G216" s="48" t="n">
        <x:v>240</x:v>
      </x:c>
      <x:c r="H216" s="48" t="n">
        <x:v>28</x:v>
      </x:c>
      <x:c r="I216" s="98" t="str">
        <x:v>Streaming/late-round defense; matchup matters more than preseason rank.</x:v>
      </x:c>
      <x:c r="J216" s="98" t="str">
        <x:v>The unit grades well relative to the current DST pool, but the model intentionally keeps defense behind core skill positions.</x:v>
      </x:c>
      <x:c r="K216" s="98" t="str">
        <x:v>DST scoring is highly opponent- and turnover-dependent, making season-long rank fragile.</x:v>
      </x:c>
      <x:c r="L216" t="str">
        <x:v>B</x:v>
      </x:c>
      <x:c r="M216" t="str">
        <x:v>DST MODEL</x:v>
      </x:c>
    </x:row>
    <x:row r="217">
      <x:c r="A217" t="n">
        <x:v>213</x:v>
      </x:c>
      <x:c r="B217" t="str">
        <x:v>DST</x:v>
      </x:c>
      <x:c r="C217" t="n">
        <x:v>22</x:v>
      </x:c>
      <x:c r="D217" t="str">
        <x:v>New York Giants</x:v>
      </x:c>
      <x:c r="E217" s="48" t="n">
        <x:v>69.9</x:v>
      </x:c>
      <x:c r="F217" s="48" t="str">
        <x:v>TIER 6</x:v>
      </x:c>
      <x:c r="G217" s="48" t="n">
        <x:v>244</x:v>
      </x:c>
      <x:c r="H217" s="48" t="n">
        <x:v>31</x:v>
      </x:c>
      <x:c r="I217" s="98" t="str">
        <x:v>Streaming/late-round defense; matchup matters more than preseason rank.</x:v>
      </x:c>
      <x:c r="J217" s="98" t="str">
        <x:v>The unit grades well relative to the current DST pool, but the model intentionally keeps defense behind core skill positions.</x:v>
      </x:c>
      <x:c r="K217" s="98" t="str">
        <x:v>DST scoring is highly opponent- and turnover-dependent, making season-long rank fragile.</x:v>
      </x:c>
      <x:c r="L217" t="str">
        <x:v>B</x:v>
      </x:c>
      <x:c r="M217" t="str">
        <x:v>DST MODEL</x:v>
      </x:c>
    </x:row>
    <x:row r="218">
      <x:c r="A218" t="n">
        <x:v>214</x:v>
      </x:c>
      <x:c r="B218" t="str">
        <x:v>DST</x:v>
      </x:c>
      <x:c r="C218" t="n">
        <x:v>23</x:v>
      </x:c>
      <x:c r="D218" t="str">
        <x:v>Tampa Bay Buccaneers</x:v>
      </x:c>
      <x:c r="E218" s="48" t="n">
        <x:v>68.8</x:v>
      </x:c>
      <x:c r="F218" s="48" t="str">
        <x:v>TIER 6</x:v>
      </x:c>
      <x:c r="G218" s="48" t="n">
        <x:v>248</x:v>
      </x:c>
      <x:c r="H218" s="48" t="n">
        <x:v>34</x:v>
      </x:c>
      <x:c r="I218" s="98" t="str">
        <x:v>Streaming/late-round defense; matchup matters more than preseason rank.</x:v>
      </x:c>
      <x:c r="J218" s="98" t="str">
        <x:v>The unit grades well relative to the current DST pool, but the model intentionally keeps defense behind core skill positions.</x:v>
      </x:c>
      <x:c r="K218" s="98" t="str">
        <x:v>DST scoring is highly opponent- and turnover-dependent, making season-long rank fragile.</x:v>
      </x:c>
      <x:c r="L218" t="str">
        <x:v>B</x:v>
      </x:c>
      <x:c r="M218" t="str">
        <x:v>DST MODEL</x:v>
      </x:c>
    </x:row>
    <x:row r="219">
      <x:c r="A219" t="n">
        <x:v>215</x:v>
      </x:c>
      <x:c r="B219" t="str">
        <x:v>DST</x:v>
      </x:c>
      <x:c r="C219" t="n">
        <x:v>24</x:v>
      </x:c>
      <x:c r="D219" t="str">
        <x:v>Dallas Cowboys</x:v>
      </x:c>
      <x:c r="E219" s="48" t="n">
        <x:v>67.7</x:v>
      </x:c>
      <x:c r="F219" s="48" t="str">
        <x:v>TIER 6</x:v>
      </x:c>
      <x:c r="G219" s="48" t="n">
        <x:v>252</x:v>
      </x:c>
      <x:c r="H219" s="48" t="n">
        <x:v>37</x:v>
      </x:c>
      <x:c r="I219" s="98" t="str">
        <x:v>Streaming/late-round defense; matchup matters more than preseason rank.</x:v>
      </x:c>
      <x:c r="J219" s="98" t="str">
        <x:v>The unit grades well relative to the current DST pool, but the model intentionally keeps defense behind core skill positions.</x:v>
      </x:c>
      <x:c r="K219" s="98" t="str">
        <x:v>DST scoring is highly opponent- and turnover-dependent, making season-long rank fragile.</x:v>
      </x:c>
      <x:c r="L219" t="str">
        <x:v>B</x:v>
      </x:c>
      <x:c r="M219" t="str">
        <x:v>DST MODEL</x:v>
      </x:c>
    </x:row>
    <x:row r="220">
      <x:c r="A220" t="n">
        <x:v>216</x:v>
      </x:c>
      <x:c r="B220" t="str">
        <x:v>DST</x:v>
      </x:c>
      <x:c r="C220" t="n">
        <x:v>25</x:v>
      </x:c>
      <x:c r="D220" t="str">
        <x:v>Carolina Panthers</x:v>
      </x:c>
      <x:c r="E220" s="48" t="n">
        <x:v>66.6</x:v>
      </x:c>
      <x:c r="F220" s="48" t="str">
        <x:v>TIER 6</x:v>
      </x:c>
      <x:c r="G220" s="48" t="n">
        <x:v>256</x:v>
      </x:c>
      <x:c r="H220" s="48" t="n">
        <x:v>40</x:v>
      </x:c>
      <x:c r="I220" s="98" t="str">
        <x:v>Streaming/late-round defense; matchup matters more than preseason rank.</x:v>
      </x:c>
      <x:c r="J220" s="98" t="str">
        <x:v>The unit grades well relative to the current DST pool, but the model intentionally keeps defense behind core skill positions.</x:v>
      </x:c>
      <x:c r="K220" s="98" t="str">
        <x:v>DST scoring is highly opponent- and turnover-dependent, making season-long rank fragile.</x:v>
      </x:c>
      <x:c r="L220" t="str">
        <x:v>B</x:v>
      </x:c>
      <x:c r="M220" t="str">
        <x:v>DST MODEL</x:v>
      </x:c>
    </x:row>
    <x:row r="221">
      <x:c r="A221" t="n">
        <x:v>217</x:v>
      </x:c>
      <x:c r="B221" t="str">
        <x:v>DST</x:v>
      </x:c>
      <x:c r="C221" t="n">
        <x:v>26</x:v>
      </x:c>
      <x:c r="D221" t="str">
        <x:v>Tennessee Titans</x:v>
      </x:c>
      <x:c r="E221" s="48" t="n">
        <x:v>65.5</x:v>
      </x:c>
      <x:c r="F221" s="48" t="str">
        <x:v>TIER 6</x:v>
      </x:c>
      <x:c r="G221" s="48" t="n">
        <x:v>260</x:v>
      </x:c>
      <x:c r="H221" s="48" t="n">
        <x:v>43</x:v>
      </x:c>
      <x:c r="I221" s="98" t="str">
        <x:v>Streaming/late-round defense; matchup matters more than preseason rank.</x:v>
      </x:c>
      <x:c r="J221" s="98" t="str">
        <x:v>The unit grades well relative to the current DST pool, but the model intentionally keeps defense behind core skill positions.</x:v>
      </x:c>
      <x:c r="K221" s="98" t="str">
        <x:v>DST scoring is highly opponent- and turnover-dependent, making season-long rank fragile.</x:v>
      </x:c>
      <x:c r="L221" t="str">
        <x:v>B</x:v>
      </x:c>
      <x:c r="M221" t="str">
        <x:v>DST MODEL</x:v>
      </x:c>
    </x:row>
    <x:row r="222">
      <x:c r="A222" t="n">
        <x:v>218</x:v>
      </x:c>
      <x:c r="B222" t="str">
        <x:v>DST</x:v>
      </x:c>
      <x:c r="C222" t="n">
        <x:v>27</x:v>
      </x:c>
      <x:c r="D222" t="str">
        <x:v>Miami Dolphins</x:v>
      </x:c>
      <x:c r="E222" s="48" t="n">
        <x:v>64.4</x:v>
      </x:c>
      <x:c r="F222" s="48" t="str">
        <x:v>TIER 7</x:v>
      </x:c>
      <x:c r="G222" s="48" t="n">
        <x:v>264</x:v>
      </x:c>
      <x:c r="H222" s="48" t="n">
        <x:v>46</x:v>
      </x:c>
      <x:c r="I222" s="98" t="str">
        <x:v>Streaming/late-round defense; matchup matters more than preseason rank.</x:v>
      </x:c>
      <x:c r="J222" s="98" t="str">
        <x:v>The unit grades well relative to the current DST pool, but the model intentionally keeps defense behind core skill positions.</x:v>
      </x:c>
      <x:c r="K222" s="98" t="str">
        <x:v>DST scoring is highly opponent- and turnover-dependent, making season-long rank fragile.</x:v>
      </x:c>
      <x:c r="L222" t="str">
        <x:v>B</x:v>
      </x:c>
      <x:c r="M222" t="str">
        <x:v>DST MODEL</x:v>
      </x:c>
    </x:row>
    <x:row r="223">
      <x:c r="A223" t="n">
        <x:v>219</x:v>
      </x:c>
      <x:c r="B223" t="str">
        <x:v>DST</x:v>
      </x:c>
      <x:c r="C223" t="n">
        <x:v>28</x:v>
      </x:c>
      <x:c r="D223" t="str">
        <x:v>Washington Commanders</x:v>
      </x:c>
      <x:c r="E223" s="48" t="n">
        <x:v>63.3</x:v>
      </x:c>
      <x:c r="F223" s="48" t="str">
        <x:v>TIER 7</x:v>
      </x:c>
      <x:c r="G223" s="48" t="n">
        <x:v>268</x:v>
      </x:c>
      <x:c r="H223" s="48" t="n">
        <x:v>49</x:v>
      </x:c>
      <x:c r="I223" s="98" t="str">
        <x:v>Streaming/late-round defense; matchup matters more than preseason rank.</x:v>
      </x:c>
      <x:c r="J223" s="98" t="str">
        <x:v>The unit grades well relative to the current DST pool, but the model intentionally keeps defense behind core skill positions.</x:v>
      </x:c>
      <x:c r="K223" s="98" t="str">
        <x:v>DST scoring is highly opponent- and turnover-dependent, making season-long rank fragile.</x:v>
      </x:c>
      <x:c r="L223" t="str">
        <x:v>B</x:v>
      </x:c>
      <x:c r="M223" t="str">
        <x:v>DST MODEL</x:v>
      </x:c>
    </x:row>
    <x:row r="224">
      <x:c r="A224" t="n">
        <x:v>220</x:v>
      </x:c>
      <x:c r="B224" t="str">
        <x:v>DST</x:v>
      </x:c>
      <x:c r="C224" t="n">
        <x:v>29</x:v>
      </x:c>
      <x:c r="D224" t="str">
        <x:v>New York Jets</x:v>
      </x:c>
      <x:c r="E224" s="48" t="n">
        <x:v>62.199999999999996</x:v>
      </x:c>
      <x:c r="F224" s="48" t="str">
        <x:v>TIER 7</x:v>
      </x:c>
      <x:c r="G224" s="48" t="n">
        <x:v>272</x:v>
      </x:c>
      <x:c r="H224" s="48" t="n">
        <x:v>52</x:v>
      </x:c>
      <x:c r="I224" s="98" t="str">
        <x:v>Streaming/late-round defense; matchup matters more than preseason rank.</x:v>
      </x:c>
      <x:c r="J224" s="98" t="str">
        <x:v>The unit grades well relative to the current DST pool, but the model intentionally keeps defense behind core skill positions.</x:v>
      </x:c>
      <x:c r="K224" s="98" t="str">
        <x:v>DST scoring is highly opponent- and turnover-dependent, making season-long rank fragile.</x:v>
      </x:c>
      <x:c r="L224" t="str">
        <x:v>B</x:v>
      </x:c>
      <x:c r="M224" t="str">
        <x:v>DST MODEL</x:v>
      </x:c>
    </x:row>
    <x:row r="225">
      <x:c r="A225" t="n">
        <x:v>221</x:v>
      </x:c>
      <x:c r="B225" t="str">
        <x:v>DST</x:v>
      </x:c>
      <x:c r="C225" t="n">
        <x:v>30</x:v>
      </x:c>
      <x:c r="D225" t="str">
        <x:v>Arizona Cardinals</x:v>
      </x:c>
      <x:c r="E225" s="48" t="n">
        <x:v>61.099999999999994</x:v>
      </x:c>
      <x:c r="F225" s="48" t="str">
        <x:v>TIER 7</x:v>
      </x:c>
      <x:c r="G225" s="48" t="n">
        <x:v>276</x:v>
      </x:c>
      <x:c r="H225" s="48" t="n">
        <x:v>55</x:v>
      </x:c>
      <x:c r="I225" s="98" t="str">
        <x:v>Streaming/late-round defense; matchup matters more than preseason rank.</x:v>
      </x:c>
      <x:c r="J225" s="98" t="str">
        <x:v>The unit grades well relative to the current DST pool, but the model intentionally keeps defense behind core skill positions.</x:v>
      </x:c>
      <x:c r="K225" s="98" t="str">
        <x:v>DST scoring is highly opponent- and turnover-dependent, making season-long rank fragile.</x:v>
      </x:c>
      <x:c r="L225" t="str">
        <x:v>B</x:v>
      </x:c>
      <x:c r="M225" t="str">
        <x:v>DST MODEL</x:v>
      </x:c>
    </x:row>
    <x:row r="226">
      <x:c r="A226" t="n">
        <x:v>222</x:v>
      </x:c>
      <x:c r="B226" t="str">
        <x:v>DST</x:v>
      </x:c>
      <x:c r="C226" t="n">
        <x:v>31</x:v>
      </x:c>
      <x:c r="D226" t="str">
        <x:v>Cincinnati Bengals</x:v>
      </x:c>
      <x:c r="E226" s="48" t="n">
        <x:v>60</x:v>
      </x:c>
      <x:c r="F226" s="48" t="str">
        <x:v>TIER 7</x:v>
      </x:c>
      <x:c r="G226" s="48" t="n">
        <x:v>280</x:v>
      </x:c>
      <x:c r="H226" s="48" t="n">
        <x:v>58</x:v>
      </x:c>
      <x:c r="I226" s="98" t="str">
        <x:v>Streaming/late-round defense; matchup matters more than preseason rank.</x:v>
      </x:c>
      <x:c r="J226" s="98" t="str">
        <x:v>The unit grades well relative to the current DST pool, but the model intentionally keeps defense behind core skill positions.</x:v>
      </x:c>
      <x:c r="K226" s="98" t="str">
        <x:v>DST scoring is highly opponent- and turnover-dependent, making season-long rank fragile.</x:v>
      </x:c>
      <x:c r="L226" t="str">
        <x:v>B</x:v>
      </x:c>
      <x:c r="M226" t="str">
        <x:v>DST MODEL</x:v>
      </x:c>
    </x:row>
    <x:row r="227">
      <x:c r="A227" t="n">
        <x:v>223</x:v>
      </x:c>
      <x:c r="B227" t="str">
        <x:v>DST</x:v>
      </x:c>
      <x:c r="C227" t="n">
        <x:v>32</x:v>
      </x:c>
      <x:c r="D227" t="str">
        <x:v>Las Vegas Raiders</x:v>
      </x:c>
      <x:c r="E227" s="48" t="n">
        <x:v>58.9</x:v>
      </x:c>
      <x:c r="F227" s="48" t="str">
        <x:v>TIER 7</x:v>
      </x:c>
      <x:c r="G227" s="48" t="n">
        <x:v>284</x:v>
      </x:c>
      <x:c r="H227" s="48" t="n">
        <x:v>61</x:v>
      </x:c>
      <x:c r="I227" s="98" t="str">
        <x:v>Streaming/late-round defense; matchup matters more than preseason rank.</x:v>
      </x:c>
      <x:c r="J227" s="98" t="str">
        <x:v>The unit grades well relative to the current DST pool, but the model intentionally keeps defense behind core skill positions.</x:v>
      </x:c>
      <x:c r="K227" s="98" t="str">
        <x:v>DST scoring is highly opponent- and turnover-dependent, making season-long rank fragile.</x:v>
      </x:c>
      <x:c r="L227" t="str">
        <x:v>B</x:v>
      </x:c>
      <x:c r="M227" t="str">
        <x:v>DST MODEL</x:v>
      </x:c>
    </x:row>
  </x:sheetData>
  <x:mergeCells>
    <x:mergeCell ref="A1:Q1"/>
    <x:mergeCell ref="A2:Q2"/>
    <x:mergeCell ref="A1:M1"/>
    <x:mergeCell ref="A2:M2"/>
  </x:mergeCells>
  <x:conditionalFormatting sqref="D5:D18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5:G183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E5:E22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5:H227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24" hidden="0" customWidth="1"/>
    <x:col min="3" max="3" width="5.380000114440918" hidden="0" customWidth="1"/>
    <x:col min="4" max="4" width="5.130000114440918" hidden="0" customWidth="1"/>
    <x:col min="5" max="5" width="10.25" hidden="0" customWidth="1"/>
    <x:col min="6" max="6" width="9.75" hidden="0" customWidth="1"/>
    <x:col min="7" max="7" width="8.380000114440918" hidden="0" customWidth="1"/>
    <x:col min="8" max="8" width="38" hidden="0" customWidth="1"/>
    <x:col min="9" max="9" width="48" hidden="0" customWidth="1"/>
    <x:col min="10" max="10" width="44" hidden="0" customWidth="1"/>
    <x:col min="11" max="11" width="9.130000114440918" hidden="0" customWidth="1"/>
    <x:col min="12" max="12" width="19.8799991607666" hidden="0" customWidth="1"/>
  </x:cols>
  <x:sheetData>
    <x:row r="1">
      <x:c r="A1" s="111" t="str">
        <x:v>2026 QB — Final Ratings &amp; Expectations</x:v>
      </x:c>
    </x:row>
    <x:row r="2">
      <x:c r="A2" s="112" t="str">
        <x:v>Final 10-team PPR view: expectation, model reasoning, market price and the main risk for each player.</x:v>
      </x:c>
    </x:row>
    <x:row r="4">
      <x:c r="A4" s="115" t="str">
        <x:v>Rank</x:v>
      </x:c>
      <x:c r="B4" s="115" t="str">
        <x:v>Player</x:v>
      </x:c>
      <x:c r="C4" s="115" t="str">
        <x:v>Rating</x:v>
      </x:c>
      <x:c r="D4" s="115" t="str">
        <x:v>Tier</x:v>
      </x:c>
      <x:c r="E4" s="115" t="str">
        <x:v>Overall Rank</x:v>
      </x:c>
      <x:c r="F4" s="115" t="str">
        <x:v>Market ADP</x:v>
      </x:c>
      <x:c r="G4" s="115" t="str">
        <x:v>Draft Edge</x:v>
      </x:c>
      <x:c r="H4" s="115" t="str">
        <x:v>2026 Expectation</x:v>
      </x:c>
      <x:c r="I4" s="115" t="str">
        <x:v>Why the Model Ranks Him Here</x:v>
      </x:c>
      <x:c r="J4" s="115" t="str">
        <x:v>Main Risk</x:v>
      </x:c>
      <x:c r="K4" s="115" t="str">
        <x:v>Confidence</x:v>
      </x:c>
      <x:c r="L4" s="115" t="str">
        <x:v>Model Path</x:v>
      </x:c>
    </x:row>
    <x:row r="5">
      <x:c r="A5" t="n">
        <x:v>1</x:v>
      </x:c>
      <x:c r="B5" t="str">
        <x:v>Josh Allen</x:v>
      </x:c>
      <x:c r="C5" s="48" t="n">
        <x:v>97.30987910633218</x:v>
      </x:c>
      <x:c r="D5" s="48" t="str">
        <x:v>ELITE</x:v>
      </x:c>
      <x:c r="E5" s="48" t="n">
        <x:v>10</x:v>
      </x:c>
      <x:c r="F5" s="48" t="n">
        <x:v>23</x:v>
      </x:c>
      <x:c r="G5" s="48" t="n">
        <x:v>13</x:v>
      </x:c>
      <x:c r="H5" s="116" t="str">
        <x:v>Elite QB1; weekly top-5 expectation with overall QB1 upside.</x:v>
      </x:c>
      <x:c r="I5" s="98" t="str">
        <x:v>He produced 22.0 PPR/FP points per game across 17 games. The workload/efficiency profile gives the model a rate-based reason to keep him here. Market price is favorable around ADP 23 versus model overall rank 10.</x:v>
      </x:c>
      <x:c r="J5" s="98" t="str">
        <x:v>Passing-TD efficiency, rushing volume and supporting-cast health are the main swing factors.</x:v>
      </x:c>
      <x:c r="K5" t="str">
        <x:v>A</x:v>
      </x:c>
      <x:c r="L5" s="98" t="str">
        <x:v>RATE-ADJUSTED VETERAN</x:v>
      </x:c>
    </x:row>
    <x:row r="6">
      <x:c r="A6" t="n">
        <x:v>2</x:v>
      </x:c>
      <x:c r="B6" t="str">
        <x:v>Caleb Williams</x:v>
      </x:c>
      <x:c r="C6" s="48" t="n">
        <x:v>92.1926680327037</x:v>
      </x:c>
      <x:c r="D6" s="48" t="str">
        <x:v>TIER 1</x:v>
      </x:c>
      <x:c r="E6" s="48" t="n">
        <x:v>25</x:v>
      </x:c>
      <x:c r="F6" s="48" t="n">
        <x:v>30</x:v>
      </x:c>
      <x:c r="G6" s="48" t="n">
        <x:v>5</x:v>
      </x:c>
      <x:c r="H6" s="116" t="str">
        <x:v>Elite QB1; weekly top-5 expectation with overall QB1 upside.</x:v>
      </x:c>
      <x:c r="I6" s="98" t="str">
        <x:v>He produced 19.0 PPR/FP points per game across 17 games. The workload/efficiency profile gives the model a rate-based reason to keep him here.</x:v>
      </x:c>
      <x:c r="J6" s="98" t="str">
        <x:v>Passing-TD efficiency, rushing volume and supporting-cast health are the main swing factors.</x:v>
      </x:c>
      <x:c r="K6" t="str">
        <x:v>A</x:v>
      </x:c>
      <x:c r="L6" s="98" t="str">
        <x:v>RATE-ADJUSTED VETERAN</x:v>
      </x:c>
    </x:row>
    <x:row r="7">
      <x:c r="A7" t="n">
        <x:v>3</x:v>
      </x:c>
      <x:c r="B7" t="str">
        <x:v>Drake Maye</x:v>
      </x:c>
      <x:c r="C7" s="48" t="n">
        <x:v>91.04298794920528</x:v>
      </x:c>
      <x:c r="D7" s="48" t="str">
        <x:v>TIER 1</x:v>
      </x:c>
      <x:c r="E7" s="48" t="n">
        <x:v>38</x:v>
      </x:c>
      <x:c r="F7" s="48" t="n">
        <x:v>38</x:v>
      </x:c>
      <x:c r="G7" s="48" t="n">
        <x:v>0</x:v>
      </x:c>
      <x:c r="H7" s="116" t="str">
        <x:v>Elite QB1; weekly top-5 expectation with overall QB1 upside.</x:v>
      </x:c>
      <x:c r="I7" s="98" t="str">
        <x:v>He produced 21.1 PPR/FP points per game across 17 games. The workload/efficiency profile gives the model a rate-based reason to keep him here.</x:v>
      </x:c>
      <x:c r="J7" s="98" t="str">
        <x:v>Passing-TD efficiency, rushing volume and supporting-cast health are the main swing factors.</x:v>
      </x:c>
      <x:c r="K7" t="str">
        <x:v>A</x:v>
      </x:c>
      <x:c r="L7" s="98" t="str">
        <x:v>RATE-ADJUSTED VETERAN</x:v>
      </x:c>
    </x:row>
    <x:row r="8">
      <x:c r="A8" t="n">
        <x:v>4</x:v>
      </x:c>
      <x:c r="B8" t="str">
        <x:v>Justin Herbert</x:v>
      </x:c>
      <x:c r="C8" s="48" t="n">
        <x:v>90.11691162251876</x:v>
      </x:c>
      <x:c r="D8" s="48" t="str">
        <x:v>TIER 1</x:v>
      </x:c>
      <x:c r="E8" s="48" t="n">
        <x:v>44</x:v>
      </x:c>
      <x:c r="F8" s="48" t="n">
        <x:v>46</x:v>
      </x:c>
      <x:c r="G8" s="48" t="n">
        <x:v>2</x:v>
      </x:c>
      <x:c r="H8" s="116" t="str">
        <x:v>Strong every-week QB1; frequent top-8 finishes expected.</x:v>
      </x:c>
      <x:c r="I8" s="98" t="str">
        <x:v>He produced 18.7 PPR/FP points per game across 16 games. The workload/efficiency profile gives the model a rate-based reason to keep him here.</x:v>
      </x:c>
      <x:c r="J8" s="98" t="str">
        <x:v>Passing-TD efficiency, rushing volume and supporting-cast health are the main swing factors.</x:v>
      </x:c>
      <x:c r="K8" t="str">
        <x:v>A</x:v>
      </x:c>
      <x:c r="L8" s="98" t="str">
        <x:v>RATE-ADJUSTED VETERAN</x:v>
      </x:c>
    </x:row>
    <x:row r="9">
      <x:c r="A9" t="n">
        <x:v>5</x:v>
      </x:c>
      <x:c r="B9" t="str">
        <x:v>Lamar Jackson</x:v>
      </x:c>
      <x:c r="C9" s="48" t="n">
        <x:v>88.71118360968082</x:v>
      </x:c>
      <x:c r="D9" s="48" t="str">
        <x:v>TIER 2</x:v>
      </x:c>
      <x:c r="E9" s="48" t="n">
        <x:v>50</x:v>
      </x:c>
      <x:c r="F9" s="48" t="n">
        <x:v>54</x:v>
      </x:c>
      <x:c r="G9" s="48" t="n">
        <x:v>4</x:v>
      </x:c>
      <x:c r="H9" s="116" t="str">
        <x:v>Strong every-week QB1; frequent top-8 finishes expected.</x:v>
      </x:c>
      <x:c r="I9" s="98" t="str">
        <x:v>He produced 17.1 PPR/FP points per game across 13 games. The workload/efficiency profile gives the model a rate-based reason to keep him here.</x:v>
      </x:c>
      <x:c r="J9" s="98" t="str">
        <x:v>Passing-TD efficiency, rushing volume and supporting-cast health are the main swing factors.</x:v>
      </x:c>
      <x:c r="K9" t="str">
        <x:v>A</x:v>
      </x:c>
      <x:c r="L9" s="98" t="str">
        <x:v>RATE-ADJUSTED VETERAN</x:v>
      </x:c>
    </x:row>
    <x:row r="10">
      <x:c r="A10" t="n">
        <x:v>6</x:v>
      </x:c>
      <x:c r="B10" t="str">
        <x:v>Jalen Hurts</x:v>
      </x:c>
      <x:c r="C10" s="48" t="n">
        <x:v>88.44992587495246</x:v>
      </x:c>
      <x:c r="D10" s="48" t="str">
        <x:v>TIER 2</x:v>
      </x:c>
      <x:c r="E10" s="48" t="n">
        <x:v>54</x:v>
      </x:c>
      <x:c r="F10" s="48" t="n">
        <x:v>62</x:v>
      </x:c>
      <x:c r="G10" s="48" t="n">
        <x:v>8</x:v>
      </x:c>
      <x:c r="H10" s="116" t="str">
        <x:v>Strong every-week QB1; frequent top-8 finishes expected.</x:v>
      </x:c>
      <x:c r="I10" s="98" t="str">
        <x:v>He produced 19.1 PPR/FP points per game across 16 games. The workload/efficiency profile gives the model a rate-based reason to keep him here.</x:v>
      </x:c>
      <x:c r="J10" s="98" t="str">
        <x:v>Passing-TD efficiency, rushing volume and supporting-cast health are the main swing factors.</x:v>
      </x:c>
      <x:c r="K10" t="str">
        <x:v>A</x:v>
      </x:c>
      <x:c r="L10" s="98" t="str">
        <x:v>RATE-ADJUSTED VETERAN</x:v>
      </x:c>
    </x:row>
    <x:row r="11">
      <x:c r="A11" t="n">
        <x:v>7</x:v>
      </x:c>
      <x:c r="B11" t="str">
        <x:v>Patrick Mahomes II</x:v>
      </x:c>
      <x:c r="C11" s="48" t="n">
        <x:v>87.00630420406199</x:v>
      </x:c>
      <x:c r="D11" s="48" t="str">
        <x:v>TIER 2</x:v>
      </x:c>
      <x:c r="E11" s="48" t="n">
        <x:v>61</x:v>
      </x:c>
      <x:c r="F11" s="48" t="n">
        <x:v>70</x:v>
      </x:c>
      <x:c r="G11" s="48" t="n">
        <x:v>9</x:v>
      </x:c>
      <x:c r="H11" s="116" t="str">
        <x:v>Strong every-week QB1; frequent top-8 finishes expected.</x:v>
      </x:c>
      <x:c r="I11" s="98" t="str">
        <x:v>He produced 21.1 PPR/FP points per game across 14 games. The workload/efficiency profile gives the model a rate-based reason to keep him here.</x:v>
      </x:c>
      <x:c r="J11" s="98" t="str">
        <x:v>Passing-TD efficiency, rushing volume and supporting-cast health are the main swing factors.</x:v>
      </x:c>
      <x:c r="K11" t="str">
        <x:v>A</x:v>
      </x:c>
      <x:c r="L11" s="98" t="str">
        <x:v>RATE-ADJUSTED VETERAN</x:v>
      </x:c>
    </x:row>
    <x:row r="12">
      <x:c r="A12" t="n">
        <x:v>8</x:v>
      </x:c>
      <x:c r="B12" t="str">
        <x:v>Jayden Daniels</x:v>
      </x:c>
      <x:c r="C12" s="48" t="n">
        <x:v>86.70031647962188</x:v>
      </x:c>
      <x:c r="D12" s="48" t="str">
        <x:v>TIER 2</x:v>
      </x:c>
      <x:c r="E12" s="48" t="n">
        <x:v>64</x:v>
      </x:c>
      <x:c r="F12" s="48" t="n">
        <x:v>78</x:v>
      </x:c>
      <x:c r="G12" s="48" t="n">
        <x:v>14</x:v>
      </x:c>
      <x:c r="H12" s="116" t="str">
        <x:v>Strong every-week QB1; frequent top-8 finishes expected.</x:v>
      </x:c>
      <x:c r="I12" s="98" t="str">
        <x:v>He produced 16.7 PPR/FP points per game across 7 games. The workload/efficiency profile gives the model a rate-based reason to keep him here. Market price is favorable around ADP 78 versus model overall rank 64.</x:v>
      </x:c>
      <x:c r="J12" s="98" t="str">
        <x:v>Availability/sample risk is elevated after only 7 games; talent is not being punished as heavily as durability.</x:v>
      </x:c>
      <x:c r="K12" t="str">
        <x:v>B</x:v>
      </x:c>
      <x:c r="L12" s="98" t="str">
        <x:v>RATE-ADJUSTED VETERAN</x:v>
      </x:c>
    </x:row>
    <x:row r="13">
      <x:c r="A13" t="n">
        <x:v>9</x:v>
      </x:c>
      <x:c r="B13" t="str">
        <x:v>Joe Burrow</x:v>
      </x:c>
      <x:c r="C13" s="48" t="n">
        <x:v>85.59126599193758</x:v>
      </x:c>
      <x:c r="D13" s="48" t="str">
        <x:v>TIER 2</x:v>
      </x:c>
      <x:c r="E13" s="48" t="n">
        <x:v>70</x:v>
      </x:c>
      <x:c r="F13" s="48" t="n">
        <x:v>86</x:v>
      </x:c>
      <x:c r="G13" s="48" t="n">
        <x:v>16</x:v>
      </x:c>
      <x:c r="H13" s="116" t="str">
        <x:v>Low-end QB1/high-end QB2 in a 10-team league; startable most weeks.</x:v>
      </x:c>
      <x:c r="I13" s="98" t="str">
        <x:v>He produced 17.4 PPR/FP points per game across 8 games. The workload/efficiency profile gives the model a rate-based reason to keep him here. Market price is favorable around ADP 86 versus model overall rank 70.</x:v>
      </x:c>
      <x:c r="J13" s="98" t="str">
        <x:v>Availability/sample risk is elevated after only 8 games; talent is not being punished as heavily as durability.</x:v>
      </x:c>
      <x:c r="K13" t="str">
        <x:v>B</x:v>
      </x:c>
      <x:c r="L13" s="98" t="str">
        <x:v>RATE-ADJUSTED VETERAN</x:v>
      </x:c>
    </x:row>
    <x:row r="14">
      <x:c r="A14" t="n">
        <x:v>10</x:v>
      </x:c>
      <x:c r="B14" t="str">
        <x:v>Matthew Stafford</x:v>
      </x:c>
      <x:c r="C14" s="48" t="n">
        <x:v>85.41970528201219</x:v>
      </x:c>
      <x:c r="D14" s="48" t="str">
        <x:v>TIER 2</x:v>
      </x:c>
      <x:c r="E14" s="48" t="n">
        <x:v>77</x:v>
      </x:c>
      <x:c r="F14" s="48" t="n">
        <x:v>94</x:v>
      </x:c>
      <x:c r="G14" s="48" t="n">
        <x:v>17</x:v>
      </x:c>
      <x:c r="H14" s="116" t="str">
        <x:v>Low-end QB1/high-end QB2 in a 10-team league; startable most weeks.</x:v>
      </x:c>
      <x:c r="I14" s="98" t="str">
        <x:v>He produced 21.1 PPR/FP points per game across 17 games. The workload/efficiency profile gives the model a rate-based reason to keep him here. Market price is favorable around ADP 94 versus model overall rank 77.</x:v>
      </x:c>
      <x:c r="J14" s="98" t="str">
        <x:v>Passing-TD efficiency, rushing volume and supporting-cast health are the main swing factors.</x:v>
      </x:c>
      <x:c r="K14" t="str">
        <x:v>A</x:v>
      </x:c>
      <x:c r="L14" s="98" t="str">
        <x:v>RATE-ADJUSTED VETERAN</x:v>
      </x:c>
    </x:row>
    <x:row r="15">
      <x:c r="A15" t="n">
        <x:v>11</x:v>
      </x:c>
      <x:c r="B15" t="str">
        <x:v>Bo Nix</x:v>
      </x:c>
      <x:c r="C15" s="48" t="n">
        <x:v>85.24848366137027</x:v>
      </x:c>
      <x:c r="D15" s="48" t="str">
        <x:v>TIER 2</x:v>
      </x:c>
      <x:c r="E15" s="48" t="n">
        <x:v>79</x:v>
      </x:c>
      <x:c r="F15" s="48" t="n">
        <x:v>102</x:v>
      </x:c>
      <x:c r="G15" s="48" t="n">
        <x:v>23</x:v>
      </x:c>
      <x:c r="H15" s="116" t="str">
        <x:v>Low-end QB1/high-end QB2 in a 10-team league; startable most weeks.</x:v>
      </x:c>
      <x:c r="I15" s="98" t="str">
        <x:v>He produced 18.6 PPR/FP points per game across 17 games. The workload/efficiency profile gives the model a rate-based reason to keep him here. Market price is favorable around ADP 102 versus model overall rank 79.</x:v>
      </x:c>
      <x:c r="J15" s="98" t="str">
        <x:v>Passing-TD efficiency, rushing volume and supporting-cast health are the main swing factors.</x:v>
      </x:c>
      <x:c r="K15" t="str">
        <x:v>A</x:v>
      </x:c>
      <x:c r="L15" s="98" t="str">
        <x:v>RATE-ADJUSTED VETERAN</x:v>
      </x:c>
    </x:row>
    <x:row r="16">
      <x:c r="A16" t="n">
        <x:v>12</x:v>
      </x:c>
      <x:c r="B16" t="str">
        <x:v>Dak Prescott</x:v>
      </x:c>
      <x:c r="C16" s="48" t="n">
        <x:v>85.11563022939153</x:v>
      </x:c>
      <x:c r="D16" s="48" t="str">
        <x:v>TIER 2</x:v>
      </x:c>
      <x:c r="E16" s="48" t="n">
        <x:v>82</x:v>
      </x:c>
      <x:c r="F16" s="48" t="n">
        <x:v>110</x:v>
      </x:c>
      <x:c r="G16" s="48" t="n">
        <x:v>28</x:v>
      </x:c>
      <x:c r="H16" s="116" t="str">
        <x:v>Low-end QB1/high-end QB2 in a 10-team league; startable most weeks.</x:v>
      </x:c>
      <x:c r="I16" s="98" t="str">
        <x:v>He produced 19.0 PPR/FP points per game across 17 games. The workload/efficiency profile gives the model a rate-based reason to keep him here. Market price is favorable around ADP 110 versus model overall rank 82.</x:v>
      </x:c>
      <x:c r="J16" s="98" t="str">
        <x:v>Passing-TD efficiency, rushing volume and supporting-cast health are the main swing factors.</x:v>
      </x:c>
      <x:c r="K16" t="str">
        <x:v>A</x:v>
      </x:c>
      <x:c r="L16" s="98" t="str">
        <x:v>RATE-ADJUSTED VETERAN</x:v>
      </x:c>
    </x:row>
    <x:row r="17">
      <x:c r="A17" t="n">
        <x:v>13</x:v>
      </x:c>
      <x:c r="B17" t="str">
        <x:v>Trevor Lawrence</x:v>
      </x:c>
      <x:c r="C17" s="48" t="n">
        <x:v>84.69210205685258</x:v>
      </x:c>
      <x:c r="D17" s="48" t="str">
        <x:v>TIER 3</x:v>
      </x:c>
      <x:c r="E17" s="48" t="n">
        <x:v>87</x:v>
      </x:c>
      <x:c r="F17" s="48" t="n">
        <x:v>118</x:v>
      </x:c>
      <x:c r="G17" s="48" t="n">
        <x:v>31</x:v>
      </x:c>
      <x:c r="H17" s="116" t="str">
        <x:v>QB2/streaming tier; useful when matchup and supporting cast line up.</x:v>
      </x:c>
      <x:c r="I17" s="98" t="str">
        <x:v>He produced 20.6 PPR/FP points per game across 17 games. The workload/efficiency profile gives the model a rate-based reason to keep him here. Market price is favorable around ADP 118 versus model overall rank 87.</x:v>
      </x:c>
      <x:c r="J17" s="98" t="str">
        <x:v>Passing-TD efficiency, rushing volume and supporting-cast health are the main swing factors.</x:v>
      </x:c>
      <x:c r="K17" t="str">
        <x:v>A</x:v>
      </x:c>
      <x:c r="L17" s="98" t="str">
        <x:v>RATE-ADJUSTED VETERAN</x:v>
      </x:c>
    </x:row>
    <x:row r="18">
      <x:c r="A18" t="n">
        <x:v>14</x:v>
      </x:c>
      <x:c r="B18" t="str">
        <x:v>Brock Purdy</x:v>
      </x:c>
      <x:c r="C18" s="48" t="n">
        <x:v>83.83859812261841</x:v>
      </x:c>
      <x:c r="D18" s="48" t="str">
        <x:v>TIER 3</x:v>
      </x:c>
      <x:c r="E18" s="48" t="n">
        <x:v>95</x:v>
      </x:c>
      <x:c r="F18" s="48" t="n">
        <x:v>126</x:v>
      </x:c>
      <x:c r="G18" s="48" t="n">
        <x:v>31</x:v>
      </x:c>
      <x:c r="H18" s="116" t="str">
        <x:v>QB2/streaming tier; useful when matchup and supporting cast line up.</x:v>
      </x:c>
      <x:c r="I18" s="98" t="str">
        <x:v>He produced 20.8 PPR/FP points per game across 9 games. The workload/efficiency profile gives the model a rate-based reason to keep him here. Market price is favorable around ADP 126 versus model overall rank 95.</x:v>
      </x:c>
      <x:c r="J18" s="98" t="str">
        <x:v>Availability/sample risk is elevated after only 9 games; talent is not being punished as heavily as durability.</x:v>
      </x:c>
      <x:c r="K18" t="str">
        <x:v>B</x:v>
      </x:c>
      <x:c r="L18" s="98" t="str">
        <x:v>RATE-ADJUSTED VETERAN</x:v>
      </x:c>
    </x:row>
    <x:row r="19">
      <x:c r="A19" t="n">
        <x:v>15</x:v>
      </x:c>
      <x:c r="B19" t="str">
        <x:v>Jaxson Dart</x:v>
      </x:c>
      <x:c r="C19" s="48" t="n">
        <x:v>83.0606951237557</x:v>
      </x:c>
      <x:c r="D19" s="48" t="str">
        <x:v>TIER 3</x:v>
      </x:c>
      <x:c r="E19" s="48" t="n">
        <x:v>101</x:v>
      </x:c>
      <x:c r="F19" s="48" t="n">
        <x:v>134</x:v>
      </x:c>
      <x:c r="G19" s="48" t="n">
        <x:v>33</x:v>
      </x:c>
      <x:c r="H19" s="116" t="str">
        <x:v>QB2/streaming tier; useful when matchup and supporting cast line up.</x:v>
      </x:c>
      <x:c r="I19" s="98" t="str">
        <x:v>He produced 17.6 PPR/FP points per game across 14 games. The workload/efficiency profile gives the model a rate-based reason to keep him here. Market price is favorable around ADP 134 versus model overall rank 101.</x:v>
      </x:c>
      <x:c r="J19" s="98" t="str">
        <x:v>Passing-TD efficiency, rushing volume and supporting-cast health are the main swing factors.</x:v>
      </x:c>
      <x:c r="K19" t="str">
        <x:v>A</x:v>
      </x:c>
      <x:c r="L19" s="98" t="str">
        <x:v>RATE-ADJUSTED VETERAN</x:v>
      </x:c>
    </x:row>
    <x:row r="20">
      <x:c r="A20" t="n">
        <x:v>16</x:v>
      </x:c>
      <x:c r="B20" t="str">
        <x:v>Jared Goff</x:v>
      </x:c>
      <x:c r="C20" s="48" t="n">
        <x:v>82.64253383916756</x:v>
      </x:c>
      <x:c r="D20" s="48" t="str">
        <x:v>TIER 3</x:v>
      </x:c>
      <x:c r="E20" s="48" t="n">
        <x:v>106</x:v>
      </x:c>
      <x:c r="F20" s="48" t="n">
        <x:v>142</x:v>
      </x:c>
      <x:c r="G20" s="48" t="n">
        <x:v>36</x:v>
      </x:c>
      <x:c r="H20" s="116" t="str">
        <x:v>QB2/streaming tier; useful when matchup and supporting cast line up.</x:v>
      </x:c>
      <x:c r="I20" s="98" t="str">
        <x:v>He produced 17.9 PPR/FP points per game across 17 games. The workload/efficiency profile gives the model a rate-based reason to keep him here. Market price is favorable around ADP 142 versus model overall rank 106.</x:v>
      </x:c>
      <x:c r="J20" s="98" t="str">
        <x:v>Passing-TD efficiency, rushing volume and supporting-cast health are the main swing factors.</x:v>
      </x:c>
      <x:c r="K20" t="str">
        <x:v>A</x:v>
      </x:c>
      <x:c r="L20" s="98" t="str">
        <x:v>RATE-ADJUSTED VETERAN</x:v>
      </x:c>
    </x:row>
    <x:row r="21">
      <x:c r="A21" t="n">
        <x:v>17</x:v>
      </x:c>
      <x:c r="B21" t="str">
        <x:v>Kyler Murray</x:v>
      </x:c>
      <x:c r="C21" s="48" t="n">
        <x:v>80.71009771989318</x:v>
      </x:c>
      <x:c r="D21" s="48" t="str">
        <x:v>TIER 3</x:v>
      </x:c>
      <x:c r="E21" s="48" t="n">
        <x:v>119</x:v>
      </x:c>
      <x:c r="F21" s="48" t="n">
        <x:v>150</x:v>
      </x:c>
      <x:c r="G21" s="48" t="n">
        <x:v>31</x:v>
      </x:c>
      <x:c r="H21" s="116" t="str">
        <x:v>QB2/streaming tier; useful when matchup and supporting cast line up.</x:v>
      </x:c>
      <x:c r="I21" s="98" t="str">
        <x:v>He produced 16.2 PPR/FP points per game across 5 games. The workload/efficiency profile gives the model a rate-based reason to keep him here. Market price is favorable around ADP 150 versus model overall rank 119.</x:v>
      </x:c>
      <x:c r="J21" s="98" t="str">
        <x:v>Availability/sample risk is elevated after only 5 games; talent is not being punished as heavily as durability.</x:v>
      </x:c>
      <x:c r="K21" t="str">
        <x:v>B</x:v>
      </x:c>
      <x:c r="L21" s="98" t="str">
        <x:v>RATE-ADJUSTED VETERAN</x:v>
      </x:c>
    </x:row>
    <x:row r="22">
      <x:c r="A22" t="n">
        <x:v>18</x:v>
      </x:c>
      <x:c r="B22" t="str">
        <x:v>Jordan Love</x:v>
      </x:c>
      <x:c r="C22" s="48" t="n">
        <x:v>80.04076246709151</x:v>
      </x:c>
      <x:c r="D22" s="48" t="str">
        <x:v>TIER 3</x:v>
      </x:c>
      <x:c r="E22" s="48" t="n">
        <x:v>126</x:v>
      </x:c>
      <x:c r="F22" s="48" t="n">
        <x:v>158</x:v>
      </x:c>
      <x:c r="G22" s="48" t="n">
        <x:v>32</x:v>
      </x:c>
      <x:c r="H22" s="116" t="str">
        <x:v>QB2/streaming tier; useful when matchup and supporting cast line up.</x:v>
      </x:c>
      <x:c r="I22" s="98" t="str">
        <x:v>He produced 16.1 PPR/FP points per game across 15 games. The workload/efficiency profile gives the model a rate-based reason to keep him here. Market price is favorable around ADP 158 versus model overall rank 126.</x:v>
      </x:c>
      <x:c r="J22" s="98" t="str">
        <x:v>Passing-TD efficiency, rushing volume and supporting-cast health are the main swing factors.</x:v>
      </x:c>
      <x:c r="K22" t="str">
        <x:v>A</x:v>
      </x:c>
      <x:c r="L22" s="98" t="str">
        <x:v>RATE-ADJUSTED VETERAN</x:v>
      </x:c>
    </x:row>
    <x:row r="23">
      <x:c r="A23" t="n">
        <x:v>19</x:v>
      </x:c>
      <x:c r="B23" t="str">
        <x:v>Baker Mayfield</x:v>
      </x:c>
      <x:c r="C23" s="48" t="n">
        <x:v>79.82600097102224</x:v>
      </x:c>
      <x:c r="D23" s="48" t="str">
        <x:v>TIER 4</x:v>
      </x:c>
      <x:c r="E23" s="48" t="n">
        <x:v>130</x:v>
      </x:c>
      <x:c r="F23" s="48" t="n">
        <x:v>166</x:v>
      </x:c>
      <x:c r="G23" s="48" t="n">
        <x:v>36</x:v>
      </x:c>
      <x:c r="H23" s="116" t="str">
        <x:v>Bench/streaming option; needs matchup, rushing or TD spike weeks.</x:v>
      </x:c>
      <x:c r="I23" s="98" t="str">
        <x:v>He produced 16.6 PPR/FP points per game across 17 games. The workload/efficiency profile gives the model a rate-based reason to keep him here. Market price is favorable around ADP 166 versus model overall rank 130.</x:v>
      </x:c>
      <x:c r="J23" s="98" t="str">
        <x:v>Passing-TD efficiency, rushing volume and supporting-cast health are the main swing factors.</x:v>
      </x:c>
      <x:c r="K23" t="str">
        <x:v>A</x:v>
      </x:c>
      <x:c r="L23" s="98" t="str">
        <x:v>RATE-ADJUSTED VETERAN</x:v>
      </x:c>
    </x:row>
    <x:row r="24">
      <x:c r="A24" t="n">
        <x:v>20</x:v>
      </x:c>
      <x:c r="B24" t="str">
        <x:v>Tyler Shough</x:v>
      </x:c>
      <x:c r="C24" s="48" t="n">
        <x:v>77.36561414654547</x:v>
      </x:c>
      <x:c r="D24" s="48" t="str">
        <x:v>TIER 4</x:v>
      </x:c>
      <x:c r="E24" s="48" t="n">
        <x:v>144</x:v>
      </x:c>
      <x:c r="F24" s="48" t="n">
        <x:v>174</x:v>
      </x:c>
      <x:c r="G24" s="48" t="n">
        <x:v>30</x:v>
      </x:c>
      <x:c r="H24" s="116" t="str">
        <x:v>Bench/streaming option; needs matchup, rushing or TD spike weeks.</x:v>
      </x:c>
      <x:c r="I24" s="98" t="str">
        <x:v>He produced 14.9 PPR/FP points per game across 11 games. The workload/efficiency profile gives the model a rate-based reason to keep him here. Market price is favorable around ADP 174 versus model overall rank 144.</x:v>
      </x:c>
      <x:c r="J24" s="98" t="str">
        <x:v>Passing-TD efficiency, rushing volume and supporting-cast health are the main swing factors.</x:v>
      </x:c>
      <x:c r="K24" t="str">
        <x:v>B</x:v>
      </x:c>
      <x:c r="L24" s="98" t="str">
        <x:v>RATE-ADJUSTED VETERAN</x:v>
      </x:c>
    </x:row>
    <x:row r="25">
      <x:c r="A25" t="n">
        <x:v>21</x:v>
      </x:c>
      <x:c r="B25" t="str">
        <x:v>C.J. Stroud</x:v>
      </x:c>
      <x:c r="C25" s="48" t="n">
        <x:v>75.76205455491312</x:v>
      </x:c>
      <x:c r="D25" s="48" t="str">
        <x:v>TIER 4</x:v>
      </x:c>
      <x:c r="E25" s="48" t="n">
        <x:v>154</x:v>
      </x:c>
      <x:c r="F25" s="48" t="n">
        <x:v>182</x:v>
      </x:c>
      <x:c r="G25" s="48" t="n">
        <x:v>28</x:v>
      </x:c>
      <x:c r="H25" s="116" t="str">
        <x:v>Bench/streaming option; needs matchup, rushing or TD spike weeks.</x:v>
      </x:c>
      <x:c r="I25" s="98" t="str">
        <x:v>He produced 15.5 PPR/FP points per game across 14 games. The workload/efficiency profile gives the model a rate-based reason to keep him here. Market price is favorable around ADP 182 versus model overall rank 154.</x:v>
      </x:c>
      <x:c r="J25" s="98" t="str">
        <x:v>Passing-TD efficiency, rushing volume and supporting-cast health are the main swing factors.</x:v>
      </x:c>
      <x:c r="K25" t="str">
        <x:v>A</x:v>
      </x:c>
      <x:c r="L25" s="98" t="str">
        <x:v>RATE-ADJUSTED VETERAN</x:v>
      </x:c>
    </x:row>
    <x:row r="26">
      <x:c r="A26" t="n">
        <x:v>22</x:v>
      </x:c>
      <x:c r="B26" t="str">
        <x:v>Sam Darnold</x:v>
      </x:c>
      <x:c r="C26" s="48" t="n">
        <x:v>75.55416867822036</x:v>
      </x:c>
      <x:c r="D26" s="48" t="str">
        <x:v>TIER 4</x:v>
      </x:c>
      <x:c r="E26" s="48" t="n">
        <x:v>157</x:v>
      </x:c>
      <x:c r="F26" s="48" t="n">
        <x:v>190</x:v>
      </x:c>
      <x:c r="G26" s="48" t="n">
        <x:v>33</x:v>
      </x:c>
      <x:c r="H26" s="116" t="str">
        <x:v>Bench/streaming option; needs matchup, rushing or TD spike weeks.</x:v>
      </x:c>
      <x:c r="I26" s="98" t="str">
        <x:v>He produced 14.7 PPR/FP points per game across 17 games. The workload/efficiency profile gives the model a rate-based reason to keep him here. Market price is favorable around ADP 190 versus model overall rank 157.</x:v>
      </x:c>
      <x:c r="J26" s="98" t="str">
        <x:v>Passing-TD efficiency, rushing volume and supporting-cast health are the main swing factors.</x:v>
      </x:c>
      <x:c r="K26" t="str">
        <x:v>A</x:v>
      </x:c>
      <x:c r="L26" s="98" t="str">
        <x:v>RATE-ADJUSTED VETERAN</x:v>
      </x:c>
    </x:row>
    <x:row r="27">
      <x:c r="A27" t="n">
        <x:v>23</x:v>
      </x:c>
      <x:c r="B27" t="str">
        <x:v>Daniel Jones</x:v>
      </x:c>
      <x:c r="C27" s="48" t="n">
        <x:v>74.79037310491178</x:v>
      </x:c>
      <x:c r="D27" s="48" t="str">
        <x:v>TIER 5</x:v>
      </x:c>
      <x:c r="E27" s="48" t="n">
        <x:v>158</x:v>
      </x:c>
      <x:c r="F27" s="48" t="n">
        <x:v>198</x:v>
      </x:c>
      <x:c r="G27" s="48" t="n">
        <x:v>40</x:v>
      </x:c>
      <x:c r="H27" s="116" t="str">
        <x:v>Bench/streaming option; needs matchup, rushing or TD spike weeks.</x:v>
      </x:c>
      <x:c r="I27" s="98" t="str">
        <x:v>He produced 18.0 PPR/FP points per game across 13 games. The workload/efficiency profile gives the model a rate-based reason to keep him here. Market price is favorable around ADP 198 versus model overall rank 158.</x:v>
      </x:c>
      <x:c r="J27" s="98" t="str">
        <x:v>Passing-TD efficiency, rushing volume and supporting-cast health are the main swing factors.</x:v>
      </x:c>
      <x:c r="K27" t="str">
        <x:v>A</x:v>
      </x:c>
      <x:c r="L27" s="98" t="str">
        <x:v>RATE-ADJUSTED VETERAN</x:v>
      </x:c>
    </x:row>
    <x:row r="28">
      <x:c r="A28" t="n">
        <x:v>24</x:v>
      </x:c>
      <x:c r="B28" t="str">
        <x:v>Malik Willis</x:v>
      </x:c>
      <x:c r="C28" s="48" t="n">
        <x:v>74.24027225755167</x:v>
      </x:c>
      <x:c r="D28" s="48" t="str">
        <x:v>TIER 5</x:v>
      </x:c>
      <x:c r="E28" s="48" t="n">
        <x:v>160</x:v>
      </x:c>
      <x:c r="F28" s="48" t="n">
        <x:v>206</x:v>
      </x:c>
      <x:c r="G28" s="48" t="n">
        <x:v>46</x:v>
      </x:c>
      <x:c r="H28" s="116" t="str">
        <x:v>Bench/streaming option; needs matchup, rushing or TD spike weeks.</x:v>
      </x:c>
      <x:c r="I28" s="98" t="str">
        <x:v>He produced 12.8 PPR/FP points per game across 4 games. The workload/efficiency profile gives the model a rate-based reason to keep him here. Market price is favorable around ADP 206 versus model overall rank 160.</x:v>
      </x:c>
      <x:c r="J28" s="98" t="str">
        <x:v>Availability/sample risk is elevated after only 4 games; talent is not being punished as heavily as durability.</x:v>
      </x:c>
      <x:c r="K28" t="str">
        <x:v>B</x:v>
      </x:c>
      <x:c r="L28" s="98" t="str">
        <x:v>RATE-ADJUSTED VETERAN</x:v>
      </x:c>
    </x:row>
    <x:row r="29">
      <x:c r="A29" t="n">
        <x:v>25</x:v>
      </x:c>
      <x:c r="B29" t="str">
        <x:v>Bryce Young</x:v>
      </x:c>
      <x:c r="C29" s="48" t="n">
        <x:v>72.79764579957634</x:v>
      </x:c>
      <x:c r="D29" s="48" t="str">
        <x:v>TIER 5</x:v>
      </x:c>
      <x:c r="E29" s="48" t="n">
        <x:v>163</x:v>
      </x:c>
      <x:c r="F29" s="48" t="n">
        <x:v>214</x:v>
      </x:c>
      <x:c r="G29" s="48" t="n">
        <x:v>51</x:v>
      </x:c>
      <x:c r="H29" s="116" t="str">
        <x:v>Deep QB2; waiver-level in a normal 10-team format.</x:v>
      </x:c>
      <x:c r="I29" s="98" t="str">
        <x:v>He produced 14.3 PPR/FP points per game across 16 games. The workload/efficiency profile gives the model a rate-based reason to keep him here. Market price is favorable around ADP 214 versus model overall rank 163.</x:v>
      </x:c>
      <x:c r="J29" s="98" t="str">
        <x:v>Passing-TD efficiency, rushing volume and supporting-cast health are the main swing factors.</x:v>
      </x:c>
      <x:c r="K29" t="str">
        <x:v>A</x:v>
      </x:c>
      <x:c r="L29" s="98" t="str">
        <x:v>RATE-ADJUSTED VETERAN</x:v>
      </x:c>
    </x:row>
    <x:row r="30">
      <x:c r="A30" t="n">
        <x:v>26</x:v>
      </x:c>
      <x:c r="B30" t="str">
        <x:v>Cam Ward</x:v>
      </x:c>
      <x:c r="C30" s="48" t="n">
        <x:v>72.66457683651541</x:v>
      </x:c>
      <x:c r="D30" s="48" t="str">
        <x:v>TIER 5</x:v>
      </x:c>
      <x:c r="E30" s="48" t="n">
        <x:v>164</x:v>
      </x:c>
      <x:c r="F30" s="48" t="n">
        <x:v>222</x:v>
      </x:c>
      <x:c r="G30" s="48" t="n">
        <x:v>58</x:v>
      </x:c>
      <x:c r="H30" s="116" t="str">
        <x:v>Deep QB2; waiver-level in a normal 10-team format.</x:v>
      </x:c>
      <x:c r="I30" s="98" t="str">
        <x:v>He produced 11.4 PPR/FP points per game across 17 games. The workload/efficiency profile gives the model a rate-based reason to keep him here. Market price is favorable around ADP 222 versus model overall rank 164.</x:v>
      </x:c>
      <x:c r="J30" s="98" t="str">
        <x:v>Passing-TD efficiency, rushing volume and supporting-cast health are the main swing factors.</x:v>
      </x:c>
      <x:c r="K30" t="str">
        <x:v>A</x:v>
      </x:c>
      <x:c r="L30" s="98" t="str">
        <x:v>RATE-ADJUSTED VETERAN</x:v>
      </x:c>
    </x:row>
    <x:row r="31">
      <x:c r="A31" t="n">
        <x:v>27</x:v>
      </x:c>
      <x:c r="B31" t="str">
        <x:v>Jacoby Brissett</x:v>
      </x:c>
      <x:c r="C31" s="48" t="n">
        <x:v>71.3334204764594</x:v>
      </x:c>
      <x:c r="D31" s="48" t="str">
        <x:v>TIER 5</x:v>
      </x:c>
      <x:c r="E31" s="48" t="n">
        <x:v>169</x:v>
      </x:c>
      <x:c r="F31" s="48" t="n">
        <x:v>230</x:v>
      </x:c>
      <x:c r="G31" s="48" t="n">
        <x:v>61</x:v>
      </x:c>
      <x:c r="H31" s="116" t="str">
        <x:v>Deep QB2; waiver-level in a normal 10-team format.</x:v>
      </x:c>
      <x:c r="I31" s="98" t="str">
        <x:v>He produced 16.8 PPR/FP points per game across 14 games. The workload/efficiency profile gives the model a rate-based reason to keep him here. Market price is favorable around ADP 230 versus model overall rank 169.</x:v>
      </x:c>
      <x:c r="J31" s="98" t="str">
        <x:v>Passing-TD efficiency, rushing volume and supporting-cast health are the main swing factors.</x:v>
      </x:c>
      <x:c r="K31" t="str">
        <x:v>A</x:v>
      </x:c>
      <x:c r="L31" s="98" t="str">
        <x:v>RATE-ADJUSTED VETERAN</x:v>
      </x:c>
    </x:row>
    <x:row r="32">
      <x:c r="A32" t="n">
        <x:v>28</x:v>
      </x:c>
      <x:c r="B32" t="str">
        <x:v>Geno Smith</x:v>
      </x:c>
      <x:c r="C32" s="48" t="n">
        <x:v>71.09857323143055</x:v>
      </x:c>
      <x:c r="D32" s="48" t="str">
        <x:v>TIER 5</x:v>
      </x:c>
      <x:c r="E32" s="48" t="n">
        <x:v>170</x:v>
      </x:c>
      <x:c r="F32" s="48" t="n">
        <x:v>238</x:v>
      </x:c>
      <x:c r="G32" s="48" t="n">
        <x:v>68</x:v>
      </x:c>
      <x:c r="H32" s="116" t="str">
        <x:v>Deep QB2; waiver-level in a normal 10-team format.</x:v>
      </x:c>
      <x:c r="I32" s="98" t="str">
        <x:v>He produced 12.7 PPR/FP points per game across 15 games. The workload/efficiency profile gives the model a rate-based reason to keep him here. Market price is favorable around ADP 238 versus model overall rank 170.</x:v>
      </x:c>
      <x:c r="J32" s="98" t="str">
        <x:v>Passing-TD efficiency, rushing volume and supporting-cast health are the main swing factors.</x:v>
      </x:c>
      <x:c r="K32" t="str">
        <x:v>A</x:v>
      </x:c>
      <x:c r="L32" s="98" t="str">
        <x:v>RATE-ADJUSTED VETERAN</x:v>
      </x:c>
    </x:row>
    <x:row r="33">
      <x:c r="A33" t="n">
        <x:v>29</x:v>
      </x:c>
      <x:c r="B33" t="str">
        <x:v>Aaron Rodgers</x:v>
      </x:c>
      <x:c r="C33" s="48" t="n">
        <x:v>70.88484375797985</x:v>
      </x:c>
      <x:c r="D33" s="48" t="str">
        <x:v>TIER 5</x:v>
      </x:c>
      <x:c r="E33" s="48" t="n">
        <x:v>172</x:v>
      </x:c>
      <x:c r="F33" s="48" t="n">
        <x:v>246</x:v>
      </x:c>
      <x:c r="G33" s="48" t="n">
        <x:v>74</x:v>
      </x:c>
      <x:c r="H33" s="116" t="str">
        <x:v>Deep QB2; waiver-level in a normal 10-team format.</x:v>
      </x:c>
      <x:c r="I33" s="98" t="str">
        <x:v>He produced 14.6 PPR/FP points per game across 16 games. The workload/efficiency profile gives the model a rate-based reason to keep him here. Market price is favorable around ADP 246 versus model overall rank 172.</x:v>
      </x:c>
      <x:c r="J33" s="98" t="str">
        <x:v>Passing-TD efficiency, rushing volume and supporting-cast health are the main swing factors.</x:v>
      </x:c>
      <x:c r="K33" t="str">
        <x:v>A</x:v>
      </x:c>
      <x:c r="L33" s="98" t="str">
        <x:v>RATE-ADJUSTED VETERAN</x:v>
      </x:c>
    </x:row>
    <x:row r="34">
      <x:c r="A34" t="n">
        <x:v>30</x:v>
      </x:c>
      <x:c r="B34" t="str">
        <x:v>Tua Tagovailoa</x:v>
      </x:c>
      <x:c r="C34" s="48" t="n">
        <x:v>67.85117431898288</x:v>
      </x:c>
      <x:c r="D34" s="48" t="str">
        <x:v>TIER 6</x:v>
      </x:c>
      <x:c r="E34" s="48" t="n">
        <x:v>183</x:v>
      </x:c>
      <x:c r="F34" s="48" t="n">
        <x:v>254</x:v>
      </x:c>
      <x:c r="G34" s="48" t="n">
        <x:v>71</x:v>
      </x:c>
      <x:c r="H34" s="116" t="str">
        <x:v>Deep QB2; waiver-level in a normal 10-team format.</x:v>
      </x:c>
      <x:c r="I34" s="98" t="str">
        <x:v>He produced 12.5 PPR/FP points per game across 14 games. The workload/efficiency profile gives the model a rate-based reason to keep him here. Market price is favorable around ADP 254 versus model overall rank 183.</x:v>
      </x:c>
      <x:c r="J34" s="98" t="str">
        <x:v>Passing-TD efficiency, rushing volume and supporting-cast health are the main swing factors.</x:v>
      </x:c>
      <x:c r="K34" t="str">
        <x:v>A</x:v>
      </x:c>
      <x:c r="L34" s="98" t="str">
        <x:v>RATE-ADJUSTED VETERAN</x:v>
      </x:c>
    </x:row>
    <x:row r="35">
      <x:c r="A35" t="n">
        <x:v>31</x:v>
      </x:c>
      <x:c r="B35" t="str">
        <x:v>Kirk Cousins</x:v>
      </x:c>
      <x:c r="C35" s="48" t="n">
        <x:v>65.79292388521264</x:v>
      </x:c>
      <x:c r="D35" s="48" t="str">
        <x:v>TIER 6</x:v>
      </x:c>
      <x:c r="E35" s="48" t="n">
        <x:v>188</x:v>
      </x:c>
      <x:c r="F35" s="48" t="n">
        <x:v>262</x:v>
      </x:c>
      <x:c r="G35" s="48" t="n">
        <x:v>74</x:v>
      </x:c>
      <x:c r="H35" s="116" t="str">
        <x:v>Deep QB2; waiver-level in a normal 10-team format.</x:v>
      </x:c>
      <x:c r="I35" s="98" t="str">
        <x:v>He produced 10.9 PPR/FP points per game across 10 games. The workload/efficiency profile gives the model a rate-based reason to keep him here. Market price is favorable around ADP 262 versus model overall rank 188.</x:v>
      </x:c>
      <x:c r="J35" s="98" t="str">
        <x:v>Passing-TD efficiency, rushing volume and supporting-cast health are the main swing factors.</x:v>
      </x:c>
      <x:c r="K35" t="str">
        <x:v>B</x:v>
      </x:c>
      <x:c r="L35" s="98" t="str">
        <x:v>RATE-ADJUSTED VETERAN</x:v>
      </x:c>
    </x:row>
    <x:row r="36">
      <x:c r="A36" t="n">
        <x:v>32</x:v>
      </x:c>
      <x:c r="B36" t="str">
        <x:v>Deshaun Watson</x:v>
      </x:c>
      <x:c r="C36" s="48" t="n">
        <x:v>60.25</x:v>
      </x:c>
      <x:c r="D36" s="48" t="str">
        <x:v>TIER 7</x:v>
      </x:c>
      <x:c r="E36" s="48" t="n">
        <x:v>200</x:v>
      </x:c>
      <x:c r="F36" s="48" t="n">
        <x:v>270</x:v>
      </x:c>
      <x:c r="G36" s="48" t="n">
        <x:v>70</x:v>
      </x:c>
      <x:c r="H36" s="116" t="str">
        <x:v>Deep QB2; waiver-level in a normal 10-team format.</x:v>
      </x:c>
      <x:c r="I36" s="98" t="str">
        <x:v>The 2026 opportunity and projection carry most of the grade because detailed 2025 rate data is incomplete. Market price is favorable around ADP 270 versus model overall rank 200.</x:v>
      </x:c>
      <x:c r="J36" s="98" t="str">
        <x:v>Evidence is thinner than for established veterans, so camp, depth-chart and role news can move the grade materially.</x:v>
      </x:c>
      <x:c r="K36" t="str">
        <x:v>C</x:v>
      </x:c>
      <x:c r="L36" s="98" t="str">
        <x:v>HISTORY FALLBACK</x:v>
      </x:c>
    </x:row>
  </x:sheetData>
  <x:mergeCells>
    <x:mergeCell ref="A1:L1"/>
    <x:mergeCell ref="A2:L2"/>
  </x:mergeCells>
  <x:conditionalFormatting sqref="C5:C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5:F36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5:G36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24" hidden="0" customWidth="1"/>
    <x:col min="3" max="3" width="5.380000114440918" hidden="0" customWidth="1"/>
    <x:col min="4" max="4" width="5.130000114440918" hidden="0" customWidth="1"/>
    <x:col min="5" max="5" width="10.25" hidden="0" customWidth="1"/>
    <x:col min="6" max="6" width="9.75" hidden="0" customWidth="1"/>
    <x:col min="7" max="7" width="8.380000114440918" hidden="0" customWidth="1"/>
    <x:col min="8" max="8" width="38" hidden="0" customWidth="1"/>
    <x:col min="9" max="9" width="48" hidden="0" customWidth="1"/>
    <x:col min="10" max="10" width="44" hidden="0" customWidth="1"/>
    <x:col min="11" max="11" width="9.130000114440918" hidden="0" customWidth="1"/>
    <x:col min="12" max="12" width="19.8799991607666" hidden="0" customWidth="1"/>
  </x:cols>
  <x:sheetData>
    <x:row r="1">
      <x:c r="A1" s="111" t="str">
        <x:v>2026 RB — Final Ratings &amp; Expectations</x:v>
      </x:c>
    </x:row>
    <x:row r="2">
      <x:c r="A2" s="112" t="str">
        <x:v>Final 10-team PPR view: expectation, model reasoning, market price and the main risk for each player.</x:v>
      </x:c>
    </x:row>
    <x:row r="4">
      <x:c r="A4" s="115" t="str">
        <x:v>Rank</x:v>
      </x:c>
      <x:c r="B4" s="115" t="str">
        <x:v>Player</x:v>
      </x:c>
      <x:c r="C4" s="115" t="str">
        <x:v>Rating</x:v>
      </x:c>
      <x:c r="D4" s="115" t="str">
        <x:v>Tier</x:v>
      </x:c>
      <x:c r="E4" s="115" t="str">
        <x:v>Overall Rank</x:v>
      </x:c>
      <x:c r="F4" s="115" t="str">
        <x:v>Market ADP</x:v>
      </x:c>
      <x:c r="G4" s="115" t="str">
        <x:v>Draft Edge</x:v>
      </x:c>
      <x:c r="H4" s="115" t="str">
        <x:v>2026 Expectation</x:v>
      </x:c>
      <x:c r="I4" s="115" t="str">
        <x:v>Why the Model Ranks Him Here</x:v>
      </x:c>
      <x:c r="J4" s="115" t="str">
        <x:v>Main Risk</x:v>
      </x:c>
      <x:c r="K4" s="115" t="str">
        <x:v>Confidence</x:v>
      </x:c>
      <x:c r="L4" s="115" t="str">
        <x:v>Model Path</x:v>
      </x:c>
    </x:row>
    <x:row r="5">
      <x:c r="A5" t="n">
        <x:v>1</x:v>
      </x:c>
      <x:c r="B5" t="str">
        <x:v>Bijan Robinson</x:v>
      </x:c>
      <x:c r="C5" s="48" t="n">
        <x:v>97.36734220227106</x:v>
      </x:c>
      <x:c r="D5" s="48" t="str">
        <x:v>ELITE</x:v>
      </x:c>
      <x:c r="E5" s="48" t="n">
        <x:v>2</x:v>
      </x:c>
      <x:c r="F5" s="48" t="n">
        <x:v>1.8</x:v>
      </x:c>
      <x:c r="G5" s="48" t="n">
        <x:v>-0.19999999999999996</x:v>
      </x:c>
      <x:c r="H5" s="116" t="str">
        <x:v>Elite RB1 and first-round roster anchor with league-winning ceiling.</x:v>
      </x:c>
      <x:c r="I5" s="98" t="str">
        <x:v>He produced 21.8 PPR/FP points per game across 17 games. The workload/efficiency profile gives the model a rate-based reason to keep him here.</x:v>
      </x:c>
      <x:c r="J5" s="98" t="str">
        <x:v>Touchdown variance, receiving-role changes and backfield competition are the main downside paths.</x:v>
      </x:c>
      <x:c r="K5" t="str">
        <x:v>A</x:v>
      </x:c>
      <x:c r="L5" s="98" t="str">
        <x:v>RATE-ADJUSTED VETERAN</x:v>
      </x:c>
    </x:row>
    <x:row r="6">
      <x:c r="A6" t="n">
        <x:v>2</x:v>
      </x:c>
      <x:c r="B6" t="str">
        <x:v>Jahmyr Gibbs</x:v>
      </x:c>
      <x:c r="C6" s="48" t="n">
        <x:v>96.33225593201456</x:v>
      </x:c>
      <x:c r="D6" s="48" t="str">
        <x:v>ELITE</x:v>
      </x:c>
      <x:c r="E6" s="48" t="n">
        <x:v>4</x:v>
      </x:c>
      <x:c r="F6" s="48" t="n">
        <x:v>1.2</x:v>
      </x:c>
      <x:c r="G6" s="48" t="n">
        <x:v>-2.8</x:v>
      </x:c>
      <x:c r="H6" s="116" t="str">
        <x:v>Elite RB1 and first-round roster anchor with league-winning ceiling.</x:v>
      </x:c>
      <x:c r="I6" s="98" t="str">
        <x:v>He produced 21.6 PPR/FP points per game across 17 games. The workload/efficiency profile gives the model a rate-based reason to keep him here.</x:v>
      </x:c>
      <x:c r="J6" s="98" t="str">
        <x:v>Touchdown variance, receiving-role changes and backfield competition are the main downside paths.</x:v>
      </x:c>
      <x:c r="K6" t="str">
        <x:v>A</x:v>
      </x:c>
      <x:c r="L6" s="98" t="str">
        <x:v>RATE-ADJUSTED VETERAN</x:v>
      </x:c>
    </x:row>
    <x:row r="7">
      <x:c r="A7" t="n">
        <x:v>3</x:v>
      </x:c>
      <x:c r="B7" t="str">
        <x:v>Christian McCaffrey</x:v>
      </x:c>
      <x:c r="C7" s="48" t="n">
        <x:v>94.24472639320388</x:v>
      </x:c>
      <x:c r="D7" s="48" t="str">
        <x:v>TIER 1</x:v>
      </x:c>
      <x:c r="E7" s="48" t="n">
        <x:v>6</x:v>
      </x:c>
      <x:c r="F7" s="48" t="n">
        <x:v>7</x:v>
      </x:c>
      <x:c r="G7" s="48" t="n">
        <x:v>1</x:v>
      </x:c>
      <x:c r="H7" s="116" t="str">
        <x:v>Elite RB1 and first-round roster anchor with league-winning ceiling.</x:v>
      </x:c>
      <x:c r="I7" s="98" t="str">
        <x:v>He produced 24.5 PPR/FP points per game across 17 games. The workload/efficiency profile gives the model a rate-based reason to keep him here.</x:v>
      </x:c>
      <x:c r="J7" s="98" t="str">
        <x:v>Touchdown variance, receiving-role changes and backfield competition are the main downside paths.</x:v>
      </x:c>
      <x:c r="K7" t="str">
        <x:v>A</x:v>
      </x:c>
      <x:c r="L7" s="98" t="str">
        <x:v>RATE-ADJUSTED VETERAN</x:v>
      </x:c>
    </x:row>
    <x:row r="8">
      <x:c r="A8" t="n">
        <x:v>4</x:v>
      </x:c>
      <x:c r="B8" t="str">
        <x:v>Jonathan Taylor</x:v>
      </x:c>
      <x:c r="C8" s="48" t="n">
        <x:v>92.14700218120157</x:v>
      </x:c>
      <x:c r="D8" s="48" t="str">
        <x:v>TIER 1</x:v>
      </x:c>
      <x:c r="E8" s="48" t="n">
        <x:v>9</x:v>
      </x:c>
      <x:c r="F8" s="48" t="n">
        <x:v>11</x:v>
      </x:c>
      <x:c r="G8" s="48" t="n">
        <x:v>2</x:v>
      </x:c>
      <x:c r="H8" s="116" t="str">
        <x:v>Elite RB1 and first-round roster anchor with league-winning ceiling.</x:v>
      </x:c>
      <x:c r="I8" s="98" t="str">
        <x:v>He produced 21.3 PPR/FP points per game across 17 games. The workload/efficiency profile gives the model a rate-based reason to keep him here.</x:v>
      </x:c>
      <x:c r="J8" s="98" t="str">
        <x:v>Touchdown variance, receiving-role changes and backfield competition are the main downside paths.</x:v>
      </x:c>
      <x:c r="K8" t="str">
        <x:v>A</x:v>
      </x:c>
      <x:c r="L8" s="98" t="str">
        <x:v>RATE-ADJUSTED VETERAN</x:v>
      </x:c>
    </x:row>
    <x:row r="9">
      <x:c r="A9" t="n">
        <x:v>5</x:v>
      </x:c>
      <x:c r="B9" t="str">
        <x:v>Jeremiyah Love</x:v>
      </x:c>
      <x:c r="C9" s="48" t="n">
        <x:v>90.86590000000001</x:v>
      </x:c>
      <x:c r="D9" s="48" t="str">
        <x:v>TIER 1</x:v>
      </x:c>
      <x:c r="E9" s="48" t="n">
        <x:v>12</x:v>
      </x:c>
      <x:c r="F9" s="48" t="n">
        <x:v>18.8</x:v>
      </x:c>
      <x:c r="G9" s="48" t="n">
        <x:v>6.800000000000001</x:v>
      </x:c>
      <x:c r="H9" s="116" t="str">
        <x:v>Elite RB1 and first-round roster anchor with league-winning ceiling.</x:v>
      </x:c>
      <x:c r="I9" s="98" t="str">
        <x:v>Rookie score 98.0, backed by No. 3 draft capital and a 6.73 NFL prospect grade. The 2026 role projection is strong enough to replace missing NFL history.</x:v>
      </x:c>
      <x:c r="J9" s="98" t="str">
        <x:v>NFL translation and exact weekly role are the main variables; preseason first-team usage can move this rating quickly.</x:v>
      </x:c>
      <x:c r="K9" t="str">
        <x:v>B</x:v>
      </x:c>
      <x:c r="L9" s="98" t="str">
        <x:v>ROOKIE ENGINE</x:v>
      </x:c>
    </x:row>
    <x:row r="10">
      <x:c r="A10" t="n">
        <x:v>6</x:v>
      </x:c>
      <x:c r="B10" t="str">
        <x:v>Omarion Hampton</x:v>
      </x:c>
      <x:c r="C10" s="48" t="n">
        <x:v>88.64207068235326</x:v>
      </x:c>
      <x:c r="D10" s="48" t="str">
        <x:v>TIER 2</x:v>
      </x:c>
      <x:c r="E10" s="48" t="n">
        <x:v>14</x:v>
      </x:c>
      <x:c r="F10" s="48" t="n">
        <x:v>23</x:v>
      </x:c>
      <x:c r="G10" s="48" t="n">
        <x:v>9</x:v>
      </x:c>
      <x:c r="H10" s="116" t="str">
        <x:v>Strong RB1; weekly top-12 expectation with multi-touchdown ceiling.</x:v>
      </x:c>
      <x:c r="I10" s="98" t="str">
        <x:v>He produced 15.1 PPR/FP points per game across 9 games. The workload/efficiency profile gives the model a rate-based reason to keep him here.</x:v>
      </x:c>
      <x:c r="J10" s="98" t="str">
        <x:v>Availability/sample risk is elevated after only 9 games; talent is not being punished as heavily as durability.</x:v>
      </x:c>
      <x:c r="K10" t="str">
        <x:v>B</x:v>
      </x:c>
      <x:c r="L10" s="98" t="str">
        <x:v>RATE-ADJUSTED VETERAN</x:v>
      </x:c>
    </x:row>
    <x:row r="11">
      <x:c r="A11" t="n">
        <x:v>7</x:v>
      </x:c>
      <x:c r="B11" t="str">
        <x:v>De'Von Achane</x:v>
      </x:c>
      <x:c r="C11" s="48" t="n">
        <x:v>87.94401204138569</x:v>
      </x:c>
      <x:c r="D11" s="48" t="str">
        <x:v>TIER 2</x:v>
      </x:c>
      <x:c r="E11" s="48" t="n">
        <x:v>15</x:v>
      </x:c>
      <x:c r="F11" s="48" t="n">
        <x:v>18</x:v>
      </x:c>
      <x:c r="G11" s="48" t="n">
        <x:v>3</x:v>
      </x:c>
      <x:c r="H11" s="116" t="str">
        <x:v>Strong RB1; weekly top-12 expectation with multi-touchdown ceiling.</x:v>
      </x:c>
      <x:c r="I11" s="98" t="str">
        <x:v>He produced 20.2 PPR/FP points per game across 16 games. The workload/efficiency profile gives the model a rate-based reason to keep him here.</x:v>
      </x:c>
      <x:c r="J11" s="98" t="str">
        <x:v>Touchdown variance, receiving-role changes and backfield competition are the main downside paths.</x:v>
      </x:c>
      <x:c r="K11" t="str">
        <x:v>A</x:v>
      </x:c>
      <x:c r="L11" s="98" t="str">
        <x:v>RATE-ADJUSTED VETERAN</x:v>
      </x:c>
    </x:row>
    <x:row r="12">
      <x:c r="A12" t="n">
        <x:v>8</x:v>
      </x:c>
      <x:c r="B12" t="str">
        <x:v>Kenneth Walker III</x:v>
      </x:c>
      <x:c r="C12" s="48" t="n">
        <x:v>87.29261371508893</x:v>
      </x:c>
      <x:c r="D12" s="48" t="str">
        <x:v>TIER 2</x:v>
      </x:c>
      <x:c r="E12" s="48" t="n">
        <x:v>16</x:v>
      </x:c>
      <x:c r="F12" s="48" t="n">
        <x:v>31.400000000000002</x:v>
      </x:c>
      <x:c r="G12" s="48" t="n">
        <x:v>15.400000000000002</x:v>
      </x:c>
      <x:c r="H12" s="116" t="str">
        <x:v>Strong RB1; weekly top-12 expectation with multi-touchdown ceiling.</x:v>
      </x:c>
      <x:c r="I12" s="98" t="str">
        <x:v>He produced 11.3 PPR/FP points per game across 17 games. The workload/efficiency profile gives the model a rate-based reason to keep him here. Market price is favorable around ADP 31 versus model overall rank 16.</x:v>
      </x:c>
      <x:c r="J12" s="98" t="str">
        <x:v>Touchdown variance, receiving-role changes and backfield competition are the main downside paths.</x:v>
      </x:c>
      <x:c r="K12" t="str">
        <x:v>A</x:v>
      </x:c>
      <x:c r="L12" s="98" t="str">
        <x:v>RATE-ADJUSTED VETERAN</x:v>
      </x:c>
    </x:row>
    <x:row r="13">
      <x:c r="A13" t="n">
        <x:v>9</x:v>
      </x:c>
      <x:c r="B13" t="str">
        <x:v>James Cook III</x:v>
      </x:c>
      <x:c r="C13" s="48" t="n">
        <x:v>87.05801139512144</x:v>
      </x:c>
      <x:c r="D13" s="48" t="str">
        <x:v>TIER 2</x:v>
      </x:c>
      <x:c r="E13" s="48" t="n">
        <x:v>17</x:v>
      </x:c>
      <x:c r="F13" s="48" t="n">
        <x:v>15</x:v>
      </x:c>
      <x:c r="G13" s="48" t="n">
        <x:v>-2</x:v>
      </x:c>
      <x:c r="H13" s="116" t="str">
        <x:v>Strong RB1; weekly top-12 expectation with multi-touchdown ceiling.</x:v>
      </x:c>
      <x:c r="I13" s="98" t="str">
        <x:v>He produced 17.7 PPR/FP points per game across 17 games. The workload/efficiency profile gives the model a rate-based reason to keep him here.</x:v>
      </x:c>
      <x:c r="J13" s="98" t="str">
        <x:v>Touchdown variance, receiving-role changes and backfield competition are the main downside paths.</x:v>
      </x:c>
      <x:c r="K13" t="str">
        <x:v>A</x:v>
      </x:c>
      <x:c r="L13" s="98" t="str">
        <x:v>RATE-ADJUSTED VETERAN</x:v>
      </x:c>
    </x:row>
    <x:row r="14">
      <x:c r="A14" t="n">
        <x:v>10</x:v>
      </x:c>
      <x:c r="B14" t="str">
        <x:v>Kyren Williams</x:v>
      </x:c>
      <x:c r="C14" s="48" t="n">
        <x:v>85.94862618540519</x:v>
      </x:c>
      <x:c r="D14" s="48" t="str">
        <x:v>TIER 2</x:v>
      </x:c>
      <x:c r="E14" s="48" t="n">
        <x:v>21</x:v>
      </x:c>
      <x:c r="F14" s="48" t="n">
        <x:v>39.800000000000004</x:v>
      </x:c>
      <x:c r="G14" s="48" t="n">
        <x:v>18.800000000000004</x:v>
      </x:c>
      <x:c r="H14" s="116" t="str">
        <x:v>Strong RB1; weekly top-12 expectation with multi-touchdown ceiling.</x:v>
      </x:c>
      <x:c r="I14" s="98" t="str">
        <x:v>He produced 15.5 PPR/FP points per game across 17 games. The workload/efficiency profile gives the model a rate-based reason to keep him here. Market price is favorable around ADP 40 versus model overall rank 21.</x:v>
      </x:c>
      <x:c r="J14" s="98" t="str">
        <x:v>Touchdown variance, receiving-role changes and backfield competition are the main downside paths.</x:v>
      </x:c>
      <x:c r="K14" t="str">
        <x:v>A</x:v>
      </x:c>
      <x:c r="L14" s="98" t="str">
        <x:v>RATE-ADJUSTED VETERAN</x:v>
      </x:c>
    </x:row>
    <x:row r="15">
      <x:c r="A15" t="n">
        <x:v>11</x:v>
      </x:c>
      <x:c r="B15" t="str">
        <x:v>Breece Hall</x:v>
      </x:c>
      <x:c r="C15" s="48" t="n">
        <x:v>85.89523439048523</x:v>
      </x:c>
      <x:c r="D15" s="48" t="str">
        <x:v>TIER 2</x:v>
      </x:c>
      <x:c r="E15" s="48" t="n">
        <x:v>23</x:v>
      </x:c>
      <x:c r="F15" s="48" t="n">
        <x:v>44</x:v>
      </x:c>
      <x:c r="G15" s="48" t="n">
        <x:v>21</x:v>
      </x:c>
      <x:c r="H15" s="116" t="str">
        <x:v>Strong RB1; weekly top-12 expectation with multi-touchdown ceiling.</x:v>
      </x:c>
      <x:c r="I15" s="98" t="str">
        <x:v>He produced 12.9 PPR/FP points per game across 16 games. The workload/efficiency profile gives the model a rate-based reason to keep him here. Market price is favorable around ADP 44 versus model overall rank 23.</x:v>
      </x:c>
      <x:c r="J15" s="98" t="str">
        <x:v>Touchdown variance, receiving-role changes and backfield competition are the main downside paths.</x:v>
      </x:c>
      <x:c r="K15" t="str">
        <x:v>A</x:v>
      </x:c>
      <x:c r="L15" s="98" t="str">
        <x:v>RATE-ADJUSTED VETERAN</x:v>
      </x:c>
    </x:row>
    <x:row r="16">
      <x:c r="A16" t="n">
        <x:v>12</x:v>
      </x:c>
      <x:c r="B16" t="str">
        <x:v>Ashton Jeanty</x:v>
      </x:c>
      <x:c r="C16" s="48" t="n">
        <x:v>85.84326054048074</x:v>
      </x:c>
      <x:c r="D16" s="48" t="str">
        <x:v>TIER 2</x:v>
      </x:c>
      <x:c r="E16" s="48" t="n">
        <x:v>24</x:v>
      </x:c>
      <x:c r="F16" s="48" t="n">
        <x:v>13</x:v>
      </x:c>
      <x:c r="G16" s="48" t="n">
        <x:v>-11</x:v>
      </x:c>
      <x:c r="H16" s="116" t="str">
        <x:v>Strong RB1; weekly top-12 expectation with multi-touchdown ceiling.</x:v>
      </x:c>
      <x:c r="I16" s="98" t="str">
        <x:v>He produced 14.4 PPR/FP points per game across 17 games. The workload/efficiency profile gives the model a rate-based reason to keep him here. The market is more aggressive at ADP 13 versus model overall rank 24, so price matters.</x:v>
      </x:c>
      <x:c r="J16" s="98" t="str">
        <x:v>Price is the biggest risk: the market currently asks you to draft him earlier than the model prefers.</x:v>
      </x:c>
      <x:c r="K16" t="str">
        <x:v>A</x:v>
      </x:c>
      <x:c r="L16" s="98" t="str">
        <x:v>RATE-ADJUSTED VETERAN</x:v>
      </x:c>
    </x:row>
    <x:row r="17">
      <x:c r="A17" t="n">
        <x:v>13</x:v>
      </x:c>
      <x:c r="B17" t="str">
        <x:v>Derrick Henry</x:v>
      </x:c>
      <x:c r="C17" s="48" t="n">
        <x:v>85.66739845204964</x:v>
      </x:c>
      <x:c r="D17" s="48" t="str">
        <x:v>TIER 2</x:v>
      </x:c>
      <x:c r="E17" s="48" t="n">
        <x:v>26</x:v>
      </x:c>
      <x:c r="F17" s="48" t="n">
        <x:v>52.400000000000006</x:v>
      </x:c>
      <x:c r="G17" s="48" t="n">
        <x:v>26.400000000000006</x:v>
      </x:c>
      <x:c r="H17" s="116" t="str">
        <x:v>RB2 with RB1 weeks; should be a regular starter.</x:v>
      </x:c>
      <x:c r="I17" s="98" t="str">
        <x:v>He produced 16.5 PPR/FP points per game across 17 games. The workload/efficiency profile gives the model a rate-based reason to keep him here. Market price is favorable around ADP 52 versus model overall rank 26.</x:v>
      </x:c>
      <x:c r="J17" s="98" t="str">
        <x:v>Touchdown variance, receiving-role changes and backfield competition are the main downside paths.</x:v>
      </x:c>
      <x:c r="K17" t="str">
        <x:v>A</x:v>
      </x:c>
      <x:c r="L17" s="98" t="str">
        <x:v>RATE-ADJUSTED VETERAN</x:v>
      </x:c>
    </x:row>
    <x:row r="18">
      <x:c r="A18" t="n">
        <x:v>14</x:v>
      </x:c>
      <x:c r="B18" t="str">
        <x:v>Chase Brown</x:v>
      </x:c>
      <x:c r="C18" s="48" t="n">
        <x:v>85.66441832712566</x:v>
      </x:c>
      <x:c r="D18" s="48" t="str">
        <x:v>TIER 2</x:v>
      </x:c>
      <x:c r="E18" s="48" t="n">
        <x:v>27</x:v>
      </x:c>
      <x:c r="F18" s="48" t="n">
        <x:v>21</x:v>
      </x:c>
      <x:c r="G18" s="48" t="n">
        <x:v>-6</x:v>
      </x:c>
      <x:c r="H18" s="116" t="str">
        <x:v>RB2 with RB1 weeks; should be a regular starter.</x:v>
      </x:c>
      <x:c r="I18" s="98" t="str">
        <x:v>He produced 16.7 PPR/FP points per game across 17 games. The workload/efficiency profile gives the model a rate-based reason to keep him here.</x:v>
      </x:c>
      <x:c r="J18" s="98" t="str">
        <x:v>Touchdown variance, receiving-role changes and backfield competition are the main downside paths.</x:v>
      </x:c>
      <x:c r="K18" t="str">
        <x:v>A</x:v>
      </x:c>
      <x:c r="L18" s="98" t="str">
        <x:v>RATE-ADJUSTED VETERAN</x:v>
      </x:c>
    </x:row>
    <x:row r="19">
      <x:c r="A19" t="n">
        <x:v>15</x:v>
      </x:c>
      <x:c r="B19" t="str">
        <x:v>Josh Jacobs</x:v>
      </x:c>
      <x:c r="C19" s="48" t="n">
        <x:v>84.42639357709083</x:v>
      </x:c>
      <x:c r="D19" s="48" t="str">
        <x:v>TIER 3</x:v>
      </x:c>
      <x:c r="E19" s="48" t="n">
        <x:v>33</x:v>
      </x:c>
      <x:c r="F19" s="48" t="n">
        <x:v>60.800000000000004</x:v>
      </x:c>
      <x:c r="G19" s="48" t="n">
        <x:v>27.800000000000004</x:v>
      </x:c>
      <x:c r="H19" s="116" t="str">
        <x:v>RB2 with RB1 weeks; should be a regular starter.</x:v>
      </x:c>
      <x:c r="I19" s="98" t="str">
        <x:v>He produced 15.8 PPR/FP points per game across 15 games. The workload/efficiency profile gives the model a rate-based reason to keep him here. Market price is favorable around ADP 61 versus model overall rank 33.</x:v>
      </x:c>
      <x:c r="J19" s="98" t="str">
        <x:v>Touchdown variance, receiving-role changes and backfield competition are the main downside paths.</x:v>
      </x:c>
      <x:c r="K19" t="str">
        <x:v>A</x:v>
      </x:c>
      <x:c r="L19" s="98" t="str">
        <x:v>RATE-ADJUSTED VETERAN</x:v>
      </x:c>
    </x:row>
    <x:row r="20">
      <x:c r="A20" t="n">
        <x:v>16</x:v>
      </x:c>
      <x:c r="B20" t="str">
        <x:v>Saquon Barkley</x:v>
      </x:c>
      <x:c r="C20" s="48" t="n">
        <x:v>84.03395323879701</x:v>
      </x:c>
      <x:c r="D20" s="48" t="str">
        <x:v>TIER 3</x:v>
      </x:c>
      <x:c r="E20" s="48" t="n">
        <x:v>34</x:v>
      </x:c>
      <x:c r="F20" s="48" t="n">
        <x:v>65</x:v>
      </x:c>
      <x:c r="G20" s="48" t="n">
        <x:v>31</x:v>
      </x:c>
      <x:c r="H20" s="116" t="str">
        <x:v>RB2 with RB1 weeks; should be a regular starter.</x:v>
      </x:c>
      <x:c r="I20" s="98" t="str">
        <x:v>He produced 14.5 PPR/FP points per game across 16 games. The workload/efficiency profile gives the model a rate-based reason to keep him here. Market price is favorable around ADP 65 versus model overall rank 34.</x:v>
      </x:c>
      <x:c r="J20" s="98" t="str">
        <x:v>Touchdown variance, receiving-role changes and backfield competition are the main downside paths.</x:v>
      </x:c>
      <x:c r="K20" t="str">
        <x:v>A</x:v>
      </x:c>
      <x:c r="L20" s="98" t="str">
        <x:v>RATE-ADJUSTED VETERAN</x:v>
      </x:c>
    </x:row>
    <x:row r="21">
      <x:c r="A21" t="n">
        <x:v>17</x:v>
      </x:c>
      <x:c r="B21" t="str">
        <x:v>Javonte Williams</x:v>
      </x:c>
      <x:c r="C21" s="48" t="n">
        <x:v>83.80323538924502</x:v>
      </x:c>
      <x:c r="D21" s="48" t="str">
        <x:v>TIER 3</x:v>
      </x:c>
      <x:c r="E21" s="48" t="n">
        <x:v>35</x:v>
      </x:c>
      <x:c r="F21" s="48" t="n">
        <x:v>69.2</x:v>
      </x:c>
      <x:c r="G21" s="48" t="n">
        <x:v>34.2</x:v>
      </x:c>
      <x:c r="H21" s="116" t="str">
        <x:v>RB2 with RB1 weeks; should be a regular starter.</x:v>
      </x:c>
      <x:c r="I21" s="98" t="str">
        <x:v>He produced 15.2 PPR/FP points per game across 16 games. The workload/efficiency profile gives the model a rate-based reason to keep him here. Market price is favorable around ADP 69 versus model overall rank 35.</x:v>
      </x:c>
      <x:c r="J21" s="98" t="str">
        <x:v>Touchdown variance, receiving-role changes and backfield competition are the main downside paths.</x:v>
      </x:c>
      <x:c r="K21" t="str">
        <x:v>A</x:v>
      </x:c>
      <x:c r="L21" s="98" t="str">
        <x:v>RATE-ADJUSTED VETERAN</x:v>
      </x:c>
    </x:row>
    <x:row r="22">
      <x:c r="A22" t="n">
        <x:v>18</x:v>
      </x:c>
      <x:c r="B22" t="str">
        <x:v>Travis Etienne Jr.</x:v>
      </x:c>
      <x:c r="C22" s="48" t="n">
        <x:v>83.04362987072798</x:v>
      </x:c>
      <x:c r="D22" s="48" t="str">
        <x:v>TIER 3</x:v>
      </x:c>
      <x:c r="E22" s="48" t="n">
        <x:v>39</x:v>
      </x:c>
      <x:c r="F22" s="48" t="n">
        <x:v>73.4</x:v>
      </x:c>
      <x:c r="G22" s="48" t="n">
        <x:v>34.400000000000006</x:v>
      </x:c>
      <x:c r="H22" s="116" t="str">
        <x:v>RB2 with RB1 weeks; should be a regular starter.</x:v>
      </x:c>
      <x:c r="I22" s="98" t="str">
        <x:v>He produced 14.9 PPR/FP points per game across 17 games. The workload/efficiency profile gives the model a rate-based reason to keep him here. Market price is favorable around ADP 73 versus model overall rank 39.</x:v>
      </x:c>
      <x:c r="J22" s="98" t="str">
        <x:v>Touchdown variance, receiving-role changes and backfield competition are the main downside paths.</x:v>
      </x:c>
      <x:c r="K22" t="str">
        <x:v>A</x:v>
      </x:c>
      <x:c r="L22" s="98" t="str">
        <x:v>RATE-ADJUSTED VETERAN</x:v>
      </x:c>
    </x:row>
    <x:row r="23">
      <x:c r="A23" t="n">
        <x:v>19</x:v>
      </x:c>
      <x:c r="B23" t="str">
        <x:v>Cam Skattebo</x:v>
      </x:c>
      <x:c r="C23" s="48" t="n">
        <x:v>81.88843624288153</x:v>
      </x:c>
      <x:c r="D23" s="48" t="str">
        <x:v>TIER 3</x:v>
      </x:c>
      <x:c r="E23" s="48" t="n">
        <x:v>42</x:v>
      </x:c>
      <x:c r="F23" s="48" t="n">
        <x:v>77.60000000000001</x:v>
      </x:c>
      <x:c r="G23" s="48" t="n">
        <x:v>35.60000000000001</x:v>
      </x:c>
      <x:c r="H23" s="116" t="str">
        <x:v>RB2 with RB1 weeks; should be a regular starter.</x:v>
      </x:c>
      <x:c r="I23" s="98" t="str">
        <x:v>He produced 16.0 PPR/FP points per game across 8 games. The workload/efficiency profile gives the model a rate-based reason to keep him here. Market price is favorable around ADP 78 versus model overall rank 42.</x:v>
      </x:c>
      <x:c r="J23" s="98" t="str">
        <x:v>Availability/sample risk is elevated after only 8 games; talent is not being punished as heavily as durability.</x:v>
      </x:c>
      <x:c r="K23" t="str">
        <x:v>B</x:v>
      </x:c>
      <x:c r="L23" s="98" t="str">
        <x:v>RATE-ADJUSTED VETERAN</x:v>
      </x:c>
    </x:row>
    <x:row r="24">
      <x:c r="A24" t="n">
        <x:v>20</x:v>
      </x:c>
      <x:c r="B24" t="str">
        <x:v>D'Andre Swift</x:v>
      </x:c>
      <x:c r="C24" s="48" t="n">
        <x:v>79.98556548600793</x:v>
      </x:c>
      <x:c r="D24" s="48" t="str">
        <x:v>TIER 4</x:v>
      </x:c>
      <x:c r="E24" s="48" t="n">
        <x:v>47</x:v>
      </x:c>
      <x:c r="F24" s="48" t="n">
        <x:v>81.8</x:v>
      </x:c>
      <x:c r="G24" s="48" t="n">
        <x:v>34.8</x:v>
      </x:c>
      <x:c r="H24" s="116" t="str">
        <x:v>RB2 with RB1 weeks; should be a regular starter.</x:v>
      </x:c>
      <x:c r="I24" s="98" t="str">
        <x:v>He produced 14.3 PPR/FP points per game across 16 games. The workload/efficiency profile gives the model a rate-based reason to keep him here. Market price is favorable around ADP 82 versus model overall rank 47.</x:v>
      </x:c>
      <x:c r="J24" s="98" t="str">
        <x:v>Touchdown variance, receiving-role changes and backfield competition are the main downside paths.</x:v>
      </x:c>
      <x:c r="K24" t="str">
        <x:v>A</x:v>
      </x:c>
      <x:c r="L24" s="98" t="str">
        <x:v>RATE-ADJUSTED VETERAN</x:v>
      </x:c>
    </x:row>
    <x:row r="25">
      <x:c r="A25" t="n">
        <x:v>21</x:v>
      </x:c>
      <x:c r="B25" t="str">
        <x:v>Bucky Irving</x:v>
      </x:c>
      <x:c r="C25" s="48" t="n">
        <x:v>79.93547988785315</x:v>
      </x:c>
      <x:c r="D25" s="48" t="str">
        <x:v>TIER 4</x:v>
      </x:c>
      <x:c r="E25" s="48" t="n">
        <x:v>48</x:v>
      </x:c>
      <x:c r="F25" s="48" t="n">
        <x:v>86</x:v>
      </x:c>
      <x:c r="G25" s="48" t="n">
        <x:v>38</x:v>
      </x:c>
      <x:c r="H25" s="116" t="str">
        <x:v>RB2/FLEX; useful weekly but role and receiving volume matter.</x:v>
      </x:c>
      <x:c r="I25" s="98" t="str">
        <x:v>He produced 13.8 PPR/FP points per game across 10 games. The workload/efficiency profile gives the model a rate-based reason to keep him here. Market price is favorable around ADP 86 versus model overall rank 48.</x:v>
      </x:c>
      <x:c r="J25" s="98" t="str">
        <x:v>Touchdown variance, receiving-role changes and backfield competition are the main downside paths.</x:v>
      </x:c>
      <x:c r="K25" t="str">
        <x:v>B</x:v>
      </x:c>
      <x:c r="L25" s="98" t="str">
        <x:v>RATE-ADJUSTED VETERAN</x:v>
      </x:c>
    </x:row>
    <x:row r="26">
      <x:c r="A26" t="n">
        <x:v>22</x:v>
      </x:c>
      <x:c r="B26" t="str">
        <x:v>Quinshon Judkins</x:v>
      </x:c>
      <x:c r="C26" s="48" t="n">
        <x:v>79.930324528899</x:v>
      </x:c>
      <x:c r="D26" s="48" t="str">
        <x:v>TIER 4</x:v>
      </x:c>
      <x:c r="E26" s="48" t="n">
        <x:v>49</x:v>
      </x:c>
      <x:c r="F26" s="48" t="n">
        <x:v>90.2</x:v>
      </x:c>
      <x:c r="G26" s="48" t="n">
        <x:v>41.2</x:v>
      </x:c>
      <x:c r="H26" s="116" t="str">
        <x:v>RB2/FLEX; useful weekly but role and receiving volume matter.</x:v>
      </x:c>
      <x:c r="I26" s="98" t="str">
        <x:v>He produced 12.2 PPR/FP points per game across 14 games. The workload/efficiency profile gives the model a rate-based reason to keep him here. Market price is favorable around ADP 90 versus model overall rank 49.</x:v>
      </x:c>
      <x:c r="J26" s="98" t="str">
        <x:v>Touchdown variance, receiving-role changes and backfield competition are the main downside paths.</x:v>
      </x:c>
      <x:c r="K26" t="str">
        <x:v>A</x:v>
      </x:c>
      <x:c r="L26" s="98" t="str">
        <x:v>RATE-ADJUSTED VETERAN</x:v>
      </x:c>
    </x:row>
    <x:row r="27">
      <x:c r="A27" t="n">
        <x:v>23</x:v>
      </x:c>
      <x:c r="B27" t="str">
        <x:v>David Montgomery</x:v>
      </x:c>
      <x:c r="C27" s="48" t="n">
        <x:v>77.91019458711787</x:v>
      </x:c>
      <x:c r="D27" s="48" t="str">
        <x:v>TIER 4</x:v>
      </x:c>
      <x:c r="E27" s="48" t="n">
        <x:v>59</x:v>
      </x:c>
      <x:c r="F27" s="48" t="n">
        <x:v>94.4</x:v>
      </x:c>
      <x:c r="G27" s="48" t="n">
        <x:v>35.400000000000006</x:v>
      </x:c>
      <x:c r="H27" s="116" t="str">
        <x:v>RB2/FLEX; useful weekly but role and receiving volume matter.</x:v>
      </x:c>
      <x:c r="I27" s="98" t="str">
        <x:v>He produced 9.8 PPR/FP points per game across 17 games. The workload/efficiency profile gives the model a rate-based reason to keep him here. Market price is favorable around ADP 94 versus model overall rank 59.</x:v>
      </x:c>
      <x:c r="J27" s="98" t="str">
        <x:v>Touchdown variance, receiving-role changes and backfield competition are the main downside paths.</x:v>
      </x:c>
      <x:c r="K27" t="str">
        <x:v>A</x:v>
      </x:c>
      <x:c r="L27" s="98" t="str">
        <x:v>RATE-ADJUSTED VETERAN</x:v>
      </x:c>
    </x:row>
    <x:row r="28">
      <x:c r="A28" t="n">
        <x:v>24</x:v>
      </x:c>
      <x:c r="B28" t="str">
        <x:v>TreVeyon Henderson</x:v>
      </x:c>
      <x:c r="C28" s="48" t="n">
        <x:v>77.83249669656783</x:v>
      </x:c>
      <x:c r="D28" s="48" t="str">
        <x:v>TIER 4</x:v>
      </x:c>
      <x:c r="E28" s="48" t="n">
        <x:v>60</x:v>
      </x:c>
      <x:c r="F28" s="48" t="n">
        <x:v>98.60000000000001</x:v>
      </x:c>
      <x:c r="G28" s="48" t="n">
        <x:v>38.60000000000001</x:v>
      </x:c>
      <x:c r="H28" s="116" t="str">
        <x:v>RB2/FLEX; useful weekly but role and receiving volume matter.</x:v>
      </x:c>
      <x:c r="I28" s="98" t="str">
        <x:v>He produced 12.2 PPR/FP points per game across 17 games. The workload/efficiency profile gives the model a rate-based reason to keep him here. Market price is favorable around ADP 99 versus model overall rank 60.</x:v>
      </x:c>
      <x:c r="J28" s="98" t="str">
        <x:v>Touchdown variance, receiving-role changes and backfield competition are the main downside paths.</x:v>
      </x:c>
      <x:c r="K28" t="str">
        <x:v>A</x:v>
      </x:c>
      <x:c r="L28" s="98" t="str">
        <x:v>RATE-ADJUSTED VETERAN</x:v>
      </x:c>
    </x:row>
    <x:row r="29">
      <x:c r="A29" t="n">
        <x:v>25</x:v>
      </x:c>
      <x:c r="B29" t="str">
        <x:v>Jadarian Price</x:v>
      </x:c>
      <x:c r="C29" s="48" t="n">
        <x:v>76.66217827185447</x:v>
      </x:c>
      <x:c r="D29" s="48" t="str">
        <x:v>TIER 4</x:v>
      </x:c>
      <x:c r="E29" s="48" t="n">
        <x:v>66</x:v>
      </x:c>
      <x:c r="F29" s="48" t="n">
        <x:v>102.80000000000001</x:v>
      </x:c>
      <x:c r="G29" s="48" t="n">
        <x:v>36.80000000000001</x:v>
      </x:c>
      <x:c r="H29" s="116" t="str">
        <x:v>RB2/FLEX; useful weekly but role and receiving volume matter.</x:v>
      </x:c>
      <x:c r="I29" s="98" t="str">
        <x:v>Rookie score 85.6, backed by No. 32 draft capital and a 6.38 NFL prospect grade. The 2026 role projection is strong enough to replace missing NFL history. Market price is favorable around ADP 103 versus model overall rank 66.</x:v>
      </x:c>
      <x:c r="J29" s="98" t="str">
        <x:v>NFL translation and exact weekly role are the main variables; preseason first-team usage can move this rating quickly.</x:v>
      </x:c>
      <x:c r="K29" t="str">
        <x:v>B</x:v>
      </x:c>
      <x:c r="L29" s="98" t="str">
        <x:v>ROOKIE ENGINE</x:v>
      </x:c>
    </x:row>
    <x:row r="30">
      <x:c r="A30" t="n">
        <x:v>26</x:v>
      </x:c>
      <x:c r="B30" t="str">
        <x:v>Jaylen Warren</x:v>
      </x:c>
      <x:c r="C30" s="48" t="n">
        <x:v>76.09178759711432</x:v>
      </x:c>
      <x:c r="D30" s="48" t="str">
        <x:v>TIER 4</x:v>
      </x:c>
      <x:c r="E30" s="48" t="n">
        <x:v>69</x:v>
      </x:c>
      <x:c r="F30" s="48" t="n">
        <x:v>107</x:v>
      </x:c>
      <x:c r="G30" s="48" t="n">
        <x:v>38</x:v>
      </x:c>
      <x:c r="H30" s="116" t="str">
        <x:v>RB2/FLEX; useful weekly but role and receiving volume matter.</x:v>
      </x:c>
      <x:c r="I30" s="98" t="str">
        <x:v>He produced 13.6 PPR/FP points per game across 16 games. The workload/efficiency profile gives the model a rate-based reason to keep him here. Market price is favorable around ADP 107 versus model overall rank 69.</x:v>
      </x:c>
      <x:c r="J30" s="98" t="str">
        <x:v>Touchdown variance, receiving-role changes and backfield competition are the main downside paths.</x:v>
      </x:c>
      <x:c r="K30" t="str">
        <x:v>A</x:v>
      </x:c>
      <x:c r="L30" s="98" t="str">
        <x:v>RATE-ADJUSTED VETERAN</x:v>
      </x:c>
    </x:row>
    <x:row r="31">
      <x:c r="A31" t="n">
        <x:v>27</x:v>
      </x:c>
      <x:c r="B31" t="str">
        <x:v>Rico Dowdle</x:v>
      </x:c>
      <x:c r="C31" s="48" t="n">
        <x:v>75.78578939506124</x:v>
      </x:c>
      <x:c r="D31" s="48" t="str">
        <x:v>TIER 4</x:v>
      </x:c>
      <x:c r="E31" s="48" t="n">
        <x:v>74</x:v>
      </x:c>
      <x:c r="F31" s="48" t="n">
        <x:v>111.2</x:v>
      </x:c>
      <x:c r="G31" s="48" t="n">
        <x:v>37.2</x:v>
      </x:c>
      <x:c r="H31" s="116" t="str">
        <x:v>RB2/FLEX; useful weekly but role and receiving volume matter.</x:v>
      </x:c>
      <x:c r="I31" s="98" t="str">
        <x:v>He produced 12.7 PPR/FP points per game across 17 games. The workload/efficiency profile gives the model a rate-based reason to keep him here. Market price is favorable around ADP 111 versus model overall rank 74.</x:v>
      </x:c>
      <x:c r="J31" s="98" t="str">
        <x:v>Touchdown variance, receiving-role changes and backfield competition are the main downside paths.</x:v>
      </x:c>
      <x:c r="K31" t="str">
        <x:v>A</x:v>
      </x:c>
      <x:c r="L31" s="98" t="str">
        <x:v>RATE-ADJUSTED VETERAN</x:v>
      </x:c>
    </x:row>
    <x:row r="32">
      <x:c r="A32" t="n">
        <x:v>28</x:v>
      </x:c>
      <x:c r="B32" t="str">
        <x:v>Tony Pollard</x:v>
      </x:c>
      <x:c r="C32" s="48" t="n">
        <x:v>75.0986337752362</x:v>
      </x:c>
      <x:c r="D32" s="48" t="str">
        <x:v>TIER 4</x:v>
      </x:c>
      <x:c r="E32" s="48" t="n">
        <x:v>81</x:v>
      </x:c>
      <x:c r="F32" s="48" t="n">
        <x:v>115.4</x:v>
      </x:c>
      <x:c r="G32" s="48" t="n">
        <x:v>34.400000000000006</x:v>
      </x:c>
      <x:c r="H32" s="116" t="str">
        <x:v>RB2/FLEX; useful weekly but role and receiving volume matter.</x:v>
      </x:c>
      <x:c r="I32" s="98" t="str">
        <x:v>He produced 10.9 PPR/FP points per game across 17 games. The workload/efficiency profile gives the model a rate-based reason to keep him here. Market price is favorable around ADP 115 versus model overall rank 81.</x:v>
      </x:c>
      <x:c r="J32" s="98" t="str">
        <x:v>Touchdown variance, receiving-role changes and backfield competition are the main downside paths.</x:v>
      </x:c>
      <x:c r="K32" t="str">
        <x:v>A</x:v>
      </x:c>
      <x:c r="L32" s="98" t="str">
        <x:v>RATE-ADJUSTED VETERAN</x:v>
      </x:c>
    </x:row>
    <x:row r="33">
      <x:c r="A33" t="n">
        <x:v>29</x:v>
      </x:c>
      <x:c r="B33" t="str">
        <x:v>Rhamondre Stevenson</x:v>
      </x:c>
      <x:c r="C33" s="48" t="n">
        <x:v>74.58812104950168</x:v>
      </x:c>
      <x:c r="D33" s="48" t="str">
        <x:v>TIER 5</x:v>
      </x:c>
      <x:c r="E33" s="48" t="n">
        <x:v>84</x:v>
      </x:c>
      <x:c r="F33" s="48" t="n">
        <x:v>119.60000000000001</x:v>
      </x:c>
      <x:c r="G33" s="48" t="n">
        <x:v>35.60000000000001</x:v>
      </x:c>
      <x:c r="H33" s="116" t="str">
        <x:v>RB2/FLEX; useful weekly but role and receiving volume matter.</x:v>
      </x:c>
      <x:c r="I33" s="98" t="str">
        <x:v>He produced 12.8 PPR/FP points per game across 14 games. The workload/efficiency profile gives the model a rate-based reason to keep him here. Market price is favorable around ADP 120 versus model overall rank 84.</x:v>
      </x:c>
      <x:c r="J33" s="98" t="str">
        <x:v>Touchdown variance, receiving-role changes and backfield competition are the main downside paths.</x:v>
      </x:c>
      <x:c r="K33" t="str">
        <x:v>A</x:v>
      </x:c>
      <x:c r="L33" s="98" t="str">
        <x:v>RATE-ADJUSTED VETERAN</x:v>
      </x:c>
    </x:row>
    <x:row r="34">
      <x:c r="A34" t="n">
        <x:v>30</x:v>
      </x:c>
      <x:c r="B34" t="str">
        <x:v>Kenneth Gainwell</x:v>
      </x:c>
      <x:c r="C34" s="48" t="n">
        <x:v>74.50491919835545</x:v>
      </x:c>
      <x:c r="D34" s="48" t="str">
        <x:v>TIER 5</x:v>
      </x:c>
      <x:c r="E34" s="48" t="n">
        <x:v>86</x:v>
      </x:c>
      <x:c r="F34" s="48" t="n">
        <x:v>123.80000000000001</x:v>
      </x:c>
      <x:c r="G34" s="48" t="n">
        <x:v>37.80000000000001</x:v>
      </x:c>
      <x:c r="H34" s="116" t="str">
        <x:v>RB2/FLEX; useful weekly but role and receiving volume matter.</x:v>
      </x:c>
      <x:c r="I34" s="98" t="str">
        <x:v>He produced 13.0 PPR/FP points per game across 17 games. The workload/efficiency profile gives the model a rate-based reason to keep him here. Market price is favorable around ADP 124 versus model overall rank 86.</x:v>
      </x:c>
      <x:c r="J34" s="98" t="str">
        <x:v>Touchdown variance, receiving-role changes and backfield competition are the main downside paths.</x:v>
      </x:c>
      <x:c r="K34" t="str">
        <x:v>A</x:v>
      </x:c>
      <x:c r="L34" s="98" t="str">
        <x:v>RATE-ADJUSTED VETERAN</x:v>
      </x:c>
    </x:row>
    <x:row r="35">
      <x:c r="A35" t="n">
        <x:v>31</x:v>
      </x:c>
      <x:c r="B35" t="str">
        <x:v>Bhayshul Tuten</x:v>
      </x:c>
      <x:c r="C35" s="48" t="n">
        <x:v>74.46766975676302</x:v>
      </x:c>
      <x:c r="D35" s="48" t="str">
        <x:v>TIER 5</x:v>
      </x:c>
      <x:c r="E35" s="48" t="n">
        <x:v>89</x:v>
      </x:c>
      <x:c r="F35" s="48" t="n">
        <x:v>128</x:v>
      </x:c>
      <x:c r="G35" s="48" t="n">
        <x:v>39</x:v>
      </x:c>
      <x:c r="H35" s="116" t="str">
        <x:v>FLEX/bench depth with upside if workload grows.</x:v>
      </x:c>
      <x:c r="I35" s="98" t="str">
        <x:v>He produced 5.9 PPR/FP points per game across 15 games. The workload/efficiency profile gives the model a rate-based reason to keep him here. Market price is favorable around ADP 128 versus model overall rank 89.</x:v>
      </x:c>
      <x:c r="J35" s="98" t="str">
        <x:v>Touchdown variance, receiving-role changes and backfield competition are the main downside paths.</x:v>
      </x:c>
      <x:c r="K35" t="str">
        <x:v>A</x:v>
      </x:c>
      <x:c r="L35" s="98" t="str">
        <x:v>RATE-ADJUSTED VETERAN</x:v>
      </x:c>
    </x:row>
    <x:row r="36">
      <x:c r="A36" t="n">
        <x:v>32</x:v>
      </x:c>
      <x:c r="B36" t="str">
        <x:v>RJ Harvey</x:v>
      </x:c>
      <x:c r="C36" s="48" t="n">
        <x:v>73.56779045370797</x:v>
      </x:c>
      <x:c r="D36" s="48" t="str">
        <x:v>TIER 5</x:v>
      </x:c>
      <x:c r="E36" s="48" t="n">
        <x:v>96</x:v>
      </x:c>
      <x:c r="F36" s="48" t="n">
        <x:v>132.20000000000002</x:v>
      </x:c>
      <x:c r="G36" s="48" t="n">
        <x:v>36.20000000000002</x:v>
      </x:c>
      <x:c r="H36" s="116" t="str">
        <x:v>FLEX/bench depth with upside if workload grows.</x:v>
      </x:c>
      <x:c r="I36" s="98" t="str">
        <x:v>He produced 12.2 PPR/FP points per game across 17 games. The workload/efficiency profile gives the model a rate-based reason to keep him here. Market price is favorable around ADP 132 versus model overall rank 96.</x:v>
      </x:c>
      <x:c r="J36" s="98" t="str">
        <x:v>Touchdown variance, receiving-role changes and backfield competition are the main downside paths.</x:v>
      </x:c>
      <x:c r="K36" t="str">
        <x:v>A</x:v>
      </x:c>
      <x:c r="L36" s="98" t="str">
        <x:v>RATE-ADJUSTED VETERAN</x:v>
      </x:c>
    </x:row>
    <x:row r="37">
      <x:c r="A37" t="n">
        <x:v>33</x:v>
      </x:c>
      <x:c r="B37" t="str">
        <x:v>Kyle Monangai</x:v>
      </x:c>
      <x:c r="C37" s="48" t="n">
        <x:v>72.61019893136515</x:v>
      </x:c>
      <x:c r="D37" s="48" t="str">
        <x:v>TIER 5</x:v>
      </x:c>
      <x:c r="E37" s="48" t="n">
        <x:v>102</x:v>
      </x:c>
      <x:c r="F37" s="48" t="n">
        <x:v>136.4</x:v>
      </x:c>
      <x:c r="G37" s="48" t="n">
        <x:v>34.400000000000006</x:v>
      </x:c>
      <x:c r="H37" s="116" t="str">
        <x:v>FLEX/bench depth with upside if workload grows.</x:v>
      </x:c>
      <x:c r="I37" s="98" t="str">
        <x:v>He produced 8.7 PPR/FP points per game across 17 games. The workload/efficiency profile gives the model a rate-based reason to keep him here. Market price is favorable around ADP 136 versus model overall rank 102.</x:v>
      </x:c>
      <x:c r="J37" s="98" t="str">
        <x:v>Touchdown variance, receiving-role changes and backfield competition are the main downside paths.</x:v>
      </x:c>
      <x:c r="K37" t="str">
        <x:v>A</x:v>
      </x:c>
      <x:c r="L37" s="98" t="str">
        <x:v>RATE-ADJUSTED VETERAN</x:v>
      </x:c>
    </x:row>
    <x:row r="38">
      <x:c r="A38" t="n">
        <x:v>34</x:v>
      </x:c>
      <x:c r="B38" t="str">
        <x:v>Chuba Hubbard</x:v>
      </x:c>
      <x:c r="C38" s="48" t="n">
        <x:v>71.86665989322354</x:v>
      </x:c>
      <x:c r="D38" s="48" t="str">
        <x:v>TIER 5</x:v>
      </x:c>
      <x:c r="E38" s="48" t="n">
        <x:v>107</x:v>
      </x:c>
      <x:c r="F38" s="48" t="n">
        <x:v>140.6</x:v>
      </x:c>
      <x:c r="G38" s="48" t="n">
        <x:v>33.599999999999994</x:v>
      </x:c>
      <x:c r="H38" s="116" t="str">
        <x:v>FLEX/bench depth with upside if workload grows.</x:v>
      </x:c>
      <x:c r="I38" s="98" t="str">
        <x:v>He produced 8.4 PPR/FP points per game across 15 games. The workload/efficiency profile gives the model a rate-based reason to keep him here. Market price is favorable around ADP 141 versus model overall rank 107.</x:v>
      </x:c>
      <x:c r="J38" s="98" t="str">
        <x:v>Touchdown variance, receiving-role changes and backfield competition are the main downside paths.</x:v>
      </x:c>
      <x:c r="K38" t="str">
        <x:v>A</x:v>
      </x:c>
      <x:c r="L38" s="98" t="str">
        <x:v>RATE-ADJUSTED VETERAN</x:v>
      </x:c>
    </x:row>
    <x:row r="39">
      <x:c r="A39" t="n">
        <x:v>35</x:v>
      </x:c>
      <x:c r="B39" t="str">
        <x:v>Aaron Jones Sr.</x:v>
      </x:c>
      <x:c r="C39" s="48" t="n">
        <x:v>71.6976534059668</x:v>
      </x:c>
      <x:c r="D39" s="48" t="str">
        <x:v>TIER 5</x:v>
      </x:c>
      <x:c r="E39" s="48" t="n">
        <x:v>111</x:v>
      </x:c>
      <x:c r="F39" s="48" t="n">
        <x:v>144.8</x:v>
      </x:c>
      <x:c r="G39" s="48" t="n">
        <x:v>33.80000000000001</x:v>
      </x:c>
      <x:c r="H39" s="116" t="str">
        <x:v>FLEX/bench depth with upside if workload grows.</x:v>
      </x:c>
      <x:c r="I39" s="98" t="str">
        <x:v>He produced 9.9 PPR/FP points per game across 12 games. The workload/efficiency profile gives the model a rate-based reason to keep him here. Market price is favorable around ADP 145 versus model overall rank 111.</x:v>
      </x:c>
      <x:c r="J39" s="98" t="str">
        <x:v>Touchdown variance, receiving-role changes and backfield competition are the main downside paths.</x:v>
      </x:c>
      <x:c r="K39" t="str">
        <x:v>A</x:v>
      </x:c>
      <x:c r="L39" s="98" t="str">
        <x:v>RATE-ADJUSTED VETERAN</x:v>
      </x:c>
    </x:row>
    <x:row r="40">
      <x:c r="A40" t="n">
        <x:v>36</x:v>
      </x:c>
      <x:c r="B40" t="str">
        <x:v>J.K. Dobbins</x:v>
      </x:c>
      <x:c r="C40" s="48" t="n">
        <x:v>71.16661350850421</x:v>
      </x:c>
      <x:c r="D40" s="48" t="str">
        <x:v>TIER 5</x:v>
      </x:c>
      <x:c r="E40" s="48" t="n">
        <x:v>113</x:v>
      </x:c>
      <x:c r="F40" s="48" t="n">
        <x:v>149</x:v>
      </x:c>
      <x:c r="G40" s="48" t="n">
        <x:v>36</x:v>
      </x:c>
      <x:c r="H40" s="116" t="str">
        <x:v>FLEX/bench depth with upside if workload grows.</x:v>
      </x:c>
      <x:c r="I40" s="98" t="str">
        <x:v>He produced 11.6 PPR/FP points per game across 10 games. The workload/efficiency profile gives the model a rate-based reason to keep him here. Market price is favorable around ADP 149 versus model overall rank 113.</x:v>
      </x:c>
      <x:c r="J40" s="98" t="str">
        <x:v>Touchdown variance, receiving-role changes and backfield competition are the main downside paths.</x:v>
      </x:c>
      <x:c r="K40" t="str">
        <x:v>B</x:v>
      </x:c>
      <x:c r="L40" s="98" t="str">
        <x:v>RATE-ADJUSTED VETERAN</x:v>
      </x:c>
    </x:row>
    <x:row r="41">
      <x:c r="A41" t="n">
        <x:v>37</x:v>
      </x:c>
      <x:c r="B41" t="str">
        <x:v>Blake Corum</x:v>
      </x:c>
      <x:c r="C41" s="48" t="n">
        <x:v>69.51960871574394</x:v>
      </x:c>
      <x:c r="D41" s="48" t="str">
        <x:v>TIER 6</x:v>
      </x:c>
      <x:c r="E41" s="48" t="n">
        <x:v>123</x:v>
      </x:c>
      <x:c r="F41" s="48" t="n">
        <x:v>153.20000000000002</x:v>
      </x:c>
      <x:c r="G41" s="48" t="n">
        <x:v>30.200000000000017</x:v>
      </x:c>
      <x:c r="H41" s="116" t="str">
        <x:v>FLEX/bench depth with upside if workload grows.</x:v>
      </x:c>
      <x:c r="I41" s="98" t="str">
        <x:v>He produced 7.2 PPR/FP points per game across 17 games. The workload/efficiency profile gives the model a rate-based reason to keep him here. Market price is favorable around ADP 153 versus model overall rank 123.</x:v>
      </x:c>
      <x:c r="J41" s="98" t="str">
        <x:v>Touchdown variance, receiving-role changes and backfield competition are the main downside paths.</x:v>
      </x:c>
      <x:c r="K41" t="str">
        <x:v>A</x:v>
      </x:c>
      <x:c r="L41" s="98" t="str">
        <x:v>RATE-ADJUSTED VETERAN</x:v>
      </x:c>
    </x:row>
    <x:row r="42">
      <x:c r="A42" t="n">
        <x:v>38</x:v>
      </x:c>
      <x:c r="B42" t="str">
        <x:v>Rachaad White</x:v>
      </x:c>
      <x:c r="C42" s="48" t="n">
        <x:v>69.2036568927438</x:v>
      </x:c>
      <x:c r="D42" s="48" t="str">
        <x:v>TIER 6</x:v>
      </x:c>
      <x:c r="E42" s="48" t="n">
        <x:v>127</x:v>
      </x:c>
      <x:c r="F42" s="48" t="n">
        <x:v>157.4</x:v>
      </x:c>
      <x:c r="G42" s="48" t="n">
        <x:v>30.400000000000006</x:v>
      </x:c>
      <x:c r="H42" s="116" t="str">
        <x:v>FLEX/bench depth with upside if workload grows.</x:v>
      </x:c>
      <x:c r="I42" s="98" t="str">
        <x:v>He produced 8.5 PPR/FP points per game across 17 games. The workload/efficiency profile gives the model a rate-based reason to keep him here. Market price is favorable around ADP 157 versus model overall rank 127.</x:v>
      </x:c>
      <x:c r="J42" s="98" t="str">
        <x:v>Touchdown variance, receiving-role changes and backfield competition are the main downside paths.</x:v>
      </x:c>
      <x:c r="K42" t="str">
        <x:v>A</x:v>
      </x:c>
      <x:c r="L42" s="98" t="str">
        <x:v>RATE-ADJUSTED VETERAN</x:v>
      </x:c>
    </x:row>
    <x:row r="43">
      <x:c r="A43" t="n">
        <x:v>39</x:v>
      </x:c>
      <x:c r="B43" t="str">
        <x:v>Jacory Croskey-Merritt</x:v>
      </x:c>
      <x:c r="C43" s="48" t="n">
        <x:v>68.99221175225878</x:v>
      </x:c>
      <x:c r="D43" s="48" t="str">
        <x:v>TIER 6</x:v>
      </x:c>
      <x:c r="E43" s="48" t="n">
        <x:v>129</x:v>
      </x:c>
      <x:c r="F43" s="48" t="n">
        <x:v>161.6</x:v>
      </x:c>
      <x:c r="G43" s="48" t="n">
        <x:v>32.599999999999994</x:v>
      </x:c>
      <x:c r="H43" s="116" t="str">
        <x:v>FLEX/bench depth with upside if workload grows.</x:v>
      </x:c>
      <x:c r="I43" s="98" t="str">
        <x:v>He produced 8.2 PPR/FP points per game across 17 games. The workload/efficiency profile gives the model a rate-based reason to keep him here. Market price is favorable around ADP 162 versus model overall rank 129.</x:v>
      </x:c>
      <x:c r="J43" s="98" t="str">
        <x:v>Touchdown variance, receiving-role changes and backfield competition are the main downside paths.</x:v>
      </x:c>
      <x:c r="K43" t="str">
        <x:v>A</x:v>
      </x:c>
      <x:c r="L43" s="98" t="str">
        <x:v>RATE-ADJUSTED VETERAN</x:v>
      </x:c>
    </x:row>
    <x:row r="44">
      <x:c r="A44" t="n">
        <x:v>40</x:v>
      </x:c>
      <x:c r="B44" t="str">
        <x:v>Jordan Mason</x:v>
      </x:c>
      <x:c r="C44" s="48" t="n">
        <x:v>67.65739288663394</x:v>
      </x:c>
      <x:c r="D44" s="48" t="str">
        <x:v>TIER 6</x:v>
      </x:c>
      <x:c r="E44" s="48" t="n">
        <x:v>136</x:v>
      </x:c>
      <x:c r="F44" s="48" t="n">
        <x:v>165.8</x:v>
      </x:c>
      <x:c r="G44" s="48" t="n">
        <x:v>29.80000000000001</x:v>
      </x:c>
      <x:c r="H44" s="116" t="str">
        <x:v>FLEX/bench depth with upside if workload grows.</x:v>
      </x:c>
      <x:c r="I44" s="98" t="str">
        <x:v>He produced 8.1 PPR/FP points per game across 16 games. The workload/efficiency profile gives the model a rate-based reason to keep him here. Market price is favorable around ADP 166 versus model overall rank 136.</x:v>
      </x:c>
      <x:c r="J44" s="98" t="str">
        <x:v>Touchdown variance, receiving-role changes and backfield competition are the main downside paths.</x:v>
      </x:c>
      <x:c r="K44" t="str">
        <x:v>A</x:v>
      </x:c>
      <x:c r="L44" s="98" t="str">
        <x:v>RATE-ADJUSTED VETERAN</x:v>
      </x:c>
    </x:row>
    <x:row r="45">
      <x:c r="A45" t="n">
        <x:v>41</x:v>
      </x:c>
      <x:c r="B45" t="str">
        <x:v>Woody Marks</x:v>
      </x:c>
      <x:c r="C45" s="48" t="n">
        <x:v>66.86623003473099</x:v>
      </x:c>
      <x:c r="D45" s="48" t="str">
        <x:v>TIER 6</x:v>
      </x:c>
      <x:c r="E45" s="48" t="n">
        <x:v>143</x:v>
      </x:c>
      <x:c r="F45" s="48" t="n">
        <x:v>170</x:v>
      </x:c>
      <x:c r="G45" s="48" t="n">
        <x:v>27</x:v>
      </x:c>
      <x:c r="H45" s="116" t="str">
        <x:v>Bench stash/handcuff profile; value is tied to role change or injury ahead.</x:v>
      </x:c>
      <x:c r="I45" s="98" t="str">
        <x:v>He produced 9.4 PPR/FP points per game across 16 games. The workload/efficiency profile gives the model a rate-based reason to keep him here. Market price is favorable around ADP 170 versus model overall rank 143.</x:v>
      </x:c>
      <x:c r="J45" s="98" t="str">
        <x:v>Touchdown variance, receiving-role changes and backfield competition are the main downside paths.</x:v>
      </x:c>
      <x:c r="K45" t="str">
        <x:v>A</x:v>
      </x:c>
      <x:c r="L45" s="98" t="str">
        <x:v>RATE-ADJUSTED VETERAN</x:v>
      </x:c>
    </x:row>
    <x:row r="46">
      <x:c r="A46" t="n">
        <x:v>42</x:v>
      </x:c>
      <x:c r="B46" t="str">
        <x:v>Chris Rodriguez Jr.</x:v>
      </x:c>
      <x:c r="C46" s="48" t="n">
        <x:v>66.53699590996025</x:v>
      </x:c>
      <x:c r="D46" s="48" t="str">
        <x:v>TIER 6</x:v>
      </x:c>
      <x:c r="E46" s="48" t="n">
        <x:v>147</x:v>
      </x:c>
      <x:c r="F46" s="48" t="n">
        <x:v>174.20000000000002</x:v>
      </x:c>
      <x:c r="G46" s="48" t="n">
        <x:v>27.200000000000017</x:v>
      </x:c>
      <x:c r="H46" s="116" t="str">
        <x:v>Bench stash/handcuff profile; value is tied to role change or injury ahead.</x:v>
      </x:c>
      <x:c r="I46" s="98" t="str">
        <x:v>He produced 7.0 PPR/FP points per game across 13 games. The workload/efficiency profile gives the model a rate-based reason to keep him here. Market price is favorable around ADP 174 versus model overall rank 147.</x:v>
      </x:c>
      <x:c r="J46" s="98" t="str">
        <x:v>Touchdown variance, receiving-role changes and backfield competition are the main downside paths.</x:v>
      </x:c>
      <x:c r="K46" t="str">
        <x:v>A</x:v>
      </x:c>
      <x:c r="L46" s="98" t="str">
        <x:v>RATE-ADJUSTED VETERAN</x:v>
      </x:c>
    </x:row>
    <x:row r="47">
      <x:c r="A47" t="n">
        <x:v>43</x:v>
      </x:c>
      <x:c r="B47" t="str">
        <x:v>Tyrone Tracy Jr.</x:v>
      </x:c>
      <x:c r="C47" s="48" t="n">
        <x:v>66.53102686810404</x:v>
      </x:c>
      <x:c r="D47" s="48" t="str">
        <x:v>TIER 6</x:v>
      </x:c>
      <x:c r="E47" s="48" t="n">
        <x:v>149</x:v>
      </x:c>
      <x:c r="F47" s="48" t="n">
        <x:v>178.4</x:v>
      </x:c>
      <x:c r="G47" s="48" t="n">
        <x:v>29.400000000000006</x:v>
      </x:c>
      <x:c r="H47" s="116" t="str">
        <x:v>Bench stash/handcuff profile; value is tied to role change or injury ahead.</x:v>
      </x:c>
      <x:c r="I47" s="98" t="str">
        <x:v>He produced 10.7 PPR/FP points per game across 15 games. The workload/efficiency profile gives the model a rate-based reason to keep him here. Market price is favorable around ADP 178 versus model overall rank 149.</x:v>
      </x:c>
      <x:c r="J47" s="98" t="str">
        <x:v>Touchdown variance, receiving-role changes and backfield competition are the main downside paths.</x:v>
      </x:c>
      <x:c r="K47" t="str">
        <x:v>A</x:v>
      </x:c>
      <x:c r="L47" s="98" t="str">
        <x:v>RATE-ADJUSTED VETERAN</x:v>
      </x:c>
    </x:row>
    <x:row r="48">
      <x:c r="A48" t="n">
        <x:v>44</x:v>
      </x:c>
      <x:c r="B48" t="str">
        <x:v>Tyler Allgeier</x:v>
      </x:c>
      <x:c r="C48" s="48" t="n">
        <x:v>63.03217197650326</x:v>
      </x:c>
      <x:c r="D48" s="48" t="str">
        <x:v>TIER 7</x:v>
      </x:c>
      <x:c r="E48" s="48" t="n">
        <x:v>168</x:v>
      </x:c>
      <x:c r="F48" s="48" t="n">
        <x:v>182.6</x:v>
      </x:c>
      <x:c r="G48" s="48" t="n">
        <x:v>14.599999999999994</x:v>
      </x:c>
      <x:c r="H48" s="116" t="str">
        <x:v>Bench stash/handcuff profile; value is tied to role change or injury ahead.</x:v>
      </x:c>
      <x:c r="I48" s="98" t="str">
        <x:v>He produced 7.2 PPR/FP points per game across 17 games. The workload/efficiency profile gives the model a rate-based reason to keep him here. Market price is favorable around ADP 183 versus model overall rank 168.</x:v>
      </x:c>
      <x:c r="J48" s="98" t="str">
        <x:v>Touchdown variance, receiving-role changes and backfield competition are the main downside paths.</x:v>
      </x:c>
      <x:c r="K48" t="str">
        <x:v>A</x:v>
      </x:c>
      <x:c r="L48" s="98" t="str">
        <x:v>RATE-ADJUSTED VETERAN</x:v>
      </x:c>
    </x:row>
    <x:row r="49">
      <x:c r="A49" t="n">
        <x:v>45</x:v>
      </x:c>
      <x:c r="B49" t="str">
        <x:v>Zach Charbonnet</x:v>
      </x:c>
      <x:c r="C49" s="48" t="n">
        <x:v>62.5498230438228</x:v>
      </x:c>
      <x:c r="D49" s="48" t="str">
        <x:v>TIER 7</x:v>
      </x:c>
      <x:c r="E49" s="48" t="n">
        <x:v>173</x:v>
      </x:c>
      <x:c r="F49" s="48" t="n">
        <x:v>186.8</x:v>
      </x:c>
      <x:c r="G49" s="48" t="n">
        <x:v>13.800000000000011</x:v>
      </x:c>
      <x:c r="H49" s="116" t="str">
        <x:v>Bench stash/handcuff profile; value is tied to role change or injury ahead.</x:v>
      </x:c>
      <x:c r="I49" s="98" t="str">
        <x:v>He produced 11.3 PPR/FP points per game across 16 games. The workload/efficiency profile gives the model a rate-based reason to keep him here. Market price is favorable around ADP 187 versus model overall rank 173.</x:v>
      </x:c>
      <x:c r="J49" s="98" t="str">
        <x:v>Touchdown variance, receiving-role changes and backfield competition are the main downside paths.</x:v>
      </x:c>
      <x:c r="K49" t="str">
        <x:v>A</x:v>
      </x:c>
      <x:c r="L49" s="98" t="str">
        <x:v>RATE-ADJUSTED VETERAN</x:v>
      </x:c>
    </x:row>
    <x:row r="50">
      <x:c r="A50" t="n">
        <x:v>46</x:v>
      </x:c>
      <x:c r="B50" t="str">
        <x:v>Jonathon Brooks</x:v>
      </x:c>
      <x:c r="C50" s="48" t="n">
        <x:v>62.199999999999996</x:v>
      </x:c>
      <x:c r="D50" s="48" t="str">
        <x:v>TIER 7</x:v>
      </x:c>
      <x:c r="E50" s="48" t="n">
        <x:v>177</x:v>
      </x:c>
      <x:c r="F50" s="48" t="n">
        <x:v>191</x:v>
      </x:c>
      <x:c r="G50" s="48" t="n">
        <x:v>14</x:v>
      </x:c>
      <x:c r="H50" s="116" t="str">
        <x:v>Bench stash/handcuff profile; value is tied to role change or injury ahead.</x:v>
      </x:c>
      <x:c r="I50" s="98" t="str">
        <x:v>The 2026 opportunity and projection carry most of the grade because detailed 2025 rate data is incomplete. Market price is favorable around ADP 191 versus model overall rank 177.</x:v>
      </x:c>
      <x:c r="J50" s="98" t="str">
        <x:v>Evidence is thinner than for established veterans, so camp, depth-chart and role news can move the grade materially.</x:v>
      </x:c>
      <x:c r="K50" t="str">
        <x:v>C</x:v>
      </x:c>
      <x:c r="L50" s="98" t="str">
        <x:v>HISTORY FALLBACK</x:v>
      </x:c>
    </x:row>
    <x:row r="51">
      <x:c r="A51" t="n">
        <x:v>47</x:v>
      </x:c>
      <x:c r="B51" t="str">
        <x:v>Emanuel Wilson</x:v>
      </x:c>
      <x:c r="C51" s="48" t="n">
        <x:v>61.982145601653485</x:v>
      </x:c>
      <x:c r="D51" s="48" t="str">
        <x:v>TIER 7</x:v>
      </x:c>
      <x:c r="E51" s="48" t="n">
        <x:v>180</x:v>
      </x:c>
      <x:c r="F51" s="48" t="n">
        <x:v>195.20000000000002</x:v>
      </x:c>
      <x:c r="G51" s="48" t="n">
        <x:v>15.200000000000017</x:v>
      </x:c>
      <x:c r="H51" s="116" t="str">
        <x:v>Bench stash/handcuff profile; value is tied to role change or injury ahead.</x:v>
      </x:c>
      <x:c r="I51" s="98" t="str">
        <x:v>He produced 5.6 PPR/FP points per game across 17 games. The workload/efficiency profile gives the model a rate-based reason to keep him here. Market price is favorable around ADP 195 versus model overall rank 180.</x:v>
      </x:c>
      <x:c r="J51" s="98" t="str">
        <x:v>Touchdown variance, receiving-role changes and backfield competition are the main downside paths.</x:v>
      </x:c>
      <x:c r="K51" t="str">
        <x:v>A</x:v>
      </x:c>
      <x:c r="L51" s="98" t="str">
        <x:v>RATE-ADJUSTED VETERAN</x:v>
      </x:c>
    </x:row>
    <x:row r="52">
      <x:c r="A52" t="n">
        <x:v>48</x:v>
      </x:c>
      <x:c r="B52" t="str">
        <x:v>Isiah Pacheco</x:v>
      </x:c>
      <x:c r="C52" s="48" t="n">
        <x:v>60.00923076923077</x:v>
      </x:c>
      <x:c r="D52" s="48" t="str">
        <x:v>TIER 7</x:v>
      </x:c>
      <x:c r="E52" s="48" t="n">
        <x:v>187</x:v>
      </x:c>
      <x:c r="F52" s="48" t="n">
        <x:v>199.4</x:v>
      </x:c>
      <x:c r="G52" s="48" t="n">
        <x:v>12.400000000000006</x:v>
      </x:c>
      <x:c r="H52" s="116" t="str">
        <x:v>Bench stash/handcuff profile; value is tied to role change or injury ahead.</x:v>
      </x:c>
      <x:c r="I52" s="98" t="str">
        <x:v>The 2026 opportunity and projection carry most of the grade because detailed 2025 rate data is incomplete. Market price is favorable around ADP 199 versus model overall rank 187.</x:v>
      </x:c>
      <x:c r="J52" s="98" t="str">
        <x:v>Touchdown variance, receiving-role changes and backfield competition are the main downside paths.</x:v>
      </x:c>
      <x:c r="K52" t="str">
        <x:v>B</x:v>
      </x:c>
      <x:c r="L52" s="98" t="str">
        <x:v>HISTORY FALLBACK</x:v>
      </x:c>
    </x:row>
    <x:row r="53">
      <x:c r="A53" t="n">
        <x:v>49</x:v>
      </x:c>
      <x:c r="B53" t="str">
        <x:v>Alvin Kamara</x:v>
      </x:c>
      <x:c r="C53" s="48" t="n">
        <x:v>59.150000000000006</x:v>
      </x:c>
      <x:c r="D53" s="48" t="str">
        <x:v>TIER 7</x:v>
      </x:c>
      <x:c r="E53" s="48" t="n">
        <x:v>191</x:v>
      </x:c>
      <x:c r="F53" s="48" t="n">
        <x:v>203.60000000000002</x:v>
      </x:c>
      <x:c r="G53" s="48" t="n">
        <x:v>12.600000000000023</x:v>
      </x:c>
      <x:c r="H53" s="116" t="str">
        <x:v>Bench stash/handcuff profile; value is tied to role change or injury ahead.</x:v>
      </x:c>
      <x:c r="I53" s="98" t="str">
        <x:v>The 2026 opportunity and projection carry most of the grade because detailed 2025 rate data is incomplete. Market price is favorable around ADP 204 versus model overall rank 191.</x:v>
      </x:c>
      <x:c r="J53" s="98" t="str">
        <x:v>Touchdown variance, receiving-role changes and backfield competition are the main downside paths.</x:v>
      </x:c>
      <x:c r="K53" t="str">
        <x:v>B</x:v>
      </x:c>
      <x:c r="L53" s="98" t="str">
        <x:v>HISTORY FALLBACK</x:v>
      </x:c>
    </x:row>
    <x:row r="54">
      <x:c r="A54" t="n">
        <x:v>50</x:v>
      </x:c>
      <x:c r="B54" t="str">
        <x:v>Justice Hill</x:v>
      </x:c>
      <x:c r="C54" s="48" t="n">
        <x:v>54.879999999999995</x:v>
      </x:c>
      <x:c r="D54" s="48" t="str">
        <x:v>TIER 7</x:v>
      </x:c>
      <x:c r="E54" s="48" t="n">
        <x:v>199</x:v>
      </x:c>
      <x:c r="F54" s="48" t="n">
        <x:v>207.8</x:v>
      </x:c>
      <x:c r="G54" s="48" t="n">
        <x:v>8.800000000000011</x:v>
      </x:c>
      <x:c r="H54" s="116" t="str">
        <x:v>Bench stash/handcuff profile; value is tied to role change or injury ahead.</x:v>
      </x:c>
      <x:c r="I54" s="98" t="str">
        <x:v>The 2026 opportunity and projection carry most of the grade because detailed 2025 rate data is incomplete.</x:v>
      </x:c>
      <x:c r="J54" s="98" t="str">
        <x:v>Touchdown variance, receiving-role changes and backfield competition are the main downside paths.</x:v>
      </x:c>
      <x:c r="K54" t="str">
        <x:v>B</x:v>
      </x:c>
      <x:c r="L54" s="98" t="str">
        <x:v>HISTORY FALLBACK</x:v>
      </x:c>
    </x:row>
  </x:sheetData>
  <x:mergeCells>
    <x:mergeCell ref="A1:L1"/>
    <x:mergeCell ref="A2:L2"/>
  </x:mergeCells>
  <x:conditionalFormatting sqref="C5:C5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5:F5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5:G54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24" hidden="0" customWidth="1"/>
    <x:col min="3" max="3" width="5.380000114440918" hidden="0" customWidth="1"/>
    <x:col min="4" max="4" width="5.130000114440918" hidden="0" customWidth="1"/>
    <x:col min="5" max="5" width="10.25" hidden="0" customWidth="1"/>
    <x:col min="6" max="6" width="9.75" hidden="0" customWidth="1"/>
    <x:col min="7" max="7" width="8.380000114440918" hidden="0" customWidth="1"/>
    <x:col min="8" max="8" width="38" hidden="0" customWidth="1"/>
    <x:col min="9" max="9" width="48" hidden="0" customWidth="1"/>
    <x:col min="10" max="10" width="44" hidden="0" customWidth="1"/>
    <x:col min="11" max="11" width="9.130000114440918" hidden="0" customWidth="1"/>
    <x:col min="12" max="12" width="19.8799991607666" hidden="0" customWidth="1"/>
  </x:cols>
  <x:sheetData>
    <x:row r="1">
      <x:c r="A1" s="111" t="str">
        <x:v>2026 WR — Final Ratings &amp; Expectations</x:v>
      </x:c>
    </x:row>
    <x:row r="2">
      <x:c r="A2" s="112" t="str">
        <x:v>Final 10-team PPR view: expectation, model reasoning, market price and the main risk for each player.</x:v>
      </x:c>
    </x:row>
    <x:row r="4">
      <x:c r="A4" s="115" t="str">
        <x:v>Rank</x:v>
      </x:c>
      <x:c r="B4" s="115" t="str">
        <x:v>Player</x:v>
      </x:c>
      <x:c r="C4" s="115" t="str">
        <x:v>Rating</x:v>
      </x:c>
      <x:c r="D4" s="115" t="str">
        <x:v>Tier</x:v>
      </x:c>
      <x:c r="E4" s="115" t="str">
        <x:v>Overall Rank</x:v>
      </x:c>
      <x:c r="F4" s="115" t="str">
        <x:v>Market ADP</x:v>
      </x:c>
      <x:c r="G4" s="115" t="str">
        <x:v>Draft Edge</x:v>
      </x:c>
      <x:c r="H4" s="115" t="str">
        <x:v>2026 Expectation</x:v>
      </x:c>
      <x:c r="I4" s="115" t="str">
        <x:v>Why the Model Ranks Him Here</x:v>
      </x:c>
      <x:c r="J4" s="115" t="str">
        <x:v>Main Risk</x:v>
      </x:c>
      <x:c r="K4" s="115" t="str">
        <x:v>Confidence</x:v>
      </x:c>
      <x:c r="L4" s="115" t="str">
        <x:v>Model Path</x:v>
      </x:c>
    </x:row>
    <x:row r="5">
      <x:c r="A5" t="n">
        <x:v>1</x:v>
      </x:c>
      <x:c r="B5" t="str">
        <x:v>Puka Nacua</x:v>
      </x:c>
      <x:c r="C5" s="48" t="n">
        <x:v>98.48591</x:v>
      </x:c>
      <x:c r="D5" s="48" t="str">
        <x:v>ELITE</x:v>
      </x:c>
      <x:c r="E5" s="48" t="n">
        <x:v>1</x:v>
      </x:c>
      <x:c r="F5" s="48" t="n">
        <x:v>3.8</x:v>
      </x:c>
      <x:c r="G5" s="48" t="n">
        <x:v>2.8</x:v>
      </x:c>
      <x:c r="H5" s="116" t="str">
        <x:v>Elite WR1 and first-round caliber target with overall WR1 upside.</x:v>
      </x:c>
      <x:c r="I5" s="98" t="str">
        <x:v>He produced 23.5 PPR/FP points per game across 16 games. The workload/efficiency profile gives the model a rate-based reason to keep him here.</x:v>
      </x:c>
      <x:c r="J5" s="98" t="str">
        <x:v>Target competition, quarterback efficiency and touchdown regression are the main downside paths.</x:v>
      </x:c>
      <x:c r="K5" t="str">
        <x:v>A</x:v>
      </x:c>
      <x:c r="L5" s="98" t="str">
        <x:v>RATE-ADJUSTED VETERAN</x:v>
      </x:c>
    </x:row>
    <x:row r="6">
      <x:c r="A6" t="n">
        <x:v>2</x:v>
      </x:c>
      <x:c r="B6" t="str">
        <x:v>Ja'Marr Chase</x:v>
      </x:c>
      <x:c r="C6" s="48" t="n">
        <x:v>96.73226249999999</x:v>
      </x:c>
      <x:c r="D6" s="48" t="str">
        <x:v>ELITE</x:v>
      </x:c>
      <x:c r="E6" s="48" t="n">
        <x:v>3</x:v>
      </x:c>
      <x:c r="F6" s="48" t="n">
        <x:v>3.2</x:v>
      </x:c>
      <x:c r="G6" s="48" t="n">
        <x:v>0.20000000000000018</x:v>
      </x:c>
      <x:c r="H6" s="116" t="str">
        <x:v>Elite WR1 and first-round caliber target with overall WR1 upside.</x:v>
      </x:c>
      <x:c r="I6" s="98" t="str">
        <x:v>He produced 19.6 PPR/FP points per game across 16 games. The workload/efficiency profile gives the model a rate-based reason to keep him here.</x:v>
      </x:c>
      <x:c r="J6" s="98" t="str">
        <x:v>Target competition, quarterback efficiency and touchdown regression are the main downside paths.</x:v>
      </x:c>
      <x:c r="K6" t="str">
        <x:v>A</x:v>
      </x:c>
      <x:c r="L6" s="98" t="str">
        <x:v>RATE-ADJUSTED VETERAN</x:v>
      </x:c>
    </x:row>
    <x:row r="7">
      <x:c r="A7" t="n">
        <x:v>3</x:v>
      </x:c>
      <x:c r="B7" t="str">
        <x:v>Jaxon Smith-Njigba</x:v>
      </x:c>
      <x:c r="C7" s="48" t="n">
        <x:v>94.07988999999998</x:v>
      </x:c>
      <x:c r="D7" s="48" t="str">
        <x:v>TIER 1</x:v>
      </x:c>
      <x:c r="E7" s="48" t="n">
        <x:v>7</x:v>
      </x:c>
      <x:c r="F7" s="48" t="n">
        <x:v>5.4</x:v>
      </x:c>
      <x:c r="G7" s="48" t="n">
        <x:v>-1.5999999999999996</x:v>
      </x:c>
      <x:c r="H7" s="116" t="str">
        <x:v>Elite WR1 and first-round caliber target with overall WR1 upside.</x:v>
      </x:c>
      <x:c r="I7" s="98" t="str">
        <x:v>He produced 21.2 PPR/FP points per game across 17 games. The workload/efficiency profile gives the model a rate-based reason to keep him here.</x:v>
      </x:c>
      <x:c r="J7" s="98" t="str">
        <x:v>Target competition, quarterback efficiency and touchdown regression are the main downside paths.</x:v>
      </x:c>
      <x:c r="K7" t="str">
        <x:v>A</x:v>
      </x:c>
      <x:c r="L7" s="98" t="str">
        <x:v>RATE-ADJUSTED VETERAN</x:v>
      </x:c>
    </x:row>
    <x:row r="8">
      <x:c r="A8" t="n">
        <x:v>4</x:v>
      </x:c>
      <x:c r="B8" t="str">
        <x:v>Amon-Ra St. Brown</x:v>
      </x:c>
      <x:c r="C8" s="48" t="n">
        <x:v>93.26387249999999</x:v>
      </x:c>
      <x:c r="D8" s="48" t="str">
        <x:v>TIER 1</x:v>
      </x:c>
      <x:c r="E8" s="48" t="n">
        <x:v>8</x:v>
      </x:c>
      <x:c r="F8" s="48" t="n">
        <x:v>6</x:v>
      </x:c>
      <x:c r="G8" s="48" t="n">
        <x:v>-2</x:v>
      </x:c>
      <x:c r="H8" s="116" t="str">
        <x:v>Elite WR1 and first-round caliber target with overall WR1 upside.</x:v>
      </x:c>
      <x:c r="I8" s="98" t="str">
        <x:v>He produced 19.1 PPR/FP points per game across 17 games. The workload/efficiency profile gives the model a rate-based reason to keep him here.</x:v>
      </x:c>
      <x:c r="J8" s="98" t="str">
        <x:v>Target competition, quarterback efficiency and touchdown regression are the main downside paths.</x:v>
      </x:c>
      <x:c r="K8" t="str">
        <x:v>A</x:v>
      </x:c>
      <x:c r="L8" s="98" t="str">
        <x:v>RATE-ADJUSTED VETERAN</x:v>
      </x:c>
    </x:row>
    <x:row r="9">
      <x:c r="A9" t="n">
        <x:v>5</x:v>
      </x:c>
      <x:c r="B9" t="str">
        <x:v>Nico Collins</x:v>
      </x:c>
      <x:c r="C9" s="48" t="n">
        <x:v>91.4925</x:v>
      </x:c>
      <x:c r="D9" s="48" t="str">
        <x:v>TIER 1</x:v>
      </x:c>
      <x:c r="E9" s="48" t="n">
        <x:v>13</x:v>
      </x:c>
      <x:c r="F9" s="48" t="n">
        <x:v>12</x:v>
      </x:c>
      <x:c r="G9" s="48" t="n">
        <x:v>-1</x:v>
      </x:c>
      <x:c r="H9" s="116" t="str">
        <x:v>Elite WR1 and first-round caliber target with overall WR1 upside.</x:v>
      </x:c>
      <x:c r="I9" s="98" t="str">
        <x:v>He produced 15.0 PPR/FP points per game across 15 games. The workload/efficiency profile gives the model a rate-based reason to keep him here.</x:v>
      </x:c>
      <x:c r="J9" s="98" t="str">
        <x:v>Target competition, quarterback efficiency and touchdown regression are the main downside paths.</x:v>
      </x:c>
      <x:c r="K9" t="str">
        <x:v>A</x:v>
      </x:c>
      <x:c r="L9" s="98" t="str">
        <x:v>RATE-ADJUSTED VETERAN</x:v>
      </x:c>
    </x:row>
    <x:row r="10">
      <x:c r="A10" t="n">
        <x:v>6</x:v>
      </x:c>
      <x:c r="B10" t="str">
        <x:v>Chris Olave</x:v>
      </x:c>
      <x:c r="C10" s="48" t="n">
        <x:v>88.9075</x:v>
      </x:c>
      <x:c r="D10" s="48" t="str">
        <x:v>TIER 2</x:v>
      </x:c>
      <x:c r="E10" s="48" t="n">
        <x:v>20</x:v>
      </x:c>
      <x:c r="F10" s="48" t="n">
        <x:v>19</x:v>
      </x:c>
      <x:c r="G10" s="48" t="n">
        <x:v>-1</x:v>
      </x:c>
      <x:c r="H10" s="116" t="str">
        <x:v>Strong WR1; bankable weekly starter with spike-week ceiling.</x:v>
      </x:c>
      <x:c r="I10" s="98" t="str">
        <x:v>He produced 16.9 PPR/FP points per game across 16 games. The workload/efficiency profile gives the model a rate-based reason to keep him here.</x:v>
      </x:c>
      <x:c r="J10" s="98" t="str">
        <x:v>Target competition, quarterback efficiency and touchdown regression are the main downside paths.</x:v>
      </x:c>
      <x:c r="K10" t="str">
        <x:v>A</x:v>
      </x:c>
      <x:c r="L10" s="98" t="str">
        <x:v>RATE-ADJUSTED VETERAN</x:v>
      </x:c>
    </x:row>
    <x:row r="11">
      <x:c r="A11" t="n">
        <x:v>7</x:v>
      </x:c>
      <x:c r="B11" t="str">
        <x:v>Drake London</x:v>
      </x:c>
      <x:c r="C11" s="48" t="n">
        <x:v>87.5106325</x:v>
      </x:c>
      <x:c r="D11" s="48" t="str">
        <x:v>TIER 2</x:v>
      </x:c>
      <x:c r="E11" s="48" t="n">
        <x:v>19</x:v>
      </x:c>
      <x:c r="F11" s="48" t="n">
        <x:v>10</x:v>
      </x:c>
      <x:c r="G11" s="48" t="n">
        <x:v>-9</x:v>
      </x:c>
      <x:c r="H11" s="116" t="str">
        <x:v>Strong WR1; bankable weekly starter with spike-week ceiling.</x:v>
      </x:c>
      <x:c r="I11" s="98" t="str">
        <x:v>He produced 16.9 PPR/FP points per game across 12 games. The workload/efficiency profile gives the model a rate-based reason to keep him here.</x:v>
      </x:c>
      <x:c r="J11" s="98" t="str">
        <x:v>Target competition, quarterback efficiency and touchdown regression are the main downside paths.</x:v>
      </x:c>
      <x:c r="K11" t="str">
        <x:v>A</x:v>
      </x:c>
      <x:c r="L11" s="98" t="str">
        <x:v>RATE-ADJUSTED VETERAN</x:v>
      </x:c>
    </x:row>
    <x:row r="12">
      <x:c r="A12" t="n">
        <x:v>8</x:v>
      </x:c>
      <x:c r="B12" t="str">
        <x:v>DeVonta Smith</x:v>
      </x:c>
      <x:c r="C12" s="48" t="n">
        <x:v>87.4875</x:v>
      </x:c>
      <x:c r="D12" s="48" t="str">
        <x:v>TIER 2</x:v>
      </x:c>
      <x:c r="E12" s="48" t="n">
        <x:v>29</x:v>
      </x:c>
      <x:c r="F12" s="48" t="n">
        <x:v>24</x:v>
      </x:c>
      <x:c r="G12" s="48" t="n">
        <x:v>-5</x:v>
      </x:c>
      <x:c r="H12" s="116" t="str">
        <x:v>Strong WR1; bankable weekly starter with spike-week ceiling.</x:v>
      </x:c>
      <x:c r="I12" s="98" t="str">
        <x:v>He produced 11.8 PPR/FP points per game across 17 games. The workload/efficiency profile gives the model a rate-based reason to keep him here.</x:v>
      </x:c>
      <x:c r="J12" s="98" t="str">
        <x:v>Target competition, quarterback efficiency and touchdown regression are the main downside paths.</x:v>
      </x:c>
      <x:c r="K12" t="str">
        <x:v>A</x:v>
      </x:c>
      <x:c r="L12" s="98" t="str">
        <x:v>RATE-ADJUSTED VETERAN</x:v>
      </x:c>
    </x:row>
    <x:row r="13">
      <x:c r="A13" t="n">
        <x:v>9</x:v>
      </x:c>
      <x:c r="B13" t="str">
        <x:v>Zay Flowers</x:v>
      </x:c>
      <x:c r="C13" s="48" t="n">
        <x:v>86.57</x:v>
      </x:c>
      <x:c r="D13" s="48" t="str">
        <x:v>TIER 2</x:v>
      </x:c>
      <x:c r="E13" s="48" t="n">
        <x:v>32</x:v>
      </x:c>
      <x:c r="F13" s="48" t="n">
        <x:v>65.4</x:v>
      </x:c>
      <x:c r="G13" s="48" t="n">
        <x:v>33.400000000000006</x:v>
      </x:c>
      <x:c r="H13" s="116" t="str">
        <x:v>Strong WR1; bankable weekly starter with spike-week ceiling.</x:v>
      </x:c>
      <x:c r="I13" s="98" t="str">
        <x:v>He produced 14.4 PPR/FP points per game across 17 games. The workload/efficiency profile gives the model a rate-based reason to keep him here. Market price is favorable around ADP 65 versus model overall rank 32.</x:v>
      </x:c>
      <x:c r="J13" s="98" t="str">
        <x:v>Target competition, quarterback efficiency and touchdown regression are the main downside paths.</x:v>
      </x:c>
      <x:c r="K13" t="str">
        <x:v>A</x:v>
      </x:c>
      <x:c r="L13" s="98" t="str">
        <x:v>RATE-ADJUSTED VETERAN</x:v>
      </x:c>
    </x:row>
    <x:row r="14">
      <x:c r="A14" t="n">
        <x:v>10</x:v>
      </x:c>
      <x:c r="B14" t="str">
        <x:v>Garrett Wilson</x:v>
      </x:c>
      <x:c r="C14" s="48" t="n">
        <x:v>86.155</x:v>
      </x:c>
      <x:c r="D14" s="48" t="str">
        <x:v>TIER 2</x:v>
      </x:c>
      <x:c r="E14" s="48" t="n">
        <x:v>31</x:v>
      </x:c>
      <x:c r="F14" s="48" t="n">
        <x:v>57.6</x:v>
      </x:c>
      <x:c r="G14" s="48" t="n">
        <x:v>26.6</x:v>
      </x:c>
      <x:c r="H14" s="116" t="str">
        <x:v>Strong WR1; bankable weekly starter with spike-week ceiling.</x:v>
      </x:c>
      <x:c r="I14" s="98" t="str">
        <x:v>He produced 14.2 PPR/FP points per game across 7 games. The workload/efficiency profile gives the model a rate-based reason to keep him here. Market price is favorable around ADP 58 versus model overall rank 31.</x:v>
      </x:c>
      <x:c r="J14" s="98" t="str">
        <x:v>Availability/sample risk is elevated after only 7 games; talent is not being punished as heavily as durability.</x:v>
      </x:c>
      <x:c r="K14" t="str">
        <x:v>B</x:v>
      </x:c>
      <x:c r="L14" s="98" t="str">
        <x:v>RATE-ADJUSTED VETERAN</x:v>
      </x:c>
    </x:row>
    <x:row r="15">
      <x:c r="A15" t="n">
        <x:v>11</x:v>
      </x:c>
      <x:c r="B15" t="str">
        <x:v>CeeDee Lamb</x:v>
      </x:c>
      <x:c r="C15" s="48" t="n">
        <x:v>85.742635</x:v>
      </x:c>
      <x:c r="D15" s="48" t="str">
        <x:v>TIER 2</x:v>
      </x:c>
      <x:c r="E15" s="48" t="n">
        <x:v>18</x:v>
      </x:c>
      <x:c r="F15" s="48" t="n">
        <x:v>8</x:v>
      </x:c>
      <x:c r="G15" s="48" t="n">
        <x:v>-10</x:v>
      </x:c>
      <x:c r="H15" s="116" t="str">
        <x:v>Strong WR1; bankable weekly starter with spike-week ceiling.</x:v>
      </x:c>
      <x:c r="I15" s="98" t="str">
        <x:v>He produced 14.4 PPR/FP points per game across 14 games. The workload/efficiency profile gives the model a rate-based reason to keep him here. The market is more aggressive at ADP 8 versus model overall rank 18, so price matters.</x:v>
      </x:c>
      <x:c r="J15" s="98" t="str">
        <x:v>Price is the biggest risk: the market currently asks you to draft him earlier than the model prefers.</x:v>
      </x:c>
      <x:c r="K15" t="str">
        <x:v>A</x:v>
      </x:c>
      <x:c r="L15" s="98" t="str">
        <x:v>RATE-ADJUSTED VETERAN</x:v>
      </x:c>
    </x:row>
    <x:row r="16">
      <x:c r="A16" t="n">
        <x:v>12</x:v>
      </x:c>
      <x:c r="B16" t="str">
        <x:v>Tetairoa McMillan</x:v>
      </x:c>
      <x:c r="C16" s="48" t="n">
        <x:v>85.74</x:v>
      </x:c>
      <x:c r="D16" s="48" t="str">
        <x:v>TIER 2</x:v>
      </x:c>
      <x:c r="E16" s="48" t="n">
        <x:v>28</x:v>
      </x:c>
      <x:c r="F16" s="48" t="n">
        <x:v>49.8</x:v>
      </x:c>
      <x:c r="G16" s="48" t="n">
        <x:v>21.799999999999997</x:v>
      </x:c>
      <x:c r="H16" s="116" t="str">
        <x:v>Strong WR1; bankable weekly starter with spike-week ceiling.</x:v>
      </x:c>
      <x:c r="I16" s="98" t="str">
        <x:v>He produced 12.4 PPR/FP points per game across 17 games. The workload/efficiency profile gives the model a rate-based reason to keep him here. Market price is favorable around ADP 50 versus model overall rank 28.</x:v>
      </x:c>
      <x:c r="J16" s="98" t="str">
        <x:v>Target competition, quarterback efficiency and touchdown regression are the main downside paths.</x:v>
      </x:c>
      <x:c r="K16" t="str">
        <x:v>A</x:v>
      </x:c>
      <x:c r="L16" s="98" t="str">
        <x:v>RATE-ADJUSTED VETERAN</x:v>
      </x:c>
    </x:row>
    <x:row r="17">
      <x:c r="A17" t="n">
        <x:v>13</x:v>
      </x:c>
      <x:c r="B17" t="str">
        <x:v>Tee Higgins</x:v>
      </x:c>
      <x:c r="C17" s="48" t="n">
        <x:v>84.82249999999999</x:v>
      </x:c>
      <x:c r="D17" s="48" t="str">
        <x:v>TIER 3</x:v>
      </x:c>
      <x:c r="E17" s="48" t="n">
        <x:v>37</x:v>
      </x:c>
      <x:c r="F17" s="48" t="n">
        <x:v>53.699999999999996</x:v>
      </x:c>
      <x:c r="G17" s="48" t="n">
        <x:v>16.699999999999996</x:v>
      </x:c>
      <x:c r="H17" s="116" t="str">
        <x:v>Strong WR2 with top-12 weekly upside.</x:v>
      </x:c>
      <x:c r="I17" s="98" t="str">
        <x:v>He produced 14.1 PPR/FP points per game across 15 games. The workload/efficiency profile gives the model a rate-based reason to keep him here. Market price is favorable around ADP 54 versus model overall rank 37.</x:v>
      </x:c>
      <x:c r="J17" s="98" t="str">
        <x:v>Target competition, quarterback efficiency and touchdown regression are the main downside paths.</x:v>
      </x:c>
      <x:c r="K17" t="str">
        <x:v>A</x:v>
      </x:c>
      <x:c r="L17" s="98" t="str">
        <x:v>RATE-ADJUSTED VETERAN</x:v>
      </x:c>
    </x:row>
    <x:row r="18">
      <x:c r="A18" t="n">
        <x:v>14</x:v>
      </x:c>
      <x:c r="B18" t="str">
        <x:v>Justin Jefferson</x:v>
      </x:c>
      <x:c r="C18" s="48" t="n">
        <x:v>84.7935825</x:v>
      </x:c>
      <x:c r="D18" s="48" t="str">
        <x:v>TIER 3</x:v>
      </x:c>
      <x:c r="E18" s="48" t="n">
        <x:v>30</x:v>
      </x:c>
      <x:c r="F18" s="48" t="n">
        <x:v>9</x:v>
      </x:c>
      <x:c r="G18" s="48" t="n">
        <x:v>-21</x:v>
      </x:c>
      <x:c r="H18" s="116" t="str">
        <x:v>Strong WR2 with top-12 weekly upside.</x:v>
      </x:c>
      <x:c r="I18" s="98" t="str">
        <x:v>The 2026 opportunity and projection carry most of the grade because detailed 2025 rate data is incomplete. The market is more aggressive at ADP 9 versus model overall rank 30, so price matters.</x:v>
      </x:c>
      <x:c r="J18" s="98" t="str">
        <x:v>Price is the biggest risk: the market currently asks you to draft him earlier than the model prefers.</x:v>
      </x:c>
      <x:c r="K18" t="str">
        <x:v>A</x:v>
      </x:c>
      <x:c r="L18" s="98" t="str">
        <x:v>HISTORY FALLBACK</x:v>
      </x:c>
    </x:row>
    <x:row r="19">
      <x:c r="A19" t="n">
        <x:v>15</x:v>
      </x:c>
      <x:c r="B19" t="str">
        <x:v>Rashee Rice</x:v>
      </x:c>
      <x:c r="C19" s="48" t="n">
        <x:v>84.09473</x:v>
      </x:c>
      <x:c r="D19" s="48" t="str">
        <x:v>TIER 3</x:v>
      </x:c>
      <x:c r="E19" s="48" t="n">
        <x:v>40</x:v>
      </x:c>
      <x:c r="F19" s="48" t="n">
        <x:v>22</x:v>
      </x:c>
      <x:c r="G19" s="48" t="n">
        <x:v>-18</x:v>
      </x:c>
      <x:c r="H19" s="116" t="str">
        <x:v>Strong WR2 with top-12 weekly upside.</x:v>
      </x:c>
      <x:c r="I19" s="98" t="str">
        <x:v>He produced 18.7 PPR/FP points per game across 8 games. The workload/efficiency profile gives the model a rate-based reason to keep him here. The market is more aggressive at ADP 22 versus model overall rank 40, so price matters.</x:v>
      </x:c>
      <x:c r="J19" s="98" t="str">
        <x:v>Availability/sample risk is elevated after only 8 games; talent is not being punished as heavily as durability.</x:v>
      </x:c>
      <x:c r="K19" t="str">
        <x:v>B</x:v>
      </x:c>
      <x:c r="L19" s="98" t="str">
        <x:v>RATE-ADJUSTED VETERAN</x:v>
      </x:c>
    </x:row>
    <x:row r="20">
      <x:c r="A20" t="n">
        <x:v>16</x:v>
      </x:c>
      <x:c r="B20" t="str">
        <x:v>A.J. Brown</x:v>
      </x:c>
      <x:c r="C20" s="48" t="n">
        <x:v>83.23567249999999</x:v>
      </x:c>
      <x:c r="D20" s="48" t="str">
        <x:v>TIER 3</x:v>
      </x:c>
      <x:c r="E20" s="48" t="n">
        <x:v>41</x:v>
      </x:c>
      <x:c r="F20" s="48" t="n">
        <x:v>14</x:v>
      </x:c>
      <x:c r="G20" s="48" t="n">
        <x:v>-27</x:v>
      </x:c>
      <x:c r="H20" s="116" t="str">
        <x:v>Strong WR2 with top-12 weekly upside.</x:v>
      </x:c>
      <x:c r="I20" s="98" t="str">
        <x:v>He produced 14.7 PPR/FP points per game across 15 games. The workload/efficiency profile gives the model a rate-based reason to keep him here. The market is more aggressive at ADP 14 versus model overall rank 41, so price matters.</x:v>
      </x:c>
      <x:c r="J20" s="98" t="str">
        <x:v>Price is the biggest risk: the market currently asks you to draft him earlier than the model prefers.</x:v>
      </x:c>
      <x:c r="K20" t="str">
        <x:v>A</x:v>
      </x:c>
      <x:c r="L20" s="98" t="str">
        <x:v>RATE-ADJUSTED VETERAN</x:v>
      </x:c>
    </x:row>
    <x:row r="21">
      <x:c r="A21" t="n">
        <x:v>17</x:v>
      </x:c>
      <x:c r="B21" t="str">
        <x:v>Ladd McConkey</x:v>
      </x:c>
      <x:c r="C21" s="48" t="n">
        <x:v>82.7325</x:v>
      </x:c>
      <x:c r="D21" s="48" t="str">
        <x:v>TIER 3</x:v>
      </x:c>
      <x:c r="E21" s="48" t="n">
        <x:v>51</x:v>
      </x:c>
      <x:c r="F21" s="48" t="n">
        <x:v>84.89999999999999</x:v>
      </x:c>
      <x:c r="G21" s="48" t="n">
        <x:v>33.89999999999999</x:v>
      </x:c>
      <x:c r="H21" s="116" t="str">
        <x:v>Strong WR2 with top-12 weekly upside.</x:v>
      </x:c>
      <x:c r="I21" s="98" t="str">
        <x:v>The 2026 opportunity and projection carry most of the grade because detailed 2025 rate data is incomplete. Market price is favorable around ADP 85 versus model overall rank 51.</x:v>
      </x:c>
      <x:c r="J21" s="98" t="str">
        <x:v>Target competition, quarterback efficiency and touchdown regression are the main downside paths.</x:v>
      </x:c>
      <x:c r="K21" t="str">
        <x:v>B</x:v>
      </x:c>
      <x:c r="L21" s="98" t="str">
        <x:v>HISTORY FALLBACK</x:v>
      </x:c>
    </x:row>
    <x:row r="22">
      <x:c r="A22" t="n">
        <x:v>18</x:v>
      </x:c>
      <x:c r="B22" t="str">
        <x:v>Jaylen Waddle</x:v>
      </x:c>
      <x:c r="C22" s="48" t="n">
        <x:v>82.3175</x:v>
      </x:c>
      <x:c r="D22" s="48" t="str">
        <x:v>TIER 3</x:v>
      </x:c>
      <x:c r="E22" s="48" t="n">
        <x:v>52</x:v>
      </x:c>
      <x:c r="F22" s="48" t="n">
        <x:v>77.1</x:v>
      </x:c>
      <x:c r="G22" s="48" t="n">
        <x:v>25.099999999999994</x:v>
      </x:c>
      <x:c r="H22" s="116" t="str">
        <x:v>Strong WR2 with top-12 weekly upside.</x:v>
      </x:c>
      <x:c r="I22" s="98" t="str">
        <x:v>He produced 12.1 PPR/FP points per game across 16 games. The workload/efficiency profile gives the model a rate-based reason to keep him here. Market price is favorable around ADP 77 versus model overall rank 52.</x:v>
      </x:c>
      <x:c r="J22" s="98" t="str">
        <x:v>Target competition, quarterback efficiency and touchdown regression are the main downside paths.</x:v>
      </x:c>
      <x:c r="K22" t="str">
        <x:v>A</x:v>
      </x:c>
      <x:c r="L22" s="98" t="str">
        <x:v>RATE-ADJUSTED VETERAN</x:v>
      </x:c>
    </x:row>
    <x:row r="23">
      <x:c r="A23" t="n">
        <x:v>19</x:v>
      </x:c>
      <x:c r="B23" t="str">
        <x:v>George Pickens</x:v>
      </x:c>
      <x:c r="C23" s="48" t="n">
        <x:v>81.8366075</x:v>
      </x:c>
      <x:c r="D23" s="48" t="str">
        <x:v>TIER 3</x:v>
      </x:c>
      <x:c r="E23" s="48" t="n">
        <x:v>45</x:v>
      </x:c>
      <x:c r="F23" s="48" t="n">
        <x:v>16</x:v>
      </x:c>
      <x:c r="G23" s="48" t="n">
        <x:v>-29</x:v>
      </x:c>
      <x:c r="H23" s="116" t="str">
        <x:v>Strong WR2 with top-12 weekly upside.</x:v>
      </x:c>
      <x:c r="I23" s="98" t="str">
        <x:v>He produced 17.2 PPR/FP points per game across 17 games. The workload/efficiency profile gives the model a rate-based reason to keep him here. The market is more aggressive at ADP 16 versus model overall rank 45, so price matters.</x:v>
      </x:c>
      <x:c r="J23" s="98" t="str">
        <x:v>Price is the biggest risk: the market currently asks you to draft him earlier than the model prefers.</x:v>
      </x:c>
      <x:c r="K23" t="str">
        <x:v>A</x:v>
      </x:c>
      <x:c r="L23" s="98" t="str">
        <x:v>RATE-ADJUSTED VETERAN</x:v>
      </x:c>
    </x:row>
    <x:row r="24">
      <x:c r="A24" t="n">
        <x:v>20</x:v>
      </x:c>
      <x:c r="B24" t="str">
        <x:v>Emeka Egbuka</x:v>
      </x:c>
      <x:c r="C24" s="48" t="n">
        <x:v>81.735</x:v>
      </x:c>
      <x:c r="D24" s="48" t="str">
        <x:v>TIER 3</x:v>
      </x:c>
      <x:c r="E24" s="48" t="n">
        <x:v>55</x:v>
      </x:c>
      <x:c r="F24" s="48" t="n">
        <x:v>73.2</x:v>
      </x:c>
      <x:c r="G24" s="48" t="n">
        <x:v>18.200000000000003</x:v>
      </x:c>
      <x:c r="H24" s="116" t="str">
        <x:v>Strong WR2 with top-12 weekly upside.</x:v>
      </x:c>
      <x:c r="I24" s="98" t="str">
        <x:v>He produced 11.5 PPR/FP points per game across 17 games. The workload/efficiency profile gives the model a rate-based reason to keep him here. Market price is favorable around ADP 73 versus model overall rank 55.</x:v>
      </x:c>
      <x:c r="J24" s="98" t="str">
        <x:v>Target competition, quarterback efficiency and touchdown regression are the main downside paths.</x:v>
      </x:c>
      <x:c r="K24" t="str">
        <x:v>A</x:v>
      </x:c>
      <x:c r="L24" s="98" t="str">
        <x:v>RATE-ADJUSTED VETERAN</x:v>
      </x:c>
    </x:row>
    <x:row r="25">
      <x:c r="A25" t="n">
        <x:v>21</x:v>
      </x:c>
      <x:c r="B25" t="str">
        <x:v>Malik Nabers</x:v>
      </x:c>
      <x:c r="C25" s="48" t="n">
        <x:v>81.1525</x:v>
      </x:c>
      <x:c r="D25" s="48" t="str">
        <x:v>TIER 3</x:v>
      </x:c>
      <x:c r="E25" s="48" t="n">
        <x:v>57</x:v>
      </x:c>
      <x:c r="F25" s="48" t="n">
        <x:v>69.3</x:v>
      </x:c>
      <x:c r="G25" s="48" t="n">
        <x:v>12.299999999999997</x:v>
      </x:c>
      <x:c r="H25" s="116" t="str">
        <x:v>Strong WR2 with top-12 weekly upside.</x:v>
      </x:c>
      <x:c r="I25" s="98" t="str">
        <x:v>The 2026 opportunity and projection carry most of the grade because detailed 2025 rate data is incomplete. Market price is favorable around ADP 69 versus model overall rank 57.</x:v>
      </x:c>
      <x:c r="J25" s="98" t="str">
        <x:v>Evidence is thinner than for established veterans, so camp, depth-chart and role news can move the grade materially.</x:v>
      </x:c>
      <x:c r="K25" t="str">
        <x:v>C</x:v>
      </x:c>
      <x:c r="L25" s="98" t="str">
        <x:v>HISTORY FALLBACK</x:v>
      </x:c>
    </x:row>
    <x:row r="26">
      <x:c r="A26" t="n">
        <x:v>22</x:v>
      </x:c>
      <x:c r="B26" t="str">
        <x:v>Terry McLaurin</x:v>
      </x:c>
      <x:c r="C26" s="48" t="n">
        <x:v>79.9</x:v>
      </x:c>
      <x:c r="D26" s="48" t="str">
        <x:v>TIER 4</x:v>
      </x:c>
      <x:c r="E26" s="48" t="n">
        <x:v>62</x:v>
      </x:c>
      <x:c r="F26" s="48" t="n">
        <x:v>81</x:v>
      </x:c>
      <x:c r="G26" s="48" t="n">
        <x:v>19</x:v>
      </x:c>
      <x:c r="H26" s="116" t="str">
        <x:v>Strong WR2 with top-12 weekly upside.</x:v>
      </x:c>
      <x:c r="I26" s="98" t="str">
        <x:v>He produced 11.4 PPR/FP points per game across 10 games. The workload/efficiency profile gives the model a rate-based reason to keep him here. Market price is favorable around ADP 81 versus model overall rank 62.</x:v>
      </x:c>
      <x:c r="J26" s="98" t="str">
        <x:v>Target competition, quarterback efficiency and touchdown regression are the main downside paths.</x:v>
      </x:c>
      <x:c r="K26" t="str">
        <x:v>B</x:v>
      </x:c>
      <x:c r="L26" s="98" t="str">
        <x:v>RATE-ADJUSTED VETERAN</x:v>
      </x:c>
    </x:row>
    <x:row r="27">
      <x:c r="A27" t="n">
        <x:v>23</x:v>
      </x:c>
      <x:c r="B27" t="str">
        <x:v>Luther Burden III</x:v>
      </x:c>
      <x:c r="C27" s="48" t="n">
        <x:v>78.64750000000001</x:v>
      </x:c>
      <x:c r="D27" s="48" t="str">
        <x:v>TIER 4</x:v>
      </x:c>
      <x:c r="E27" s="48" t="n">
        <x:v>71</x:v>
      </x:c>
      <x:c r="F27" s="48" t="n">
        <x:v>92.7</x:v>
      </x:c>
      <x:c r="G27" s="48" t="n">
        <x:v>21.700000000000003</x:v>
      </x:c>
      <x:c r="H27" s="116" t="str">
        <x:v>Strong WR2 with top-12 weekly upside.</x:v>
      </x:c>
      <x:c r="I27" s="98" t="str">
        <x:v>He produced 8.5 PPR/FP points per game across 15 games. The workload/efficiency profile gives the model a rate-based reason to keep him here. Market price is favorable around ADP 93 versus model overall rank 71.</x:v>
      </x:c>
      <x:c r="J27" s="98" t="str">
        <x:v>Target competition, quarterback efficiency and touchdown regression are the main downside paths.</x:v>
      </x:c>
      <x:c r="K27" t="str">
        <x:v>A</x:v>
      </x:c>
      <x:c r="L27" s="98" t="str">
        <x:v>RATE-ADJUSTED VETERAN</x:v>
      </x:c>
    </x:row>
    <x:row r="28">
      <x:c r="A28" t="n">
        <x:v>24</x:v>
      </x:c>
      <x:c r="B28" t="str">
        <x:v>Davante Adams</x:v>
      </x:c>
      <x:c r="C28" s="48" t="n">
        <x:v>78.065</x:v>
      </x:c>
      <x:c r="D28" s="48" t="str">
        <x:v>TIER 4</x:v>
      </x:c>
      <x:c r="E28" s="48" t="n">
        <x:v>76</x:v>
      </x:c>
      <x:c r="F28" s="48" t="n">
        <x:v>88.8</x:v>
      </x:c>
      <x:c r="G28" s="48" t="n">
        <x:v>12.799999999999997</x:v>
      </x:c>
      <x:c r="H28" s="116" t="str">
        <x:v>Strong WR2 with top-12 weekly upside.</x:v>
      </x:c>
      <x:c r="I28" s="98" t="str">
        <x:v>He produced 15.9 PPR/FP points per game across 14 games. The workload/efficiency profile gives the model a rate-based reason to keep him here. Market price is favorable around ADP 89 versus model overall rank 76.</x:v>
      </x:c>
      <x:c r="J28" s="98" t="str">
        <x:v>Target competition, quarterback efficiency and touchdown regression are the main downside paths.</x:v>
      </x:c>
      <x:c r="K28" t="str">
        <x:v>A</x:v>
      </x:c>
      <x:c r="L28" s="98" t="str">
        <x:v>RATE-ADJUSTED VETERAN</x:v>
      </x:c>
    </x:row>
    <x:row r="29">
      <x:c r="A29" t="n">
        <x:v>25</x:v>
      </x:c>
      <x:c r="B29" t="str">
        <x:v>Mike Evans</x:v>
      </x:c>
      <x:c r="C29" s="48" t="n">
        <x:v>76.47749999999999</x:v>
      </x:c>
      <x:c r="D29" s="48" t="str">
        <x:v>TIER 4</x:v>
      </x:c>
      <x:c r="E29" s="48" t="n">
        <x:v>91</x:v>
      </x:c>
      <x:c r="F29" s="48" t="n">
        <x:v>108.3</x:v>
      </x:c>
      <x:c r="G29" s="48" t="n">
        <x:v>17.299999999999997</x:v>
      </x:c>
      <x:c r="H29" s="116" t="str">
        <x:v>WR2/FLEX; dependable lineup option with matchup-driven ceiling.</x:v>
      </x:c>
      <x:c r="I29" s="98" t="str">
        <x:v>The 2026 opportunity and projection carry most of the grade because detailed 2025 rate data is incomplete. Market price is favorable around ADP 108 versus model overall rank 91.</x:v>
      </x:c>
      <x:c r="J29" s="98" t="str">
        <x:v>Evidence is thinner than for established veterans, so camp, depth-chart and role news can move the grade materially.</x:v>
      </x:c>
      <x:c r="K29" t="str">
        <x:v>C</x:v>
      </x:c>
      <x:c r="L29" s="98" t="str">
        <x:v>HISTORY FALLBACK</x:v>
      </x:c>
    </x:row>
    <x:row r="30">
      <x:c r="A30" t="n">
        <x:v>26</x:v>
      </x:c>
      <x:c r="B30" t="str">
        <x:v>Jordyn Tyson</x:v>
      </x:c>
      <x:c r="C30" s="48" t="n">
        <x:v>76.22</x:v>
      </x:c>
      <x:c r="D30" s="48" t="str">
        <x:v>TIER 4</x:v>
      </x:c>
      <x:c r="E30" s="48" t="n">
        <x:v>98</x:v>
      </x:c>
      <x:c r="F30" s="48" t="n">
        <x:v>135.6</x:v>
      </x:c>
      <x:c r="G30" s="48" t="n">
        <x:v>37.599999999999994</x:v>
      </x:c>
      <x:c r="H30" s="116" t="str">
        <x:v>WR2/FLEX; dependable lineup option with matchup-driven ceiling.</x:v>
      </x:c>
      <x:c r="I30" s="98" t="str">
        <x:v>Rookie score 92.4, backed by No. 8 draft capital and a 6.43 NFL prospect grade. The 2026 role projection is strong enough to replace missing NFL history. Market price is favorable around ADP 136 versus model overall rank 98.</x:v>
      </x:c>
      <x:c r="J30" s="98" t="str">
        <x:v>NFL translation and exact weekly role are the main variables; preseason first-team usage can move this rating quickly.</x:v>
      </x:c>
      <x:c r="K30" t="str">
        <x:v>B</x:v>
      </x:c>
      <x:c r="L30" s="98" t="str">
        <x:v>ROOKIE ENGINE</x:v>
      </x:c>
    </x:row>
    <x:row r="31">
      <x:c r="A31" t="n">
        <x:v>27</x:v>
      </x:c>
      <x:c r="B31" t="str">
        <x:v>Jameson Williams</x:v>
      </x:c>
      <x:c r="C31" s="48" t="n">
        <x:v>76.0625</x:v>
      </x:c>
      <x:c r="D31" s="48" t="str">
        <x:v>TIER 4</x:v>
      </x:c>
      <x:c r="E31" s="48" t="n">
        <x:v>92</x:v>
      </x:c>
      <x:c r="F31" s="48" t="n">
        <x:v>100.5</x:v>
      </x:c>
      <x:c r="G31" s="48" t="n">
        <x:v>8.5</x:v>
      </x:c>
      <x:c r="H31" s="116" t="str">
        <x:v>WR2/FLEX; dependable lineup option with matchup-driven ceiling.</x:v>
      </x:c>
      <x:c r="I31" s="98" t="str">
        <x:v>He produced 12.9 PPR/FP points per game across 17 games. The workload/efficiency profile gives the model a rate-based reason to keep him here.</x:v>
      </x:c>
      <x:c r="J31" s="98" t="str">
        <x:v>Target competition, quarterback efficiency and touchdown regression are the main downside paths.</x:v>
      </x:c>
      <x:c r="K31" t="str">
        <x:v>A</x:v>
      </x:c>
      <x:c r="L31" s="98" t="str">
        <x:v>RATE-ADJUSTED VETERAN</x:v>
      </x:c>
    </x:row>
    <x:row r="32">
      <x:c r="A32" t="n">
        <x:v>28</x:v>
      </x:c>
      <x:c r="B32" t="str">
        <x:v>Michael Pittman Jr.</x:v>
      </x:c>
      <x:c r="C32" s="48" t="n">
        <x:v>75.55</x:v>
      </x:c>
      <x:c r="D32" s="48" t="str">
        <x:v>TIER 4</x:v>
      </x:c>
      <x:c r="E32" s="48" t="n">
        <x:v>105</x:v>
      </x:c>
      <x:c r="F32" s="48" t="n">
        <x:v>139.5</x:v>
      </x:c>
      <x:c r="G32" s="48" t="n">
        <x:v>34.5</x:v>
      </x:c>
      <x:c r="H32" s="116" t="str">
        <x:v>WR2/FLEX; dependable lineup option with matchup-driven ceiling.</x:v>
      </x:c>
      <x:c r="I32" s="98" t="str">
        <x:v>He produced 11.9 PPR/FP points per game across 17 games. The workload/efficiency profile gives the model a rate-based reason to keep him here. Market price is favorable around ADP 140 versus model overall rank 105.</x:v>
      </x:c>
      <x:c r="J32" s="98" t="str">
        <x:v>Target competition, quarterback efficiency and touchdown regression are the main downside paths.</x:v>
      </x:c>
      <x:c r="K32" t="str">
        <x:v>A</x:v>
      </x:c>
      <x:c r="L32" s="98" t="str">
        <x:v>RATE-ADJUSTED VETERAN</x:v>
      </x:c>
    </x:row>
    <x:row r="33">
      <x:c r="A33" t="n">
        <x:v>29</x:v>
      </x:c>
      <x:c r="B33" t="str">
        <x:v>DJ Moore</x:v>
      </x:c>
      <x:c r="C33" s="48" t="n">
        <x:v>75.48</x:v>
      </x:c>
      <x:c r="D33" s="48" t="str">
        <x:v>TIER 4</x:v>
      </x:c>
      <x:c r="E33" s="48" t="n">
        <x:v>94</x:v>
      </x:c>
      <x:c r="F33" s="48" t="n">
        <x:v>96.6</x:v>
      </x:c>
      <x:c r="G33" s="48" t="n">
        <x:v>2.5999999999999943</x:v>
      </x:c>
      <x:c r="H33" s="116" t="str">
        <x:v>WR2/FLEX; dependable lineup option with matchup-driven ceiling.</x:v>
      </x:c>
      <x:c r="I33" s="98" t="str">
        <x:v>He produced 10.0 PPR/FP points per game across 17 games. The workload/efficiency profile gives the model a rate-based reason to keep him here.</x:v>
      </x:c>
      <x:c r="J33" s="98" t="str">
        <x:v>Target competition, quarterback efficiency and touchdown regression are the main downside paths.</x:v>
      </x:c>
      <x:c r="K33" t="str">
        <x:v>A</x:v>
      </x:c>
      <x:c r="L33" s="98" t="str">
        <x:v>RATE-ADJUSTED VETERAN</x:v>
      </x:c>
    </x:row>
    <x:row r="34">
      <x:c r="A34" t="n">
        <x:v>30</x:v>
      </x:c>
      <x:c r="B34" t="str">
        <x:v>Jakobi Meyers</x:v>
      </x:c>
      <x:c r="C34" s="48" t="n">
        <x:v>74.88</x:v>
      </x:c>
      <x:c r="D34" s="48" t="str">
        <x:v>TIER 5</x:v>
      </x:c>
      <x:c r="E34" s="48" t="n">
        <x:v>110</x:v>
      </x:c>
      <x:c r="F34" s="48" t="n">
        <x:v>143.4</x:v>
      </x:c>
      <x:c r="G34" s="48" t="n">
        <x:v>33.400000000000006</x:v>
      </x:c>
      <x:c r="H34" s="116" t="str">
        <x:v>WR2/FLEX; dependable lineup option with matchup-driven ceiling.</x:v>
      </x:c>
      <x:c r="I34" s="98" t="str">
        <x:v>He produced 11.0 PPR/FP points per game across 16 games. The workload/efficiency profile gives the model a rate-based reason to keep him here. Market price is favorable around ADP 143 versus model overall rank 110.</x:v>
      </x:c>
      <x:c r="J34" s="98" t="str">
        <x:v>Target competition, quarterback efficiency and touchdown regression are the main downside paths.</x:v>
      </x:c>
      <x:c r="K34" t="str">
        <x:v>A</x:v>
      </x:c>
      <x:c r="L34" s="98" t="str">
        <x:v>RATE-ADJUSTED VETERAN</x:v>
      </x:c>
    </x:row>
    <x:row r="35">
      <x:c r="A35" t="n">
        <x:v>31</x:v>
      </x:c>
      <x:c r="B35" t="str">
        <x:v>Jordan Addison</x:v>
      </x:c>
      <x:c r="C35" s="48" t="n">
        <x:v>74.21</x:v>
      </x:c>
      <x:c r="D35" s="48" t="str">
        <x:v>TIER 5</x:v>
      </x:c>
      <x:c r="E35" s="48" t="n">
        <x:v>114</x:v>
      </x:c>
      <x:c r="F35" s="48" t="n">
        <x:v>147.29999999999998</x:v>
      </x:c>
      <x:c r="G35" s="48" t="n">
        <x:v>33.29999999999998</x:v>
      </x:c>
      <x:c r="H35" s="116" t="str">
        <x:v>WR2/FLEX; dependable lineup option with matchup-driven ceiling.</x:v>
      </x:c>
      <x:c r="I35" s="98" t="str">
        <x:v>He produced 9.6 PPR/FP points per game across 14 games. The workload/efficiency profile gives the model a rate-based reason to keep him here. Market price is favorable around ADP 147 versus model overall rank 114.</x:v>
      </x:c>
      <x:c r="J35" s="98" t="str">
        <x:v>Target competition, quarterback efficiency and touchdown regression are the main downside paths.</x:v>
      </x:c>
      <x:c r="K35" t="str">
        <x:v>A</x:v>
      </x:c>
      <x:c r="L35" s="98" t="str">
        <x:v>RATE-ADJUSTED VETERAN</x:v>
      </x:c>
    </x:row>
    <x:row r="36">
      <x:c r="A36" t="n">
        <x:v>32</x:v>
      </x:c>
      <x:c r="B36" t="str">
        <x:v>Christian Watson</x:v>
      </x:c>
      <x:c r="C36" s="48" t="n">
        <x:v>73.8925</x:v>
      </x:c>
      <x:c r="D36" s="48" t="str">
        <x:v>TIER 5</x:v>
      </x:c>
      <x:c r="E36" s="48" t="n">
        <x:v>109</x:v>
      </x:c>
      <x:c r="F36" s="48" t="n">
        <x:v>116.1</x:v>
      </x:c>
      <x:c r="G36" s="48" t="n">
        <x:v>7.099999999999994</x:v>
      </x:c>
      <x:c r="H36" s="116" t="str">
        <x:v>WR2/FLEX; dependable lineup option with matchup-driven ceiling.</x:v>
      </x:c>
      <x:c r="I36" s="98" t="str">
        <x:v>He produced 13.2 PPR/FP points per game across 10 games. The workload/efficiency profile gives the model a rate-based reason to keep him here.</x:v>
      </x:c>
      <x:c r="J36" s="98" t="str">
        <x:v>Target competition, quarterback efficiency and touchdown regression are the main downside paths.</x:v>
      </x:c>
      <x:c r="K36" t="str">
        <x:v>B</x:v>
      </x:c>
      <x:c r="L36" s="98" t="str">
        <x:v>RATE-ADJUSTED VETERAN</x:v>
      </x:c>
    </x:row>
    <x:row r="37">
      <x:c r="A37" t="n">
        <x:v>33</x:v>
      </x:c>
      <x:c r="B37" t="str">
        <x:v>Rome Odunze</x:v>
      </x:c>
      <x:c r="C37" s="48" t="n">
        <x:v>73.645</x:v>
      </x:c>
      <x:c r="D37" s="48" t="str">
        <x:v>TIER 5</x:v>
      </x:c>
      <x:c r="E37" s="48" t="n">
        <x:v>108</x:v>
      </x:c>
      <x:c r="F37" s="48" t="n">
        <x:v>104.39999999999999</x:v>
      </x:c>
      <x:c r="G37" s="48" t="n">
        <x:v>-3.6000000000000085</x:v>
      </x:c>
      <x:c r="H37" s="116" t="str">
        <x:v>WR2/FLEX; dependable lineup option with matchup-driven ceiling.</x:v>
      </x:c>
      <x:c r="I37" s="98" t="str">
        <x:v>He produced 12.2 PPR/FP points per game across 12 games. The workload/efficiency profile gives the model a rate-based reason to keep him here.</x:v>
      </x:c>
      <x:c r="J37" s="98" t="str">
        <x:v>Target competition, quarterback efficiency and touchdown regression are the main downside paths.</x:v>
      </x:c>
      <x:c r="K37" t="str">
        <x:v>A</x:v>
      </x:c>
      <x:c r="L37" s="98" t="str">
        <x:v>RATE-ADJUSTED VETERAN</x:v>
      </x:c>
    </x:row>
    <x:row r="38">
      <x:c r="A38" t="n">
        <x:v>34</x:v>
      </x:c>
      <x:c r="B38" t="str">
        <x:v>Wan'Dale Robinson</x:v>
      </x:c>
      <x:c r="C38" s="48" t="n">
        <x:v>73.53999999999999</x:v>
      </x:c>
      <x:c r="D38" s="48" t="str">
        <x:v>TIER 5</x:v>
      </x:c>
      <x:c r="E38" s="48" t="n">
        <x:v>118</x:v>
      </x:c>
      <x:c r="F38" s="48" t="n">
        <x:v>151.2</x:v>
      </x:c>
      <x:c r="G38" s="48" t="n">
        <x:v>33.19999999999999</x:v>
      </x:c>
      <x:c r="H38" s="116" t="str">
        <x:v>WR2/FLEX; dependable lineup option with matchup-driven ceiling.</x:v>
      </x:c>
      <x:c r="I38" s="98" t="str">
        <x:v>He produced 13.7 PPR/FP points per game across 16 games. The workload/efficiency profile gives the model a rate-based reason to keep him here. Market price is favorable around ADP 151 versus model overall rank 118.</x:v>
      </x:c>
      <x:c r="J38" s="98" t="str">
        <x:v>Target competition, quarterback efficiency and touchdown regression are the main downside paths.</x:v>
      </x:c>
      <x:c r="K38" t="str">
        <x:v>A</x:v>
      </x:c>
      <x:c r="L38" s="98" t="str">
        <x:v>RATE-ADJUSTED VETERAN</x:v>
      </x:c>
    </x:row>
    <x:row r="39">
      <x:c r="A39" t="n">
        <x:v>35</x:v>
      </x:c>
      <x:c r="B39" t="str">
        <x:v>Makai Lemon</x:v>
      </x:c>
      <x:c r="C39" s="48" t="n">
        <x:v>72.2</x:v>
      </x:c>
      <x:c r="D39" s="48" t="str">
        <x:v>TIER 5</x:v>
      </x:c>
      <x:c r="E39" s="48" t="n">
        <x:v>145</x:v>
      </x:c>
      <x:c r="F39" s="48" t="n">
        <x:v>159</x:v>
      </x:c>
      <x:c r="G39" s="48" t="n">
        <x:v>14</x:v>
      </x:c>
      <x:c r="H39" s="116" t="str">
        <x:v>WR2/FLEX; dependable lineup option with matchup-driven ceiling.</x:v>
      </x:c>
      <x:c r="I39" s="98" t="str">
        <x:v>Rookie score 89.2, backed by No. 20 draft capital and a 6.47 NFL prospect grade. The 2026 role projection is strong enough to replace missing NFL history. Market price is favorable around ADP 159 versus model overall rank 145.</x:v>
      </x:c>
      <x:c r="J39" s="98" t="str">
        <x:v>NFL translation and exact weekly role are the main variables; preseason first-team usage can move this rating quickly.</x:v>
      </x:c>
      <x:c r="K39" t="str">
        <x:v>B</x:v>
      </x:c>
      <x:c r="L39" s="98" t="str">
        <x:v>ROOKIE ENGINE</x:v>
      </x:c>
    </x:row>
    <x:row r="40">
      <x:c r="A40" t="n">
        <x:v>36</x:v>
      </x:c>
      <x:c r="B40" t="str">
        <x:v>Carnell Tate</x:v>
      </x:c>
      <x:c r="C40" s="48" t="n">
        <x:v>71.89</x:v>
      </x:c>
      <x:c r="D40" s="48" t="str">
        <x:v>TIER 5</x:v>
      </x:c>
      <x:c r="E40" s="48" t="n">
        <x:v>122</x:v>
      </x:c>
      <x:c r="F40" s="48" t="n">
        <x:v>127.8</x:v>
      </x:c>
      <x:c r="G40" s="48" t="n">
        <x:v>5.799999999999997</x:v>
      </x:c>
      <x:c r="H40" s="116" t="str">
        <x:v>WR2/FLEX; dependable lineup option with matchup-driven ceiling.</x:v>
      </x:c>
      <x:c r="I40" s="98" t="str">
        <x:v>Rookie score 95.1, backed by No. 4 draft capital and a 6.71 NFL prospect grade. The 2026 role projection is strong enough to replace missing NFL history.</x:v>
      </x:c>
      <x:c r="J40" s="98" t="str">
        <x:v>NFL translation and exact weekly role are the main variables; preseason first-team usage can move this rating quickly.</x:v>
      </x:c>
      <x:c r="K40" t="str">
        <x:v>B</x:v>
      </x:c>
      <x:c r="L40" s="98" t="str">
        <x:v>ROOKIE ENGINE</x:v>
      </x:c>
    </x:row>
    <x:row r="41">
      <x:c r="A41" t="n">
        <x:v>37</x:v>
      </x:c>
      <x:c r="B41" t="str">
        <x:v>Marvin Harrison Jr.</x:v>
      </x:c>
      <x:c r="C41" s="48" t="n">
        <x:v>71.81</x:v>
      </x:c>
      <x:c r="D41" s="48" t="str">
        <x:v>TIER 5</x:v>
      </x:c>
      <x:c r="E41" s="48" t="n">
        <x:v>120</x:v>
      </x:c>
      <x:c r="F41" s="48" t="n">
        <x:v>112.2</x:v>
      </x:c>
      <x:c r="G41" s="48" t="n">
        <x:v>-7.799999999999997</x:v>
      </x:c>
      <x:c r="H41" s="116" t="str">
        <x:v>FLEX/bench receiver; needs target growth or efficiency spikes.</x:v>
      </x:c>
      <x:c r="I41" s="98" t="str">
        <x:v>He produced 10.6 PPR/FP points per game across 12 games. The workload/efficiency profile gives the model a rate-based reason to keep him here.</x:v>
      </x:c>
      <x:c r="J41" s="98" t="str">
        <x:v>Target competition, quarterback efficiency and touchdown regression are the main downside paths.</x:v>
      </x:c>
      <x:c r="K41" t="str">
        <x:v>A</x:v>
      </x:c>
      <x:c r="L41" s="98" t="str">
        <x:v>RATE-ADJUSTED VETERAN</x:v>
      </x:c>
    </x:row>
    <x:row r="42">
      <x:c r="A42" t="n">
        <x:v>38</x:v>
      </x:c>
      <x:c r="B42" t="str">
        <x:v>Parker Washington</x:v>
      </x:c>
      <x:c r="C42" s="48" t="n">
        <x:v>71.53</x:v>
      </x:c>
      <x:c r="D42" s="48" t="str">
        <x:v>TIER 5</x:v>
      </x:c>
      <x:c r="E42" s="48" t="n">
        <x:v>133</x:v>
      </x:c>
      <x:c r="F42" s="48" t="n">
        <x:v>162.9</x:v>
      </x:c>
      <x:c r="G42" s="48" t="n">
        <x:v>29.900000000000006</x:v>
      </x:c>
      <x:c r="H42" s="116" t="str">
        <x:v>FLEX/bench receiver; needs target growth or efficiency spikes.</x:v>
      </x:c>
      <x:c r="I42" s="98" t="str">
        <x:v>He produced 11.5 PPR/FP points per game across 16 games. The workload/efficiency profile gives the model a rate-based reason to keep him here. Market price is favorable around ADP 163 versus model overall rank 133.</x:v>
      </x:c>
      <x:c r="J42" s="98" t="str">
        <x:v>Target competition, quarterback efficiency and touchdown regression are the main downside paths.</x:v>
      </x:c>
      <x:c r="K42" t="str">
        <x:v>A</x:v>
      </x:c>
      <x:c r="L42" s="98" t="str">
        <x:v>RATE-ADJUSTED VETERAN</x:v>
      </x:c>
    </x:row>
    <x:row r="43">
      <x:c r="A43" t="n">
        <x:v>39</x:v>
      </x:c>
      <x:c r="B43" t="str">
        <x:v>Chris Godwin Jr.</x:v>
      </x:c>
      <x:c r="C43" s="48" t="n">
        <x:v>70.86</x:v>
      </x:c>
      <x:c r="D43" s="48" t="str">
        <x:v>TIER 5</x:v>
      </x:c>
      <x:c r="E43" s="48" t="n">
        <x:v>137</x:v>
      </x:c>
      <x:c r="F43" s="48" t="n">
        <x:v>166.79999999999998</x:v>
      </x:c>
      <x:c r="G43" s="48" t="n">
        <x:v>29.799999999999983</x:v>
      </x:c>
      <x:c r="H43" s="116" t="str">
        <x:v>FLEX/bench receiver; needs target growth or efficiency spikes.</x:v>
      </x:c>
      <x:c r="I43" s="98" t="str">
        <x:v>The 2026 opportunity and projection carry most of the grade because detailed 2025 rate data is incomplete. Market price is favorable around ADP 167 versus model overall rank 137.</x:v>
      </x:c>
      <x:c r="J43" s="98" t="str">
        <x:v>Evidence is thinner than for established veterans, so camp, depth-chart and role news can move the grade materially.</x:v>
      </x:c>
      <x:c r="K43" t="str">
        <x:v>C</x:v>
      </x:c>
      <x:c r="L43" s="98" t="str">
        <x:v>HISTORY FALLBACK</x:v>
      </x:c>
    </x:row>
    <x:row r="44">
      <x:c r="A44" t="n">
        <x:v>40</x:v>
      </x:c>
      <x:c r="B44" t="str">
        <x:v>Alec Pierce</x:v>
      </x:c>
      <x:c r="C44" s="48" t="n">
        <x:v>70.725</x:v>
      </x:c>
      <x:c r="D44" s="48" t="str">
        <x:v>TIER 5</x:v>
      </x:c>
      <x:c r="E44" s="48" t="n">
        <x:v>128</x:v>
      </x:c>
      <x:c r="F44" s="48" t="n">
        <x:v>120</x:v>
      </x:c>
      <x:c r="G44" s="48" t="n">
        <x:v>-8</x:v>
      </x:c>
      <x:c r="H44" s="116" t="str">
        <x:v>FLEX/bench receiver; needs target growth or efficiency spikes.</x:v>
      </x:c>
      <x:c r="I44" s="98" t="str">
        <x:v>He produced 12.2 PPR/FP points per game across 15 games. The workload/efficiency profile gives the model a rate-based reason to keep him here.</x:v>
      </x:c>
      <x:c r="J44" s="98" t="str">
        <x:v>Target competition, quarterback efficiency and touchdown regression are the main downside paths.</x:v>
      </x:c>
      <x:c r="K44" t="str">
        <x:v>A</x:v>
      </x:c>
      <x:c r="L44" s="98" t="str">
        <x:v>RATE-ADJUSTED VETERAN</x:v>
      </x:c>
    </x:row>
    <x:row r="45">
      <x:c r="A45" t="n">
        <x:v>41</x:v>
      </x:c>
      <x:c r="B45" t="str">
        <x:v>Quentin Johnston</x:v>
      </x:c>
      <x:c r="C45" s="48" t="n">
        <x:v>70.19</x:v>
      </x:c>
      <x:c r="D45" s="48" t="str">
        <x:v>TIER 5</x:v>
      </x:c>
      <x:c r="E45" s="48" t="n">
        <x:v>142</x:v>
      </x:c>
      <x:c r="F45" s="48" t="n">
        <x:v>170.7</x:v>
      </x:c>
      <x:c r="G45" s="48" t="n">
        <x:v>28.69999999999999</x:v>
      </x:c>
      <x:c r="H45" s="116" t="str">
        <x:v>FLEX/bench receiver; needs target growth or efficiency spikes.</x:v>
      </x:c>
      <x:c r="I45" s="98" t="str">
        <x:v>He produced 12.2 PPR/FP points per game across 14 games. The workload/efficiency profile gives the model a rate-based reason to keep him here. Market price is favorable around ADP 171 versus model overall rank 142.</x:v>
      </x:c>
      <x:c r="J45" s="98" t="str">
        <x:v>Target competition, quarterback efficiency and touchdown regression are the main downside paths.</x:v>
      </x:c>
      <x:c r="K45" t="str">
        <x:v>A</x:v>
      </x:c>
      <x:c r="L45" s="98" t="str">
        <x:v>RATE-ADJUSTED VETERAN</x:v>
      </x:c>
    </x:row>
    <x:row r="46">
      <x:c r="A46" t="n">
        <x:v>42</x:v>
      </x:c>
      <x:c r="B46" t="str">
        <x:v>DK Metcalf</x:v>
      </x:c>
      <x:c r="C46" s="48" t="n">
        <x:v>69.8075</x:v>
      </x:c>
      <x:c r="D46" s="48" t="str">
        <x:v>TIER 6</x:v>
      </x:c>
      <x:c r="E46" s="48" t="n">
        <x:v>134</x:v>
      </x:c>
      <x:c r="F46" s="48" t="n">
        <x:v>123.89999999999999</x:v>
      </x:c>
      <x:c r="G46" s="48" t="n">
        <x:v>-10.100000000000009</x:v>
      </x:c>
      <x:c r="H46" s="116" t="str">
        <x:v>FLEX/bench receiver; needs target growth or efficiency spikes.</x:v>
      </x:c>
      <x:c r="I46" s="98" t="str">
        <x:v>He produced 12.4 PPR/FP points per game across 15 games. The workload/efficiency profile gives the model a rate-based reason to keep him here. The market is more aggressive at ADP 124 versus model overall rank 134, so price matters.</x:v>
      </x:c>
      <x:c r="J46" s="98" t="str">
        <x:v>Price is the biggest risk: the market currently asks you to draft him earlier than the model prefers.</x:v>
      </x:c>
      <x:c r="K46" t="str">
        <x:v>A</x:v>
      </x:c>
      <x:c r="L46" s="98" t="str">
        <x:v>RATE-ADJUSTED VETERAN</x:v>
      </x:c>
    </x:row>
    <x:row r="47">
      <x:c r="A47" t="n">
        <x:v>43</x:v>
      </x:c>
      <x:c r="B47" t="str">
        <x:v>Ricky Pearsall</x:v>
      </x:c>
      <x:c r="C47" s="48" t="n">
        <x:v>69.52</x:v>
      </x:c>
      <x:c r="D47" s="48" t="str">
        <x:v>TIER 6</x:v>
      </x:c>
      <x:c r="E47" s="48" t="n">
        <x:v>150</x:v>
      </x:c>
      <x:c r="F47" s="48" t="n">
        <x:v>174.6</x:v>
      </x:c>
      <x:c r="G47" s="48" t="n">
        <x:v>24.599999999999994</x:v>
      </x:c>
      <x:c r="H47" s="116" t="str">
        <x:v>FLEX/bench receiver; needs target growth or efficiency spikes.</x:v>
      </x:c>
      <x:c r="I47" s="98" t="str">
        <x:v>The 2026 opportunity and projection carry most of the grade because detailed 2025 rate data is incomplete. Market price is favorable around ADP 175 versus model overall rank 150.</x:v>
      </x:c>
      <x:c r="J47" s="98" t="str">
        <x:v>Evidence is thinner than for established veterans, so camp, depth-chart and role news can move the grade materially.</x:v>
      </x:c>
      <x:c r="K47" t="str">
        <x:v>C</x:v>
      </x:c>
      <x:c r="L47" s="98" t="str">
        <x:v>HISTORY FALLBACK</x:v>
      </x:c>
    </x:row>
    <x:row r="48">
      <x:c r="A48" t="n">
        <x:v>44</x:v>
      </x:c>
      <x:c r="B48" t="str">
        <x:v>Michael Wilson</x:v>
      </x:c>
      <x:c r="C48" s="48" t="n">
        <x:v>68.85</x:v>
      </x:c>
      <x:c r="D48" s="48" t="str">
        <x:v>TIER 6</x:v>
      </x:c>
      <x:c r="E48" s="48" t="n">
        <x:v>153</x:v>
      </x:c>
      <x:c r="F48" s="48" t="n">
        <x:v>178.5</x:v>
      </x:c>
      <x:c r="G48" s="48" t="n">
        <x:v>25.5</x:v>
      </x:c>
      <x:c r="H48" s="116" t="str">
        <x:v>FLEX/bench receiver; needs target growth or efficiency spikes.</x:v>
      </x:c>
      <x:c r="I48" s="98" t="str">
        <x:v>He produced 13.0 PPR/FP points per game across 17 games. The workload/efficiency profile gives the model a rate-based reason to keep him here. Market price is favorable around ADP 178 versus model overall rank 153.</x:v>
      </x:c>
      <x:c r="J48" s="98" t="str">
        <x:v>Target competition, quarterback efficiency and touchdown regression are the main downside paths.</x:v>
      </x:c>
      <x:c r="K48" t="str">
        <x:v>A</x:v>
      </x:c>
      <x:c r="L48" s="98" t="str">
        <x:v>RATE-ADJUSTED VETERAN</x:v>
      </x:c>
    </x:row>
    <x:row r="49">
      <x:c r="A49" t="n">
        <x:v>45</x:v>
      </x:c>
      <x:c r="B49" t="str">
        <x:v>Courtland Sutton</x:v>
      </x:c>
      <x:c r="C49" s="48" t="n">
        <x:v>68.7225</x:v>
      </x:c>
      <x:c r="D49" s="48" t="str">
        <x:v>TIER 6</x:v>
      </x:c>
      <x:c r="E49" s="48" t="n">
        <x:v>141</x:v>
      </x:c>
      <x:c r="F49" s="48" t="n">
        <x:v>131.7</x:v>
      </x:c>
      <x:c r="G49" s="48" t="n">
        <x:v>-9.300000000000011</x:v>
      </x:c>
      <x:c r="H49" s="116" t="str">
        <x:v>FLEX/bench receiver; needs target growth or efficiency spikes.</x:v>
      </x:c>
      <x:c r="I49" s="98" t="str">
        <x:v>He produced 13.0 PPR/FP points per game across 17 games. The workload/efficiency profile gives the model a rate-based reason to keep him here.</x:v>
      </x:c>
      <x:c r="J49" s="98" t="str">
        <x:v>Target competition, quarterback efficiency and touchdown regression are the main downside paths.</x:v>
      </x:c>
      <x:c r="K49" t="str">
        <x:v>A</x:v>
      </x:c>
      <x:c r="L49" s="98" t="str">
        <x:v>RATE-ADJUSTED VETERAN</x:v>
      </x:c>
    </x:row>
    <x:row r="50">
      <x:c r="A50" t="n">
        <x:v>46</x:v>
      </x:c>
      <x:c r="B50" t="str">
        <x:v>Xavier Worthy</x:v>
      </x:c>
      <x:c r="C50" s="48" t="n">
        <x:v>68.18</x:v>
      </x:c>
      <x:c r="D50" s="48" t="str">
        <x:v>TIER 6</x:v>
      </x:c>
      <x:c r="E50" s="48" t="n">
        <x:v>155</x:v>
      </x:c>
      <x:c r="F50" s="48" t="n">
        <x:v>182.4</x:v>
      </x:c>
      <x:c r="G50" s="48" t="n">
        <x:v>27.400000000000006</x:v>
      </x:c>
      <x:c r="H50" s="116" t="str">
        <x:v>FLEX/bench receiver; needs target growth or efficiency spikes.</x:v>
      </x:c>
      <x:c r="I50" s="98" t="str">
        <x:v>He produced 7.9 PPR/FP points per game across 14 games. The workload/efficiency profile gives the model a rate-based reason to keep him here. Market price is favorable around ADP 182 versus model overall rank 155.</x:v>
      </x:c>
      <x:c r="J50" s="98" t="str">
        <x:v>Target competition, quarterback efficiency and touchdown regression are the main downside paths.</x:v>
      </x:c>
      <x:c r="K50" t="str">
        <x:v>A</x:v>
      </x:c>
      <x:c r="L50" s="98" t="str">
        <x:v>RATE-ADJUSTED VETERAN</x:v>
      </x:c>
    </x:row>
    <x:row r="51">
      <x:c r="A51" t="n">
        <x:v>47</x:v>
      </x:c>
      <x:c r="B51" t="str">
        <x:v>Matthew Golden</x:v>
      </x:c>
      <x:c r="C51" s="48" t="n">
        <x:v>67.50999999999999</x:v>
      </x:c>
      <x:c r="D51" s="48" t="str">
        <x:v>TIER 6</x:v>
      </x:c>
      <x:c r="E51" s="48" t="n">
        <x:v>159</x:v>
      </x:c>
      <x:c r="F51" s="48" t="n">
        <x:v>186.29999999999998</x:v>
      </x:c>
      <x:c r="G51" s="48" t="n">
        <x:v>27.299999999999983</x:v>
      </x:c>
      <x:c r="H51" s="116" t="str">
        <x:v>FLEX/bench receiver; needs target growth or efficiency spikes.</x:v>
      </x:c>
      <x:c r="I51" s="98" t="str">
        <x:v>The 2026 opportunity and projection carry most of the grade because detailed 2025 rate data is incomplete. Market price is favorable around ADP 186 versus model overall rank 159.</x:v>
      </x:c>
      <x:c r="J51" s="98" t="str">
        <x:v>Evidence is thinner than for established veterans, so camp, depth-chart and role news can move the grade materially.</x:v>
      </x:c>
      <x:c r="K51" t="str">
        <x:v>C</x:v>
      </x:c>
      <x:c r="L51" s="98" t="str">
        <x:v>HISTORY FALLBACK</x:v>
      </x:c>
    </x:row>
    <x:row r="52">
      <x:c r="A52" t="n">
        <x:v>48</x:v>
      </x:c>
      <x:c r="B52" t="str">
        <x:v>Brian Thomas Jr.</x:v>
      </x:c>
      <x:c r="C52" s="48" t="n">
        <x:v>66.9675</x:v>
      </x:c>
      <x:c r="D52" s="48" t="str">
        <x:v>TIER 6</x:v>
      </x:c>
      <x:c r="E52" s="48" t="n">
        <x:v>152</x:v>
      </x:c>
      <x:c r="F52" s="48" t="n">
        <x:v>155.1</x:v>
      </x:c>
      <x:c r="G52" s="48" t="n">
        <x:v>3.0999999999999943</x:v>
      </x:c>
      <x:c r="H52" s="116" t="str">
        <x:v>FLEX/bench receiver; needs target growth or efficiency spikes.</x:v>
      </x:c>
      <x:c r="I52" s="98" t="str">
        <x:v>The 2026 opportunity and projection carry most of the grade because detailed 2025 rate data is incomplete.</x:v>
      </x:c>
      <x:c r="J52" s="98" t="str">
        <x:v>Target competition, quarterback efficiency and touchdown regression are the main downside paths.</x:v>
      </x:c>
      <x:c r="K52" t="str">
        <x:v>B</x:v>
      </x:c>
      <x:c r="L52" s="98" t="str">
        <x:v>HISTORY FALLBACK</x:v>
      </x:c>
    </x:row>
    <x:row r="53">
      <x:c r="A53" t="n">
        <x:v>49</x:v>
      </x:c>
      <x:c r="B53" t="str">
        <x:v>Josh Downs</x:v>
      </x:c>
      <x:c r="C53" s="48" t="n">
        <x:v>66.84</x:v>
      </x:c>
      <x:c r="D53" s="48" t="str">
        <x:v>TIER 6</x:v>
      </x:c>
      <x:c r="E53" s="48" t="n">
        <x:v>162</x:v>
      </x:c>
      <x:c r="F53" s="48" t="n">
        <x:v>190.2</x:v>
      </x:c>
      <x:c r="G53" s="48" t="n">
        <x:v>28.19999999999999</x:v>
      </x:c>
      <x:c r="H53" s="116" t="str">
        <x:v>FLEX/bench receiver; needs target growth or efficiency spikes.</x:v>
      </x:c>
      <x:c r="I53" s="98" t="str">
        <x:v>He produced 8.5 PPR/FP points per game across 16 games. The workload/efficiency profile gives the model a rate-based reason to keep him here. Market price is favorable around ADP 190 versus model overall rank 162.</x:v>
      </x:c>
      <x:c r="J53" s="98" t="str">
        <x:v>Target competition, quarterback efficiency and touchdown regression are the main downside paths.</x:v>
      </x:c>
      <x:c r="K53" t="str">
        <x:v>A</x:v>
      </x:c>
      <x:c r="L53" s="98" t="str">
        <x:v>RATE-ADJUSTED VETERAN</x:v>
      </x:c>
    </x:row>
    <x:row r="54">
      <x:c r="A54" t="n">
        <x:v>50</x:v>
      </x:c>
      <x:c r="B54" t="str">
        <x:v>Jayden Reed</x:v>
      </x:c>
      <x:c r="C54" s="48" t="n">
        <x:v>66.16999999999999</x:v>
      </x:c>
      <x:c r="D54" s="48" t="str">
        <x:v>TIER 6</x:v>
      </x:c>
      <x:c r="E54" s="48" t="n">
        <x:v>167</x:v>
      </x:c>
      <x:c r="F54" s="48" t="n">
        <x:v>194.1</x:v>
      </x:c>
      <x:c r="G54" s="48" t="n">
        <x:v>27.099999999999994</x:v>
      </x:c>
      <x:c r="H54" s="116" t="str">
        <x:v>FLEX/bench receiver; needs target growth or efficiency spikes.</x:v>
      </x:c>
      <x:c r="I54" s="98" t="str">
        <x:v>The 2026 opportunity and projection carry most of the grade because detailed 2025 rate data is incomplete. Market price is favorable around ADP 194 versus model overall rank 167.</x:v>
      </x:c>
      <x:c r="J54" s="98" t="str">
        <x:v>Evidence is thinner than for established veterans, so camp, depth-chart and role news can move the grade materially.</x:v>
      </x:c>
      <x:c r="K54" t="str">
        <x:v>C</x:v>
      </x:c>
      <x:c r="L54" s="98" t="str">
        <x:v>HISTORY FALLBACK</x:v>
      </x:c>
    </x:row>
    <x:row r="55">
      <x:c r="A55" t="n">
        <x:v>51</x:v>
      </x:c>
      <x:c r="B55" t="str">
        <x:v>Khalil Shakir</x:v>
      </x:c>
      <x:c r="C55" s="48" t="n">
        <x:v>65.5</x:v>
      </x:c>
      <x:c r="D55" s="48" t="str">
        <x:v>TIER 6</x:v>
      </x:c>
      <x:c r="E55" s="48" t="n">
        <x:v>171</x:v>
      </x:c>
      <x:c r="F55" s="48" t="n">
        <x:v>198</x:v>
      </x:c>
      <x:c r="G55" s="48" t="n">
        <x:v>27</x:v>
      </x:c>
      <x:c r="H55" s="116" t="str">
        <x:v>Late-round bench upside; role growth is required for weekly relevance.</x:v>
      </x:c>
      <x:c r="I55" s="98" t="str">
        <x:v>He produced 10.4 PPR/FP points per game across 16 games. The workload/efficiency profile gives the model a rate-based reason to keep him here. Market price is favorable around ADP 198 versus model overall rank 171.</x:v>
      </x:c>
      <x:c r="J55" s="98" t="str">
        <x:v>Target competition, quarterback efficiency and touchdown regression are the main downside paths.</x:v>
      </x:c>
      <x:c r="K55" t="str">
        <x:v>A</x:v>
      </x:c>
      <x:c r="L55" s="98" t="str">
        <x:v>RATE-ADJUSTED VETERAN</x:v>
      </x:c>
    </x:row>
    <x:row r="56">
      <x:c r="A56" t="n">
        <x:v>52</x:v>
      </x:c>
      <x:c r="B56" t="str">
        <x:v>Jalin Hyatt</x:v>
      </x:c>
      <x:c r="C56" s="48" t="n">
        <x:v>64.83</x:v>
      </x:c>
      <x:c r="D56" s="48" t="str">
        <x:v>TIER 7</x:v>
      </x:c>
      <x:c r="E56" s="48" t="n">
        <x:v>174</x:v>
      </x:c>
      <x:c r="F56" s="48" t="n">
        <x:v>201.9</x:v>
      </x:c>
      <x:c r="G56" s="48" t="n">
        <x:v>27.900000000000006</x:v>
      </x:c>
      <x:c r="H56" s="116" t="str">
        <x:v>Late-round bench upside; role growth is required for weekly relevance.</x:v>
      </x:c>
      <x:c r="I56" s="98" t="str">
        <x:v>The 2026 opportunity and projection carry most of the grade because detailed 2025 rate data is incomplete. Market price is favorable around ADP 202 versus model overall rank 174.</x:v>
      </x:c>
      <x:c r="J56" s="98" t="str">
        <x:v>Evidence is thinner than for established veterans, so camp, depth-chart and role news can move the grade materially.</x:v>
      </x:c>
      <x:c r="K56" t="str">
        <x:v>C</x:v>
      </x:c>
      <x:c r="L56" s="98" t="str">
        <x:v>HISTORY FALLBACK</x:v>
      </x:c>
    </x:row>
    <x:row r="57">
      <x:c r="A57" t="n">
        <x:v>53</x:v>
      </x:c>
      <x:c r="B57" t="str">
        <x:v>Romeo Doubs</x:v>
      </x:c>
      <x:c r="C57" s="48" t="n">
        <x:v>64.16</x:v>
      </x:c>
      <x:c r="D57" s="48" t="str">
        <x:v>TIER 7</x:v>
      </x:c>
      <x:c r="E57" s="48" t="n">
        <x:v>178</x:v>
      </x:c>
      <x:c r="F57" s="48" t="n">
        <x:v>205.79999999999998</x:v>
      </x:c>
      <x:c r="G57" s="48" t="n">
        <x:v>27.799999999999983</x:v>
      </x:c>
      <x:c r="H57" s="116" t="str">
        <x:v>Late-round bench upside; role growth is required for weekly relevance.</x:v>
      </x:c>
      <x:c r="I57" s="98" t="str">
        <x:v>He produced 10.3 PPR/FP points per game across 16 games. The workload/efficiency profile gives the model a rate-based reason to keep him here. Market price is favorable around ADP 206 versus model overall rank 178.</x:v>
      </x:c>
      <x:c r="J57" s="98" t="str">
        <x:v>Target competition, quarterback efficiency and touchdown regression are the main downside paths.</x:v>
      </x:c>
      <x:c r="K57" t="str">
        <x:v>A</x:v>
      </x:c>
      <x:c r="L57" s="98" t="str">
        <x:v>RATE-ADJUSTED VETERAN</x:v>
      </x:c>
    </x:row>
    <x:row r="58">
      <x:c r="A58" t="n">
        <x:v>54</x:v>
      </x:c>
      <x:c r="B58" t="str">
        <x:v>Jalen Coker</x:v>
      </x:c>
      <x:c r="C58" s="48" t="n">
        <x:v>63.489999999999995</x:v>
      </x:c>
      <x:c r="D58" s="48" t="str">
        <x:v>TIER 7</x:v>
      </x:c>
      <x:c r="E58" s="48" t="n">
        <x:v>179</x:v>
      </x:c>
      <x:c r="F58" s="48" t="n">
        <x:v>209.7</x:v>
      </x:c>
      <x:c r="G58" s="48" t="n">
        <x:v>30.69999999999999</x:v>
      </x:c>
      <x:c r="H58" s="116" t="str">
        <x:v>Late-round bench upside; role growth is required for weekly relevance.</x:v>
      </x:c>
      <x:c r="I58" s="98" t="str">
        <x:v>He produced 8.2 PPR/FP points per game across 11 games. The workload/efficiency profile gives the model a rate-based reason to keep him here. Market price is favorable around ADP 210 versus model overall rank 179.</x:v>
      </x:c>
      <x:c r="J58" s="98" t="str">
        <x:v>Target competition, quarterback efficiency and touchdown regression are the main downside paths.</x:v>
      </x:c>
      <x:c r="K58" t="str">
        <x:v>B</x:v>
      </x:c>
      <x:c r="L58" s="98" t="str">
        <x:v>RATE-ADJUSTED VETERAN</x:v>
      </x:c>
    </x:row>
    <x:row r="59">
      <x:c r="A59" t="n">
        <x:v>55</x:v>
      </x:c>
      <x:c r="B59" t="str">
        <x:v>KC Concepcion</x:v>
      </x:c>
      <x:c r="C59" s="48" t="n">
        <x:v>62.82</x:v>
      </x:c>
      <x:c r="D59" s="48" t="str">
        <x:v>TIER 7</x:v>
      </x:c>
      <x:c r="E59" s="48" t="n">
        <x:v>181</x:v>
      </x:c>
      <x:c r="F59" s="48" t="n">
        <x:v>213.6</x:v>
      </x:c>
      <x:c r="G59" s="48" t="n">
        <x:v>32.599999999999994</x:v>
      </x:c>
      <x:c r="H59" s="116" t="str">
        <x:v>Late-round bench upside; role growth is required for weekly relevance.</x:v>
      </x:c>
      <x:c r="I59" s="98" t="str">
        <x:v>Rookie score 85.3, backed by No. 24 draft capital and a 6.42 NFL prospect grade. The 2026 role projection is strong enough to replace missing NFL history. Market price is favorable around ADP 214 versus model overall rank 181.</x:v>
      </x:c>
      <x:c r="J59" s="98" t="str">
        <x:v>NFL translation and exact weekly role are the main variables; preseason first-team usage can move this rating quickly.</x:v>
      </x:c>
      <x:c r="K59" t="str">
        <x:v>B</x:v>
      </x:c>
      <x:c r="L59" s="98" t="str">
        <x:v>ROOKIE ENGINE</x:v>
      </x:c>
    </x:row>
    <x:row r="60">
      <x:c r="A60" t="n">
        <x:v>56</x:v>
      </x:c>
      <x:c r="B60" t="str">
        <x:v>Rashid Shaheed</x:v>
      </x:c>
      <x:c r="C60" s="48" t="n">
        <x:v>62.15</x:v>
      </x:c>
      <x:c r="D60" s="48" t="str">
        <x:v>TIER 7</x:v>
      </x:c>
      <x:c r="E60" s="48" t="n">
        <x:v>184</x:v>
      </x:c>
      <x:c r="F60" s="48" t="n">
        <x:v>217.5</x:v>
      </x:c>
      <x:c r="G60" s="48" t="n">
        <x:v>33.5</x:v>
      </x:c>
      <x:c r="H60" s="116" t="str">
        <x:v>Late-round bench upside; role growth is required for weekly relevance.</x:v>
      </x:c>
      <x:c r="I60" s="98" t="str">
        <x:v>He produced 8.7 PPR/FP points per game across 18 games. The workload/efficiency profile gives the model a rate-based reason to keep him here. Market price is favorable around ADP 218 versus model overall rank 184.</x:v>
      </x:c>
      <x:c r="J60" s="98" t="str">
        <x:v>Target competition, quarterback efficiency and touchdown regression are the main downside paths.</x:v>
      </x:c>
      <x:c r="K60" t="str">
        <x:v>A</x:v>
      </x:c>
      <x:c r="L60" s="98" t="str">
        <x:v>RATE-ADJUSTED VETERAN</x:v>
      </x:c>
    </x:row>
    <x:row r="61">
      <x:c r="A61" t="n">
        <x:v>57</x:v>
      </x:c>
      <x:c r="B61" t="str">
        <x:v>Calvin Ridley</x:v>
      </x:c>
      <x:c r="C61" s="48" t="n">
        <x:v>61.48</x:v>
      </x:c>
      <x:c r="D61" s="48" t="str">
        <x:v>TIER 7</x:v>
      </x:c>
      <x:c r="E61" s="48" t="n">
        <x:v>185</x:v>
      </x:c>
      <x:c r="F61" s="48" t="n">
        <x:v>221.4</x:v>
      </x:c>
      <x:c r="G61" s="48" t="n">
        <x:v>36.400000000000006</x:v>
      </x:c>
      <x:c r="H61" s="116" t="str">
        <x:v>Late-round bench upside; role growth is required for weekly relevance.</x:v>
      </x:c>
      <x:c r="I61" s="98" t="str">
        <x:v>The 2026 opportunity and projection carry most of the grade because detailed 2025 rate data is incomplete. Market price is favorable around ADP 221 versus model overall rank 185.</x:v>
      </x:c>
      <x:c r="J61" s="98" t="str">
        <x:v>Evidence is thinner than for established veterans, so camp, depth-chart and role news can move the grade materially.</x:v>
      </x:c>
      <x:c r="K61" t="str">
        <x:v>C</x:v>
      </x:c>
      <x:c r="L61" s="98" t="str">
        <x:v>HISTORY FALLBACK</x:v>
      </x:c>
    </x:row>
    <x:row r="62">
      <x:c r="A62" t="n">
        <x:v>58</x:v>
      </x:c>
      <x:c r="B62" t="str">
        <x:v>Omar Cooper Jr.</x:v>
      </x:c>
      <x:c r="C62" s="48" t="n">
        <x:v>60.809999999999995</x:v>
      </x:c>
      <x:c r="D62" s="48" t="str">
        <x:v>TIER 7</x:v>
      </x:c>
      <x:c r="E62" s="48" t="n">
        <x:v>186</x:v>
      </x:c>
      <x:c r="F62" s="48" t="n">
        <x:v>225.29999999999998</x:v>
      </x:c>
      <x:c r="G62" s="48" t="n">
        <x:v>39.29999999999998</x:v>
      </x:c>
      <x:c r="H62" s="116" t="str">
        <x:v>Late-round bench upside; role growth is required for weekly relevance.</x:v>
      </x:c>
      <x:c r="I62" s="98" t="str">
        <x:v>Rookie score 82.1, backed by No. 30 draft capital and a 6.39 NFL prospect grade. The 2026 role projection is strong enough to replace missing NFL history. Market price is favorable around ADP 225 versus model overall rank 186.</x:v>
      </x:c>
      <x:c r="J62" s="98" t="str">
        <x:v>NFL translation and exact weekly role are the main variables; preseason first-team usage can move this rating quickly.</x:v>
      </x:c>
      <x:c r="K62" t="str">
        <x:v>B</x:v>
      </x:c>
      <x:c r="L62" s="98" t="str">
        <x:v>ROOKIE ENGINE</x:v>
      </x:c>
    </x:row>
    <x:row r="63">
      <x:c r="A63" t="n">
        <x:v>59</x:v>
      </x:c>
      <x:c r="B63" t="str">
        <x:v>Jerry Jeudy</x:v>
      </x:c>
      <x:c r="C63" s="48" t="n">
        <x:v>60.14</x:v>
      </x:c>
      <x:c r="D63" s="48" t="str">
        <x:v>TIER 7</x:v>
      </x:c>
      <x:c r="E63" s="48" t="n">
        <x:v>189</x:v>
      </x:c>
      <x:c r="F63" s="48" t="n">
        <x:v>229.2</x:v>
      </x:c>
      <x:c r="G63" s="48" t="n">
        <x:v>40.19999999999999</x:v>
      </x:c>
      <x:c r="H63" s="116" t="str">
        <x:v>Late-round bench upside; role growth is required for weekly relevance.</x:v>
      </x:c>
      <x:c r="I63" s="98" t="str">
        <x:v>He produced 7.1 PPR/FP points per game across 17 games. The workload/efficiency profile gives the model a rate-based reason to keep him here. Market price is favorable around ADP 229 versus model overall rank 189.</x:v>
      </x:c>
      <x:c r="J63" s="98" t="str">
        <x:v>Target competition, quarterback efficiency and touchdown regression are the main downside paths.</x:v>
      </x:c>
      <x:c r="K63" t="str">
        <x:v>A</x:v>
      </x:c>
      <x:c r="L63" s="98" t="str">
        <x:v>RATE-ADJUSTED VETERAN</x:v>
      </x:c>
    </x:row>
    <x:row r="64">
      <x:c r="A64" t="n">
        <x:v>60</x:v>
      </x:c>
      <x:c r="B64" t="str">
        <x:v>Jalen Nailor</x:v>
      </x:c>
      <x:c r="C64" s="48" t="n">
        <x:v>59.47</x:v>
      </x:c>
      <x:c r="D64" s="48" t="str">
        <x:v>TIER 7</x:v>
      </x:c>
      <x:c r="E64" s="48" t="n">
        <x:v>190</x:v>
      </x:c>
      <x:c r="F64" s="48" t="n">
        <x:v>233.1</x:v>
      </x:c>
      <x:c r="G64" s="48" t="n">
        <x:v>43.099999999999994</x:v>
      </x:c>
      <x:c r="H64" s="116" t="str">
        <x:v>Late-round bench upside; role growth is required for weekly relevance.</x:v>
      </x:c>
      <x:c r="I64" s="98" t="str">
        <x:v>He produced 5.9 PPR/FP points per game across 17 games. The workload/efficiency profile gives the model a rate-based reason to keep him here. Market price is favorable around ADP 233 versus model overall rank 190.</x:v>
      </x:c>
      <x:c r="J64" s="98" t="str">
        <x:v>Target competition, quarterback efficiency and touchdown regression are the main downside paths.</x:v>
      </x:c>
      <x:c r="K64" t="str">
        <x:v>A</x:v>
      </x:c>
      <x:c r="L64" s="98" t="str">
        <x:v>RATE-ADJUSTED VETERAN</x:v>
      </x:c>
    </x:row>
    <x:row r="65">
      <x:c r="A65" t="n">
        <x:v>61</x:v>
      </x:c>
      <x:c r="B65" t="str">
        <x:v>Jalen McMillan</x:v>
      </x:c>
      <x:c r="C65" s="48" t="n">
        <x:v>58.8</x:v>
      </x:c>
      <x:c r="D65" s="48" t="str">
        <x:v>TIER 7</x:v>
      </x:c>
      <x:c r="E65" s="48" t="n">
        <x:v>192</x:v>
      </x:c>
      <x:c r="F65" s="48" t="n">
        <x:v>237</x:v>
      </x:c>
      <x:c r="G65" s="48" t="n">
        <x:v>45</x:v>
      </x:c>
      <x:c r="H65" s="116" t="str">
        <x:v>Late-round bench upside; role growth is required for weekly relevance.</x:v>
      </x:c>
      <x:c r="I65" s="98" t="str">
        <x:v>The 2026 opportunity and projection carry most of the grade because detailed 2025 rate data is incomplete. Market price is favorable around ADP 237 versus model overall rank 192.</x:v>
      </x:c>
      <x:c r="J65" s="98" t="str">
        <x:v>Evidence is thinner than for established veterans, so camp, depth-chart and role news can move the grade materially.</x:v>
      </x:c>
      <x:c r="K65" t="str">
        <x:v>C</x:v>
      </x:c>
      <x:c r="L65" s="98" t="str">
        <x:v>HISTORY FALLBACK</x:v>
      </x:c>
    </x:row>
    <x:row r="66">
      <x:c r="A66" t="n">
        <x:v>62</x:v>
      </x:c>
      <x:c r="B66" t="str">
        <x:v>Adonai Mitchell</x:v>
      </x:c>
      <x:c r="C66" s="48" t="n">
        <x:v>58.129999999999995</x:v>
      </x:c>
      <x:c r="D66" s="48" t="str">
        <x:v>TIER 7</x:v>
      </x:c>
      <x:c r="E66" s="48" t="n">
        <x:v>193</x:v>
      </x:c>
      <x:c r="F66" s="48" t="n">
        <x:v>240.9</x:v>
      </x:c>
      <x:c r="G66" s="48" t="n">
        <x:v>47.900000000000006</x:v>
      </x:c>
      <x:c r="H66" s="116" t="str">
        <x:v>Late-round bench upside; role growth is required for weekly relevance.</x:v>
      </x:c>
      <x:c r="I66" s="98" t="str">
        <x:v>The 2026 opportunity and projection carry most of the grade because detailed 2025 rate data is incomplete. Market price is favorable around ADP 241 versus model overall rank 193.</x:v>
      </x:c>
      <x:c r="J66" s="98" t="str">
        <x:v>Evidence is thinner than for established veterans, so camp, depth-chart and role news can move the grade materially.</x:v>
      </x:c>
      <x:c r="K66" t="str">
        <x:v>C</x:v>
      </x:c>
      <x:c r="L66" s="98" t="str">
        <x:v>HISTORY FALLBACK</x:v>
      </x:c>
    </x:row>
    <x:row r="67">
      <x:c r="A67" t="n">
        <x:v>63</x:v>
      </x:c>
      <x:c r="B67" t="str">
        <x:v>Isaac TeSlaa</x:v>
      </x:c>
      <x:c r="C67" s="48" t="n">
        <x:v>57.46</x:v>
      </x:c>
      <x:c r="D67" s="48" t="str">
        <x:v>TIER 7</x:v>
      </x:c>
      <x:c r="E67" s="48" t="n">
        <x:v>194</x:v>
      </x:c>
      <x:c r="F67" s="48" t="n">
        <x:v>244.79999999999998</x:v>
      </x:c>
      <x:c r="G67" s="48" t="n">
        <x:v>50.79999999999998</x:v>
      </x:c>
      <x:c r="H67" s="116" t="str">
        <x:v>Late-round bench upside; role growth is required for weekly relevance.</x:v>
      </x:c>
      <x:c r="I67" s="98" t="str">
        <x:v>He produced 4.4 PPR/FP points per game across 17 games. The workload/efficiency profile gives the model a rate-based reason to keep him here. Market price is favorable around ADP 245 versus model overall rank 194.</x:v>
      </x:c>
      <x:c r="J67" s="98" t="str">
        <x:v>Target competition, quarterback efficiency and touchdown regression are the main downside paths.</x:v>
      </x:c>
      <x:c r="K67" t="str">
        <x:v>A</x:v>
      </x:c>
      <x:c r="L67" s="98" t="str">
        <x:v>RATE-ADJUSTED VETERAN</x:v>
      </x:c>
    </x:row>
    <x:row r="68">
      <x:c r="A68" t="n">
        <x:v>64</x:v>
      </x:c>
      <x:c r="B68" t="str">
        <x:v>Denzel Boston</x:v>
      </x:c>
      <x:c r="C68" s="48" t="n">
        <x:v>56.79</x:v>
      </x:c>
      <x:c r="D68" s="48" t="str">
        <x:v>TIER 7</x:v>
      </x:c>
      <x:c r="E68" s="48" t="n">
        <x:v>196</x:v>
      </x:c>
      <x:c r="F68" s="48" t="n">
        <x:v>248.7</x:v>
      </x:c>
      <x:c r="G68" s="48" t="n">
        <x:v>52.69999999999999</x:v>
      </x:c>
      <x:c r="H68" s="116" t="str">
        <x:v>Late-round bench upside; role growth is required for weekly relevance.</x:v>
      </x:c>
      <x:c r="I68" s="98" t="str">
        <x:v>Rookie score 79.3, backed by No. 39 draft capital and a 6.40 NFL prospect grade. The 2026 role projection is strong enough to replace missing NFL history. Market price is favorable around ADP 249 versus model overall rank 196.</x:v>
      </x:c>
      <x:c r="J68" s="98" t="str">
        <x:v>NFL translation and exact weekly role are the main variables; preseason first-team usage can move this rating quickly.</x:v>
      </x:c>
      <x:c r="K68" t="str">
        <x:v>C</x:v>
      </x:c>
      <x:c r="L68" s="98" t="str">
        <x:v>ROOKIE ENGINE</x:v>
      </x:c>
    </x:row>
    <x:row r="69">
      <x:c r="A69" t="n">
        <x:v>65</x:v>
      </x:c>
      <x:c r="B69" t="str">
        <x:v>Tre Tucker</x:v>
      </x:c>
      <x:c r="C69" s="48" t="n">
        <x:v>56.12</x:v>
      </x:c>
      <x:c r="D69" s="48" t="str">
        <x:v>TIER 7</x:v>
      </x:c>
      <x:c r="E69" s="48" t="n">
        <x:v>197</x:v>
      </x:c>
      <x:c r="F69" s="48" t="n">
        <x:v>252.6</x:v>
      </x:c>
      <x:c r="G69" s="48" t="n">
        <x:v>55.599999999999994</x:v>
      </x:c>
      <x:c r="H69" s="116" t="str">
        <x:v>Late-round bench upside; role growth is required for weekly relevance.</x:v>
      </x:c>
      <x:c r="I69" s="98" t="str">
        <x:v>He produced 9.6 PPR/FP points per game across 17 games. The workload/efficiency profile gives the model a rate-based reason to keep him here. Market price is favorable around ADP 253 versus model overall rank 197.</x:v>
      </x:c>
      <x:c r="J69" s="98" t="str">
        <x:v>Target competition, quarterback efficiency and touchdown regression are the main downside paths.</x:v>
      </x:c>
      <x:c r="K69" t="str">
        <x:v>A</x:v>
      </x:c>
      <x:c r="L69" s="98" t="str">
        <x:v>RATE-ADJUSTED VETERAN</x:v>
      </x:c>
    </x:row>
    <x:row r="70">
      <x:c r="A70" t="n">
        <x:v>66</x:v>
      </x:c>
      <x:c r="B70" t="str">
        <x:v>Antonio Williams</x:v>
      </x:c>
      <x:c r="C70" s="48" t="n">
        <x:v>55.449999999999996</x:v>
      </x:c>
      <x:c r="D70" s="48" t="str">
        <x:v>TIER 7</x:v>
      </x:c>
      <x:c r="E70" s="48" t="n">
        <x:v>198</x:v>
      </x:c>
      <x:c r="F70" s="48" t="n">
        <x:v>256.5</x:v>
      </x:c>
      <x:c r="G70" s="48" t="n">
        <x:v>58.5</x:v>
      </x:c>
      <x:c r="H70" s="116" t="str">
        <x:v>Late-round bench upside; role growth is required for weekly relevance.</x:v>
      </x:c>
      <x:c r="I70" s="98" t="str">
        <x:v>The 2026 opportunity and projection carry most of the grade because detailed 2025 rate data is incomplete. Market price is favorable around ADP 256 versus model overall rank 198.</x:v>
      </x:c>
      <x:c r="J70" s="98" t="str">
        <x:v>Evidence is thinner than for established veterans, so camp, depth-chart and role news can move the grade materially.</x:v>
      </x:c>
      <x:c r="K70" t="str">
        <x:v>C</x:v>
      </x:c>
      <x:c r="L70" s="98" t="str">
        <x:v>HISTORY FALLBACK</x:v>
      </x:c>
    </x:row>
    <x:row r="71">
      <x:c r="A71" t="n">
        <x:v>67</x:v>
      </x:c>
      <x:c r="B71" t="str">
        <x:v>Travis Hunter</x:v>
      </x:c>
      <x:c r="C71" s="48" t="n">
        <x:v>54.779999999999994</x:v>
      </x:c>
      <x:c r="D71" s="48" t="str">
        <x:v>TIER 7</x:v>
      </x:c>
      <x:c r="E71" s="48" t="n">
        <x:v>201</x:v>
      </x:c>
      <x:c r="F71" s="48" t="n">
        <x:v>260.4</x:v>
      </x:c>
      <x:c r="G71" s="48" t="n">
        <x:v>59.39999999999998</x:v>
      </x:c>
      <x:c r="H71" s="116" t="str">
        <x:v>Late-round bench upside; role growth is required for weekly relevance.</x:v>
      </x:c>
      <x:c r="I71" s="98" t="str">
        <x:v>The 2026 opportunity and projection carry most of the grade because detailed 2025 rate data is incomplete. Market price is favorable around ADP 260 versus model overall rank 201.</x:v>
      </x:c>
      <x:c r="J71" s="98" t="str">
        <x:v>Evidence is thinner than for established veterans, so camp, depth-chart and role news can move the grade materially.</x:v>
      </x:c>
      <x:c r="K71" t="str">
        <x:v>C</x:v>
      </x:c>
      <x:c r="L71" s="98" t="str">
        <x:v>HISTORY FALLBACK</x:v>
      </x:c>
    </x:row>
    <x:row r="72">
      <x:c r="A72" t="n">
        <x:v>68</x:v>
      </x:c>
      <x:c r="B72" t="str">
        <x:v>Ryan Flournoy</x:v>
      </x:c>
      <x:c r="C72" s="48" t="n">
        <x:v>54.11</x:v>
      </x:c>
      <x:c r="D72" s="48" t="str">
        <x:v>TIER 7</x:v>
      </x:c>
      <x:c r="E72" s="48" t="n">
        <x:v>202</x:v>
      </x:c>
      <x:c r="F72" s="48" t="n">
        <x:v>264.3</x:v>
      </x:c>
      <x:c r="G72" s="48" t="n">
        <x:v>62.30000000000001</x:v>
      </x:c>
      <x:c r="H72" s="116" t="str">
        <x:v>Late-round bench upside; role growth is required for weekly relevance.</x:v>
      </x:c>
      <x:c r="I72" s="98" t="str">
        <x:v>He produced 7.6 PPR/FP points per game across 15 games. The workload/efficiency profile gives the model a rate-based reason to keep him here. Market price is favorable around ADP 264 versus model overall rank 202.</x:v>
      </x:c>
      <x:c r="J72" s="98" t="str">
        <x:v>Target competition, quarterback efficiency and touchdown regression are the main downside paths.</x:v>
      </x:c>
      <x:c r="K72" t="str">
        <x:v>A</x:v>
      </x:c>
      <x:c r="L72" s="98" t="str">
        <x:v>RATE-ADJUSTED VETERAN</x:v>
      </x:c>
    </x:row>
    <x:row r="73">
      <x:c r="A73" t="n">
        <x:v>69</x:v>
      </x:c>
      <x:c r="B73" t="str">
        <x:v>Jauan Jennings</x:v>
      </x:c>
      <x:c r="C73" s="48" t="n">
        <x:v>53.44</x:v>
      </x:c>
      <x:c r="D73" s="48" t="str">
        <x:v>TIER 7</x:v>
      </x:c>
      <x:c r="E73" s="48" t="n">
        <x:v>204</x:v>
      </x:c>
      <x:c r="F73" s="48" t="n">
        <x:v>268.2</x:v>
      </x:c>
      <x:c r="G73" s="48" t="n">
        <x:v>64.19999999999999</x:v>
      </x:c>
      <x:c r="H73" s="116" t="str">
        <x:v>Late-round bench upside; role growth is required for weekly relevance.</x:v>
      </x:c>
      <x:c r="I73" s="98" t="str">
        <x:v>He produced 11.6 PPR/FP points per game across 15 games. The workload/efficiency profile gives the model a rate-based reason to keep him here. Market price is favorable around ADP 268 versus model overall rank 204.</x:v>
      </x:c>
      <x:c r="J73" s="98" t="str">
        <x:v>Target competition, quarterback efficiency and touchdown regression are the main downside paths.</x:v>
      </x:c>
      <x:c r="K73" t="str">
        <x:v>A</x:v>
      </x:c>
      <x:c r="L73" s="98" t="str">
        <x:v>RATE-ADJUSTED VETERAN</x:v>
      </x:c>
    </x:row>
    <x:row r="74">
      <x:c r="A74" t="n">
        <x:v>70</x:v>
      </x:c>
      <x:c r="B74" t="str">
        <x:v>Darnell Mooney</x:v>
      </x:c>
      <x:c r="C74" s="48" t="n">
        <x:v>52.769999999999996</x:v>
      </x:c>
      <x:c r="D74" s="48" t="str">
        <x:v>TIER 7</x:v>
      </x:c>
      <x:c r="E74" s="48" t="n">
        <x:v>205</x:v>
      </x:c>
      <x:c r="F74" s="48" t="n">
        <x:v>272.09999999999997</x:v>
      </x:c>
      <x:c r="G74" s="48" t="n">
        <x:v>67.09999999999997</x:v>
      </x:c>
      <x:c r="H74" s="116" t="str">
        <x:v>Late-round bench upside; role growth is required for weekly relevance.</x:v>
      </x:c>
      <x:c r="I74" s="98" t="str">
        <x:v>The 2026 opportunity and projection carry most of the grade because detailed 2025 rate data is incomplete. Market price is favorable around ADP 272 versus model overall rank 205.</x:v>
      </x:c>
      <x:c r="J74" s="98" t="str">
        <x:v>Evidence is thinner than for established veterans, so camp, depth-chart and role news can move the grade materially.</x:v>
      </x:c>
      <x:c r="K74" t="str">
        <x:v>C</x:v>
      </x:c>
      <x:c r="L74" s="98" t="str">
        <x:v>HISTORY FALLBACK</x:v>
      </x:c>
    </x:row>
  </x:sheetData>
  <x:mergeCells>
    <x:mergeCell ref="A1:L1"/>
    <x:mergeCell ref="A2:L2"/>
  </x:mergeCells>
  <x:conditionalFormatting sqref="C5:C7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5:F7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5:G74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24" hidden="0" customWidth="1"/>
    <x:col min="3" max="3" width="5.380000114440918" hidden="0" customWidth="1"/>
    <x:col min="4" max="4" width="5.130000114440918" hidden="0" customWidth="1"/>
    <x:col min="5" max="5" width="10.25" hidden="0" customWidth="1"/>
    <x:col min="6" max="6" width="9.75" hidden="0" customWidth="1"/>
    <x:col min="7" max="7" width="8.380000114440918" hidden="0" customWidth="1"/>
    <x:col min="8" max="8" width="38" hidden="0" customWidth="1"/>
    <x:col min="9" max="9" width="48" hidden="0" customWidth="1"/>
    <x:col min="10" max="10" width="44" hidden="0" customWidth="1"/>
    <x:col min="11" max="11" width="9.130000114440918" hidden="0" customWidth="1"/>
    <x:col min="12" max="12" width="19.8799991607666" hidden="0" customWidth="1"/>
  </x:cols>
  <x:sheetData>
    <x:row r="1">
      <x:c r="A1" s="111" t="str">
        <x:v>2026 TE — Final Ratings &amp; Expectations</x:v>
      </x:c>
    </x:row>
    <x:row r="2">
      <x:c r="A2" s="112" t="str">
        <x:v>Final 10-team PPR view: expectation, model reasoning, market price and the main risk for each player.</x:v>
      </x:c>
    </x:row>
    <x:row r="4">
      <x:c r="A4" s="115" t="str">
        <x:v>Rank</x:v>
      </x:c>
      <x:c r="B4" s="115" t="str">
        <x:v>Player</x:v>
      </x:c>
      <x:c r="C4" s="115" t="str">
        <x:v>Rating</x:v>
      </x:c>
      <x:c r="D4" s="115" t="str">
        <x:v>Tier</x:v>
      </x:c>
      <x:c r="E4" s="115" t="str">
        <x:v>Overall Rank</x:v>
      </x:c>
      <x:c r="F4" s="115" t="str">
        <x:v>Market ADP</x:v>
      </x:c>
      <x:c r="G4" s="115" t="str">
        <x:v>Draft Edge</x:v>
      </x:c>
      <x:c r="H4" s="115" t="str">
        <x:v>2026 Expectation</x:v>
      </x:c>
      <x:c r="I4" s="115" t="str">
        <x:v>Why the Model Ranks Him Here</x:v>
      </x:c>
      <x:c r="J4" s="115" t="str">
        <x:v>Main Risk</x:v>
      </x:c>
      <x:c r="K4" s="115" t="str">
        <x:v>Confidence</x:v>
      </x:c>
      <x:c r="L4" s="115" t="str">
        <x:v>Model Path</x:v>
      </x:c>
    </x:row>
    <x:row r="5">
      <x:c r="A5" t="n">
        <x:v>1</x:v>
      </x:c>
      <x:c r="B5" t="str">
        <x:v>Trey McBride</x:v>
      </x:c>
      <x:c r="C5" s="48" t="n">
        <x:v>97.73707606111353</x:v>
      </x:c>
      <x:c r="D5" s="48" t="str">
        <x:v>ELITE</x:v>
      </x:c>
      <x:c r="E5" s="48" t="n">
        <x:v>5</x:v>
      </x:c>
      <x:c r="F5" s="48" t="n">
        <x:v>17</x:v>
      </x:c>
      <x:c r="G5" s="48" t="n">
        <x:v>12</x:v>
      </x:c>
      <x:c r="H5" s="116" t="str">
        <x:v>Elite difference-making TE; positional advantage is the expectation.</x:v>
      </x:c>
      <x:c r="I5" s="98" t="str">
        <x:v>He produced 18.6 PPR/FP points per game across 17 games. The workload/efficiency profile gives the model a rate-based reason to keep him here. Market price is favorable around ADP 17 versus model overall rank 5.</x:v>
      </x:c>
      <x:c r="J5" s="98" t="str">
        <x:v>Route share, target volume and touchdown volatility are the main swing factors.</x:v>
      </x:c>
      <x:c r="K5" t="str">
        <x:v>A</x:v>
      </x:c>
      <x:c r="L5" s="98" t="str">
        <x:v>RATE-ADJUSTED VETERAN</x:v>
      </x:c>
    </x:row>
    <x:row r="6">
      <x:c r="A6" t="n">
        <x:v>2</x:v>
      </x:c>
      <x:c r="B6" t="str">
        <x:v>Brock Bowers</x:v>
      </x:c>
      <x:c r="C6" s="48" t="n">
        <x:v>94.88455995514477</x:v>
      </x:c>
      <x:c r="D6" s="48" t="str">
        <x:v>TIER 1</x:v>
      </x:c>
      <x:c r="E6" s="48" t="n">
        <x:v>11</x:v>
      </x:c>
      <x:c r="F6" s="48" t="n">
        <x:v>20</x:v>
      </x:c>
      <x:c r="G6" s="48" t="n">
        <x:v>9</x:v>
      </x:c>
      <x:c r="H6" s="116" t="str">
        <x:v>Elite difference-making TE; positional advantage is the expectation.</x:v>
      </x:c>
      <x:c r="I6" s="98" t="str">
        <x:v>He produced 14.7 PPR/FP points per game across 12 games. The workload/efficiency profile gives the model a rate-based reason to keep him here.</x:v>
      </x:c>
      <x:c r="J6" s="98" t="str">
        <x:v>Route share, target volume and touchdown volatility are the main swing factors.</x:v>
      </x:c>
      <x:c r="K6" t="str">
        <x:v>A</x:v>
      </x:c>
      <x:c r="L6" s="98" t="str">
        <x:v>RATE-ADJUSTED VETERAN</x:v>
      </x:c>
    </x:row>
    <x:row r="7">
      <x:c r="A7" t="n">
        <x:v>3</x:v>
      </x:c>
      <x:c r="B7" t="str">
        <x:v>Colston Loveland</x:v>
      </x:c>
      <x:c r="C7" s="48" t="n">
        <x:v>88.75308009954404</x:v>
      </x:c>
      <x:c r="D7" s="48" t="str">
        <x:v>TIER 2</x:v>
      </x:c>
      <x:c r="E7" s="48" t="n">
        <x:v>22</x:v>
      </x:c>
      <x:c r="F7" s="48" t="n">
        <x:v>35</x:v>
      </x:c>
      <x:c r="G7" s="48" t="n">
        <x:v>13</x:v>
      </x:c>
      <x:c r="H7" s="116" t="str">
        <x:v>Elite difference-making TE; positional advantage is the expectation.</x:v>
      </x:c>
      <x:c r="I7" s="98" t="str">
        <x:v>He produced 10.3 PPR/FP points per game across 16 games. The workload/efficiency profile gives the model a rate-based reason to keep him here. Market price is favorable around ADP 35 versus model overall rank 22.</x:v>
      </x:c>
      <x:c r="J7" s="98" t="str">
        <x:v>Route share, target volume and touchdown volatility are the main swing factors.</x:v>
      </x:c>
      <x:c r="K7" t="str">
        <x:v>A</x:v>
      </x:c>
      <x:c r="L7" s="98" t="str">
        <x:v>RATE-ADJUSTED VETERAN</x:v>
      </x:c>
    </x:row>
    <x:row r="8">
      <x:c r="A8" t="n">
        <x:v>4</x:v>
      </x:c>
      <x:c r="B8" t="str">
        <x:v>Tyler Warren</x:v>
      </x:c>
      <x:c r="C8" s="48" t="n">
        <x:v>87.2023750800111</x:v>
      </x:c>
      <x:c r="D8" s="48" t="str">
        <x:v>TIER 2</x:v>
      </x:c>
      <x:c r="E8" s="48" t="n">
        <x:v>36</x:v>
      </x:c>
      <x:c r="F8" s="48" t="n">
        <x:v>44</x:v>
      </x:c>
      <x:c r="G8" s="48" t="n">
        <x:v>8</x:v>
      </x:c>
      <x:c r="H8" s="116" t="str">
        <x:v>Every-week TE1 with real top-5 upside.</x:v>
      </x:c>
      <x:c r="I8" s="98" t="str">
        <x:v>He produced 11.1 PPR/FP points per game across 17 games. The workload/efficiency profile gives the model a rate-based reason to keep him here.</x:v>
      </x:c>
      <x:c r="J8" s="98" t="str">
        <x:v>Route share, target volume and touchdown volatility are the main swing factors.</x:v>
      </x:c>
      <x:c r="K8" t="str">
        <x:v>A</x:v>
      </x:c>
      <x:c r="L8" s="98" t="str">
        <x:v>RATE-ADJUSTED VETERAN</x:v>
      </x:c>
    </x:row>
    <x:row r="9">
      <x:c r="A9" t="n">
        <x:v>5</x:v>
      </x:c>
      <x:c r="B9" t="str">
        <x:v>George Kittle</x:v>
      </x:c>
      <x:c r="C9" s="48" t="n">
        <x:v>86.26638054791886</x:v>
      </x:c>
      <x:c r="D9" s="48" t="str">
        <x:v>TIER 2</x:v>
      </x:c>
      <x:c r="E9" s="48" t="n">
        <x:v>43</x:v>
      </x:c>
      <x:c r="F9" s="48" t="n">
        <x:v>53</x:v>
      </x:c>
      <x:c r="G9" s="48" t="n">
        <x:v>10</x:v>
      </x:c>
      <x:c r="H9" s="116" t="str">
        <x:v>Every-week TE1 with real top-5 upside.</x:v>
      </x:c>
      <x:c r="I9" s="98" t="str">
        <x:v>He produced 14.7 PPR/FP points per game across 11 games. The workload/efficiency profile gives the model a rate-based reason to keep him here. Market price is favorable around ADP 53 versus model overall rank 43.</x:v>
      </x:c>
      <x:c r="J9" s="98" t="str">
        <x:v>Route share, target volume and touchdown volatility are the main swing factors.</x:v>
      </x:c>
      <x:c r="K9" t="str">
        <x:v>B</x:v>
      </x:c>
      <x:c r="L9" s="98" t="str">
        <x:v>RATE-ADJUSTED VETERAN</x:v>
      </x:c>
    </x:row>
    <x:row r="10">
      <x:c r="A10" t="n">
        <x:v>6</x:v>
      </x:c>
      <x:c r="B10" t="str">
        <x:v>Kyle Pitts Sr.</x:v>
      </x:c>
      <x:c r="C10" s="48" t="n">
        <x:v>85.30445968766767</x:v>
      </x:c>
      <x:c r="D10" s="48" t="str">
        <x:v>TIER 2</x:v>
      </x:c>
      <x:c r="E10" s="48" t="n">
        <x:v>46</x:v>
      </x:c>
      <x:c r="F10" s="48" t="n">
        <x:v>62</x:v>
      </x:c>
      <x:c r="G10" s="48" t="n">
        <x:v>16</x:v>
      </x:c>
      <x:c r="H10" s="116" t="str">
        <x:v>Every-week TE1 with real top-5 upside.</x:v>
      </x:c>
      <x:c r="I10" s="98" t="str">
        <x:v>He produced 12.4 PPR/FP points per game across 17 games. The workload/efficiency profile gives the model a rate-based reason to keep him here. Market price is favorable around ADP 62 versus model overall rank 46.</x:v>
      </x:c>
      <x:c r="J10" s="98" t="str">
        <x:v>Route share, target volume and touchdown volatility are the main swing factors.</x:v>
      </x:c>
      <x:c r="K10" t="str">
        <x:v>A</x:v>
      </x:c>
      <x:c r="L10" s="98" t="str">
        <x:v>RATE-ADJUSTED VETERAN</x:v>
      </x:c>
    </x:row>
    <x:row r="11">
      <x:c r="A11" t="n">
        <x:v>7</x:v>
      </x:c>
      <x:c r="B11" t="str">
        <x:v>Harold Fannin Jr.</x:v>
      </x:c>
      <x:c r="C11" s="48" t="n">
        <x:v>84.37768905814795</x:v>
      </x:c>
      <x:c r="D11" s="48" t="str">
        <x:v>TIER 3</x:v>
      </x:c>
      <x:c r="E11" s="48" t="n">
        <x:v>53</x:v>
      </x:c>
      <x:c r="F11" s="48" t="n">
        <x:v>71</x:v>
      </x:c>
      <x:c r="G11" s="48" t="n">
        <x:v>18</x:v>
      </x:c>
      <x:c r="H11" s="116" t="str">
        <x:v>Every-week TE1 with real top-5 upside.</x:v>
      </x:c>
      <x:c r="I11" s="98" t="str">
        <x:v>He produced 11.7 PPR/FP points per game across 16 games. The workload/efficiency profile gives the model a rate-based reason to keep him here. Market price is favorable around ADP 71 versus model overall rank 53.</x:v>
      </x:c>
      <x:c r="J11" s="98" t="str">
        <x:v>Route share, target volume and touchdown volatility are the main swing factors.</x:v>
      </x:c>
      <x:c r="K11" t="str">
        <x:v>A</x:v>
      </x:c>
      <x:c r="L11" s="98" t="str">
        <x:v>RATE-ADJUSTED VETERAN</x:v>
      </x:c>
    </x:row>
    <x:row r="12">
      <x:c r="A12" t="n">
        <x:v>8</x:v>
      </x:c>
      <x:c r="B12" t="str">
        <x:v>Jake Ferguson</x:v>
      </x:c>
      <x:c r="C12" s="48" t="n">
        <x:v>84.07301065327228</x:v>
      </x:c>
      <x:c r="D12" s="48" t="str">
        <x:v>TIER 3</x:v>
      </x:c>
      <x:c r="E12" s="48" t="n">
        <x:v>56</x:v>
      </x:c>
      <x:c r="F12" s="48" t="n">
        <x:v>80</x:v>
      </x:c>
      <x:c r="G12" s="48" t="n">
        <x:v>24</x:v>
      </x:c>
      <x:c r="H12" s="116" t="str">
        <x:v>Every-week TE1 with real top-5 upside.</x:v>
      </x:c>
      <x:c r="I12" s="98" t="str">
        <x:v>He produced 11.0 PPR/FP points per game across 17 games. The workload/efficiency profile gives the model a rate-based reason to keep him here. Market price is favorable around ADP 80 versus model overall rank 56.</x:v>
      </x:c>
      <x:c r="J12" s="98" t="str">
        <x:v>Route share, target volume and touchdown volatility are the main swing factors.</x:v>
      </x:c>
      <x:c r="K12" t="str">
        <x:v>A</x:v>
      </x:c>
      <x:c r="L12" s="98" t="str">
        <x:v>RATE-ADJUSTED VETERAN</x:v>
      </x:c>
    </x:row>
    <x:row r="13">
      <x:c r="A13" t="n">
        <x:v>9</x:v>
      </x:c>
      <x:c r="B13" t="str">
        <x:v>Tucker Kraft</x:v>
      </x:c>
      <x:c r="C13" s="48" t="n">
        <x:v>83.80862670075135</x:v>
      </x:c>
      <x:c r="D13" s="48" t="str">
        <x:v>TIER 3</x:v>
      </x:c>
      <x:c r="E13" s="48" t="n">
        <x:v>58</x:v>
      </x:c>
      <x:c r="F13" s="48" t="n">
        <x:v>89</x:v>
      </x:c>
      <x:c r="G13" s="48" t="n">
        <x:v>31</x:v>
      </x:c>
      <x:c r="H13" s="116" t="str">
        <x:v>Low-end TE1; startable but replacement options remain close.</x:v>
      </x:c>
      <x:c r="I13" s="98" t="str">
        <x:v>He produced 14.6 PPR/FP points per game across 8 games. The workload/efficiency profile gives the model a rate-based reason to keep him here. Market price is favorable around ADP 89 versus model overall rank 58.</x:v>
      </x:c>
      <x:c r="J13" s="98" t="str">
        <x:v>Availability/sample risk is elevated after only 8 games; talent is not being punished as heavily as durability.</x:v>
      </x:c>
      <x:c r="K13" t="str">
        <x:v>B</x:v>
      </x:c>
      <x:c r="L13" s="98" t="str">
        <x:v>RATE-ADJUSTED VETERAN</x:v>
      </x:c>
    </x:row>
    <x:row r="14">
      <x:c r="A14" t="n">
        <x:v>10</x:v>
      </x:c>
      <x:c r="B14" t="str">
        <x:v>Sam LaPorta</x:v>
      </x:c>
      <x:c r="C14" s="48" t="n">
        <x:v>82.86528996546019</x:v>
      </x:c>
      <x:c r="D14" s="48" t="str">
        <x:v>TIER 3</x:v>
      </x:c>
      <x:c r="E14" s="48" t="n">
        <x:v>63</x:v>
      </x:c>
      <x:c r="F14" s="48" t="n">
        <x:v>98</x:v>
      </x:c>
      <x:c r="G14" s="48" t="n">
        <x:v>35</x:v>
      </x:c>
      <x:c r="H14" s="116" t="str">
        <x:v>Low-end TE1; startable but replacement options remain close.</x:v>
      </x:c>
      <x:c r="I14" s="98" t="str">
        <x:v>He produced 11.8 PPR/FP points per game across 9 games. The workload/efficiency profile gives the model a rate-based reason to keep him here. Market price is favorable around ADP 98 versus model overall rank 63.</x:v>
      </x:c>
      <x:c r="J14" s="98" t="str">
        <x:v>Availability/sample risk is elevated after only 9 games; talent is not being punished as heavily as durability.</x:v>
      </x:c>
      <x:c r="K14" t="str">
        <x:v>B</x:v>
      </x:c>
      <x:c r="L14" s="98" t="str">
        <x:v>RATE-ADJUSTED VETERAN</x:v>
      </x:c>
    </x:row>
    <x:row r="15">
      <x:c r="A15" t="n">
        <x:v>11</x:v>
      </x:c>
      <x:c r="B15" t="str">
        <x:v>Dalton Kincaid</x:v>
      </x:c>
      <x:c r="C15" s="48" t="n">
        <x:v>81.91409342545279</x:v>
      </x:c>
      <x:c r="D15" s="48" t="str">
        <x:v>TIER 3</x:v>
      </x:c>
      <x:c r="E15" s="48" t="n">
        <x:v>67</x:v>
      </x:c>
      <x:c r="F15" s="48" t="n">
        <x:v>107</x:v>
      </x:c>
      <x:c r="G15" s="48" t="n">
        <x:v>40</x:v>
      </x:c>
      <x:c r="H15" s="116" t="str">
        <x:v>Low-end TE1; startable but replacement options remain close.</x:v>
      </x:c>
      <x:c r="I15" s="98" t="str">
        <x:v>He produced 10.6 PPR/FP points per game across 12 games. The workload/efficiency profile gives the model a rate-based reason to keep him here. Market price is favorable around ADP 107 versus model overall rank 67.</x:v>
      </x:c>
      <x:c r="J15" s="98" t="str">
        <x:v>Route share, target volume and touchdown volatility are the main swing factors.</x:v>
      </x:c>
      <x:c r="K15" t="str">
        <x:v>A</x:v>
      </x:c>
      <x:c r="L15" s="98" t="str">
        <x:v>RATE-ADJUSTED VETERAN</x:v>
      </x:c>
    </x:row>
    <x:row r="16">
      <x:c r="A16" t="n">
        <x:v>12</x:v>
      </x:c>
      <x:c r="B16" t="str">
        <x:v>Travis Kelce</x:v>
      </x:c>
      <x:c r="C16" s="48" t="n">
        <x:v>81.74777495564635</x:v>
      </x:c>
      <x:c r="D16" s="48" t="str">
        <x:v>TIER 3</x:v>
      </x:c>
      <x:c r="E16" s="48" t="n">
        <x:v>72</x:v>
      </x:c>
      <x:c r="F16" s="48" t="n">
        <x:v>116</x:v>
      </x:c>
      <x:c r="G16" s="48" t="n">
        <x:v>44</x:v>
      </x:c>
      <x:c r="H16" s="116" t="str">
        <x:v>Low-end TE1; startable but replacement options remain close.</x:v>
      </x:c>
      <x:c r="I16" s="98" t="str">
        <x:v>He produced 11.4 PPR/FP points per game across 17 games. The workload/efficiency profile gives the model a rate-based reason to keep him here. Market price is favorable around ADP 116 versus model overall rank 72.</x:v>
      </x:c>
      <x:c r="J16" s="98" t="str">
        <x:v>Route share, target volume and touchdown volatility are the main swing factors.</x:v>
      </x:c>
      <x:c r="K16" t="str">
        <x:v>A</x:v>
      </x:c>
      <x:c r="L16" s="98" t="str">
        <x:v>RATE-ADJUSTED VETERAN</x:v>
      </x:c>
    </x:row>
    <x:row r="17">
      <x:c r="A17" t="n">
        <x:v>13</x:v>
      </x:c>
      <x:c r="B17" t="str">
        <x:v>Dallas Goedert</x:v>
      </x:c>
      <x:c r="C17" s="48" t="n">
        <x:v>79.9181106679422</x:v>
      </x:c>
      <x:c r="D17" s="48" t="str">
        <x:v>TIER 4</x:v>
      </x:c>
      <x:c r="E17" s="48" t="n">
        <x:v>88</x:v>
      </x:c>
      <x:c r="F17" s="48" t="n">
        <x:v>125</x:v>
      </x:c>
      <x:c r="G17" s="48" t="n">
        <x:v>37</x:v>
      </x:c>
      <x:c r="H17" s="116" t="str">
        <x:v>Streaming/TE2 range; touchdown and route volume drive usefulness.</x:v>
      </x:c>
      <x:c r="I17" s="98" t="str">
        <x:v>He produced 12.3 PPR/FP points per game across 15 games. The workload/efficiency profile gives the model a rate-based reason to keep him here. Market price is favorable around ADP 125 versus model overall rank 88.</x:v>
      </x:c>
      <x:c r="J17" s="98" t="str">
        <x:v>Route share, target volume and touchdown volatility are the main swing factors.</x:v>
      </x:c>
      <x:c r="K17" t="str">
        <x:v>A</x:v>
      </x:c>
      <x:c r="L17" s="98" t="str">
        <x:v>RATE-ADJUSTED VETERAN</x:v>
      </x:c>
    </x:row>
    <x:row r="18">
      <x:c r="A18" t="n">
        <x:v>14</x:v>
      </x:c>
      <x:c r="B18" t="str">
        <x:v>Mark Andrews</x:v>
      </x:c>
      <x:c r="C18" s="48" t="n">
        <x:v>79.06538980083114</x:v>
      </x:c>
      <x:c r="D18" s="48" t="str">
        <x:v>TIER 4</x:v>
      </x:c>
      <x:c r="E18" s="48" t="n">
        <x:v>97</x:v>
      </x:c>
      <x:c r="F18" s="48" t="n">
        <x:v>134</x:v>
      </x:c>
      <x:c r="G18" s="48" t="n">
        <x:v>37</x:v>
      </x:c>
      <x:c r="H18" s="116" t="str">
        <x:v>Streaming/TE2 range; touchdown and route volume drive usefulness.</x:v>
      </x:c>
      <x:c r="I18" s="98" t="str">
        <x:v>He produced 7.7 PPR/FP points per game across 17 games. The workload/efficiency profile gives the model a rate-based reason to keep him here. Market price is favorable around ADP 134 versus model overall rank 97.</x:v>
      </x:c>
      <x:c r="J18" s="98" t="str">
        <x:v>Route share, target volume and touchdown volatility are the main swing factors.</x:v>
      </x:c>
      <x:c r="K18" t="str">
        <x:v>A</x:v>
      </x:c>
      <x:c r="L18" s="98" t="str">
        <x:v>RATE-ADJUSTED VETERAN</x:v>
      </x:c>
    </x:row>
    <x:row r="19">
      <x:c r="A19" t="n">
        <x:v>15</x:v>
      </x:c>
      <x:c r="B19" t="str">
        <x:v>Isaiah Likely</x:v>
      </x:c>
      <x:c r="C19" s="48" t="n">
        <x:v>78.57945648354206</x:v>
      </x:c>
      <x:c r="D19" s="48" t="str">
        <x:v>TIER 4</x:v>
      </x:c>
      <x:c r="E19" s="48" t="n">
        <x:v>99</x:v>
      </x:c>
      <x:c r="F19" s="48" t="n">
        <x:v>143</x:v>
      </x:c>
      <x:c r="G19" s="48" t="n">
        <x:v>44</x:v>
      </x:c>
      <x:c r="H19" s="116" t="str">
        <x:v>Streaming/TE2 range; touchdown and route volume drive usefulness.</x:v>
      </x:c>
      <x:c r="I19" s="98" t="str">
        <x:v>He produced 4.4 PPR/FP points per game across 14 games. The workload/efficiency profile gives the model a rate-based reason to keep him here. Market price is favorable around ADP 143 versus model overall rank 99.</x:v>
      </x:c>
      <x:c r="J19" s="98" t="str">
        <x:v>Route share, target volume and touchdown volatility are the main swing factors.</x:v>
      </x:c>
      <x:c r="K19" t="str">
        <x:v>A</x:v>
      </x:c>
      <x:c r="L19" s="98" t="str">
        <x:v>RATE-ADJUSTED VETERAN</x:v>
      </x:c>
    </x:row>
    <x:row r="20">
      <x:c r="A20" t="n">
        <x:v>16</x:v>
      </x:c>
      <x:c r="B20" t="str">
        <x:v>Juwan Johnson</x:v>
      </x:c>
      <x:c r="C20" s="48" t="n">
        <x:v>78.32031359820323</x:v>
      </x:c>
      <x:c r="D20" s="48" t="str">
        <x:v>TIER 4</x:v>
      </x:c>
      <x:c r="E20" s="48" t="n">
        <x:v>103</x:v>
      </x:c>
      <x:c r="F20" s="48" t="n">
        <x:v>152</x:v>
      </x:c>
      <x:c r="G20" s="48" t="n">
        <x:v>49</x:v>
      </x:c>
      <x:c r="H20" s="116" t="str">
        <x:v>Streaming/TE2 range; touchdown and route volume drive usefulness.</x:v>
      </x:c>
      <x:c r="I20" s="98" t="str">
        <x:v>He produced 10.6 PPR/FP points per game across 17 games. The workload/efficiency profile gives the model a rate-based reason to keep him here. Market price is favorable around ADP 152 versus model overall rank 103.</x:v>
      </x:c>
      <x:c r="J20" s="98" t="str">
        <x:v>Route share, target volume and touchdown volatility are the main swing factors.</x:v>
      </x:c>
      <x:c r="K20" t="str">
        <x:v>A</x:v>
      </x:c>
      <x:c r="L20" s="98" t="str">
        <x:v>RATE-ADJUSTED VETERAN</x:v>
      </x:c>
    </x:row>
    <x:row r="21">
      <x:c r="A21" t="n">
        <x:v>17</x:v>
      </x:c>
      <x:c r="B21" t="str">
        <x:v>Hunter Henry</x:v>
      </x:c>
      <x:c r="C21" s="48" t="n">
        <x:v>76.2525933033895</x:v>
      </x:c>
      <x:c r="D21" s="48" t="str">
        <x:v>TIER 4</x:v>
      </x:c>
      <x:c r="E21" s="48" t="n">
        <x:v>116</x:v>
      </x:c>
      <x:c r="F21" s="48" t="n">
        <x:v>161</x:v>
      </x:c>
      <x:c r="G21" s="48" t="n">
        <x:v>45</x:v>
      </x:c>
      <x:c r="H21" s="116" t="str">
        <x:v>Streaming/TE2 range; touchdown and route volume drive usefulness.</x:v>
      </x:c>
      <x:c r="I21" s="98" t="str">
        <x:v>He produced 10.5 PPR/FP points per game across 17 games. The workload/efficiency profile gives the model a rate-based reason to keep him here. Market price is favorable around ADP 161 versus model overall rank 116.</x:v>
      </x:c>
      <x:c r="J21" s="98" t="str">
        <x:v>Route share, target volume and touchdown volatility are the main swing factors.</x:v>
      </x:c>
      <x:c r="K21" t="str">
        <x:v>A</x:v>
      </x:c>
      <x:c r="L21" s="98" t="str">
        <x:v>RATE-ADJUSTED VETERAN</x:v>
      </x:c>
    </x:row>
    <x:row r="22">
      <x:c r="A22" t="n">
        <x:v>18</x:v>
      </x:c>
      <x:c r="B22" t="str">
        <x:v>Brenton Strange</x:v>
      </x:c>
      <x:c r="C22" s="48" t="n">
        <x:v>76.03210666780286</x:v>
      </x:c>
      <x:c r="D22" s="48" t="str">
        <x:v>TIER 4</x:v>
      </x:c>
      <x:c r="E22" s="48" t="n">
        <x:v>121</x:v>
      </x:c>
      <x:c r="F22" s="48" t="n">
        <x:v>170</x:v>
      </x:c>
      <x:c r="G22" s="48" t="n">
        <x:v>49</x:v>
      </x:c>
      <x:c r="H22" s="116" t="str">
        <x:v>Streaming/TE2 range; touchdown and route volume drive usefulness.</x:v>
      </x:c>
      <x:c r="I22" s="98" t="str">
        <x:v>He produced 9.8 PPR/FP points per game across 12 games. The workload/efficiency profile gives the model a rate-based reason to keep him here. Market price is favorable around ADP 170 versus model overall rank 121.</x:v>
      </x:c>
      <x:c r="J22" s="98" t="str">
        <x:v>Route share, target volume and touchdown volatility are the main swing factors.</x:v>
      </x:c>
      <x:c r="K22" t="str">
        <x:v>A</x:v>
      </x:c>
      <x:c r="L22" s="98" t="str">
        <x:v>RATE-ADJUSTED VETERAN</x:v>
      </x:c>
    </x:row>
    <x:row r="23">
      <x:c r="A23" t="n">
        <x:v>19</x:v>
      </x:c>
      <x:c r="B23" t="str">
        <x:v>Chig Okonkwo</x:v>
      </x:c>
      <x:c r="C23" s="48" t="n">
        <x:v>75.51323575633128</x:v>
      </x:c>
      <x:c r="D23" s="48" t="str">
        <x:v>TIER 4</x:v>
      </x:c>
      <x:c r="E23" s="48" t="n">
        <x:v>125</x:v>
      </x:c>
      <x:c r="F23" s="48" t="n">
        <x:v>179</x:v>
      </x:c>
      <x:c r="G23" s="48" t="n">
        <x:v>54</x:v>
      </x:c>
      <x:c r="H23" s="116" t="str">
        <x:v>Deep TE stash; needs a larger route/target role to matter in 10-team leagues.</x:v>
      </x:c>
      <x:c r="I23" s="98" t="str">
        <x:v>He produced 7.3 PPR/FP points per game across 17 games. The workload/efficiency profile gives the model a rate-based reason to keep him here. Market price is favorable around ADP 179 versus model overall rank 125.</x:v>
      </x:c>
      <x:c r="J23" s="98" t="str">
        <x:v>Route share, target volume and touchdown volatility are the main swing factors.</x:v>
      </x:c>
      <x:c r="K23" t="str">
        <x:v>A</x:v>
      </x:c>
      <x:c r="L23" s="98" t="str">
        <x:v>RATE-ADJUSTED VETERAN</x:v>
      </x:c>
    </x:row>
    <x:row r="24">
      <x:c r="A24" t="n">
        <x:v>20</x:v>
      </x:c>
      <x:c r="B24" t="str">
        <x:v>Kenyon Sadiq</x:v>
      </x:c>
      <x:c r="C24" s="48" t="n">
        <x:v>74.09381905002525</x:v>
      </x:c>
      <x:c r="D24" s="48" t="str">
        <x:v>TIER 5</x:v>
      </x:c>
      <x:c r="E24" s="48" t="n">
        <x:v>135</x:v>
      </x:c>
      <x:c r="F24" s="48" t="n">
        <x:v>188</x:v>
      </x:c>
      <x:c r="G24" s="48" t="n">
        <x:v>53</x:v>
      </x:c>
      <x:c r="H24" s="116" t="str">
        <x:v>Deep TE stash; needs a larger route/target role to matter in 10-team leagues.</x:v>
      </x:c>
      <x:c r="I24" s="98" t="str">
        <x:v>Rookie score 86.6, backed by No. 16 draft capital and a 6.46 NFL prospect grade. The 2026 role projection is strong enough to replace missing NFL history. Market price is favorable around ADP 188 versus model overall rank 135.</x:v>
      </x:c>
      <x:c r="J24" s="98" t="str">
        <x:v>NFL translation and exact weekly role are the main variables; preseason first-team usage can move this rating quickly.</x:v>
      </x:c>
      <x:c r="K24" t="str">
        <x:v>B</x:v>
      </x:c>
      <x:c r="L24" s="98" t="str">
        <x:v>ROOKIE ENGINE</x:v>
      </x:c>
    </x:row>
    <x:row r="25">
      <x:c r="A25" t="n">
        <x:v>21</x:v>
      </x:c>
      <x:c r="B25" t="str">
        <x:v>T.J. Hockenson</x:v>
      </x:c>
      <x:c r="C25" s="48" t="n">
        <x:v>73.85269503643518</x:v>
      </x:c>
      <x:c r="D25" s="48" t="str">
        <x:v>TIER 5</x:v>
      </x:c>
      <x:c r="E25" s="48" t="n">
        <x:v>138</x:v>
      </x:c>
      <x:c r="F25" s="48" t="n">
        <x:v>197</x:v>
      </x:c>
      <x:c r="G25" s="48" t="n">
        <x:v>59</x:v>
      </x:c>
      <x:c r="H25" s="116" t="str">
        <x:v>Deep TE stash; needs a larger route/target role to matter in 10-team leagues.</x:v>
      </x:c>
      <x:c r="I25" s="98" t="str">
        <x:v>He produced 7.5 PPR/FP points per game across 15 games. The workload/efficiency profile gives the model a rate-based reason to keep him here. Market price is favorable around ADP 197 versus model overall rank 138.</x:v>
      </x:c>
      <x:c r="J25" s="98" t="str">
        <x:v>Route share, target volume and touchdown volatility are the main swing factors.</x:v>
      </x:c>
      <x:c r="K25" t="str">
        <x:v>A</x:v>
      </x:c>
      <x:c r="L25" s="98" t="str">
        <x:v>RATE-ADJUSTED VETERAN</x:v>
      </x:c>
    </x:row>
    <x:row r="26">
      <x:c r="A26" t="n">
        <x:v>22</x:v>
      </x:c>
      <x:c r="B26" t="str">
        <x:v>Dalton Schultz</x:v>
      </x:c>
      <x:c r="C26" s="48" t="n">
        <x:v>73.27947609768881</x:v>
      </x:c>
      <x:c r="D26" s="48" t="str">
        <x:v>TIER 5</x:v>
      </x:c>
      <x:c r="E26" s="48" t="n">
        <x:v>140</x:v>
      </x:c>
      <x:c r="F26" s="48" t="n">
        <x:v>206</x:v>
      </x:c>
      <x:c r="G26" s="48" t="n">
        <x:v>66</x:v>
      </x:c>
      <x:c r="H26" s="116" t="str">
        <x:v>Deep TE stash; needs a larger route/target role to matter in 10-team leagues.</x:v>
      </x:c>
      <x:c r="I26" s="98" t="str">
        <x:v>He produced 10.4 PPR/FP points per game across 17 games. The workload/efficiency profile gives the model a rate-based reason to keep him here. Market price is favorable around ADP 206 versus model overall rank 140.</x:v>
      </x:c>
      <x:c r="J26" s="98" t="str">
        <x:v>Route share, target volume and touchdown volatility are the main swing factors.</x:v>
      </x:c>
      <x:c r="K26" t="str">
        <x:v>A</x:v>
      </x:c>
      <x:c r="L26" s="98" t="str">
        <x:v>RATE-ADJUSTED VETERAN</x:v>
      </x:c>
    </x:row>
    <x:row r="27">
      <x:c r="A27" t="n">
        <x:v>23</x:v>
      </x:c>
      <x:c r="B27" t="str">
        <x:v>Oronde Gadsden II</x:v>
      </x:c>
      <x:c r="C27" s="48" t="n">
        <x:v>72.5137519384936</x:v>
      </x:c>
      <x:c r="D27" s="48" t="str">
        <x:v>TIER 5</x:v>
      </x:c>
      <x:c r="E27" s="48" t="n">
        <x:v>146</x:v>
      </x:c>
      <x:c r="F27" s="48" t="n">
        <x:v>215</x:v>
      </x:c>
      <x:c r="G27" s="48" t="n">
        <x:v>69</x:v>
      </x:c>
      <x:c r="H27" s="116" t="str">
        <x:v>Deep TE stash; needs a larger route/target role to matter in 10-team leagues.</x:v>
      </x:c>
      <x:c r="I27" s="98" t="str">
        <x:v>He produced 8.8 PPR/FP points per game across 15 games. The workload/efficiency profile gives the model a rate-based reason to keep him here. Market price is favorable around ADP 215 versus model overall rank 146.</x:v>
      </x:c>
      <x:c r="J27" s="98" t="str">
        <x:v>Route share, target volume and touchdown volatility are the main swing factors.</x:v>
      </x:c>
      <x:c r="K27" t="str">
        <x:v>A</x:v>
      </x:c>
      <x:c r="L27" s="98" t="str">
        <x:v>RATE-ADJUSTED VETERAN</x:v>
      </x:c>
    </x:row>
    <x:row r="28">
      <x:c r="A28" t="n">
        <x:v>24</x:v>
      </x:c>
      <x:c r="B28" t="str">
        <x:v>AJ Barner</x:v>
      </x:c>
      <x:c r="C28" s="48" t="n">
        <x:v>70.12450665294148</x:v>
      </x:c>
      <x:c r="D28" s="48" t="str">
        <x:v>TIER 5</x:v>
      </x:c>
      <x:c r="E28" s="48" t="n">
        <x:v>156</x:v>
      </x:c>
      <x:c r="F28" s="48" t="n">
        <x:v>224</x:v>
      </x:c>
      <x:c r="G28" s="48" t="n">
        <x:v>68</x:v>
      </x:c>
      <x:c r="H28" s="116" t="str">
        <x:v>Deep TE stash; needs a larger route/target role to matter in 10-team leagues.</x:v>
      </x:c>
      <x:c r="I28" s="98" t="str">
        <x:v>He produced 8.7 PPR/FP points per game across 17 games. The workload/efficiency profile gives the model a rate-based reason to keep him here. Market price is favorable around ADP 224 versus model overall rank 156.</x:v>
      </x:c>
      <x:c r="J28" s="98" t="str">
        <x:v>Route share, target volume and touchdown volatility are the main swing factors.</x:v>
      </x:c>
      <x:c r="K28" t="str">
        <x:v>A</x:v>
      </x:c>
      <x:c r="L28" s="98" t="str">
        <x:v>RATE-ADJUSTED VETERAN</x:v>
      </x:c>
    </x:row>
    <x:row r="29">
      <x:c r="A29" t="n">
        <x:v>25</x:v>
      </x:c>
      <x:c r="B29" t="str">
        <x:v>Cade Otton</x:v>
      </x:c>
      <x:c r="C29" s="48" t="n">
        <x:v>66.64902120836972</x:v>
      </x:c>
      <x:c r="D29" s="48" t="str">
        <x:v>TIER 6</x:v>
      </x:c>
      <x:c r="E29" s="48" t="n">
        <x:v>165</x:v>
      </x:c>
      <x:c r="F29" s="48" t="n">
        <x:v>233</x:v>
      </x:c>
      <x:c r="G29" s="48" t="n">
        <x:v>68</x:v>
      </x:c>
      <x:c r="H29" s="116" t="str">
        <x:v>Deep TE stash; needs a larger route/target role to matter in 10-team leagues.</x:v>
      </x:c>
      <x:c r="I29" s="98" t="str">
        <x:v>He produced 7.6 PPR/FP points per game across 16 games. The workload/efficiency profile gives the model a rate-based reason to keep him here. Market price is favorable around ADP 233 versus model overall rank 165.</x:v>
      </x:c>
      <x:c r="J29" s="98" t="str">
        <x:v>Route share, target volume and touchdown volatility are the main swing factors.</x:v>
      </x:c>
      <x:c r="K29" t="str">
        <x:v>A</x:v>
      </x:c>
      <x:c r="L29" s="98" t="str">
        <x:v>RATE-ADJUSTED VETERAN</x:v>
      </x:c>
    </x:row>
    <x:row r="30">
      <x:c r="A30" t="n">
        <x:v>26</x:v>
      </x:c>
      <x:c r="B30" t="str">
        <x:v>Gunnar Helm</x:v>
      </x:c>
      <x:c r="C30" s="48" t="n">
        <x:v>66.62233998586467</x:v>
      </x:c>
      <x:c r="D30" s="48" t="str">
        <x:v>TIER 6</x:v>
      </x:c>
      <x:c r="E30" s="48" t="n">
        <x:v>166</x:v>
      </x:c>
      <x:c r="F30" s="48" t="n">
        <x:v>242</x:v>
      </x:c>
      <x:c r="G30" s="48" t="n">
        <x:v>76</x:v>
      </x:c>
      <x:c r="H30" s="116" t="str">
        <x:v>Deep TE stash; needs a larger route/target role to matter in 10-team leagues.</x:v>
      </x:c>
      <x:c r="I30" s="98" t="str">
        <x:v>He produced 5.8 PPR/FP points per game across 16 games. The workload/efficiency profile gives the model a rate-based reason to keep him here. Market price is favorable around ADP 242 versus model overall rank 166.</x:v>
      </x:c>
      <x:c r="J30" s="98" t="str">
        <x:v>Route share, target volume and touchdown volatility are the main swing factors.</x:v>
      </x:c>
      <x:c r="K30" t="str">
        <x:v>A</x:v>
      </x:c>
      <x:c r="L30" s="98" t="str">
        <x:v>RATE-ADJUSTED VETERAN</x:v>
      </x:c>
    </x:row>
    <x:row r="31">
      <x:c r="A31" t="n">
        <x:v>27</x:v>
      </x:c>
      <x:c r="B31" t="str">
        <x:v>Terrance Ferguson</x:v>
      </x:c>
      <x:c r="C31" s="48" t="n">
        <x:v>64.36205882352941</x:v>
      </x:c>
      <x:c r="D31" s="48" t="str">
        <x:v>TIER 7</x:v>
      </x:c>
      <x:c r="E31" s="48" t="n">
        <x:v>175</x:v>
      </x:c>
      <x:c r="F31" s="48" t="n">
        <x:v>251</x:v>
      </x:c>
      <x:c r="G31" s="48" t="n">
        <x:v>76</x:v>
      </x:c>
      <x:c r="H31" s="116" t="str">
        <x:v>Deep TE stash; needs a larger route/target role to matter in 10-team leagues.</x:v>
      </x:c>
      <x:c r="I31" s="98" t="str">
        <x:v>He produced 4.0 PPR/FP points per game across 13 games. The workload/efficiency profile gives the model a rate-based reason to keep him here. Market price is favorable around ADP 251 versus model overall rank 175.</x:v>
      </x:c>
      <x:c r="J31" s="98" t="str">
        <x:v>Route share, target volume and touchdown volatility are the main swing factors.</x:v>
      </x:c>
      <x:c r="K31" t="str">
        <x:v>A</x:v>
      </x:c>
      <x:c r="L31" s="98" t="str">
        <x:v>RATE-ADJUSTED VETERAN</x:v>
      </x:c>
    </x:row>
  </x:sheetData>
  <x:mergeCells>
    <x:mergeCell ref="A1:L1"/>
    <x:mergeCell ref="A2:L2"/>
  </x:mergeCells>
  <x:conditionalFormatting sqref="C5:C3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5:F3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5:G31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0.25" hidden="0" customWidth="1"/>
    <x:col min="2" max="2" width="3.380000114440918" hidden="0" customWidth="1"/>
    <x:col min="3" max="3" width="7.380000114440918" hidden="0" customWidth="1"/>
    <x:col min="4" max="4" width="26" hidden="0" customWidth="1"/>
    <x:col min="5" max="5" width="5.380000114440918" hidden="0" customWidth="1"/>
    <x:col min="6" max="6" width="40" hidden="0" customWidth="1"/>
    <x:col min="7" max="7" width="50" hidden="0" customWidth="1"/>
    <x:col min="8" max="8" width="46" hidden="0" customWidth="1"/>
    <x:col min="9" max="9" width="9.75" hidden="0" customWidth="1"/>
    <x:col min="10" max="10" width="8.380000114440918" hidden="0" customWidth="1"/>
    <x:col min="11" max="11" width="9.130000114440918" hidden="0" customWidth="1"/>
    <x:col min="12" max="12" width="19.8799991607666" hidden="0" customWidth="1"/>
  </x:cols>
  <x:sheetData>
    <x:row r="1">
      <x:c r="A1" s="111" t="str">
        <x:v>2026 Expectations &amp; Reasons — Player Summary Board</x:v>
      </x:c>
    </x:row>
    <x:row r="2">
      <x:c r="A2" s="112" t="str">
        <x:v>Use this sheet when you want the 'why' behind the number: what we expect in 2026, why the player is ranked there, and what could change the call.</x:v>
      </x:c>
    </x:row>
    <x:row r="4">
      <x:c r="A4" s="115" t="str">
        <x:v>Overall</x:v>
      </x:c>
      <x:c r="B4" s="115" t="str">
        <x:v>Pos</x:v>
      </x:c>
      <x:c r="C4" s="115" t="str">
        <x:v>Pos Rank</x:v>
      </x:c>
      <x:c r="D4" s="115" t="str">
        <x:v>Player / Defense</x:v>
      </x:c>
      <x:c r="E4" s="115" t="str">
        <x:v>Rating</x:v>
      </x:c>
      <x:c r="F4" s="115" t="str">
        <x:v>2026 Expectation</x:v>
      </x:c>
      <x:c r="G4" s="115" t="str">
        <x:v>Why We Like / Rank Him Here</x:v>
      </x:c>
      <x:c r="H4" s="115" t="str">
        <x:v>Main Risk / What Changes It</x:v>
      </x:c>
      <x:c r="I4" s="115" t="str">
        <x:v>Market ADP</x:v>
      </x:c>
      <x:c r="J4" s="115" t="str">
        <x:v>Draft Edge</x:v>
      </x:c>
      <x:c r="K4" s="115" t="str">
        <x:v>Confidence</x:v>
      </x:c>
      <x:c r="L4" s="115" t="str">
        <x:v>Model Path</x:v>
      </x:c>
    </x:row>
    <x:row r="5">
      <x:c r="A5" t="n">
        <x:v>1</x:v>
      </x:c>
      <x:c r="B5" t="str">
        <x:v>WR</x:v>
      </x:c>
      <x:c r="C5" t="n">
        <x:v>1</x:v>
      </x:c>
      <x:c r="D5" s="48" t="str">
        <x:v>Puka Nacua</x:v>
      </x:c>
      <x:c r="E5" s="48" t="n">
        <x:v>98.48591</x:v>
      </x:c>
      <x:c r="F5" s="116" t="str">
        <x:v>Elite WR1 and first-round caliber target with overall WR1 upside.</x:v>
      </x:c>
      <x:c r="G5" s="116" t="str">
        <x:v>He produced 23.5 PPR/FP points per game across 16 games. The workload/efficiency profile gives the model a rate-based reason to keep him here.</x:v>
      </x:c>
      <x:c r="H5" s="116" t="str">
        <x:v>Target competition, quarterback efficiency and touchdown regression are the main downside paths.</x:v>
      </x:c>
      <x:c r="I5" s="48" t="n">
        <x:v>3.8</x:v>
      </x:c>
      <x:c r="J5" s="116" t="n">
        <x:v>2.8</x:v>
      </x:c>
      <x:c r="K5" t="str">
        <x:v>A</x:v>
      </x:c>
      <x:c r="L5" t="str">
        <x:v>RATE-ADJUSTED VETERAN</x:v>
      </x:c>
    </x:row>
    <x:row r="6">
      <x:c r="A6" t="n">
        <x:v>2</x:v>
      </x:c>
      <x:c r="B6" t="str">
        <x:v>RB</x:v>
      </x:c>
      <x:c r="C6" t="n">
        <x:v>1</x:v>
      </x:c>
      <x:c r="D6" s="48" t="str">
        <x:v>Bijan Robinson</x:v>
      </x:c>
      <x:c r="E6" s="48" t="n">
        <x:v>97.36734220227106</x:v>
      </x:c>
      <x:c r="F6" s="116" t="str">
        <x:v>Elite RB1 and first-round roster anchor with league-winning ceiling.</x:v>
      </x:c>
      <x:c r="G6" s="116" t="str">
        <x:v>He produced 21.8 PPR/FP points per game across 17 games. The workload/efficiency profile gives the model a rate-based reason to keep him here.</x:v>
      </x:c>
      <x:c r="H6" s="116" t="str">
        <x:v>Touchdown variance, receiving-role changes and backfield competition are the main downside paths.</x:v>
      </x:c>
      <x:c r="I6" s="48" t="n">
        <x:v>1.8</x:v>
      </x:c>
      <x:c r="J6" s="116" t="n">
        <x:v>-0.19999999999999996</x:v>
      </x:c>
      <x:c r="K6" t="str">
        <x:v>A</x:v>
      </x:c>
      <x:c r="L6" t="str">
        <x:v>RATE-ADJUSTED VETERAN</x:v>
      </x:c>
    </x:row>
    <x:row r="7">
      <x:c r="A7" t="n">
        <x:v>3</x:v>
      </x:c>
      <x:c r="B7" t="str">
        <x:v>WR</x:v>
      </x:c>
      <x:c r="C7" t="n">
        <x:v>2</x:v>
      </x:c>
      <x:c r="D7" s="48" t="str">
        <x:v>Ja'Marr Chase</x:v>
      </x:c>
      <x:c r="E7" s="48" t="n">
        <x:v>96.73226249999999</x:v>
      </x:c>
      <x:c r="F7" s="116" t="str">
        <x:v>Elite WR1 and first-round caliber target with overall WR1 upside.</x:v>
      </x:c>
      <x:c r="G7" s="116" t="str">
        <x:v>He produced 19.6 PPR/FP points per game across 16 games. The workload/efficiency profile gives the model a rate-based reason to keep him here.</x:v>
      </x:c>
      <x:c r="H7" s="116" t="str">
        <x:v>Target competition, quarterback efficiency and touchdown regression are the main downside paths.</x:v>
      </x:c>
      <x:c r="I7" s="48" t="n">
        <x:v>3.2</x:v>
      </x:c>
      <x:c r="J7" s="116" t="n">
        <x:v>0.20000000000000018</x:v>
      </x:c>
      <x:c r="K7" t="str">
        <x:v>A</x:v>
      </x:c>
      <x:c r="L7" t="str">
        <x:v>RATE-ADJUSTED VETERAN</x:v>
      </x:c>
    </x:row>
    <x:row r="8">
      <x:c r="A8" t="n">
        <x:v>4</x:v>
      </x:c>
      <x:c r="B8" t="str">
        <x:v>RB</x:v>
      </x:c>
      <x:c r="C8" t="n">
        <x:v>2</x:v>
      </x:c>
      <x:c r="D8" s="48" t="str">
        <x:v>Jahmyr Gibbs</x:v>
      </x:c>
      <x:c r="E8" s="48" t="n">
        <x:v>96.33225593201456</x:v>
      </x:c>
      <x:c r="F8" s="116" t="str">
        <x:v>Elite RB1 and first-round roster anchor with league-winning ceiling.</x:v>
      </x:c>
      <x:c r="G8" s="116" t="str">
        <x:v>He produced 21.6 PPR/FP points per game across 17 games. The workload/efficiency profile gives the model a rate-based reason to keep him here.</x:v>
      </x:c>
      <x:c r="H8" s="116" t="str">
        <x:v>Touchdown variance, receiving-role changes and backfield competition are the main downside paths.</x:v>
      </x:c>
      <x:c r="I8" s="48" t="n">
        <x:v>1.2</x:v>
      </x:c>
      <x:c r="J8" s="116" t="n">
        <x:v>-2.8</x:v>
      </x:c>
      <x:c r="K8" t="str">
        <x:v>A</x:v>
      </x:c>
      <x:c r="L8" t="str">
        <x:v>RATE-ADJUSTED VETERAN</x:v>
      </x:c>
    </x:row>
    <x:row r="9">
      <x:c r="A9" t="n">
        <x:v>5</x:v>
      </x:c>
      <x:c r="B9" t="str">
        <x:v>TE</x:v>
      </x:c>
      <x:c r="C9" t="n">
        <x:v>1</x:v>
      </x:c>
      <x:c r="D9" s="48" t="str">
        <x:v>Trey McBride</x:v>
      </x:c>
      <x:c r="E9" s="48" t="n">
        <x:v>97.73707606111353</x:v>
      </x:c>
      <x:c r="F9" s="116" t="str">
        <x:v>Elite difference-making TE; positional advantage is the expectation.</x:v>
      </x:c>
      <x:c r="G9" s="116" t="str">
        <x:v>He produced 18.6 PPR/FP points per game across 17 games. The workload/efficiency profile gives the model a rate-based reason to keep him here. Market price is favorable around ADP 17 versus model overall rank 5.</x:v>
      </x:c>
      <x:c r="H9" s="116" t="str">
        <x:v>Route share, target volume and touchdown volatility are the main swing factors.</x:v>
      </x:c>
      <x:c r="I9" s="48" t="n">
        <x:v>17</x:v>
      </x:c>
      <x:c r="J9" s="116" t="n">
        <x:v>12</x:v>
      </x:c>
      <x:c r="K9" t="str">
        <x:v>A</x:v>
      </x:c>
      <x:c r="L9" t="str">
        <x:v>RATE-ADJUSTED VETERAN</x:v>
      </x:c>
    </x:row>
    <x:row r="10">
      <x:c r="A10" t="n">
        <x:v>6</x:v>
      </x:c>
      <x:c r="B10" t="str">
        <x:v>RB</x:v>
      </x:c>
      <x:c r="C10" t="n">
        <x:v>3</x:v>
      </x:c>
      <x:c r="D10" s="48" t="str">
        <x:v>Christian McCaffrey</x:v>
      </x:c>
      <x:c r="E10" s="48" t="n">
        <x:v>94.24472639320388</x:v>
      </x:c>
      <x:c r="F10" s="116" t="str">
        <x:v>Elite RB1 and first-round roster anchor with league-winning ceiling.</x:v>
      </x:c>
      <x:c r="G10" s="116" t="str">
        <x:v>He produced 24.5 PPR/FP points per game across 17 games. The workload/efficiency profile gives the model a rate-based reason to keep him here.</x:v>
      </x:c>
      <x:c r="H10" s="116" t="str">
        <x:v>Touchdown variance, receiving-role changes and backfield competition are the main downside paths.</x:v>
      </x:c>
      <x:c r="I10" s="48" t="n">
        <x:v>7</x:v>
      </x:c>
      <x:c r="J10" s="116" t="n">
        <x:v>1</x:v>
      </x:c>
      <x:c r="K10" t="str">
        <x:v>A</x:v>
      </x:c>
      <x:c r="L10" t="str">
        <x:v>RATE-ADJUSTED VETERAN</x:v>
      </x:c>
    </x:row>
    <x:row r="11">
      <x:c r="A11" t="n">
        <x:v>7</x:v>
      </x:c>
      <x:c r="B11" t="str">
        <x:v>WR</x:v>
      </x:c>
      <x:c r="C11" t="n">
        <x:v>3</x:v>
      </x:c>
      <x:c r="D11" s="48" t="str">
        <x:v>Jaxon Smith-Njigba</x:v>
      </x:c>
      <x:c r="E11" s="48" t="n">
        <x:v>94.07988999999998</x:v>
      </x:c>
      <x:c r="F11" s="116" t="str">
        <x:v>Elite WR1 and first-round caliber target with overall WR1 upside.</x:v>
      </x:c>
      <x:c r="G11" s="116" t="str">
        <x:v>He produced 21.2 PPR/FP points per game across 17 games. The workload/efficiency profile gives the model a rate-based reason to keep him here.</x:v>
      </x:c>
      <x:c r="H11" s="116" t="str">
        <x:v>Target competition, quarterback efficiency and touchdown regression are the main downside paths.</x:v>
      </x:c>
      <x:c r="I11" s="48" t="n">
        <x:v>5.4</x:v>
      </x:c>
      <x:c r="J11" s="116" t="n">
        <x:v>-1.5999999999999996</x:v>
      </x:c>
      <x:c r="K11" t="str">
        <x:v>A</x:v>
      </x:c>
      <x:c r="L11" t="str">
        <x:v>RATE-ADJUSTED VETERAN</x:v>
      </x:c>
    </x:row>
    <x:row r="12">
      <x:c r="A12" t="n">
        <x:v>8</x:v>
      </x:c>
      <x:c r="B12" t="str">
        <x:v>WR</x:v>
      </x:c>
      <x:c r="C12" t="n">
        <x:v>4</x:v>
      </x:c>
      <x:c r="D12" s="48" t="str">
        <x:v>Amon-Ra St. Brown</x:v>
      </x:c>
      <x:c r="E12" s="48" t="n">
        <x:v>93.26387249999999</x:v>
      </x:c>
      <x:c r="F12" s="116" t="str">
        <x:v>Elite WR1 and first-round caliber target with overall WR1 upside.</x:v>
      </x:c>
      <x:c r="G12" s="116" t="str">
        <x:v>He produced 19.1 PPR/FP points per game across 17 games. The workload/efficiency profile gives the model a rate-based reason to keep him here.</x:v>
      </x:c>
      <x:c r="H12" s="116" t="str">
        <x:v>Target competition, quarterback efficiency and touchdown regression are the main downside paths.</x:v>
      </x:c>
      <x:c r="I12" s="48" t="n">
        <x:v>6</x:v>
      </x:c>
      <x:c r="J12" s="116" t="n">
        <x:v>-2</x:v>
      </x:c>
      <x:c r="K12" t="str">
        <x:v>A</x:v>
      </x:c>
      <x:c r="L12" t="str">
        <x:v>RATE-ADJUSTED VETERAN</x:v>
      </x:c>
    </x:row>
    <x:row r="13">
      <x:c r="A13" t="n">
        <x:v>9</x:v>
      </x:c>
      <x:c r="B13" t="str">
        <x:v>RB</x:v>
      </x:c>
      <x:c r="C13" t="n">
        <x:v>4</x:v>
      </x:c>
      <x:c r="D13" s="48" t="str">
        <x:v>Jonathan Taylor</x:v>
      </x:c>
      <x:c r="E13" s="48" t="n">
        <x:v>92.14700218120157</x:v>
      </x:c>
      <x:c r="F13" s="116" t="str">
        <x:v>Elite RB1 and first-round roster anchor with league-winning ceiling.</x:v>
      </x:c>
      <x:c r="G13" s="116" t="str">
        <x:v>He produced 21.3 PPR/FP points per game across 17 games. The workload/efficiency profile gives the model a rate-based reason to keep him here.</x:v>
      </x:c>
      <x:c r="H13" s="116" t="str">
        <x:v>Touchdown variance, receiving-role changes and backfield competition are the main downside paths.</x:v>
      </x:c>
      <x:c r="I13" s="48" t="n">
        <x:v>11</x:v>
      </x:c>
      <x:c r="J13" s="116" t="n">
        <x:v>2</x:v>
      </x:c>
      <x:c r="K13" t="str">
        <x:v>A</x:v>
      </x:c>
      <x:c r="L13" t="str">
        <x:v>RATE-ADJUSTED VETERAN</x:v>
      </x:c>
    </x:row>
    <x:row r="14">
      <x:c r="A14" t="n">
        <x:v>10</x:v>
      </x:c>
      <x:c r="B14" t="str">
        <x:v>QB</x:v>
      </x:c>
      <x:c r="C14" t="n">
        <x:v>1</x:v>
      </x:c>
      <x:c r="D14" s="48" t="str">
        <x:v>Josh Allen</x:v>
      </x:c>
      <x:c r="E14" s="48" t="n">
        <x:v>97.30987910633218</x:v>
      </x:c>
      <x:c r="F14" s="116" t="str">
        <x:v>Elite QB1; weekly top-5 expectation with overall QB1 upside.</x:v>
      </x:c>
      <x:c r="G14" s="116" t="str">
        <x:v>He produced 22.0 PPR/FP points per game across 17 games. The workload/efficiency profile gives the model a rate-based reason to keep him here. Market price is favorable around ADP 23 versus model overall rank 10.</x:v>
      </x:c>
      <x:c r="H14" s="116" t="str">
        <x:v>Passing-TD efficiency, rushing volume and supporting-cast health are the main swing factors.</x:v>
      </x:c>
      <x:c r="I14" s="48" t="n">
        <x:v>23</x:v>
      </x:c>
      <x:c r="J14" s="116" t="n">
        <x:v>13</x:v>
      </x:c>
      <x:c r="K14" t="str">
        <x:v>A</x:v>
      </x:c>
      <x:c r="L14" t="str">
        <x:v>RATE-ADJUSTED VETERAN</x:v>
      </x:c>
    </x:row>
    <x:row r="15">
      <x:c r="A15" t="n">
        <x:v>11</x:v>
      </x:c>
      <x:c r="B15" t="str">
        <x:v>TE</x:v>
      </x:c>
      <x:c r="C15" t="n">
        <x:v>2</x:v>
      </x:c>
      <x:c r="D15" s="48" t="str">
        <x:v>Brock Bowers</x:v>
      </x:c>
      <x:c r="E15" s="48" t="n">
        <x:v>94.88455995514477</x:v>
      </x:c>
      <x:c r="F15" s="116" t="str">
        <x:v>Elite difference-making TE; positional advantage is the expectation.</x:v>
      </x:c>
      <x:c r="G15" s="116" t="str">
        <x:v>He produced 14.7 PPR/FP points per game across 12 games. The workload/efficiency profile gives the model a rate-based reason to keep him here.</x:v>
      </x:c>
      <x:c r="H15" s="116" t="str">
        <x:v>Route share, target volume and touchdown volatility are the main swing factors.</x:v>
      </x:c>
      <x:c r="I15" s="48" t="n">
        <x:v>20</x:v>
      </x:c>
      <x:c r="J15" s="116" t="n">
        <x:v>9</x:v>
      </x:c>
      <x:c r="K15" t="str">
        <x:v>A</x:v>
      </x:c>
      <x:c r="L15" t="str">
        <x:v>RATE-ADJUSTED VETERAN</x:v>
      </x:c>
    </x:row>
    <x:row r="16">
      <x:c r="A16" t="n">
        <x:v>12</x:v>
      </x:c>
      <x:c r="B16" t="str">
        <x:v>RB</x:v>
      </x:c>
      <x:c r="C16" t="n">
        <x:v>5</x:v>
      </x:c>
      <x:c r="D16" s="48" t="str">
        <x:v>Jeremiyah Love</x:v>
      </x:c>
      <x:c r="E16" s="48" t="n">
        <x:v>90.86590000000001</x:v>
      </x:c>
      <x:c r="F16" s="116" t="str">
        <x:v>Elite RB1 and first-round roster anchor with league-winning ceiling.</x:v>
      </x:c>
      <x:c r="G16" s="116" t="str">
        <x:v>Rookie score 98.0, backed by No. 3 draft capital and a 6.73 NFL prospect grade. The 2026 role projection is strong enough to replace missing NFL history.</x:v>
      </x:c>
      <x:c r="H16" s="116" t="str">
        <x:v>NFL translation and exact weekly role are the main variables; preseason first-team usage can move this rating quickly.</x:v>
      </x:c>
      <x:c r="I16" s="48" t="n">
        <x:v>18.8</x:v>
      </x:c>
      <x:c r="J16" s="116" t="n">
        <x:v>6.800000000000001</x:v>
      </x:c>
      <x:c r="K16" t="str">
        <x:v>B</x:v>
      </x:c>
      <x:c r="L16" t="str">
        <x:v>ROOKIE ENGINE</x:v>
      </x:c>
    </x:row>
    <x:row r="17">
      <x:c r="A17" t="n">
        <x:v>13</x:v>
      </x:c>
      <x:c r="B17" t="str">
        <x:v>WR</x:v>
      </x:c>
      <x:c r="C17" t="n">
        <x:v>5</x:v>
      </x:c>
      <x:c r="D17" s="48" t="str">
        <x:v>Nico Collins</x:v>
      </x:c>
      <x:c r="E17" s="48" t="n">
        <x:v>91.4925</x:v>
      </x:c>
      <x:c r="F17" s="116" t="str">
        <x:v>Elite WR1 and first-round caliber target with overall WR1 upside.</x:v>
      </x:c>
      <x:c r="G17" s="116" t="str">
        <x:v>He produced 15.0 PPR/FP points per game across 15 games. The workload/efficiency profile gives the model a rate-based reason to keep him here.</x:v>
      </x:c>
      <x:c r="H17" s="116" t="str">
        <x:v>Target competition, quarterback efficiency and touchdown regression are the main downside paths.</x:v>
      </x:c>
      <x:c r="I17" s="48" t="n">
        <x:v>12</x:v>
      </x:c>
      <x:c r="J17" s="116" t="n">
        <x:v>-1</x:v>
      </x:c>
      <x:c r="K17" t="str">
        <x:v>A</x:v>
      </x:c>
      <x:c r="L17" t="str">
        <x:v>RATE-ADJUSTED VETERAN</x:v>
      </x:c>
    </x:row>
    <x:row r="18">
      <x:c r="A18" t="n">
        <x:v>14</x:v>
      </x:c>
      <x:c r="B18" t="str">
        <x:v>RB</x:v>
      </x:c>
      <x:c r="C18" t="n">
        <x:v>6</x:v>
      </x:c>
      <x:c r="D18" s="48" t="str">
        <x:v>Omarion Hampton</x:v>
      </x:c>
      <x:c r="E18" s="48" t="n">
        <x:v>88.64207068235326</x:v>
      </x:c>
      <x:c r="F18" s="116" t="str">
        <x:v>Strong RB1; weekly top-12 expectation with multi-touchdown ceiling.</x:v>
      </x:c>
      <x:c r="G18" s="116" t="str">
        <x:v>He produced 15.1 PPR/FP points per game across 9 games. The workload/efficiency profile gives the model a rate-based reason to keep him here.</x:v>
      </x:c>
      <x:c r="H18" s="116" t="str">
        <x:v>Availability/sample risk is elevated after only 9 games; talent is not being punished as heavily as durability.</x:v>
      </x:c>
      <x:c r="I18" s="48" t="n">
        <x:v>23</x:v>
      </x:c>
      <x:c r="J18" s="116" t="n">
        <x:v>9</x:v>
      </x:c>
      <x:c r="K18" t="str">
        <x:v>B</x:v>
      </x:c>
      <x:c r="L18" t="str">
        <x:v>RATE-ADJUSTED VETERAN</x:v>
      </x:c>
    </x:row>
    <x:row r="19">
      <x:c r="A19" t="n">
        <x:v>15</x:v>
      </x:c>
      <x:c r="B19" t="str">
        <x:v>RB</x:v>
      </x:c>
      <x:c r="C19" t="n">
        <x:v>7</x:v>
      </x:c>
      <x:c r="D19" s="48" t="str">
        <x:v>De'Von Achane</x:v>
      </x:c>
      <x:c r="E19" s="48" t="n">
        <x:v>87.94401204138569</x:v>
      </x:c>
      <x:c r="F19" s="116" t="str">
        <x:v>Strong RB1; weekly top-12 expectation with multi-touchdown ceiling.</x:v>
      </x:c>
      <x:c r="G19" s="116" t="str">
        <x:v>He produced 20.2 PPR/FP points per game across 16 games. The workload/efficiency profile gives the model a rate-based reason to keep him here.</x:v>
      </x:c>
      <x:c r="H19" s="116" t="str">
        <x:v>Touchdown variance, receiving-role changes and backfield competition are the main downside paths.</x:v>
      </x:c>
      <x:c r="I19" s="48" t="n">
        <x:v>18</x:v>
      </x:c>
      <x:c r="J19" s="116" t="n">
        <x:v>3</x:v>
      </x:c>
      <x:c r="K19" t="str">
        <x:v>A</x:v>
      </x:c>
      <x:c r="L19" t="str">
        <x:v>RATE-ADJUSTED VETERAN</x:v>
      </x:c>
    </x:row>
    <x:row r="20">
      <x:c r="A20" t="n">
        <x:v>16</x:v>
      </x:c>
      <x:c r="B20" t="str">
        <x:v>RB</x:v>
      </x:c>
      <x:c r="C20" t="n">
        <x:v>8</x:v>
      </x:c>
      <x:c r="D20" s="48" t="str">
        <x:v>Kenneth Walker III</x:v>
      </x:c>
      <x:c r="E20" s="48" t="n">
        <x:v>87.29261371508893</x:v>
      </x:c>
      <x:c r="F20" s="116" t="str">
        <x:v>Strong RB1; weekly top-12 expectation with multi-touchdown ceiling.</x:v>
      </x:c>
      <x:c r="G20" s="116" t="str">
        <x:v>He produced 11.3 PPR/FP points per game across 17 games. The workload/efficiency profile gives the model a rate-based reason to keep him here. Market price is favorable around ADP 31 versus model overall rank 16.</x:v>
      </x:c>
      <x:c r="H20" s="116" t="str">
        <x:v>Touchdown variance, receiving-role changes and backfield competition are the main downside paths.</x:v>
      </x:c>
      <x:c r="I20" s="48" t="n">
        <x:v>31.400000000000002</x:v>
      </x:c>
      <x:c r="J20" s="116" t="n">
        <x:v>15.400000000000002</x:v>
      </x:c>
      <x:c r="K20" t="str">
        <x:v>A</x:v>
      </x:c>
      <x:c r="L20" t="str">
        <x:v>RATE-ADJUSTED VETERAN</x:v>
      </x:c>
    </x:row>
    <x:row r="21">
      <x:c r="A21" t="n">
        <x:v>17</x:v>
      </x:c>
      <x:c r="B21" t="str">
        <x:v>RB</x:v>
      </x:c>
      <x:c r="C21" t="n">
        <x:v>9</x:v>
      </x:c>
      <x:c r="D21" s="48" t="str">
        <x:v>James Cook III</x:v>
      </x:c>
      <x:c r="E21" s="48" t="n">
        <x:v>87.05801139512144</x:v>
      </x:c>
      <x:c r="F21" s="116" t="str">
        <x:v>Strong RB1; weekly top-12 expectation with multi-touchdown ceiling.</x:v>
      </x:c>
      <x:c r="G21" s="116" t="str">
        <x:v>He produced 17.7 PPR/FP points per game across 17 games. The workload/efficiency profile gives the model a rate-based reason to keep him here.</x:v>
      </x:c>
      <x:c r="H21" s="116" t="str">
        <x:v>Touchdown variance, receiving-role changes and backfield competition are the main downside paths.</x:v>
      </x:c>
      <x:c r="I21" s="48" t="n">
        <x:v>15</x:v>
      </x:c>
      <x:c r="J21" s="116" t="n">
        <x:v>-2</x:v>
      </x:c>
      <x:c r="K21" t="str">
        <x:v>A</x:v>
      </x:c>
      <x:c r="L21" t="str">
        <x:v>RATE-ADJUSTED VETERAN</x:v>
      </x:c>
    </x:row>
    <x:row r="22">
      <x:c r="A22" t="n">
        <x:v>18</x:v>
      </x:c>
      <x:c r="B22" t="str">
        <x:v>WR</x:v>
      </x:c>
      <x:c r="C22" t="n">
        <x:v>11</x:v>
      </x:c>
      <x:c r="D22" s="48" t="str">
        <x:v>CeeDee Lamb</x:v>
      </x:c>
      <x:c r="E22" s="48" t="n">
        <x:v>85.742635</x:v>
      </x:c>
      <x:c r="F22" s="116" t="str">
        <x:v>Strong WR1; bankable weekly starter with spike-week ceiling.</x:v>
      </x:c>
      <x:c r="G22" s="116" t="str">
        <x:v>He produced 14.4 PPR/FP points per game across 14 games. The workload/efficiency profile gives the model a rate-based reason to keep him here. The market is more aggressive at ADP 8 versus model overall rank 18, so price matters.</x:v>
      </x:c>
      <x:c r="H22" s="116" t="str">
        <x:v>Price is the biggest risk: the market currently asks you to draft him earlier than the model prefers.</x:v>
      </x:c>
      <x:c r="I22" s="48" t="n">
        <x:v>8</x:v>
      </x:c>
      <x:c r="J22" s="116" t="n">
        <x:v>-10</x:v>
      </x:c>
      <x:c r="K22" t="str">
        <x:v>A</x:v>
      </x:c>
      <x:c r="L22" t="str">
        <x:v>RATE-ADJUSTED VETERAN</x:v>
      </x:c>
    </x:row>
    <x:row r="23">
      <x:c r="A23" t="n">
        <x:v>19</x:v>
      </x:c>
      <x:c r="B23" t="str">
        <x:v>WR</x:v>
      </x:c>
      <x:c r="C23" t="n">
        <x:v>7</x:v>
      </x:c>
      <x:c r="D23" s="48" t="str">
        <x:v>Drake London</x:v>
      </x:c>
      <x:c r="E23" s="48" t="n">
        <x:v>87.5106325</x:v>
      </x:c>
      <x:c r="F23" s="116" t="str">
        <x:v>Strong WR1; bankable weekly starter with spike-week ceiling.</x:v>
      </x:c>
      <x:c r="G23" s="116" t="str">
        <x:v>He produced 16.9 PPR/FP points per game across 12 games. The workload/efficiency profile gives the model a rate-based reason to keep him here.</x:v>
      </x:c>
      <x:c r="H23" s="116" t="str">
        <x:v>Target competition, quarterback efficiency and touchdown regression are the main downside paths.</x:v>
      </x:c>
      <x:c r="I23" s="48" t="n">
        <x:v>10</x:v>
      </x:c>
      <x:c r="J23" s="116" t="n">
        <x:v>-9</x:v>
      </x:c>
      <x:c r="K23" t="str">
        <x:v>A</x:v>
      </x:c>
      <x:c r="L23" t="str">
        <x:v>RATE-ADJUSTED VETERAN</x:v>
      </x:c>
    </x:row>
    <x:row r="24">
      <x:c r="A24" t="n">
        <x:v>20</x:v>
      </x:c>
      <x:c r="B24" t="str">
        <x:v>WR</x:v>
      </x:c>
      <x:c r="C24" t="n">
        <x:v>6</x:v>
      </x:c>
      <x:c r="D24" s="48" t="str">
        <x:v>Chris Olave</x:v>
      </x:c>
      <x:c r="E24" s="48" t="n">
        <x:v>88.9075</x:v>
      </x:c>
      <x:c r="F24" s="116" t="str">
        <x:v>Strong WR1; bankable weekly starter with spike-week ceiling.</x:v>
      </x:c>
      <x:c r="G24" s="116" t="str">
        <x:v>He produced 16.9 PPR/FP points per game across 16 games. The workload/efficiency profile gives the model a rate-based reason to keep him here.</x:v>
      </x:c>
      <x:c r="H24" s="116" t="str">
        <x:v>Target competition, quarterback efficiency and touchdown regression are the main downside paths.</x:v>
      </x:c>
      <x:c r="I24" s="48" t="n">
        <x:v>19</x:v>
      </x:c>
      <x:c r="J24" s="116" t="n">
        <x:v>-1</x:v>
      </x:c>
      <x:c r="K24" t="str">
        <x:v>A</x:v>
      </x:c>
      <x:c r="L24" t="str">
        <x:v>RATE-ADJUSTED VETERAN</x:v>
      </x:c>
    </x:row>
    <x:row r="25">
      <x:c r="A25" t="n">
        <x:v>21</x:v>
      </x:c>
      <x:c r="B25" t="str">
        <x:v>RB</x:v>
      </x:c>
      <x:c r="C25" t="n">
        <x:v>10</x:v>
      </x:c>
      <x:c r="D25" s="48" t="str">
        <x:v>Kyren Williams</x:v>
      </x:c>
      <x:c r="E25" s="48" t="n">
        <x:v>85.94862618540519</x:v>
      </x:c>
      <x:c r="F25" s="116" t="str">
        <x:v>Strong RB1; weekly top-12 expectation with multi-touchdown ceiling.</x:v>
      </x:c>
      <x:c r="G25" s="116" t="str">
        <x:v>He produced 15.5 PPR/FP points per game across 17 games. The workload/efficiency profile gives the model a rate-based reason to keep him here. Market price is favorable around ADP 40 versus model overall rank 21.</x:v>
      </x:c>
      <x:c r="H25" s="116" t="str">
        <x:v>Touchdown variance, receiving-role changes and backfield competition are the main downside paths.</x:v>
      </x:c>
      <x:c r="I25" s="48" t="n">
        <x:v>39.800000000000004</x:v>
      </x:c>
      <x:c r="J25" s="116" t="n">
        <x:v>18.800000000000004</x:v>
      </x:c>
      <x:c r="K25" t="str">
        <x:v>A</x:v>
      </x:c>
      <x:c r="L25" t="str">
        <x:v>RATE-ADJUSTED VETERAN</x:v>
      </x:c>
    </x:row>
    <x:row r="26">
      <x:c r="A26" t="n">
        <x:v>22</x:v>
      </x:c>
      <x:c r="B26" t="str">
        <x:v>TE</x:v>
      </x:c>
      <x:c r="C26" t="n">
        <x:v>3</x:v>
      </x:c>
      <x:c r="D26" s="48" t="str">
        <x:v>Colston Loveland</x:v>
      </x:c>
      <x:c r="E26" s="48" t="n">
        <x:v>88.75308009954404</x:v>
      </x:c>
      <x:c r="F26" s="116" t="str">
        <x:v>Elite difference-making TE; positional advantage is the expectation.</x:v>
      </x:c>
      <x:c r="G26" s="116" t="str">
        <x:v>He produced 10.3 PPR/FP points per game across 16 games. The workload/efficiency profile gives the model a rate-based reason to keep him here. Market price is favorable around ADP 35 versus model overall rank 22.</x:v>
      </x:c>
      <x:c r="H26" s="116" t="str">
        <x:v>Route share, target volume and touchdown volatility are the main swing factors.</x:v>
      </x:c>
      <x:c r="I26" s="48" t="n">
        <x:v>35</x:v>
      </x:c>
      <x:c r="J26" s="116" t="n">
        <x:v>13</x:v>
      </x:c>
      <x:c r="K26" t="str">
        <x:v>A</x:v>
      </x:c>
      <x:c r="L26" t="str">
        <x:v>RATE-ADJUSTED VETERAN</x:v>
      </x:c>
    </x:row>
    <x:row r="27">
      <x:c r="A27" t="n">
        <x:v>23</x:v>
      </x:c>
      <x:c r="B27" t="str">
        <x:v>RB</x:v>
      </x:c>
      <x:c r="C27" t="n">
        <x:v>11</x:v>
      </x:c>
      <x:c r="D27" s="48" t="str">
        <x:v>Breece Hall</x:v>
      </x:c>
      <x:c r="E27" s="48" t="n">
        <x:v>85.89523439048523</x:v>
      </x:c>
      <x:c r="F27" s="116" t="str">
        <x:v>Strong RB1; weekly top-12 expectation with multi-touchdown ceiling.</x:v>
      </x:c>
      <x:c r="G27" s="116" t="str">
        <x:v>He produced 12.9 PPR/FP points per game across 16 games. The workload/efficiency profile gives the model a rate-based reason to keep him here. Market price is favorable around ADP 44 versus model overall rank 23.</x:v>
      </x:c>
      <x:c r="H27" s="116" t="str">
        <x:v>Touchdown variance, receiving-role changes and backfield competition are the main downside paths.</x:v>
      </x:c>
      <x:c r="I27" s="48" t="n">
        <x:v>44</x:v>
      </x:c>
      <x:c r="J27" s="116" t="n">
        <x:v>21</x:v>
      </x:c>
      <x:c r="K27" t="str">
        <x:v>A</x:v>
      </x:c>
      <x:c r="L27" t="str">
        <x:v>RATE-ADJUSTED VETERAN</x:v>
      </x:c>
    </x:row>
    <x:row r="28">
      <x:c r="A28" t="n">
        <x:v>24</x:v>
      </x:c>
      <x:c r="B28" t="str">
        <x:v>RB</x:v>
      </x:c>
      <x:c r="C28" t="n">
        <x:v>12</x:v>
      </x:c>
      <x:c r="D28" s="48" t="str">
        <x:v>Ashton Jeanty</x:v>
      </x:c>
      <x:c r="E28" s="48" t="n">
        <x:v>85.84326054048074</x:v>
      </x:c>
      <x:c r="F28" s="116" t="str">
        <x:v>Strong RB1; weekly top-12 expectation with multi-touchdown ceiling.</x:v>
      </x:c>
      <x:c r="G28" s="116" t="str">
        <x:v>He produced 14.4 PPR/FP points per game across 17 games. The workload/efficiency profile gives the model a rate-based reason to keep him here. The market is more aggressive at ADP 13 versus model overall rank 24, so price matters.</x:v>
      </x:c>
      <x:c r="H28" s="116" t="str">
        <x:v>Price is the biggest risk: the market currently asks you to draft him earlier than the model prefers.</x:v>
      </x:c>
      <x:c r="I28" s="48" t="n">
        <x:v>13</x:v>
      </x:c>
      <x:c r="J28" s="116" t="n">
        <x:v>-11</x:v>
      </x:c>
      <x:c r="K28" t="str">
        <x:v>A</x:v>
      </x:c>
      <x:c r="L28" t="str">
        <x:v>RATE-ADJUSTED VETERAN</x:v>
      </x:c>
    </x:row>
    <x:row r="29">
      <x:c r="A29" t="n">
        <x:v>25</x:v>
      </x:c>
      <x:c r="B29" t="str">
        <x:v>QB</x:v>
      </x:c>
      <x:c r="C29" t="n">
        <x:v>2</x:v>
      </x:c>
      <x:c r="D29" s="48" t="str">
        <x:v>Caleb Williams</x:v>
      </x:c>
      <x:c r="E29" s="48" t="n">
        <x:v>92.1926680327037</x:v>
      </x:c>
      <x:c r="F29" s="116" t="str">
        <x:v>Elite QB1; weekly top-5 expectation with overall QB1 upside.</x:v>
      </x:c>
      <x:c r="G29" s="116" t="str">
        <x:v>He produced 19.0 PPR/FP points per game across 17 games. The workload/efficiency profile gives the model a rate-based reason to keep him here.</x:v>
      </x:c>
      <x:c r="H29" s="116" t="str">
        <x:v>Passing-TD efficiency, rushing volume and supporting-cast health are the main swing factors.</x:v>
      </x:c>
      <x:c r="I29" s="48" t="n">
        <x:v>30</x:v>
      </x:c>
      <x:c r="J29" s="116" t="n">
        <x:v>5</x:v>
      </x:c>
      <x:c r="K29" t="str">
        <x:v>A</x:v>
      </x:c>
      <x:c r="L29" t="str">
        <x:v>RATE-ADJUSTED VETERAN</x:v>
      </x:c>
    </x:row>
    <x:row r="30">
      <x:c r="A30" t="n">
        <x:v>26</x:v>
      </x:c>
      <x:c r="B30" t="str">
        <x:v>RB</x:v>
      </x:c>
      <x:c r="C30" t="n">
        <x:v>13</x:v>
      </x:c>
      <x:c r="D30" s="48" t="str">
        <x:v>Derrick Henry</x:v>
      </x:c>
      <x:c r="E30" s="48" t="n">
        <x:v>85.66739845204964</x:v>
      </x:c>
      <x:c r="F30" s="116" t="str">
        <x:v>RB2 with RB1 weeks; should be a regular starter.</x:v>
      </x:c>
      <x:c r="G30" s="116" t="str">
        <x:v>He produced 16.5 PPR/FP points per game across 17 games. The workload/efficiency profile gives the model a rate-based reason to keep him here. Market price is favorable around ADP 52 versus model overall rank 26.</x:v>
      </x:c>
      <x:c r="H30" s="116" t="str">
        <x:v>Touchdown variance, receiving-role changes and backfield competition are the main downside paths.</x:v>
      </x:c>
      <x:c r="I30" s="48" t="n">
        <x:v>52.400000000000006</x:v>
      </x:c>
      <x:c r="J30" s="116" t="n">
        <x:v>26.400000000000006</x:v>
      </x:c>
      <x:c r="K30" t="str">
        <x:v>A</x:v>
      </x:c>
      <x:c r="L30" t="str">
        <x:v>RATE-ADJUSTED VETERAN</x:v>
      </x:c>
    </x:row>
    <x:row r="31">
      <x:c r="A31" t="n">
        <x:v>27</x:v>
      </x:c>
      <x:c r="B31" t="str">
        <x:v>RB</x:v>
      </x:c>
      <x:c r="C31" t="n">
        <x:v>14</x:v>
      </x:c>
      <x:c r="D31" s="48" t="str">
        <x:v>Chase Brown</x:v>
      </x:c>
      <x:c r="E31" s="48" t="n">
        <x:v>85.66441832712566</x:v>
      </x:c>
      <x:c r="F31" s="116" t="str">
        <x:v>RB2 with RB1 weeks; should be a regular starter.</x:v>
      </x:c>
      <x:c r="G31" s="116" t="str">
        <x:v>He produced 16.7 PPR/FP points per game across 17 games. The workload/efficiency profile gives the model a rate-based reason to keep him here.</x:v>
      </x:c>
      <x:c r="H31" s="116" t="str">
        <x:v>Touchdown variance, receiving-role changes and backfield competition are the main downside paths.</x:v>
      </x:c>
      <x:c r="I31" s="48" t="n">
        <x:v>21</x:v>
      </x:c>
      <x:c r="J31" s="116" t="n">
        <x:v>-6</x:v>
      </x:c>
      <x:c r="K31" t="str">
        <x:v>A</x:v>
      </x:c>
      <x:c r="L31" t="str">
        <x:v>RATE-ADJUSTED VETERAN</x:v>
      </x:c>
    </x:row>
    <x:row r="32">
      <x:c r="A32" t="n">
        <x:v>28</x:v>
      </x:c>
      <x:c r="B32" t="str">
        <x:v>WR</x:v>
      </x:c>
      <x:c r="C32" t="n">
        <x:v>12</x:v>
      </x:c>
      <x:c r="D32" s="48" t="str">
        <x:v>Tetairoa McMillan</x:v>
      </x:c>
      <x:c r="E32" s="48" t="n">
        <x:v>85.74</x:v>
      </x:c>
      <x:c r="F32" s="116" t="str">
        <x:v>Strong WR1; bankable weekly starter with spike-week ceiling.</x:v>
      </x:c>
      <x:c r="G32" s="116" t="str">
        <x:v>He produced 12.4 PPR/FP points per game across 17 games. The workload/efficiency profile gives the model a rate-based reason to keep him here. Market price is favorable around ADP 50 versus model overall rank 28.</x:v>
      </x:c>
      <x:c r="H32" s="116" t="str">
        <x:v>Target competition, quarterback efficiency and touchdown regression are the main downside paths.</x:v>
      </x:c>
      <x:c r="I32" s="48" t="n">
        <x:v>49.8</x:v>
      </x:c>
      <x:c r="J32" s="116" t="n">
        <x:v>21.799999999999997</x:v>
      </x:c>
      <x:c r="K32" t="str">
        <x:v>A</x:v>
      </x:c>
      <x:c r="L32" t="str">
        <x:v>RATE-ADJUSTED VETERAN</x:v>
      </x:c>
    </x:row>
    <x:row r="33">
      <x:c r="A33" t="n">
        <x:v>29</x:v>
      </x:c>
      <x:c r="B33" t="str">
        <x:v>WR</x:v>
      </x:c>
      <x:c r="C33" t="n">
        <x:v>8</x:v>
      </x:c>
      <x:c r="D33" s="48" t="str">
        <x:v>DeVonta Smith</x:v>
      </x:c>
      <x:c r="E33" s="48" t="n">
        <x:v>87.4875</x:v>
      </x:c>
      <x:c r="F33" s="116" t="str">
        <x:v>Strong WR1; bankable weekly starter with spike-week ceiling.</x:v>
      </x:c>
      <x:c r="G33" s="116" t="str">
        <x:v>He produced 11.8 PPR/FP points per game across 17 games. The workload/efficiency profile gives the model a rate-based reason to keep him here.</x:v>
      </x:c>
      <x:c r="H33" s="116" t="str">
        <x:v>Target competition, quarterback efficiency and touchdown regression are the main downside paths.</x:v>
      </x:c>
      <x:c r="I33" s="48" t="n">
        <x:v>24</x:v>
      </x:c>
      <x:c r="J33" s="116" t="n">
        <x:v>-5</x:v>
      </x:c>
      <x:c r="K33" t="str">
        <x:v>A</x:v>
      </x:c>
      <x:c r="L33" t="str">
        <x:v>RATE-ADJUSTED VETERAN</x:v>
      </x:c>
    </x:row>
    <x:row r="34">
      <x:c r="A34" t="n">
        <x:v>30</x:v>
      </x:c>
      <x:c r="B34" t="str">
        <x:v>WR</x:v>
      </x:c>
      <x:c r="C34" t="n">
        <x:v>14</x:v>
      </x:c>
      <x:c r="D34" s="48" t="str">
        <x:v>Justin Jefferson</x:v>
      </x:c>
      <x:c r="E34" s="48" t="n">
        <x:v>84.7935825</x:v>
      </x:c>
      <x:c r="F34" s="116" t="str">
        <x:v>Strong WR2 with top-12 weekly upside.</x:v>
      </x:c>
      <x:c r="G34" s="116" t="str">
        <x:v>The 2026 opportunity and projection carry most of the grade because detailed 2025 rate data is incomplete. The market is more aggressive at ADP 9 versus model overall rank 30, so price matters.</x:v>
      </x:c>
      <x:c r="H34" s="116" t="str">
        <x:v>Price is the biggest risk: the market currently asks you to draft him earlier than the model prefers.</x:v>
      </x:c>
      <x:c r="I34" s="48" t="n">
        <x:v>9</x:v>
      </x:c>
      <x:c r="J34" s="116" t="n">
        <x:v>-21</x:v>
      </x:c>
      <x:c r="K34" t="str">
        <x:v>A</x:v>
      </x:c>
      <x:c r="L34" t="str">
        <x:v>HISTORY FALLBACK</x:v>
      </x:c>
    </x:row>
    <x:row r="35">
      <x:c r="A35" t="n">
        <x:v>31</x:v>
      </x:c>
      <x:c r="B35" t="str">
        <x:v>WR</x:v>
      </x:c>
      <x:c r="C35" t="n">
        <x:v>10</x:v>
      </x:c>
      <x:c r="D35" s="48" t="str">
        <x:v>Garrett Wilson</x:v>
      </x:c>
      <x:c r="E35" s="48" t="n">
        <x:v>86.155</x:v>
      </x:c>
      <x:c r="F35" s="116" t="str">
        <x:v>Strong WR1; bankable weekly starter with spike-week ceiling.</x:v>
      </x:c>
      <x:c r="G35" s="116" t="str">
        <x:v>He produced 14.2 PPR/FP points per game across 7 games. The workload/efficiency profile gives the model a rate-based reason to keep him here. Market price is favorable around ADP 58 versus model overall rank 31.</x:v>
      </x:c>
      <x:c r="H35" s="116" t="str">
        <x:v>Availability/sample risk is elevated after only 7 games; talent is not being punished as heavily as durability.</x:v>
      </x:c>
      <x:c r="I35" s="48" t="n">
        <x:v>57.6</x:v>
      </x:c>
      <x:c r="J35" s="116" t="n">
        <x:v>26.6</x:v>
      </x:c>
      <x:c r="K35" t="str">
        <x:v>B</x:v>
      </x:c>
      <x:c r="L35" t="str">
        <x:v>RATE-ADJUSTED VETERAN</x:v>
      </x:c>
    </x:row>
    <x:row r="36">
      <x:c r="A36" t="n">
        <x:v>32</x:v>
      </x:c>
      <x:c r="B36" t="str">
        <x:v>WR</x:v>
      </x:c>
      <x:c r="C36" t="n">
        <x:v>9</x:v>
      </x:c>
      <x:c r="D36" s="48" t="str">
        <x:v>Zay Flowers</x:v>
      </x:c>
      <x:c r="E36" s="48" t="n">
        <x:v>86.57</x:v>
      </x:c>
      <x:c r="F36" s="116" t="str">
        <x:v>Strong WR1; bankable weekly starter with spike-week ceiling.</x:v>
      </x:c>
      <x:c r="G36" s="116" t="str">
        <x:v>He produced 14.4 PPR/FP points per game across 17 games. The workload/efficiency profile gives the model a rate-based reason to keep him here. Market price is favorable around ADP 65 versus model overall rank 32.</x:v>
      </x:c>
      <x:c r="H36" s="116" t="str">
        <x:v>Target competition, quarterback efficiency and touchdown regression are the main downside paths.</x:v>
      </x:c>
      <x:c r="I36" s="48" t="n">
        <x:v>65.4</x:v>
      </x:c>
      <x:c r="J36" s="116" t="n">
        <x:v>33.400000000000006</x:v>
      </x:c>
      <x:c r="K36" t="str">
        <x:v>A</x:v>
      </x:c>
      <x:c r="L36" t="str">
        <x:v>RATE-ADJUSTED VETERAN</x:v>
      </x:c>
    </x:row>
    <x:row r="37">
      <x:c r="A37" t="n">
        <x:v>33</x:v>
      </x:c>
      <x:c r="B37" t="str">
        <x:v>RB</x:v>
      </x:c>
      <x:c r="C37" t="n">
        <x:v>15</x:v>
      </x:c>
      <x:c r="D37" s="48" t="str">
        <x:v>Josh Jacobs</x:v>
      </x:c>
      <x:c r="E37" s="48" t="n">
        <x:v>84.42639357709083</x:v>
      </x:c>
      <x:c r="F37" s="116" t="str">
        <x:v>RB2 with RB1 weeks; should be a regular starter.</x:v>
      </x:c>
      <x:c r="G37" s="116" t="str">
        <x:v>He produced 15.8 PPR/FP points per game across 15 games. The workload/efficiency profile gives the model a rate-based reason to keep him here. Market price is favorable around ADP 61 versus model overall rank 33.</x:v>
      </x:c>
      <x:c r="H37" s="116" t="str">
        <x:v>Touchdown variance, receiving-role changes and backfield competition are the main downside paths.</x:v>
      </x:c>
      <x:c r="I37" s="48" t="n">
        <x:v>60.800000000000004</x:v>
      </x:c>
      <x:c r="J37" s="116" t="n">
        <x:v>27.800000000000004</x:v>
      </x:c>
      <x:c r="K37" t="str">
        <x:v>A</x:v>
      </x:c>
      <x:c r="L37" t="str">
        <x:v>RATE-ADJUSTED VETERAN</x:v>
      </x:c>
    </x:row>
    <x:row r="38">
      <x:c r="A38" t="n">
        <x:v>34</x:v>
      </x:c>
      <x:c r="B38" t="str">
        <x:v>RB</x:v>
      </x:c>
      <x:c r="C38" t="n">
        <x:v>16</x:v>
      </x:c>
      <x:c r="D38" s="48" t="str">
        <x:v>Saquon Barkley</x:v>
      </x:c>
      <x:c r="E38" s="48" t="n">
        <x:v>84.03395323879701</x:v>
      </x:c>
      <x:c r="F38" s="116" t="str">
        <x:v>RB2 with RB1 weeks; should be a regular starter.</x:v>
      </x:c>
      <x:c r="G38" s="116" t="str">
        <x:v>He produced 14.5 PPR/FP points per game across 16 games. The workload/efficiency profile gives the model a rate-based reason to keep him here. Market price is favorable around ADP 65 versus model overall rank 34.</x:v>
      </x:c>
      <x:c r="H38" s="116" t="str">
        <x:v>Touchdown variance, receiving-role changes and backfield competition are the main downside paths.</x:v>
      </x:c>
      <x:c r="I38" s="48" t="n">
        <x:v>65</x:v>
      </x:c>
      <x:c r="J38" s="116" t="n">
        <x:v>31</x:v>
      </x:c>
      <x:c r="K38" t="str">
        <x:v>A</x:v>
      </x:c>
      <x:c r="L38" t="str">
        <x:v>RATE-ADJUSTED VETERAN</x:v>
      </x:c>
    </x:row>
    <x:row r="39">
      <x:c r="A39" t="n">
        <x:v>35</x:v>
      </x:c>
      <x:c r="B39" t="str">
        <x:v>RB</x:v>
      </x:c>
      <x:c r="C39" t="n">
        <x:v>17</x:v>
      </x:c>
      <x:c r="D39" s="48" t="str">
        <x:v>Javonte Williams</x:v>
      </x:c>
      <x:c r="E39" s="48" t="n">
        <x:v>83.80323538924502</x:v>
      </x:c>
      <x:c r="F39" s="116" t="str">
        <x:v>RB2 with RB1 weeks; should be a regular starter.</x:v>
      </x:c>
      <x:c r="G39" s="116" t="str">
        <x:v>He produced 15.2 PPR/FP points per game across 16 games. The workload/efficiency profile gives the model a rate-based reason to keep him here. Market price is favorable around ADP 69 versus model overall rank 35.</x:v>
      </x:c>
      <x:c r="H39" s="116" t="str">
        <x:v>Touchdown variance, receiving-role changes and backfield competition are the main downside paths.</x:v>
      </x:c>
      <x:c r="I39" s="48" t="n">
        <x:v>69.2</x:v>
      </x:c>
      <x:c r="J39" s="116" t="n">
        <x:v>34.2</x:v>
      </x:c>
      <x:c r="K39" t="str">
        <x:v>A</x:v>
      </x:c>
      <x:c r="L39" t="str">
        <x:v>RATE-ADJUSTED VETERAN</x:v>
      </x:c>
    </x:row>
    <x:row r="40">
      <x:c r="A40" t="n">
        <x:v>36</x:v>
      </x:c>
      <x:c r="B40" t="str">
        <x:v>TE</x:v>
      </x:c>
      <x:c r="C40" t="n">
        <x:v>4</x:v>
      </x:c>
      <x:c r="D40" s="48" t="str">
        <x:v>Tyler Warren</x:v>
      </x:c>
      <x:c r="E40" s="48" t="n">
        <x:v>87.2023750800111</x:v>
      </x:c>
      <x:c r="F40" s="116" t="str">
        <x:v>Every-week TE1 with real top-5 upside.</x:v>
      </x:c>
      <x:c r="G40" s="116" t="str">
        <x:v>He produced 11.1 PPR/FP points per game across 17 games. The workload/efficiency profile gives the model a rate-based reason to keep him here.</x:v>
      </x:c>
      <x:c r="H40" s="116" t="str">
        <x:v>Route share, target volume and touchdown volatility are the main swing factors.</x:v>
      </x:c>
      <x:c r="I40" s="48" t="n">
        <x:v>44</x:v>
      </x:c>
      <x:c r="J40" s="116" t="n">
        <x:v>8</x:v>
      </x:c>
      <x:c r="K40" t="str">
        <x:v>A</x:v>
      </x:c>
      <x:c r="L40" t="str">
        <x:v>RATE-ADJUSTED VETERAN</x:v>
      </x:c>
    </x:row>
    <x:row r="41">
      <x:c r="A41" t="n">
        <x:v>37</x:v>
      </x:c>
      <x:c r="B41" t="str">
        <x:v>WR</x:v>
      </x:c>
      <x:c r="C41" t="n">
        <x:v>13</x:v>
      </x:c>
      <x:c r="D41" s="48" t="str">
        <x:v>Tee Higgins</x:v>
      </x:c>
      <x:c r="E41" s="48" t="n">
        <x:v>84.82249999999999</x:v>
      </x:c>
      <x:c r="F41" s="116" t="str">
        <x:v>Strong WR2 with top-12 weekly upside.</x:v>
      </x:c>
      <x:c r="G41" s="116" t="str">
        <x:v>He produced 14.1 PPR/FP points per game across 15 games. The workload/efficiency profile gives the model a rate-based reason to keep him here. Market price is favorable around ADP 54 versus model overall rank 37.</x:v>
      </x:c>
      <x:c r="H41" s="116" t="str">
        <x:v>Target competition, quarterback efficiency and touchdown regression are the main downside paths.</x:v>
      </x:c>
      <x:c r="I41" s="48" t="n">
        <x:v>53.699999999999996</x:v>
      </x:c>
      <x:c r="J41" s="116" t="n">
        <x:v>16.699999999999996</x:v>
      </x:c>
      <x:c r="K41" t="str">
        <x:v>A</x:v>
      </x:c>
      <x:c r="L41" t="str">
        <x:v>RATE-ADJUSTED VETERAN</x:v>
      </x:c>
    </x:row>
    <x:row r="42">
      <x:c r="A42" t="n">
        <x:v>38</x:v>
      </x:c>
      <x:c r="B42" t="str">
        <x:v>QB</x:v>
      </x:c>
      <x:c r="C42" t="n">
        <x:v>3</x:v>
      </x:c>
      <x:c r="D42" s="48" t="str">
        <x:v>Drake Maye</x:v>
      </x:c>
      <x:c r="E42" s="48" t="n">
        <x:v>91.04298794920528</x:v>
      </x:c>
      <x:c r="F42" s="116" t="str">
        <x:v>Elite QB1; weekly top-5 expectation with overall QB1 upside.</x:v>
      </x:c>
      <x:c r="G42" s="116" t="str">
        <x:v>He produced 21.1 PPR/FP points per game across 17 games. The workload/efficiency profile gives the model a rate-based reason to keep him here.</x:v>
      </x:c>
      <x:c r="H42" s="116" t="str">
        <x:v>Passing-TD efficiency, rushing volume and supporting-cast health are the main swing factors.</x:v>
      </x:c>
      <x:c r="I42" s="48" t="n">
        <x:v>38</x:v>
      </x:c>
      <x:c r="J42" s="116" t="n">
        <x:v>0</x:v>
      </x:c>
      <x:c r="K42" t="str">
        <x:v>A</x:v>
      </x:c>
      <x:c r="L42" t="str">
        <x:v>RATE-ADJUSTED VETERAN</x:v>
      </x:c>
    </x:row>
    <x:row r="43">
      <x:c r="A43" t="n">
        <x:v>39</x:v>
      </x:c>
      <x:c r="B43" t="str">
        <x:v>RB</x:v>
      </x:c>
      <x:c r="C43" t="n">
        <x:v>18</x:v>
      </x:c>
      <x:c r="D43" s="48" t="str">
        <x:v>Travis Etienne Jr.</x:v>
      </x:c>
      <x:c r="E43" s="48" t="n">
        <x:v>83.04362987072798</x:v>
      </x:c>
      <x:c r="F43" s="116" t="str">
        <x:v>RB2 with RB1 weeks; should be a regular starter.</x:v>
      </x:c>
      <x:c r="G43" s="116" t="str">
        <x:v>He produced 14.9 PPR/FP points per game across 17 games. The workload/efficiency profile gives the model a rate-based reason to keep him here. Market price is favorable around ADP 73 versus model overall rank 39.</x:v>
      </x:c>
      <x:c r="H43" s="116" t="str">
        <x:v>Touchdown variance, receiving-role changes and backfield competition are the main downside paths.</x:v>
      </x:c>
      <x:c r="I43" s="48" t="n">
        <x:v>73.4</x:v>
      </x:c>
      <x:c r="J43" s="116" t="n">
        <x:v>34.400000000000006</x:v>
      </x:c>
      <x:c r="K43" t="str">
        <x:v>A</x:v>
      </x:c>
      <x:c r="L43" t="str">
        <x:v>RATE-ADJUSTED VETERAN</x:v>
      </x:c>
    </x:row>
    <x:row r="44">
      <x:c r="A44" t="n">
        <x:v>40</x:v>
      </x:c>
      <x:c r="B44" t="str">
        <x:v>WR</x:v>
      </x:c>
      <x:c r="C44" t="n">
        <x:v>15</x:v>
      </x:c>
      <x:c r="D44" s="48" t="str">
        <x:v>Rashee Rice</x:v>
      </x:c>
      <x:c r="E44" s="48" t="n">
        <x:v>84.09473</x:v>
      </x:c>
      <x:c r="F44" s="116" t="str">
        <x:v>Strong WR2 with top-12 weekly upside.</x:v>
      </x:c>
      <x:c r="G44" s="116" t="str">
        <x:v>He produced 18.7 PPR/FP points per game across 8 games. The workload/efficiency profile gives the model a rate-based reason to keep him here. The market is more aggressive at ADP 22 versus model overall rank 40, so price matters.</x:v>
      </x:c>
      <x:c r="H44" s="116" t="str">
        <x:v>Availability/sample risk is elevated after only 8 games; talent is not being punished as heavily as durability.</x:v>
      </x:c>
      <x:c r="I44" s="48" t="n">
        <x:v>22</x:v>
      </x:c>
      <x:c r="J44" s="116" t="n">
        <x:v>-18</x:v>
      </x:c>
      <x:c r="K44" t="str">
        <x:v>B</x:v>
      </x:c>
      <x:c r="L44" t="str">
        <x:v>RATE-ADJUSTED VETERAN</x:v>
      </x:c>
    </x:row>
    <x:row r="45">
      <x:c r="A45" t="n">
        <x:v>41</x:v>
      </x:c>
      <x:c r="B45" t="str">
        <x:v>WR</x:v>
      </x:c>
      <x:c r="C45" t="n">
        <x:v>16</x:v>
      </x:c>
      <x:c r="D45" s="48" t="str">
        <x:v>A.J. Brown</x:v>
      </x:c>
      <x:c r="E45" s="48" t="n">
        <x:v>83.23567249999999</x:v>
      </x:c>
      <x:c r="F45" s="116" t="str">
        <x:v>Strong WR2 with top-12 weekly upside.</x:v>
      </x:c>
      <x:c r="G45" s="116" t="str">
        <x:v>He produced 14.7 PPR/FP points per game across 15 games. The workload/efficiency profile gives the model a rate-based reason to keep him here. The market is more aggressive at ADP 14 versus model overall rank 41, so price matters.</x:v>
      </x:c>
      <x:c r="H45" s="116" t="str">
        <x:v>Price is the biggest risk: the market currently asks you to draft him earlier than the model prefers.</x:v>
      </x:c>
      <x:c r="I45" s="48" t="n">
        <x:v>14</x:v>
      </x:c>
      <x:c r="J45" s="116" t="n">
        <x:v>-27</x:v>
      </x:c>
      <x:c r="K45" t="str">
        <x:v>A</x:v>
      </x:c>
      <x:c r="L45" t="str">
        <x:v>RATE-ADJUSTED VETERAN</x:v>
      </x:c>
    </x:row>
    <x:row r="46">
      <x:c r="A46" t="n">
        <x:v>42</x:v>
      </x:c>
      <x:c r="B46" t="str">
        <x:v>RB</x:v>
      </x:c>
      <x:c r="C46" t="n">
        <x:v>19</x:v>
      </x:c>
      <x:c r="D46" s="48" t="str">
        <x:v>Cam Skattebo</x:v>
      </x:c>
      <x:c r="E46" s="48" t="n">
        <x:v>81.88843624288153</x:v>
      </x:c>
      <x:c r="F46" s="116" t="str">
        <x:v>RB2 with RB1 weeks; should be a regular starter.</x:v>
      </x:c>
      <x:c r="G46" s="116" t="str">
        <x:v>He produced 16.0 PPR/FP points per game across 8 games. The workload/efficiency profile gives the model a rate-based reason to keep him here. Market price is favorable around ADP 78 versus model overall rank 42.</x:v>
      </x:c>
      <x:c r="H46" s="116" t="str">
        <x:v>Availability/sample risk is elevated after only 8 games; talent is not being punished as heavily as durability.</x:v>
      </x:c>
      <x:c r="I46" s="48" t="n">
        <x:v>77.60000000000001</x:v>
      </x:c>
      <x:c r="J46" s="116" t="n">
        <x:v>35.60000000000001</x:v>
      </x:c>
      <x:c r="K46" t="str">
        <x:v>B</x:v>
      </x:c>
      <x:c r="L46" t="str">
        <x:v>RATE-ADJUSTED VETERAN</x:v>
      </x:c>
    </x:row>
    <x:row r="47">
      <x:c r="A47" t="n">
        <x:v>43</x:v>
      </x:c>
      <x:c r="B47" t="str">
        <x:v>TE</x:v>
      </x:c>
      <x:c r="C47" t="n">
        <x:v>5</x:v>
      </x:c>
      <x:c r="D47" s="48" t="str">
        <x:v>George Kittle</x:v>
      </x:c>
      <x:c r="E47" s="48" t="n">
        <x:v>86.26638054791886</x:v>
      </x:c>
      <x:c r="F47" s="116" t="str">
        <x:v>Every-week TE1 with real top-5 upside.</x:v>
      </x:c>
      <x:c r="G47" s="116" t="str">
        <x:v>He produced 14.7 PPR/FP points per game across 11 games. The workload/efficiency profile gives the model a rate-based reason to keep him here. Market price is favorable around ADP 53 versus model overall rank 43.</x:v>
      </x:c>
      <x:c r="H47" s="116" t="str">
        <x:v>Route share, target volume and touchdown volatility are the main swing factors.</x:v>
      </x:c>
      <x:c r="I47" s="48" t="n">
        <x:v>53</x:v>
      </x:c>
      <x:c r="J47" s="116" t="n">
        <x:v>10</x:v>
      </x:c>
      <x:c r="K47" t="str">
        <x:v>B</x:v>
      </x:c>
      <x:c r="L47" t="str">
        <x:v>RATE-ADJUSTED VETERAN</x:v>
      </x:c>
    </x:row>
    <x:row r="48">
      <x:c r="A48" t="n">
        <x:v>44</x:v>
      </x:c>
      <x:c r="B48" t="str">
        <x:v>QB</x:v>
      </x:c>
      <x:c r="C48" t="n">
        <x:v>4</x:v>
      </x:c>
      <x:c r="D48" s="48" t="str">
        <x:v>Justin Herbert</x:v>
      </x:c>
      <x:c r="E48" s="48" t="n">
        <x:v>90.11691162251876</x:v>
      </x:c>
      <x:c r="F48" s="116" t="str">
        <x:v>Strong every-week QB1; frequent top-8 finishes expected.</x:v>
      </x:c>
      <x:c r="G48" s="116" t="str">
        <x:v>He produced 18.7 PPR/FP points per game across 16 games. The workload/efficiency profile gives the model a rate-based reason to keep him here.</x:v>
      </x:c>
      <x:c r="H48" s="116" t="str">
        <x:v>Passing-TD efficiency, rushing volume and supporting-cast health are the main swing factors.</x:v>
      </x:c>
      <x:c r="I48" s="48" t="n">
        <x:v>46</x:v>
      </x:c>
      <x:c r="J48" s="116" t="n">
        <x:v>2</x:v>
      </x:c>
      <x:c r="K48" t="str">
        <x:v>A</x:v>
      </x:c>
      <x:c r="L48" t="str">
        <x:v>RATE-ADJUSTED VETERAN</x:v>
      </x:c>
    </x:row>
    <x:row r="49">
      <x:c r="A49" t="n">
        <x:v>45</x:v>
      </x:c>
      <x:c r="B49" t="str">
        <x:v>WR</x:v>
      </x:c>
      <x:c r="C49" t="n">
        <x:v>19</x:v>
      </x:c>
      <x:c r="D49" s="48" t="str">
        <x:v>George Pickens</x:v>
      </x:c>
      <x:c r="E49" s="48" t="n">
        <x:v>81.8366075</x:v>
      </x:c>
      <x:c r="F49" s="116" t="str">
        <x:v>Strong WR2 with top-12 weekly upside.</x:v>
      </x:c>
      <x:c r="G49" s="116" t="str">
        <x:v>He produced 17.2 PPR/FP points per game across 17 games. The workload/efficiency profile gives the model a rate-based reason to keep him here. The market is more aggressive at ADP 16 versus model overall rank 45, so price matters.</x:v>
      </x:c>
      <x:c r="H49" s="116" t="str">
        <x:v>Price is the biggest risk: the market currently asks you to draft him earlier than the model prefers.</x:v>
      </x:c>
      <x:c r="I49" s="48" t="n">
        <x:v>16</x:v>
      </x:c>
      <x:c r="J49" s="116" t="n">
        <x:v>-29</x:v>
      </x:c>
      <x:c r="K49" t="str">
        <x:v>A</x:v>
      </x:c>
      <x:c r="L49" t="str">
        <x:v>RATE-ADJUSTED VETERAN</x:v>
      </x:c>
    </x:row>
    <x:row r="50">
      <x:c r="A50" t="n">
        <x:v>46</x:v>
      </x:c>
      <x:c r="B50" t="str">
        <x:v>TE</x:v>
      </x:c>
      <x:c r="C50" t="n">
        <x:v>6</x:v>
      </x:c>
      <x:c r="D50" s="48" t="str">
        <x:v>Kyle Pitts Sr.</x:v>
      </x:c>
      <x:c r="E50" s="48" t="n">
        <x:v>85.30445968766767</x:v>
      </x:c>
      <x:c r="F50" s="116" t="str">
        <x:v>Every-week TE1 with real top-5 upside.</x:v>
      </x:c>
      <x:c r="G50" s="116" t="str">
        <x:v>He produced 12.4 PPR/FP points per game across 17 games. The workload/efficiency profile gives the model a rate-based reason to keep him here. Market price is favorable around ADP 62 versus model overall rank 46.</x:v>
      </x:c>
      <x:c r="H50" s="116" t="str">
        <x:v>Route share, target volume and touchdown volatility are the main swing factors.</x:v>
      </x:c>
      <x:c r="I50" s="48" t="n">
        <x:v>62</x:v>
      </x:c>
      <x:c r="J50" s="116" t="n">
        <x:v>16</x:v>
      </x:c>
      <x:c r="K50" t="str">
        <x:v>A</x:v>
      </x:c>
      <x:c r="L50" t="str">
        <x:v>RATE-ADJUSTED VETERAN</x:v>
      </x:c>
    </x:row>
    <x:row r="51">
      <x:c r="A51" t="n">
        <x:v>47</x:v>
      </x:c>
      <x:c r="B51" t="str">
        <x:v>RB</x:v>
      </x:c>
      <x:c r="C51" t="n">
        <x:v>20</x:v>
      </x:c>
      <x:c r="D51" s="48" t="str">
        <x:v>D'Andre Swift</x:v>
      </x:c>
      <x:c r="E51" s="48" t="n">
        <x:v>79.98556548600793</x:v>
      </x:c>
      <x:c r="F51" s="116" t="str">
        <x:v>RB2 with RB1 weeks; should be a regular starter.</x:v>
      </x:c>
      <x:c r="G51" s="116" t="str">
        <x:v>He produced 14.3 PPR/FP points per game across 16 games. The workload/efficiency profile gives the model a rate-based reason to keep him here. Market price is favorable around ADP 82 versus model overall rank 47.</x:v>
      </x:c>
      <x:c r="H51" s="116" t="str">
        <x:v>Touchdown variance, receiving-role changes and backfield competition are the main downside paths.</x:v>
      </x:c>
      <x:c r="I51" s="48" t="n">
        <x:v>81.8</x:v>
      </x:c>
      <x:c r="J51" s="116" t="n">
        <x:v>34.8</x:v>
      </x:c>
      <x:c r="K51" t="str">
        <x:v>A</x:v>
      </x:c>
      <x:c r="L51" t="str">
        <x:v>RATE-ADJUSTED VETERAN</x:v>
      </x:c>
    </x:row>
    <x:row r="52">
      <x:c r="A52" t="n">
        <x:v>48</x:v>
      </x:c>
      <x:c r="B52" t="str">
        <x:v>RB</x:v>
      </x:c>
      <x:c r="C52" t="n">
        <x:v>21</x:v>
      </x:c>
      <x:c r="D52" s="48" t="str">
        <x:v>Bucky Irving</x:v>
      </x:c>
      <x:c r="E52" s="48" t="n">
        <x:v>79.93547988785315</x:v>
      </x:c>
      <x:c r="F52" s="116" t="str">
        <x:v>RB2/FLEX; useful weekly but role and receiving volume matter.</x:v>
      </x:c>
      <x:c r="G52" s="116" t="str">
        <x:v>He produced 13.8 PPR/FP points per game across 10 games. The workload/efficiency profile gives the model a rate-based reason to keep him here. Market price is favorable around ADP 86 versus model overall rank 48.</x:v>
      </x:c>
      <x:c r="H52" s="116" t="str">
        <x:v>Touchdown variance, receiving-role changes and backfield competition are the main downside paths.</x:v>
      </x:c>
      <x:c r="I52" s="48" t="n">
        <x:v>86</x:v>
      </x:c>
      <x:c r="J52" s="116" t="n">
        <x:v>38</x:v>
      </x:c>
      <x:c r="K52" t="str">
        <x:v>B</x:v>
      </x:c>
      <x:c r="L52" t="str">
        <x:v>RATE-ADJUSTED VETERAN</x:v>
      </x:c>
    </x:row>
    <x:row r="53">
      <x:c r="A53" t="n">
        <x:v>49</x:v>
      </x:c>
      <x:c r="B53" t="str">
        <x:v>RB</x:v>
      </x:c>
      <x:c r="C53" t="n">
        <x:v>22</x:v>
      </x:c>
      <x:c r="D53" s="48" t="str">
        <x:v>Quinshon Judkins</x:v>
      </x:c>
      <x:c r="E53" s="48" t="n">
        <x:v>79.930324528899</x:v>
      </x:c>
      <x:c r="F53" s="116" t="str">
        <x:v>RB2/FLEX; useful weekly but role and receiving volume matter.</x:v>
      </x:c>
      <x:c r="G53" s="116" t="str">
        <x:v>He produced 12.2 PPR/FP points per game across 14 games. The workload/efficiency profile gives the model a rate-based reason to keep him here. Market price is favorable around ADP 90 versus model overall rank 49.</x:v>
      </x:c>
      <x:c r="H53" s="116" t="str">
        <x:v>Touchdown variance, receiving-role changes and backfield competition are the main downside paths.</x:v>
      </x:c>
      <x:c r="I53" s="48" t="n">
        <x:v>90.2</x:v>
      </x:c>
      <x:c r="J53" s="116" t="n">
        <x:v>41.2</x:v>
      </x:c>
      <x:c r="K53" t="str">
        <x:v>A</x:v>
      </x:c>
      <x:c r="L53" t="str">
        <x:v>RATE-ADJUSTED VETERAN</x:v>
      </x:c>
    </x:row>
    <x:row r="54">
      <x:c r="A54" t="n">
        <x:v>50</x:v>
      </x:c>
      <x:c r="B54" t="str">
        <x:v>QB</x:v>
      </x:c>
      <x:c r="C54" t="n">
        <x:v>5</x:v>
      </x:c>
      <x:c r="D54" s="48" t="str">
        <x:v>Lamar Jackson</x:v>
      </x:c>
      <x:c r="E54" s="48" t="n">
        <x:v>88.71118360968082</x:v>
      </x:c>
      <x:c r="F54" s="116" t="str">
        <x:v>Strong every-week QB1; frequent top-8 finishes expected.</x:v>
      </x:c>
      <x:c r="G54" s="116" t="str">
        <x:v>He produced 17.1 PPR/FP points per game across 13 games. The workload/efficiency profile gives the model a rate-based reason to keep him here.</x:v>
      </x:c>
      <x:c r="H54" s="116" t="str">
        <x:v>Passing-TD efficiency, rushing volume and supporting-cast health are the main swing factors.</x:v>
      </x:c>
      <x:c r="I54" s="48" t="n">
        <x:v>54</x:v>
      </x:c>
      <x:c r="J54" s="116" t="n">
        <x:v>4</x:v>
      </x:c>
      <x:c r="K54" t="str">
        <x:v>A</x:v>
      </x:c>
      <x:c r="L54" t="str">
        <x:v>RATE-ADJUSTED VETERAN</x:v>
      </x:c>
    </x:row>
    <x:row r="55">
      <x:c r="A55" t="n">
        <x:v>51</x:v>
      </x:c>
      <x:c r="B55" t="str">
        <x:v>WR</x:v>
      </x:c>
      <x:c r="C55" t="n">
        <x:v>17</x:v>
      </x:c>
      <x:c r="D55" s="48" t="str">
        <x:v>Ladd McConkey</x:v>
      </x:c>
      <x:c r="E55" s="48" t="n">
        <x:v>82.7325</x:v>
      </x:c>
      <x:c r="F55" s="116" t="str">
        <x:v>Strong WR2 with top-12 weekly upside.</x:v>
      </x:c>
      <x:c r="G55" s="116" t="str">
        <x:v>The 2026 opportunity and projection carry most of the grade because detailed 2025 rate data is incomplete. Market price is favorable around ADP 85 versus model overall rank 51.</x:v>
      </x:c>
      <x:c r="H55" s="116" t="str">
        <x:v>Target competition, quarterback efficiency and touchdown regression are the main downside paths.</x:v>
      </x:c>
      <x:c r="I55" s="48" t="n">
        <x:v>84.89999999999999</x:v>
      </x:c>
      <x:c r="J55" s="116" t="n">
        <x:v>33.89999999999999</x:v>
      </x:c>
      <x:c r="K55" t="str">
        <x:v>B</x:v>
      </x:c>
      <x:c r="L55" t="str">
        <x:v>HISTORY FALLBACK</x:v>
      </x:c>
    </x:row>
    <x:row r="56">
      <x:c r="A56" t="n">
        <x:v>52</x:v>
      </x:c>
      <x:c r="B56" t="str">
        <x:v>WR</x:v>
      </x:c>
      <x:c r="C56" t="n">
        <x:v>18</x:v>
      </x:c>
      <x:c r="D56" s="48" t="str">
        <x:v>Jaylen Waddle</x:v>
      </x:c>
      <x:c r="E56" s="48" t="n">
        <x:v>82.3175</x:v>
      </x:c>
      <x:c r="F56" s="116" t="str">
        <x:v>Strong WR2 with top-12 weekly upside.</x:v>
      </x:c>
      <x:c r="G56" s="116" t="str">
        <x:v>He produced 12.1 PPR/FP points per game across 16 games. The workload/efficiency profile gives the model a rate-based reason to keep him here. Market price is favorable around ADP 77 versus model overall rank 52.</x:v>
      </x:c>
      <x:c r="H56" s="116" t="str">
        <x:v>Target competition, quarterback efficiency and touchdown regression are the main downside paths.</x:v>
      </x:c>
      <x:c r="I56" s="48" t="n">
        <x:v>77.1</x:v>
      </x:c>
      <x:c r="J56" s="116" t="n">
        <x:v>25.099999999999994</x:v>
      </x:c>
      <x:c r="K56" t="str">
        <x:v>A</x:v>
      </x:c>
      <x:c r="L56" t="str">
        <x:v>RATE-ADJUSTED VETERAN</x:v>
      </x:c>
    </x:row>
    <x:row r="57">
      <x:c r="A57" t="n">
        <x:v>53</x:v>
      </x:c>
      <x:c r="B57" t="str">
        <x:v>TE</x:v>
      </x:c>
      <x:c r="C57" t="n">
        <x:v>7</x:v>
      </x:c>
      <x:c r="D57" s="48" t="str">
        <x:v>Harold Fannin Jr.</x:v>
      </x:c>
      <x:c r="E57" s="48" t="n">
        <x:v>84.37768905814795</x:v>
      </x:c>
      <x:c r="F57" s="116" t="str">
        <x:v>Every-week TE1 with real top-5 upside.</x:v>
      </x:c>
      <x:c r="G57" s="116" t="str">
        <x:v>He produced 11.7 PPR/FP points per game across 16 games. The workload/efficiency profile gives the model a rate-based reason to keep him here. Market price is favorable around ADP 71 versus model overall rank 53.</x:v>
      </x:c>
      <x:c r="H57" s="116" t="str">
        <x:v>Route share, target volume and touchdown volatility are the main swing factors.</x:v>
      </x:c>
      <x:c r="I57" s="48" t="n">
        <x:v>71</x:v>
      </x:c>
      <x:c r="J57" s="116" t="n">
        <x:v>18</x:v>
      </x:c>
      <x:c r="K57" t="str">
        <x:v>A</x:v>
      </x:c>
      <x:c r="L57" t="str">
        <x:v>RATE-ADJUSTED VETERAN</x:v>
      </x:c>
    </x:row>
    <x:row r="58">
      <x:c r="A58" t="n">
        <x:v>54</x:v>
      </x:c>
      <x:c r="B58" t="str">
        <x:v>QB</x:v>
      </x:c>
      <x:c r="C58" t="n">
        <x:v>6</x:v>
      </x:c>
      <x:c r="D58" s="48" t="str">
        <x:v>Jalen Hurts</x:v>
      </x:c>
      <x:c r="E58" s="48" t="n">
        <x:v>88.44992587495246</x:v>
      </x:c>
      <x:c r="F58" s="116" t="str">
        <x:v>Strong every-week QB1; frequent top-8 finishes expected.</x:v>
      </x:c>
      <x:c r="G58" s="116" t="str">
        <x:v>He produced 19.1 PPR/FP points per game across 16 games. The workload/efficiency profile gives the model a rate-based reason to keep him here.</x:v>
      </x:c>
      <x:c r="H58" s="116" t="str">
        <x:v>Passing-TD efficiency, rushing volume and supporting-cast health are the main swing factors.</x:v>
      </x:c>
      <x:c r="I58" s="48" t="n">
        <x:v>62</x:v>
      </x:c>
      <x:c r="J58" s="116" t="n">
        <x:v>8</x:v>
      </x:c>
      <x:c r="K58" t="str">
        <x:v>A</x:v>
      </x:c>
      <x:c r="L58" t="str">
        <x:v>RATE-ADJUSTED VETERAN</x:v>
      </x:c>
    </x:row>
    <x:row r="59">
      <x:c r="A59" t="n">
        <x:v>55</x:v>
      </x:c>
      <x:c r="B59" t="str">
        <x:v>WR</x:v>
      </x:c>
      <x:c r="C59" t="n">
        <x:v>20</x:v>
      </x:c>
      <x:c r="D59" s="48" t="str">
        <x:v>Emeka Egbuka</x:v>
      </x:c>
      <x:c r="E59" s="48" t="n">
        <x:v>81.735</x:v>
      </x:c>
      <x:c r="F59" s="116" t="str">
        <x:v>Strong WR2 with top-12 weekly upside.</x:v>
      </x:c>
      <x:c r="G59" s="116" t="str">
        <x:v>He produced 11.5 PPR/FP points per game across 17 games. The workload/efficiency profile gives the model a rate-based reason to keep him here. Market price is favorable around ADP 73 versus model overall rank 55.</x:v>
      </x:c>
      <x:c r="H59" s="116" t="str">
        <x:v>Target competition, quarterback efficiency and touchdown regression are the main downside paths.</x:v>
      </x:c>
      <x:c r="I59" s="48" t="n">
        <x:v>73.2</x:v>
      </x:c>
      <x:c r="J59" s="116" t="n">
        <x:v>18.200000000000003</x:v>
      </x:c>
      <x:c r="K59" t="str">
        <x:v>A</x:v>
      </x:c>
      <x:c r="L59" t="str">
        <x:v>RATE-ADJUSTED VETERAN</x:v>
      </x:c>
    </x:row>
    <x:row r="60">
      <x:c r="A60" t="n">
        <x:v>56</x:v>
      </x:c>
      <x:c r="B60" t="str">
        <x:v>TE</x:v>
      </x:c>
      <x:c r="C60" t="n">
        <x:v>8</x:v>
      </x:c>
      <x:c r="D60" s="48" t="str">
        <x:v>Jake Ferguson</x:v>
      </x:c>
      <x:c r="E60" s="48" t="n">
        <x:v>84.07301065327228</x:v>
      </x:c>
      <x:c r="F60" s="116" t="str">
        <x:v>Every-week TE1 with real top-5 upside.</x:v>
      </x:c>
      <x:c r="G60" s="116" t="str">
        <x:v>He produced 11.0 PPR/FP points per game across 17 games. The workload/efficiency profile gives the model a rate-based reason to keep him here. Market price is favorable around ADP 80 versus model overall rank 56.</x:v>
      </x:c>
      <x:c r="H60" s="116" t="str">
        <x:v>Route share, target volume and touchdown volatility are the main swing factors.</x:v>
      </x:c>
      <x:c r="I60" s="48" t="n">
        <x:v>80</x:v>
      </x:c>
      <x:c r="J60" s="116" t="n">
        <x:v>24</x:v>
      </x:c>
      <x:c r="K60" t="str">
        <x:v>A</x:v>
      </x:c>
      <x:c r="L60" t="str">
        <x:v>RATE-ADJUSTED VETERAN</x:v>
      </x:c>
    </x:row>
    <x:row r="61">
      <x:c r="A61" t="n">
        <x:v>57</x:v>
      </x:c>
      <x:c r="B61" t="str">
        <x:v>WR</x:v>
      </x:c>
      <x:c r="C61" t="n">
        <x:v>21</x:v>
      </x:c>
      <x:c r="D61" s="48" t="str">
        <x:v>Malik Nabers</x:v>
      </x:c>
      <x:c r="E61" s="48" t="n">
        <x:v>81.1525</x:v>
      </x:c>
      <x:c r="F61" s="116" t="str">
        <x:v>Strong WR2 with top-12 weekly upside.</x:v>
      </x:c>
      <x:c r="G61" s="116" t="str">
        <x:v>The 2026 opportunity and projection carry most of the grade because detailed 2025 rate data is incomplete. Market price is favorable around ADP 69 versus model overall rank 57.</x:v>
      </x:c>
      <x:c r="H61" s="116" t="str">
        <x:v>Evidence is thinner than for established veterans, so camp, depth-chart and role news can move the grade materially.</x:v>
      </x:c>
      <x:c r="I61" s="48" t="n">
        <x:v>69.3</x:v>
      </x:c>
      <x:c r="J61" s="116" t="n">
        <x:v>12.299999999999997</x:v>
      </x:c>
      <x:c r="K61" t="str">
        <x:v>C</x:v>
      </x:c>
      <x:c r="L61" t="str">
        <x:v>HISTORY FALLBACK</x:v>
      </x:c>
    </x:row>
    <x:row r="62">
      <x:c r="A62" t="n">
        <x:v>58</x:v>
      </x:c>
      <x:c r="B62" t="str">
        <x:v>TE</x:v>
      </x:c>
      <x:c r="C62" t="n">
        <x:v>9</x:v>
      </x:c>
      <x:c r="D62" s="48" t="str">
        <x:v>Tucker Kraft</x:v>
      </x:c>
      <x:c r="E62" s="48" t="n">
        <x:v>83.80862670075135</x:v>
      </x:c>
      <x:c r="F62" s="116" t="str">
        <x:v>Low-end TE1; startable but replacement options remain close.</x:v>
      </x:c>
      <x:c r="G62" s="116" t="str">
        <x:v>He produced 14.6 PPR/FP points per game across 8 games. The workload/efficiency profile gives the model a rate-based reason to keep him here. Market price is favorable around ADP 89 versus model overall rank 58.</x:v>
      </x:c>
      <x:c r="H62" s="116" t="str">
        <x:v>Availability/sample risk is elevated after only 8 games; talent is not being punished as heavily as durability.</x:v>
      </x:c>
      <x:c r="I62" s="48" t="n">
        <x:v>89</x:v>
      </x:c>
      <x:c r="J62" s="116" t="n">
        <x:v>31</x:v>
      </x:c>
      <x:c r="K62" t="str">
        <x:v>B</x:v>
      </x:c>
      <x:c r="L62" t="str">
        <x:v>RATE-ADJUSTED VETERAN</x:v>
      </x:c>
    </x:row>
    <x:row r="63">
      <x:c r="A63" t="n">
        <x:v>59</x:v>
      </x:c>
      <x:c r="B63" t="str">
        <x:v>RB</x:v>
      </x:c>
      <x:c r="C63" t="n">
        <x:v>23</x:v>
      </x:c>
      <x:c r="D63" s="48" t="str">
        <x:v>David Montgomery</x:v>
      </x:c>
      <x:c r="E63" s="48" t="n">
        <x:v>77.91019458711787</x:v>
      </x:c>
      <x:c r="F63" s="116" t="str">
        <x:v>RB2/FLEX; useful weekly but role and receiving volume matter.</x:v>
      </x:c>
      <x:c r="G63" s="116" t="str">
        <x:v>He produced 9.8 PPR/FP points per game across 17 games. The workload/efficiency profile gives the model a rate-based reason to keep him here. Market price is favorable around ADP 94 versus model overall rank 59.</x:v>
      </x:c>
      <x:c r="H63" s="116" t="str">
        <x:v>Touchdown variance, receiving-role changes and backfield competition are the main downside paths.</x:v>
      </x:c>
      <x:c r="I63" s="48" t="n">
        <x:v>94.4</x:v>
      </x:c>
      <x:c r="J63" s="116" t="n">
        <x:v>35.400000000000006</x:v>
      </x:c>
      <x:c r="K63" t="str">
        <x:v>A</x:v>
      </x:c>
      <x:c r="L63" t="str">
        <x:v>RATE-ADJUSTED VETERAN</x:v>
      </x:c>
    </x:row>
    <x:row r="64">
      <x:c r="A64" t="n">
        <x:v>60</x:v>
      </x:c>
      <x:c r="B64" t="str">
        <x:v>RB</x:v>
      </x:c>
      <x:c r="C64" t="n">
        <x:v>24</x:v>
      </x:c>
      <x:c r="D64" s="48" t="str">
        <x:v>TreVeyon Henderson</x:v>
      </x:c>
      <x:c r="E64" s="48" t="n">
        <x:v>77.83249669656783</x:v>
      </x:c>
      <x:c r="F64" s="116" t="str">
        <x:v>RB2/FLEX; useful weekly but role and receiving volume matter.</x:v>
      </x:c>
      <x:c r="G64" s="116" t="str">
        <x:v>He produced 12.2 PPR/FP points per game across 17 games. The workload/efficiency profile gives the model a rate-based reason to keep him here. Market price is favorable around ADP 99 versus model overall rank 60.</x:v>
      </x:c>
      <x:c r="H64" s="116" t="str">
        <x:v>Touchdown variance, receiving-role changes and backfield competition are the main downside paths.</x:v>
      </x:c>
      <x:c r="I64" s="48" t="n">
        <x:v>98.60000000000001</x:v>
      </x:c>
      <x:c r="J64" s="116" t="n">
        <x:v>38.60000000000001</x:v>
      </x:c>
      <x:c r="K64" t="str">
        <x:v>A</x:v>
      </x:c>
      <x:c r="L64" t="str">
        <x:v>RATE-ADJUSTED VETERAN</x:v>
      </x:c>
    </x:row>
    <x:row r="65">
      <x:c r="A65" t="n">
        <x:v>61</x:v>
      </x:c>
      <x:c r="B65" t="str">
        <x:v>QB</x:v>
      </x:c>
      <x:c r="C65" t="n">
        <x:v>7</x:v>
      </x:c>
      <x:c r="D65" s="48" t="str">
        <x:v>Patrick Mahomes II</x:v>
      </x:c>
      <x:c r="E65" s="48" t="n">
        <x:v>87.00630420406199</x:v>
      </x:c>
      <x:c r="F65" s="116" t="str">
        <x:v>Strong every-week QB1; frequent top-8 finishes expected.</x:v>
      </x:c>
      <x:c r="G65" s="116" t="str">
        <x:v>He produced 21.1 PPR/FP points per game across 14 games. The workload/efficiency profile gives the model a rate-based reason to keep him here.</x:v>
      </x:c>
      <x:c r="H65" s="116" t="str">
        <x:v>Passing-TD efficiency, rushing volume and supporting-cast health are the main swing factors.</x:v>
      </x:c>
      <x:c r="I65" s="48" t="n">
        <x:v>70</x:v>
      </x:c>
      <x:c r="J65" s="116" t="n">
        <x:v>9</x:v>
      </x:c>
      <x:c r="K65" t="str">
        <x:v>A</x:v>
      </x:c>
      <x:c r="L65" t="str">
        <x:v>RATE-ADJUSTED VETERAN</x:v>
      </x:c>
    </x:row>
    <x:row r="66">
      <x:c r="A66" t="n">
        <x:v>62</x:v>
      </x:c>
      <x:c r="B66" t="str">
        <x:v>WR</x:v>
      </x:c>
      <x:c r="C66" t="n">
        <x:v>22</x:v>
      </x:c>
      <x:c r="D66" s="48" t="str">
        <x:v>Terry McLaurin</x:v>
      </x:c>
      <x:c r="E66" s="48" t="n">
        <x:v>79.9</x:v>
      </x:c>
      <x:c r="F66" s="116" t="str">
        <x:v>Strong WR2 with top-12 weekly upside.</x:v>
      </x:c>
      <x:c r="G66" s="116" t="str">
        <x:v>He produced 11.4 PPR/FP points per game across 10 games. The workload/efficiency profile gives the model a rate-based reason to keep him here. Market price is favorable around ADP 81 versus model overall rank 62.</x:v>
      </x:c>
      <x:c r="H66" s="116" t="str">
        <x:v>Target competition, quarterback efficiency and touchdown regression are the main downside paths.</x:v>
      </x:c>
      <x:c r="I66" s="48" t="n">
        <x:v>81</x:v>
      </x:c>
      <x:c r="J66" s="116" t="n">
        <x:v>19</x:v>
      </x:c>
      <x:c r="K66" t="str">
        <x:v>B</x:v>
      </x:c>
      <x:c r="L66" t="str">
        <x:v>RATE-ADJUSTED VETERAN</x:v>
      </x:c>
    </x:row>
    <x:row r="67">
      <x:c r="A67" t="n">
        <x:v>63</x:v>
      </x:c>
      <x:c r="B67" t="str">
        <x:v>TE</x:v>
      </x:c>
      <x:c r="C67" t="n">
        <x:v>10</x:v>
      </x:c>
      <x:c r="D67" s="48" t="str">
        <x:v>Sam LaPorta</x:v>
      </x:c>
      <x:c r="E67" s="48" t="n">
        <x:v>82.86528996546019</x:v>
      </x:c>
      <x:c r="F67" s="116" t="str">
        <x:v>Low-end TE1; startable but replacement options remain close.</x:v>
      </x:c>
      <x:c r="G67" s="116" t="str">
        <x:v>He produced 11.8 PPR/FP points per game across 9 games. The workload/efficiency profile gives the model a rate-based reason to keep him here. Market price is favorable around ADP 98 versus model overall rank 63.</x:v>
      </x:c>
      <x:c r="H67" s="116" t="str">
        <x:v>Availability/sample risk is elevated after only 9 games; talent is not being punished as heavily as durability.</x:v>
      </x:c>
      <x:c r="I67" s="48" t="n">
        <x:v>98</x:v>
      </x:c>
      <x:c r="J67" s="116" t="n">
        <x:v>35</x:v>
      </x:c>
      <x:c r="K67" t="str">
        <x:v>B</x:v>
      </x:c>
      <x:c r="L67" t="str">
        <x:v>RATE-ADJUSTED VETERAN</x:v>
      </x:c>
    </x:row>
    <x:row r="68">
      <x:c r="A68" t="n">
        <x:v>64</x:v>
      </x:c>
      <x:c r="B68" t="str">
        <x:v>QB</x:v>
      </x:c>
      <x:c r="C68" t="n">
        <x:v>8</x:v>
      </x:c>
      <x:c r="D68" s="48" t="str">
        <x:v>Jayden Daniels</x:v>
      </x:c>
      <x:c r="E68" s="48" t="n">
        <x:v>86.70031647962188</x:v>
      </x:c>
      <x:c r="F68" s="116" t="str">
        <x:v>Strong every-week QB1; frequent top-8 finishes expected.</x:v>
      </x:c>
      <x:c r="G68" s="116" t="str">
        <x:v>He produced 16.7 PPR/FP points per game across 7 games. The workload/efficiency profile gives the model a rate-based reason to keep him here. Market price is favorable around ADP 78 versus model overall rank 64.</x:v>
      </x:c>
      <x:c r="H68" s="116" t="str">
        <x:v>Availability/sample risk is elevated after only 7 games; talent is not being punished as heavily as durability.</x:v>
      </x:c>
      <x:c r="I68" s="48" t="n">
        <x:v>78</x:v>
      </x:c>
      <x:c r="J68" s="116" t="n">
        <x:v>14</x:v>
      </x:c>
      <x:c r="K68" t="str">
        <x:v>B</x:v>
      </x:c>
      <x:c r="L68" t="str">
        <x:v>RATE-ADJUSTED VETERAN</x:v>
      </x:c>
    </x:row>
    <x:row r="69">
      <x:c r="A69" t="n">
        <x:v>65</x:v>
      </x:c>
      <x:c r="B69" t="str">
        <x:v>K</x:v>
      </x:c>
      <x:c r="C69" t="n">
        <x:v>1</x:v>
      </x:c>
      <x:c r="D69" s="48" t="str">
        <x:v>Brandon Aubrey</x:v>
      </x:c>
      <x:c r="E69" s="48" t="n">
        <x:v>94</x:v>
      </x:c>
      <x:c r="F69" s="116" t="str">
        <x:v>Top-tier kicker option, but still a final-round target.</x:v>
      </x:c>
      <x:c r="G69" s="116" t="str">
        <x:v>Ranks near the top of the current kicker pool, but kicker week-to-week separation is small in a 10-team league.</x:v>
      </x:c>
      <x:c r="H69" s="116" t="str">
        <x:v>Kicker scoring is volatile and replaceable on waivers; do not pay meaningful draft capital.</x:v>
      </x:c>
      <x:c r="I69" s="48" t="n">
        <x:v>155</x:v>
      </x:c>
      <x:c r="J69" s="116" t="n">
        <x:v>90</x:v>
      </x:c>
      <x:c r="K69" t="str">
        <x:v>B</x:v>
      </x:c>
      <x:c r="L69" t="str">
        <x:v>KICKER MODEL</x:v>
      </x:c>
    </x:row>
    <x:row r="70">
      <x:c r="A70" t="n">
        <x:v>66</x:v>
      </x:c>
      <x:c r="B70" t="str">
        <x:v>RB</x:v>
      </x:c>
      <x:c r="C70" t="n">
        <x:v>25</x:v>
      </x:c>
      <x:c r="D70" s="48" t="str">
        <x:v>Jadarian Price</x:v>
      </x:c>
      <x:c r="E70" s="48" t="n">
        <x:v>76.66217827185447</x:v>
      </x:c>
      <x:c r="F70" s="116" t="str">
        <x:v>RB2/FLEX; useful weekly but role and receiving volume matter.</x:v>
      </x:c>
      <x:c r="G70" s="116" t="str">
        <x:v>Rookie score 85.6, backed by No. 32 draft capital and a 6.38 NFL prospect grade. The 2026 role projection is strong enough to replace missing NFL history. Market price is favorable around ADP 103 versus model overall rank 66.</x:v>
      </x:c>
      <x:c r="H70" s="116" t="str">
        <x:v>NFL translation and exact weekly role are the main variables; preseason first-team usage can move this rating quickly.</x:v>
      </x:c>
      <x:c r="I70" s="48" t="n">
        <x:v>102.80000000000001</x:v>
      </x:c>
      <x:c r="J70" s="116" t="n">
        <x:v>36.80000000000001</x:v>
      </x:c>
      <x:c r="K70" t="str">
        <x:v>B</x:v>
      </x:c>
      <x:c r="L70" t="str">
        <x:v>ROOKIE ENGINE</x:v>
      </x:c>
    </x:row>
    <x:row r="71">
      <x:c r="A71" t="n">
        <x:v>67</x:v>
      </x:c>
      <x:c r="B71" t="str">
        <x:v>TE</x:v>
      </x:c>
      <x:c r="C71" t="n">
        <x:v>11</x:v>
      </x:c>
      <x:c r="D71" s="48" t="str">
        <x:v>Dalton Kincaid</x:v>
      </x:c>
      <x:c r="E71" s="48" t="n">
        <x:v>81.91409342545279</x:v>
      </x:c>
      <x:c r="F71" s="116" t="str">
        <x:v>Low-end TE1; startable but replacement options remain close.</x:v>
      </x:c>
      <x:c r="G71" s="116" t="str">
        <x:v>He produced 10.6 PPR/FP points per game across 12 games. The workload/efficiency profile gives the model a rate-based reason to keep him here. Market price is favorable around ADP 107 versus model overall rank 67.</x:v>
      </x:c>
      <x:c r="H71" s="116" t="str">
        <x:v>Route share, target volume and touchdown volatility are the main swing factors.</x:v>
      </x:c>
      <x:c r="I71" s="48" t="n">
        <x:v>107</x:v>
      </x:c>
      <x:c r="J71" s="116" t="n">
        <x:v>40</x:v>
      </x:c>
      <x:c r="K71" t="str">
        <x:v>A</x:v>
      </x:c>
      <x:c r="L71" t="str">
        <x:v>RATE-ADJUSTED VETERAN</x:v>
      </x:c>
    </x:row>
    <x:row r="72">
      <x:c r="A72" t="n">
        <x:v>68</x:v>
      </x:c>
      <x:c r="B72" t="str">
        <x:v>K</x:v>
      </x:c>
      <x:c r="C72" t="n">
        <x:v>2</x:v>
      </x:c>
      <x:c r="D72" s="48" t="str">
        <x:v>Ka'imi Fairbairn</x:v>
      </x:c>
      <x:c r="E72" s="48" t="n">
        <x:v>91.8</x:v>
      </x:c>
      <x:c r="F72" s="116" t="str">
        <x:v>Top-tier kicker option, but still a final-round target.</x:v>
      </x:c>
      <x:c r="G72" s="116" t="str">
        <x:v>Ranks near the top of the current kicker pool, but kicker week-to-week separation is small in a 10-team league.</x:v>
      </x:c>
      <x:c r="H72" s="116" t="str">
        <x:v>Kicker scoring is volatile and replaceable on waivers; do not pay meaningful draft capital.</x:v>
      </x:c>
      <x:c r="I72" s="48" t="n">
        <x:v>160</x:v>
      </x:c>
      <x:c r="J72" s="116" t="n">
        <x:v>92</x:v>
      </x:c>
      <x:c r="K72" t="str">
        <x:v>B</x:v>
      </x:c>
      <x:c r="L72" t="str">
        <x:v>KICKER MODEL</x:v>
      </x:c>
    </x:row>
    <x:row r="73">
      <x:c r="A73" t="n">
        <x:v>69</x:v>
      </x:c>
      <x:c r="B73" t="str">
        <x:v>RB</x:v>
      </x:c>
      <x:c r="C73" t="n">
        <x:v>26</x:v>
      </x:c>
      <x:c r="D73" s="48" t="str">
        <x:v>Jaylen Warren</x:v>
      </x:c>
      <x:c r="E73" s="48" t="n">
        <x:v>76.09178759711432</x:v>
      </x:c>
      <x:c r="F73" s="116" t="str">
        <x:v>RB2/FLEX; useful weekly but role and receiving volume matter.</x:v>
      </x:c>
      <x:c r="G73" s="116" t="str">
        <x:v>He produced 13.6 PPR/FP points per game across 16 games. The workload/efficiency profile gives the model a rate-based reason to keep him here. Market price is favorable around ADP 107 versus model overall rank 69.</x:v>
      </x:c>
      <x:c r="H73" s="116" t="str">
        <x:v>Touchdown variance, receiving-role changes and backfield competition are the main downside paths.</x:v>
      </x:c>
      <x:c r="I73" s="48" t="n">
        <x:v>107</x:v>
      </x:c>
      <x:c r="J73" s="116" t="n">
        <x:v>38</x:v>
      </x:c>
      <x:c r="K73" t="str">
        <x:v>A</x:v>
      </x:c>
      <x:c r="L73" t="str">
        <x:v>RATE-ADJUSTED VETERAN</x:v>
      </x:c>
    </x:row>
    <x:row r="74">
      <x:c r="A74" t="n">
        <x:v>70</x:v>
      </x:c>
      <x:c r="B74" t="str">
        <x:v>QB</x:v>
      </x:c>
      <x:c r="C74" t="n">
        <x:v>9</x:v>
      </x:c>
      <x:c r="D74" s="48" t="str">
        <x:v>Joe Burrow</x:v>
      </x:c>
      <x:c r="E74" s="48" t="n">
        <x:v>85.59126599193758</x:v>
      </x:c>
      <x:c r="F74" s="116" t="str">
        <x:v>Low-end QB1/high-end QB2 in a 10-team league; startable most weeks.</x:v>
      </x:c>
      <x:c r="G74" s="116" t="str">
        <x:v>He produced 17.4 PPR/FP points per game across 8 games. The workload/efficiency profile gives the model a rate-based reason to keep him here. Market price is favorable around ADP 86 versus model overall rank 70.</x:v>
      </x:c>
      <x:c r="H74" s="116" t="str">
        <x:v>Availability/sample risk is elevated after only 8 games; talent is not being punished as heavily as durability.</x:v>
      </x:c>
      <x:c r="I74" s="48" t="n">
        <x:v>86</x:v>
      </x:c>
      <x:c r="J74" s="116" t="n">
        <x:v>16</x:v>
      </x:c>
      <x:c r="K74" t="str">
        <x:v>B</x:v>
      </x:c>
      <x:c r="L74" t="str">
        <x:v>RATE-ADJUSTED VETERAN</x:v>
      </x:c>
    </x:row>
    <x:row r="75">
      <x:c r="A75" t="n">
        <x:v>71</x:v>
      </x:c>
      <x:c r="B75" t="str">
        <x:v>WR</x:v>
      </x:c>
      <x:c r="C75" t="n">
        <x:v>23</x:v>
      </x:c>
      <x:c r="D75" s="48" t="str">
        <x:v>Luther Burden III</x:v>
      </x:c>
      <x:c r="E75" s="48" t="n">
        <x:v>78.64750000000001</x:v>
      </x:c>
      <x:c r="F75" s="116" t="str">
        <x:v>Strong WR2 with top-12 weekly upside.</x:v>
      </x:c>
      <x:c r="G75" s="116" t="str">
        <x:v>He produced 8.5 PPR/FP points per game across 15 games. The workload/efficiency profile gives the model a rate-based reason to keep him here. Market price is favorable around ADP 93 versus model overall rank 71.</x:v>
      </x:c>
      <x:c r="H75" s="116" t="str">
        <x:v>Target competition, quarterback efficiency and touchdown regression are the main downside paths.</x:v>
      </x:c>
      <x:c r="I75" s="48" t="n">
        <x:v>92.7</x:v>
      </x:c>
      <x:c r="J75" s="116" t="n">
        <x:v>21.700000000000003</x:v>
      </x:c>
      <x:c r="K75" t="str">
        <x:v>A</x:v>
      </x:c>
      <x:c r="L75" t="str">
        <x:v>RATE-ADJUSTED VETERAN</x:v>
      </x:c>
    </x:row>
    <x:row r="76">
      <x:c r="A76" t="n">
        <x:v>72</x:v>
      </x:c>
      <x:c r="B76" t="str">
        <x:v>TE</x:v>
      </x:c>
      <x:c r="C76" t="n">
        <x:v>12</x:v>
      </x:c>
      <x:c r="D76" s="48" t="str">
        <x:v>Travis Kelce</x:v>
      </x:c>
      <x:c r="E76" s="48" t="n">
        <x:v>81.74777495564635</x:v>
      </x:c>
      <x:c r="F76" s="116" t="str">
        <x:v>Low-end TE1; startable but replacement options remain close.</x:v>
      </x:c>
      <x:c r="G76" s="116" t="str">
        <x:v>He produced 11.4 PPR/FP points per game across 17 games. The workload/efficiency profile gives the model a rate-based reason to keep him here. Market price is favorable around ADP 116 versus model overall rank 72.</x:v>
      </x:c>
      <x:c r="H76" s="116" t="str">
        <x:v>Route share, target volume and touchdown volatility are the main swing factors.</x:v>
      </x:c>
      <x:c r="I76" s="48" t="n">
        <x:v>116</x:v>
      </x:c>
      <x:c r="J76" s="116" t="n">
        <x:v>44</x:v>
      </x:c>
      <x:c r="K76" t="str">
        <x:v>A</x:v>
      </x:c>
      <x:c r="L76" t="str">
        <x:v>RATE-ADJUSTED VETERAN</x:v>
      </x:c>
    </x:row>
    <x:row r="77">
      <x:c r="A77" t="n">
        <x:v>73</x:v>
      </x:c>
      <x:c r="B77" t="str">
        <x:v>DST</x:v>
      </x:c>
      <x:c r="C77" t="n">
        <x:v>1</x:v>
      </x:c>
      <x:c r="D77" s="48" t="str">
        <x:v>Houston Texans</x:v>
      </x:c>
      <x:c r="E77" s="48" t="n">
        <x:v>93</x:v>
      </x:c>
      <x:c r="F77" s="116" t="str">
        <x:v>Elite DST target if available in the final rounds; otherwise streaming remains viable.</x:v>
      </x:c>
      <x:c r="G77" s="116" t="str">
        <x:v>The unit grades well relative to the current DST pool, but the model intentionally keeps defense behind core skill positions.</x:v>
      </x:c>
      <x:c r="H77" s="116" t="str">
        <x:v>DST scoring is highly opponent- and turnover-dependent, making season-long rank fragile.</x:v>
      </x:c>
      <x:c r="I77" s="48" t="n">
        <x:v>160</x:v>
      </x:c>
      <x:c r="J77" s="116" t="n">
        <x:v>87</x:v>
      </x:c>
      <x:c r="K77" t="str">
        <x:v>B</x:v>
      </x:c>
      <x:c r="L77" t="str">
        <x:v>DST MODEL</x:v>
      </x:c>
    </x:row>
    <x:row r="78">
      <x:c r="A78" t="n">
        <x:v>74</x:v>
      </x:c>
      <x:c r="B78" t="str">
        <x:v>RB</x:v>
      </x:c>
      <x:c r="C78" t="n">
        <x:v>27</x:v>
      </x:c>
      <x:c r="D78" s="48" t="str">
        <x:v>Rico Dowdle</x:v>
      </x:c>
      <x:c r="E78" s="48" t="n">
        <x:v>75.78578939506124</x:v>
      </x:c>
      <x:c r="F78" s="116" t="str">
        <x:v>RB2/FLEX; useful weekly but role and receiving volume matter.</x:v>
      </x:c>
      <x:c r="G78" s="116" t="str">
        <x:v>He produced 12.7 PPR/FP points per game across 17 games. The workload/efficiency profile gives the model a rate-based reason to keep him here. Market price is favorable around ADP 111 versus model overall rank 74.</x:v>
      </x:c>
      <x:c r="H78" s="116" t="str">
        <x:v>Touchdown variance, receiving-role changes and backfield competition are the main downside paths.</x:v>
      </x:c>
      <x:c r="I78" s="48" t="n">
        <x:v>111.2</x:v>
      </x:c>
      <x:c r="J78" s="116" t="n">
        <x:v>37.2</x:v>
      </x:c>
      <x:c r="K78" t="str">
        <x:v>A</x:v>
      </x:c>
      <x:c r="L78" t="str">
        <x:v>RATE-ADJUSTED VETERAN</x:v>
      </x:c>
    </x:row>
    <x:row r="79">
      <x:c r="A79" t="n">
        <x:v>75</x:v>
      </x:c>
      <x:c r="B79" t="str">
        <x:v>K</x:v>
      </x:c>
      <x:c r="C79" t="n">
        <x:v>3</x:v>
      </x:c>
      <x:c r="D79" s="48" t="str">
        <x:v>Cameron Dicker</x:v>
      </x:c>
      <x:c r="E79" s="48" t="n">
        <x:v>89.6</x:v>
      </x:c>
      <x:c r="F79" s="116" t="str">
        <x:v>Top-tier kicker option, but still a final-round target.</x:v>
      </x:c>
      <x:c r="G79" s="116" t="str">
        <x:v>Ranks near the top of the current kicker pool, but kicker week-to-week separation is small in a 10-team league.</x:v>
      </x:c>
      <x:c r="H79" s="116" t="str">
        <x:v>Kicker scoring is volatile and replaceable on waivers; do not pay meaningful draft capital.</x:v>
      </x:c>
      <x:c r="I79" s="48" t="n">
        <x:v>165</x:v>
      </x:c>
      <x:c r="J79" s="116" t="n">
        <x:v>90</x:v>
      </x:c>
      <x:c r="K79" t="str">
        <x:v>B</x:v>
      </x:c>
      <x:c r="L79" t="str">
        <x:v>KICKER MODEL</x:v>
      </x:c>
    </x:row>
    <x:row r="80">
      <x:c r="A80" t="n">
        <x:v>76</x:v>
      </x:c>
      <x:c r="B80" t="str">
        <x:v>WR</x:v>
      </x:c>
      <x:c r="C80" t="n">
        <x:v>24</x:v>
      </x:c>
      <x:c r="D80" s="48" t="str">
        <x:v>Davante Adams</x:v>
      </x:c>
      <x:c r="E80" s="48" t="n">
        <x:v>78.065</x:v>
      </x:c>
      <x:c r="F80" s="116" t="str">
        <x:v>Strong WR2 with top-12 weekly upside.</x:v>
      </x:c>
      <x:c r="G80" s="116" t="str">
        <x:v>He produced 15.9 PPR/FP points per game across 14 games. The workload/efficiency profile gives the model a rate-based reason to keep him here. Market price is favorable around ADP 89 versus model overall rank 76.</x:v>
      </x:c>
      <x:c r="H80" s="116" t="str">
        <x:v>Target competition, quarterback efficiency and touchdown regression are the main downside paths.</x:v>
      </x:c>
      <x:c r="I80" s="48" t="n">
        <x:v>88.8</x:v>
      </x:c>
      <x:c r="J80" s="116" t="n">
        <x:v>12.799999999999997</x:v>
      </x:c>
      <x:c r="K80" t="str">
        <x:v>A</x:v>
      </x:c>
      <x:c r="L80" t="str">
        <x:v>RATE-ADJUSTED VETERAN</x:v>
      </x:c>
    </x:row>
    <x:row r="81">
      <x:c r="A81" t="n">
        <x:v>77</x:v>
      </x:c>
      <x:c r="B81" t="str">
        <x:v>QB</x:v>
      </x:c>
      <x:c r="C81" t="n">
        <x:v>10</x:v>
      </x:c>
      <x:c r="D81" s="48" t="str">
        <x:v>Matthew Stafford</x:v>
      </x:c>
      <x:c r="E81" s="48" t="n">
        <x:v>85.41970528201219</x:v>
      </x:c>
      <x:c r="F81" s="116" t="str">
        <x:v>Low-end QB1/high-end QB2 in a 10-team league; startable most weeks.</x:v>
      </x:c>
      <x:c r="G81" s="116" t="str">
        <x:v>He produced 21.1 PPR/FP points per game across 17 games. The workload/efficiency profile gives the model a rate-based reason to keep him here. Market price is favorable around ADP 94 versus model overall rank 77.</x:v>
      </x:c>
      <x:c r="H81" s="116" t="str">
        <x:v>Passing-TD efficiency, rushing volume and supporting-cast health are the main swing factors.</x:v>
      </x:c>
      <x:c r="I81" s="48" t="n">
        <x:v>94</x:v>
      </x:c>
      <x:c r="J81" s="116" t="n">
        <x:v>17</x:v>
      </x:c>
      <x:c r="K81" t="str">
        <x:v>A</x:v>
      </x:c>
      <x:c r="L81" t="str">
        <x:v>RATE-ADJUSTED VETERAN</x:v>
      </x:c>
    </x:row>
    <x:row r="82">
      <x:c r="A82" t="n">
        <x:v>78</x:v>
      </x:c>
      <x:c r="B82" t="str">
        <x:v>DST</x:v>
      </x:c>
      <x:c r="C82" t="n">
        <x:v>2</x:v>
      </x:c>
      <x:c r="D82" s="48" t="str">
        <x:v>Denver Broncos</x:v>
      </x:c>
      <x:c r="E82" s="48" t="n">
        <x:v>91.9</x:v>
      </x:c>
      <x:c r="F82" s="116" t="str">
        <x:v>Elite DST target if available in the final rounds; otherwise streaming remains viable.</x:v>
      </x:c>
      <x:c r="G82" s="116" t="str">
        <x:v>The unit grades well relative to the current DST pool, but the model intentionally keeps defense behind core skill positions.</x:v>
      </x:c>
      <x:c r="H82" s="116" t="str">
        <x:v>DST scoring is highly opponent- and turnover-dependent, making season-long rank fragile.</x:v>
      </x:c>
      <x:c r="I82" s="48" t="n">
        <x:v>164</x:v>
      </x:c>
      <x:c r="J82" s="116" t="n">
        <x:v>86</x:v>
      </x:c>
      <x:c r="K82" t="str">
        <x:v>B</x:v>
      </x:c>
      <x:c r="L82" t="str">
        <x:v>DST MODEL</x:v>
      </x:c>
    </x:row>
    <x:row r="83">
      <x:c r="A83" t="n">
        <x:v>79</x:v>
      </x:c>
      <x:c r="B83" t="str">
        <x:v>QB</x:v>
      </x:c>
      <x:c r="C83" t="n">
        <x:v>11</x:v>
      </x:c>
      <x:c r="D83" s="48" t="str">
        <x:v>Bo Nix</x:v>
      </x:c>
      <x:c r="E83" s="48" t="n">
        <x:v>85.24848366137027</x:v>
      </x:c>
      <x:c r="F83" s="116" t="str">
        <x:v>Low-end QB1/high-end QB2 in a 10-team league; startable most weeks.</x:v>
      </x:c>
      <x:c r="G83" s="116" t="str">
        <x:v>He produced 18.6 PPR/FP points per game across 17 games. The workload/efficiency profile gives the model a rate-based reason to keep him here. Market price is favorable around ADP 102 versus model overall rank 79.</x:v>
      </x:c>
      <x:c r="H83" s="116" t="str">
        <x:v>Passing-TD efficiency, rushing volume and supporting-cast health are the main swing factors.</x:v>
      </x:c>
      <x:c r="I83" s="48" t="n">
        <x:v>102</x:v>
      </x:c>
      <x:c r="J83" s="116" t="n">
        <x:v>23</x:v>
      </x:c>
      <x:c r="K83" t="str">
        <x:v>A</x:v>
      </x:c>
      <x:c r="L83" t="str">
        <x:v>RATE-ADJUSTED VETERAN</x:v>
      </x:c>
    </x:row>
    <x:row r="84">
      <x:c r="A84" t="n">
        <x:v>80</x:v>
      </x:c>
      <x:c r="B84" t="str">
        <x:v>K</x:v>
      </x:c>
      <x:c r="C84" t="n">
        <x:v>4</x:v>
      </x:c>
      <x:c r="D84" s="48" t="str">
        <x:v>Jason Myers</x:v>
      </x:c>
      <x:c r="E84" s="48" t="n">
        <x:v>87.4</x:v>
      </x:c>
      <x:c r="F84" s="116" t="str">
        <x:v>Top-tier kicker option, but still a final-round target.</x:v>
      </x:c>
      <x:c r="G84" s="116" t="str">
        <x:v>Ranks near the top of the current kicker pool, but kicker week-to-week separation is small in a 10-team league.</x:v>
      </x:c>
      <x:c r="H84" s="116" t="str">
        <x:v>Kicker scoring is volatile and replaceable on waivers; do not pay meaningful draft capital.</x:v>
      </x:c>
      <x:c r="I84" s="48" t="n">
        <x:v>170</x:v>
      </x:c>
      <x:c r="J84" s="116" t="n">
        <x:v>90</x:v>
      </x:c>
      <x:c r="K84" t="str">
        <x:v>B</x:v>
      </x:c>
      <x:c r="L84" t="str">
        <x:v>KICKER MODEL</x:v>
      </x:c>
    </x:row>
    <x:row r="85">
      <x:c r="A85" t="n">
        <x:v>81</x:v>
      </x:c>
      <x:c r="B85" t="str">
        <x:v>RB</x:v>
      </x:c>
      <x:c r="C85" t="n">
        <x:v>28</x:v>
      </x:c>
      <x:c r="D85" s="48" t="str">
        <x:v>Tony Pollard</x:v>
      </x:c>
      <x:c r="E85" s="48" t="n">
        <x:v>75.0986337752362</x:v>
      </x:c>
      <x:c r="F85" s="116" t="str">
        <x:v>RB2/FLEX; useful weekly but role and receiving volume matter.</x:v>
      </x:c>
      <x:c r="G85" s="116" t="str">
        <x:v>He produced 10.9 PPR/FP points per game across 17 games. The workload/efficiency profile gives the model a rate-based reason to keep him here. Market price is favorable around ADP 115 versus model overall rank 81.</x:v>
      </x:c>
      <x:c r="H85" s="116" t="str">
        <x:v>Touchdown variance, receiving-role changes and backfield competition are the main downside paths.</x:v>
      </x:c>
      <x:c r="I85" s="48" t="n">
        <x:v>115.4</x:v>
      </x:c>
      <x:c r="J85" s="116" t="n">
        <x:v>34.400000000000006</x:v>
      </x:c>
      <x:c r="K85" t="str">
        <x:v>A</x:v>
      </x:c>
      <x:c r="L85" t="str">
        <x:v>RATE-ADJUSTED VETERAN</x:v>
      </x:c>
    </x:row>
    <x:row r="86">
      <x:c r="A86" t="n">
        <x:v>82</x:v>
      </x:c>
      <x:c r="B86" t="str">
        <x:v>QB</x:v>
      </x:c>
      <x:c r="C86" t="n">
        <x:v>12</x:v>
      </x:c>
      <x:c r="D86" s="48" t="str">
        <x:v>Dak Prescott</x:v>
      </x:c>
      <x:c r="E86" s="48" t="n">
        <x:v>85.11563022939153</x:v>
      </x:c>
      <x:c r="F86" s="116" t="str">
        <x:v>Low-end QB1/high-end QB2 in a 10-team league; startable most weeks.</x:v>
      </x:c>
      <x:c r="G86" s="116" t="str">
        <x:v>He produced 19.0 PPR/FP points per game across 17 games. The workload/efficiency profile gives the model a rate-based reason to keep him here. Market price is favorable around ADP 110 versus model overall rank 82.</x:v>
      </x:c>
      <x:c r="H86" s="116" t="str">
        <x:v>Passing-TD efficiency, rushing volume and supporting-cast health are the main swing factors.</x:v>
      </x:c>
      <x:c r="I86" s="48" t="n">
        <x:v>110</x:v>
      </x:c>
      <x:c r="J86" s="116" t="n">
        <x:v>28</x:v>
      </x:c>
      <x:c r="K86" t="str">
        <x:v>A</x:v>
      </x:c>
      <x:c r="L86" t="str">
        <x:v>RATE-ADJUSTED VETERAN</x:v>
      </x:c>
    </x:row>
    <x:row r="87">
      <x:c r="A87" t="n">
        <x:v>83</x:v>
      </x:c>
      <x:c r="B87" t="str">
        <x:v>DST</x:v>
      </x:c>
      <x:c r="C87" t="n">
        <x:v>3</x:v>
      </x:c>
      <x:c r="D87" s="48" t="str">
        <x:v>Seattle Seahawks</x:v>
      </x:c>
      <x:c r="E87" s="48" t="n">
        <x:v>90.8</x:v>
      </x:c>
      <x:c r="F87" s="116" t="str">
        <x:v>Elite DST target if available in the final rounds; otherwise streaming remains viable.</x:v>
      </x:c>
      <x:c r="G87" s="116" t="str">
        <x:v>The unit grades well relative to the current DST pool, but the model intentionally keeps defense behind core skill positions.</x:v>
      </x:c>
      <x:c r="H87" s="116" t="str">
        <x:v>DST scoring is highly opponent- and turnover-dependent, making season-long rank fragile.</x:v>
      </x:c>
      <x:c r="I87" s="48" t="n">
        <x:v>168</x:v>
      </x:c>
      <x:c r="J87" s="116" t="n">
        <x:v>85</x:v>
      </x:c>
      <x:c r="K87" t="str">
        <x:v>B</x:v>
      </x:c>
      <x:c r="L87" t="str">
        <x:v>DST MODEL</x:v>
      </x:c>
    </x:row>
    <x:row r="88">
      <x:c r="A88" t="n">
        <x:v>84</x:v>
      </x:c>
      <x:c r="B88" t="str">
        <x:v>RB</x:v>
      </x:c>
      <x:c r="C88" t="n">
        <x:v>29</x:v>
      </x:c>
      <x:c r="D88" s="48" t="str">
        <x:v>Rhamondre Stevenson</x:v>
      </x:c>
      <x:c r="E88" s="48" t="n">
        <x:v>74.58812104950168</x:v>
      </x:c>
      <x:c r="F88" s="116" t="str">
        <x:v>RB2/FLEX; useful weekly but role and receiving volume matter.</x:v>
      </x:c>
      <x:c r="G88" s="116" t="str">
        <x:v>He produced 12.8 PPR/FP points per game across 14 games. The workload/efficiency profile gives the model a rate-based reason to keep him here. Market price is favorable around ADP 120 versus model overall rank 84.</x:v>
      </x:c>
      <x:c r="H88" s="116" t="str">
        <x:v>Touchdown variance, receiving-role changes and backfield competition are the main downside paths.</x:v>
      </x:c>
      <x:c r="I88" s="48" t="n">
        <x:v>119.60000000000001</x:v>
      </x:c>
      <x:c r="J88" s="116" t="n">
        <x:v>35.60000000000001</x:v>
      </x:c>
      <x:c r="K88" t="str">
        <x:v>A</x:v>
      </x:c>
      <x:c r="L88" t="str">
        <x:v>RATE-ADJUSTED VETERAN</x:v>
      </x:c>
    </x:row>
    <x:row r="89">
      <x:c r="A89" t="n">
        <x:v>85</x:v>
      </x:c>
      <x:c r="B89" t="str">
        <x:v>K</x:v>
      </x:c>
      <x:c r="C89" t="n">
        <x:v>5</x:v>
      </x:c>
      <x:c r="D89" s="48" t="str">
        <x:v>Cam Little</x:v>
      </x:c>
      <x:c r="E89" s="48" t="n">
        <x:v>85.2</x:v>
      </x:c>
      <x:c r="F89" s="116" t="str">
        <x:v>Top-tier kicker option, but still a final-round target.</x:v>
      </x:c>
      <x:c r="G89" s="116" t="str">
        <x:v>Ranks near the top of the current kicker pool, but kicker week-to-week separation is small in a 10-team league.</x:v>
      </x:c>
      <x:c r="H89" s="116" t="str">
        <x:v>Kicker scoring is volatile and replaceable on waivers; do not pay meaningful draft capital.</x:v>
      </x:c>
      <x:c r="I89" s="48" t="n">
        <x:v>175</x:v>
      </x:c>
      <x:c r="J89" s="116" t="n">
        <x:v>90</x:v>
      </x:c>
      <x:c r="K89" t="str">
        <x:v>B</x:v>
      </x:c>
      <x:c r="L89" t="str">
        <x:v>KICKER MODEL</x:v>
      </x:c>
    </x:row>
    <x:row r="90">
      <x:c r="A90" t="n">
        <x:v>86</x:v>
      </x:c>
      <x:c r="B90" t="str">
        <x:v>RB</x:v>
      </x:c>
      <x:c r="C90" t="n">
        <x:v>30</x:v>
      </x:c>
      <x:c r="D90" s="48" t="str">
        <x:v>Kenneth Gainwell</x:v>
      </x:c>
      <x:c r="E90" s="48" t="n">
        <x:v>74.50491919835545</x:v>
      </x:c>
      <x:c r="F90" s="116" t="str">
        <x:v>RB2/FLEX; useful weekly but role and receiving volume matter.</x:v>
      </x:c>
      <x:c r="G90" s="116" t="str">
        <x:v>He produced 13.0 PPR/FP points per game across 17 games. The workload/efficiency profile gives the model a rate-based reason to keep him here. Market price is favorable around ADP 124 versus model overall rank 86.</x:v>
      </x:c>
      <x:c r="H90" s="116" t="str">
        <x:v>Touchdown variance, receiving-role changes and backfield competition are the main downside paths.</x:v>
      </x:c>
      <x:c r="I90" s="48" t="n">
        <x:v>123.80000000000001</x:v>
      </x:c>
      <x:c r="J90" s="116" t="n">
        <x:v>37.80000000000001</x:v>
      </x:c>
      <x:c r="K90" t="str">
        <x:v>A</x:v>
      </x:c>
      <x:c r="L90" t="str">
        <x:v>RATE-ADJUSTED VETERAN</x:v>
      </x:c>
    </x:row>
    <x:row r="91">
      <x:c r="A91" t="n">
        <x:v>87</x:v>
      </x:c>
      <x:c r="B91" t="str">
        <x:v>QB</x:v>
      </x:c>
      <x:c r="C91" t="n">
        <x:v>13</x:v>
      </x:c>
      <x:c r="D91" s="48" t="str">
        <x:v>Trevor Lawrence</x:v>
      </x:c>
      <x:c r="E91" s="48" t="n">
        <x:v>84.69210205685258</x:v>
      </x:c>
      <x:c r="F91" s="116" t="str">
        <x:v>QB2/streaming tier; useful when matchup and supporting cast line up.</x:v>
      </x:c>
      <x:c r="G91" s="116" t="str">
        <x:v>He produced 20.6 PPR/FP points per game across 17 games. The workload/efficiency profile gives the model a rate-based reason to keep him here. Market price is favorable around ADP 118 versus model overall rank 87.</x:v>
      </x:c>
      <x:c r="H91" s="116" t="str">
        <x:v>Passing-TD efficiency, rushing volume and supporting-cast health are the main swing factors.</x:v>
      </x:c>
      <x:c r="I91" s="48" t="n">
        <x:v>118</x:v>
      </x:c>
      <x:c r="J91" s="116" t="n">
        <x:v>31</x:v>
      </x:c>
      <x:c r="K91" t="str">
        <x:v>A</x:v>
      </x:c>
      <x:c r="L91" t="str">
        <x:v>RATE-ADJUSTED VETERAN</x:v>
      </x:c>
    </x:row>
    <x:row r="92">
      <x:c r="A92" t="n">
        <x:v>88</x:v>
      </x:c>
      <x:c r="B92" t="str">
        <x:v>TE</x:v>
      </x:c>
      <x:c r="C92" t="n">
        <x:v>13</x:v>
      </x:c>
      <x:c r="D92" s="48" t="str">
        <x:v>Dallas Goedert</x:v>
      </x:c>
      <x:c r="E92" s="48" t="n">
        <x:v>79.9181106679422</x:v>
      </x:c>
      <x:c r="F92" s="116" t="str">
        <x:v>Streaming/TE2 range; touchdown and route volume drive usefulness.</x:v>
      </x:c>
      <x:c r="G92" s="116" t="str">
        <x:v>He produced 12.3 PPR/FP points per game across 15 games. The workload/efficiency profile gives the model a rate-based reason to keep him here. Market price is favorable around ADP 125 versus model overall rank 88.</x:v>
      </x:c>
      <x:c r="H92" s="116" t="str">
        <x:v>Route share, target volume and touchdown volatility are the main swing factors.</x:v>
      </x:c>
      <x:c r="I92" s="48" t="n">
        <x:v>125</x:v>
      </x:c>
      <x:c r="J92" s="116" t="n">
        <x:v>37</x:v>
      </x:c>
      <x:c r="K92" t="str">
        <x:v>A</x:v>
      </x:c>
      <x:c r="L92" t="str">
        <x:v>RATE-ADJUSTED VETERAN</x:v>
      </x:c>
    </x:row>
    <x:row r="93">
      <x:c r="A93" t="n">
        <x:v>89</x:v>
      </x:c>
      <x:c r="B93" t="str">
        <x:v>RB</x:v>
      </x:c>
      <x:c r="C93" t="n">
        <x:v>31</x:v>
      </x:c>
      <x:c r="D93" s="48" t="str">
        <x:v>Bhayshul Tuten</x:v>
      </x:c>
      <x:c r="E93" s="48" t="n">
        <x:v>74.46766975676302</x:v>
      </x:c>
      <x:c r="F93" s="116" t="str">
        <x:v>FLEX/bench depth with upside if workload grows.</x:v>
      </x:c>
      <x:c r="G93" s="116" t="str">
        <x:v>He produced 5.9 PPR/FP points per game across 15 games. The workload/efficiency profile gives the model a rate-based reason to keep him here. Market price is favorable around ADP 128 versus model overall rank 89.</x:v>
      </x:c>
      <x:c r="H93" s="116" t="str">
        <x:v>Touchdown variance, receiving-role changes and backfield competition are the main downside paths.</x:v>
      </x:c>
      <x:c r="I93" s="48" t="n">
        <x:v>128</x:v>
      </x:c>
      <x:c r="J93" s="116" t="n">
        <x:v>39</x:v>
      </x:c>
      <x:c r="K93" t="str">
        <x:v>A</x:v>
      </x:c>
      <x:c r="L93" t="str">
        <x:v>RATE-ADJUSTED VETERAN</x:v>
      </x:c>
    </x:row>
    <x:row r="94">
      <x:c r="A94" t="n">
        <x:v>90</x:v>
      </x:c>
      <x:c r="B94" t="str">
        <x:v>K</x:v>
      </x:c>
      <x:c r="C94" t="n">
        <x:v>6</x:v>
      </x:c>
      <x:c r="D94" s="48" t="str">
        <x:v>Eddy Pineiro</x:v>
      </x:c>
      <x:c r="E94" s="48" t="n">
        <x:v>83</x:v>
      </x:c>
      <x:c r="F94" s="116" t="str">
        <x:v>Late-round kicker; treat as replaceable unless scoring strongly rewards distance.</x:v>
      </x:c>
      <x:c r="G94" s="116" t="str">
        <x:v>Ranks near the top of the current kicker pool, but kicker week-to-week separation is small in a 10-team league.</x:v>
      </x:c>
      <x:c r="H94" s="116" t="str">
        <x:v>Kicker scoring is volatile and replaceable on waivers; do not pay meaningful draft capital.</x:v>
      </x:c>
      <x:c r="I94" s="48" t="n">
        <x:v>180</x:v>
      </x:c>
      <x:c r="J94" s="116" t="n">
        <x:v>90</x:v>
      </x:c>
      <x:c r="K94" t="str">
        <x:v>B</x:v>
      </x:c>
      <x:c r="L94" t="str">
        <x:v>KICKER MODEL</x:v>
      </x:c>
    </x:row>
    <x:row r="95">
      <x:c r="A95" t="n">
        <x:v>91</x:v>
      </x:c>
      <x:c r="B95" t="str">
        <x:v>WR</x:v>
      </x:c>
      <x:c r="C95" t="n">
        <x:v>25</x:v>
      </x:c>
      <x:c r="D95" s="48" t="str">
        <x:v>Mike Evans</x:v>
      </x:c>
      <x:c r="E95" s="48" t="n">
        <x:v>76.47749999999999</x:v>
      </x:c>
      <x:c r="F95" s="116" t="str">
        <x:v>WR2/FLEX; dependable lineup option with matchup-driven ceiling.</x:v>
      </x:c>
      <x:c r="G95" s="116" t="str">
        <x:v>The 2026 opportunity and projection carry most of the grade because detailed 2025 rate data is incomplete. Market price is favorable around ADP 108 versus model overall rank 91.</x:v>
      </x:c>
      <x:c r="H95" s="116" t="str">
        <x:v>Evidence is thinner than for established veterans, so camp, depth-chart and role news can move the grade materially.</x:v>
      </x:c>
      <x:c r="I95" s="48" t="n">
        <x:v>108.3</x:v>
      </x:c>
      <x:c r="J95" s="116" t="n">
        <x:v>17.299999999999997</x:v>
      </x:c>
      <x:c r="K95" t="str">
        <x:v>C</x:v>
      </x:c>
      <x:c r="L95" t="str">
        <x:v>HISTORY FALLBACK</x:v>
      </x:c>
    </x:row>
    <x:row r="96">
      <x:c r="A96" t="n">
        <x:v>92</x:v>
      </x:c>
      <x:c r="B96" t="str">
        <x:v>WR</x:v>
      </x:c>
      <x:c r="C96" t="n">
        <x:v>27</x:v>
      </x:c>
      <x:c r="D96" s="48" t="str">
        <x:v>Jameson Williams</x:v>
      </x:c>
      <x:c r="E96" s="48" t="n">
        <x:v>76.0625</x:v>
      </x:c>
      <x:c r="F96" s="116" t="str">
        <x:v>WR2/FLEX; dependable lineup option with matchup-driven ceiling.</x:v>
      </x:c>
      <x:c r="G96" s="116" t="str">
        <x:v>He produced 12.9 PPR/FP points per game across 17 games. The workload/efficiency profile gives the model a rate-based reason to keep him here.</x:v>
      </x:c>
      <x:c r="H96" s="116" t="str">
        <x:v>Target competition, quarterback efficiency and touchdown regression are the main downside paths.</x:v>
      </x:c>
      <x:c r="I96" s="48" t="n">
        <x:v>100.5</x:v>
      </x:c>
      <x:c r="J96" s="116" t="n">
        <x:v>8.5</x:v>
      </x:c>
      <x:c r="K96" t="str">
        <x:v>A</x:v>
      </x:c>
      <x:c r="L96" t="str">
        <x:v>RATE-ADJUSTED VETERAN</x:v>
      </x:c>
    </x:row>
    <x:row r="97">
      <x:c r="A97" t="n">
        <x:v>93</x:v>
      </x:c>
      <x:c r="B97" t="str">
        <x:v>DST</x:v>
      </x:c>
      <x:c r="C97" t="n">
        <x:v>4</x:v>
      </x:c>
      <x:c r="D97" s="48" t="str">
        <x:v>Los Angeles Rams</x:v>
      </x:c>
      <x:c r="E97" s="48" t="n">
        <x:v>89.7</x:v>
      </x:c>
      <x:c r="F97" s="116" t="str">
        <x:v>Elite DST target if available in the final rounds; otherwise streaming remains viable.</x:v>
      </x:c>
      <x:c r="G97" s="116" t="str">
        <x:v>The unit grades well relative to the current DST pool, but the model intentionally keeps defense behind core skill positions.</x:v>
      </x:c>
      <x:c r="H97" s="116" t="str">
        <x:v>DST scoring is highly opponent- and turnover-dependent, making season-long rank fragile.</x:v>
      </x:c>
      <x:c r="I97" s="48" t="n">
        <x:v>172</x:v>
      </x:c>
      <x:c r="J97" s="116" t="n">
        <x:v>79</x:v>
      </x:c>
      <x:c r="K97" t="str">
        <x:v>B</x:v>
      </x:c>
      <x:c r="L97" t="str">
        <x:v>DST MODEL</x:v>
      </x:c>
    </x:row>
    <x:row r="98">
      <x:c r="A98" t="n">
        <x:v>94</x:v>
      </x:c>
      <x:c r="B98" t="str">
        <x:v>WR</x:v>
      </x:c>
      <x:c r="C98" t="n">
        <x:v>29</x:v>
      </x:c>
      <x:c r="D98" s="48" t="str">
        <x:v>DJ Moore</x:v>
      </x:c>
      <x:c r="E98" s="48" t="n">
        <x:v>75.48</x:v>
      </x:c>
      <x:c r="F98" s="116" t="str">
        <x:v>WR2/FLEX; dependable lineup option with matchup-driven ceiling.</x:v>
      </x:c>
      <x:c r="G98" s="116" t="str">
        <x:v>He produced 10.0 PPR/FP points per game across 17 games. The workload/efficiency profile gives the model a rate-based reason to keep him here.</x:v>
      </x:c>
      <x:c r="H98" s="116" t="str">
        <x:v>Target competition, quarterback efficiency and touchdown regression are the main downside paths.</x:v>
      </x:c>
      <x:c r="I98" s="48" t="n">
        <x:v>96.6</x:v>
      </x:c>
      <x:c r="J98" s="116" t="n">
        <x:v>2.5999999999999943</x:v>
      </x:c>
      <x:c r="K98" t="str">
        <x:v>A</x:v>
      </x:c>
      <x:c r="L98" t="str">
        <x:v>RATE-ADJUSTED VETERAN</x:v>
      </x:c>
    </x:row>
    <x:row r="99">
      <x:c r="A99" t="n">
        <x:v>95</x:v>
      </x:c>
      <x:c r="B99" t="str">
        <x:v>QB</x:v>
      </x:c>
      <x:c r="C99" t="n">
        <x:v>14</x:v>
      </x:c>
      <x:c r="D99" s="48" t="str">
        <x:v>Brock Purdy</x:v>
      </x:c>
      <x:c r="E99" s="48" t="n">
        <x:v>83.83859812261841</x:v>
      </x:c>
      <x:c r="F99" s="116" t="str">
        <x:v>QB2/streaming tier; useful when matchup and supporting cast line up.</x:v>
      </x:c>
      <x:c r="G99" s="116" t="str">
        <x:v>He produced 20.8 PPR/FP points per game across 9 games. The workload/efficiency profile gives the model a rate-based reason to keep him here. Market price is favorable around ADP 126 versus model overall rank 95.</x:v>
      </x:c>
      <x:c r="H99" s="116" t="str">
        <x:v>Availability/sample risk is elevated after only 9 games; talent is not being punished as heavily as durability.</x:v>
      </x:c>
      <x:c r="I99" s="48" t="n">
        <x:v>126</x:v>
      </x:c>
      <x:c r="J99" s="116" t="n">
        <x:v>31</x:v>
      </x:c>
      <x:c r="K99" t="str">
        <x:v>B</x:v>
      </x:c>
      <x:c r="L99" t="str">
        <x:v>RATE-ADJUSTED VETERAN</x:v>
      </x:c>
    </x:row>
    <x:row r="100">
      <x:c r="A100" t="n">
        <x:v>96</x:v>
      </x:c>
      <x:c r="B100" t="str">
        <x:v>RB</x:v>
      </x:c>
      <x:c r="C100" t="n">
        <x:v>32</x:v>
      </x:c>
      <x:c r="D100" s="48" t="str">
        <x:v>RJ Harvey</x:v>
      </x:c>
      <x:c r="E100" s="48" t="n">
        <x:v>73.56779045370797</x:v>
      </x:c>
      <x:c r="F100" s="116" t="str">
        <x:v>FLEX/bench depth with upside if workload grows.</x:v>
      </x:c>
      <x:c r="G100" s="116" t="str">
        <x:v>He produced 12.2 PPR/FP points per game across 17 games. The workload/efficiency profile gives the model a rate-based reason to keep him here. Market price is favorable around ADP 132 versus model overall rank 96.</x:v>
      </x:c>
      <x:c r="H100" s="116" t="str">
        <x:v>Touchdown variance, receiving-role changes and backfield competition are the main downside paths.</x:v>
      </x:c>
      <x:c r="I100" s="48" t="n">
        <x:v>132.20000000000002</x:v>
      </x:c>
      <x:c r="J100" s="116" t="n">
        <x:v>36.20000000000002</x:v>
      </x:c>
      <x:c r="K100" t="str">
        <x:v>A</x:v>
      </x:c>
      <x:c r="L100" t="str">
        <x:v>RATE-ADJUSTED VETERAN</x:v>
      </x:c>
    </x:row>
    <x:row r="101">
      <x:c r="A101" t="n">
        <x:v>97</x:v>
      </x:c>
      <x:c r="B101" t="str">
        <x:v>TE</x:v>
      </x:c>
      <x:c r="C101" t="n">
        <x:v>14</x:v>
      </x:c>
      <x:c r="D101" s="48" t="str">
        <x:v>Mark Andrews</x:v>
      </x:c>
      <x:c r="E101" s="48" t="n">
        <x:v>79.06538980083114</x:v>
      </x:c>
      <x:c r="F101" s="116" t="str">
        <x:v>Streaming/TE2 range; touchdown and route volume drive usefulness.</x:v>
      </x:c>
      <x:c r="G101" s="116" t="str">
        <x:v>He produced 7.7 PPR/FP points per game across 17 games. The workload/efficiency profile gives the model a rate-based reason to keep him here. Market price is favorable around ADP 134 versus model overall rank 97.</x:v>
      </x:c>
      <x:c r="H101" s="116" t="str">
        <x:v>Route share, target volume and touchdown volatility are the main swing factors.</x:v>
      </x:c>
      <x:c r="I101" s="48" t="n">
        <x:v>134</x:v>
      </x:c>
      <x:c r="J101" s="116" t="n">
        <x:v>37</x:v>
      </x:c>
      <x:c r="K101" t="str">
        <x:v>A</x:v>
      </x:c>
      <x:c r="L101" t="str">
        <x:v>RATE-ADJUSTED VETERAN</x:v>
      </x:c>
    </x:row>
    <x:row r="102">
      <x:c r="A102" t="n">
        <x:v>98</x:v>
      </x:c>
      <x:c r="B102" t="str">
        <x:v>WR</x:v>
      </x:c>
      <x:c r="C102" t="n">
        <x:v>26</x:v>
      </x:c>
      <x:c r="D102" s="48" t="str">
        <x:v>Jordyn Tyson</x:v>
      </x:c>
      <x:c r="E102" s="48" t="n">
        <x:v>76.22</x:v>
      </x:c>
      <x:c r="F102" s="116" t="str">
        <x:v>WR2/FLEX; dependable lineup option with matchup-driven ceiling.</x:v>
      </x:c>
      <x:c r="G102" s="116" t="str">
        <x:v>Rookie score 92.4, backed by No. 8 draft capital and a 6.43 NFL prospect grade. The 2026 role projection is strong enough to replace missing NFL history. Market price is favorable around ADP 136 versus model overall rank 98.</x:v>
      </x:c>
      <x:c r="H102" s="116" t="str">
        <x:v>NFL translation and exact weekly role are the main variables; preseason first-team usage can move this rating quickly.</x:v>
      </x:c>
      <x:c r="I102" s="48" t="n">
        <x:v>135.6</x:v>
      </x:c>
      <x:c r="J102" s="116" t="n">
        <x:v>37.599999999999994</x:v>
      </x:c>
      <x:c r="K102" t="str">
        <x:v>B</x:v>
      </x:c>
      <x:c r="L102" t="str">
        <x:v>ROOKIE ENGINE</x:v>
      </x:c>
    </x:row>
    <x:row r="103">
      <x:c r="A103" t="n">
        <x:v>99</x:v>
      </x:c>
      <x:c r="B103" t="str">
        <x:v>TE</x:v>
      </x:c>
      <x:c r="C103" t="n">
        <x:v>15</x:v>
      </x:c>
      <x:c r="D103" s="48" t="str">
        <x:v>Isaiah Likely</x:v>
      </x:c>
      <x:c r="E103" s="48" t="n">
        <x:v>78.57945648354206</x:v>
      </x:c>
      <x:c r="F103" s="116" t="str">
        <x:v>Streaming/TE2 range; touchdown and route volume drive usefulness.</x:v>
      </x:c>
      <x:c r="G103" s="116" t="str">
        <x:v>He produced 4.4 PPR/FP points per game across 14 games. The workload/efficiency profile gives the model a rate-based reason to keep him here. Market price is favorable around ADP 143 versus model overall rank 99.</x:v>
      </x:c>
      <x:c r="H103" s="116" t="str">
        <x:v>Route share, target volume and touchdown volatility are the main swing factors.</x:v>
      </x:c>
      <x:c r="I103" s="48" t="n">
        <x:v>143</x:v>
      </x:c>
      <x:c r="J103" s="116" t="n">
        <x:v>44</x:v>
      </x:c>
      <x:c r="K103" t="str">
        <x:v>A</x:v>
      </x:c>
      <x:c r="L103" t="str">
        <x:v>RATE-ADJUSTED VETERAN</x:v>
      </x:c>
    </x:row>
    <x:row r="104">
      <x:c r="A104" t="n">
        <x:v>100</x:v>
      </x:c>
      <x:c r="B104" t="str">
        <x:v>DST</x:v>
      </x:c>
      <x:c r="C104" t="n">
        <x:v>5</x:v>
      </x:c>
      <x:c r="D104" s="48" t="str">
        <x:v>Philadelphia Eagles</x:v>
      </x:c>
      <x:c r="E104" s="48" t="n">
        <x:v>88.6</x:v>
      </x:c>
      <x:c r="F104" s="116" t="str">
        <x:v>Elite DST target if available in the final rounds; otherwise streaming remains viable.</x:v>
      </x:c>
      <x:c r="G104" s="116" t="str">
        <x:v>The unit grades well relative to the current DST pool, but the model intentionally keeps defense behind core skill positions.</x:v>
      </x:c>
      <x:c r="H104" s="116" t="str">
        <x:v>DST scoring is highly opponent- and turnover-dependent, making season-long rank fragile.</x:v>
      </x:c>
      <x:c r="I104" s="48" t="n">
        <x:v>176</x:v>
      </x:c>
      <x:c r="J104" s="116" t="n">
        <x:v>76</x:v>
      </x:c>
      <x:c r="K104" t="str">
        <x:v>B</x:v>
      </x:c>
      <x:c r="L104" t="str">
        <x:v>DST MODEL</x:v>
      </x:c>
    </x:row>
    <x:row r="105">
      <x:c r="A105" t="n">
        <x:v>101</x:v>
      </x:c>
      <x:c r="B105" t="str">
        <x:v>QB</x:v>
      </x:c>
      <x:c r="C105" t="n">
        <x:v>15</x:v>
      </x:c>
      <x:c r="D105" s="48" t="str">
        <x:v>Jaxson Dart</x:v>
      </x:c>
      <x:c r="E105" s="48" t="n">
        <x:v>83.0606951237557</x:v>
      </x:c>
      <x:c r="F105" s="116" t="str">
        <x:v>QB2/streaming tier; useful when matchup and supporting cast line up.</x:v>
      </x:c>
      <x:c r="G105" s="116" t="str">
        <x:v>He produced 17.6 PPR/FP points per game across 14 games. The workload/efficiency profile gives the model a rate-based reason to keep him here. Market price is favorable around ADP 134 versus model overall rank 101.</x:v>
      </x:c>
      <x:c r="H105" s="116" t="str">
        <x:v>Passing-TD efficiency, rushing volume and supporting-cast health are the main swing factors.</x:v>
      </x:c>
      <x:c r="I105" s="48" t="n">
        <x:v>134</x:v>
      </x:c>
      <x:c r="J105" s="116" t="n">
        <x:v>33</x:v>
      </x:c>
      <x:c r="K105" t="str">
        <x:v>A</x:v>
      </x:c>
      <x:c r="L105" t="str">
        <x:v>RATE-ADJUSTED VETERAN</x:v>
      </x:c>
    </x:row>
    <x:row r="106">
      <x:c r="A106" t="n">
        <x:v>102</x:v>
      </x:c>
      <x:c r="B106" t="str">
        <x:v>RB</x:v>
      </x:c>
      <x:c r="C106" t="n">
        <x:v>33</x:v>
      </x:c>
      <x:c r="D106" s="48" t="str">
        <x:v>Kyle Monangai</x:v>
      </x:c>
      <x:c r="E106" s="48" t="n">
        <x:v>72.61019893136515</x:v>
      </x:c>
      <x:c r="F106" s="116" t="str">
        <x:v>FLEX/bench depth with upside if workload grows.</x:v>
      </x:c>
      <x:c r="G106" s="116" t="str">
        <x:v>He produced 8.7 PPR/FP points per game across 17 games. The workload/efficiency profile gives the model a rate-based reason to keep him here. Market price is favorable around ADP 136 versus model overall rank 102.</x:v>
      </x:c>
      <x:c r="H106" s="116" t="str">
        <x:v>Touchdown variance, receiving-role changes and backfield competition are the main downside paths.</x:v>
      </x:c>
      <x:c r="I106" s="48" t="n">
        <x:v>136.4</x:v>
      </x:c>
      <x:c r="J106" s="116" t="n">
        <x:v>34.400000000000006</x:v>
      </x:c>
      <x:c r="K106" t="str">
        <x:v>A</x:v>
      </x:c>
      <x:c r="L106" t="str">
        <x:v>RATE-ADJUSTED VETERAN</x:v>
      </x:c>
    </x:row>
    <x:row r="107">
      <x:c r="A107" t="n">
        <x:v>103</x:v>
      </x:c>
      <x:c r="B107" t="str">
        <x:v>TE</x:v>
      </x:c>
      <x:c r="C107" t="n">
        <x:v>16</x:v>
      </x:c>
      <x:c r="D107" s="48" t="str">
        <x:v>Juwan Johnson</x:v>
      </x:c>
      <x:c r="E107" s="48" t="n">
        <x:v>78.32031359820323</x:v>
      </x:c>
      <x:c r="F107" s="116" t="str">
        <x:v>Streaming/TE2 range; touchdown and route volume drive usefulness.</x:v>
      </x:c>
      <x:c r="G107" s="116" t="str">
        <x:v>He produced 10.6 PPR/FP points per game across 17 games. The workload/efficiency profile gives the model a rate-based reason to keep him here. Market price is favorable around ADP 152 versus model overall rank 103.</x:v>
      </x:c>
      <x:c r="H107" s="116" t="str">
        <x:v>Route share, target volume and touchdown volatility are the main swing factors.</x:v>
      </x:c>
      <x:c r="I107" s="48" t="n">
        <x:v>152</x:v>
      </x:c>
      <x:c r="J107" s="116" t="n">
        <x:v>49</x:v>
      </x:c>
      <x:c r="K107" t="str">
        <x:v>A</x:v>
      </x:c>
      <x:c r="L107" t="str">
        <x:v>RATE-ADJUSTED VETERAN</x:v>
      </x:c>
    </x:row>
    <x:row r="108">
      <x:c r="A108" t="n">
        <x:v>104</x:v>
      </x:c>
      <x:c r="B108" t="str">
        <x:v>K</x:v>
      </x:c>
      <x:c r="C108" t="n">
        <x:v>7</x:v>
      </x:c>
      <x:c r="D108" s="48" t="str">
        <x:v>Tyler Loop</x:v>
      </x:c>
      <x:c r="E108" s="48" t="n">
        <x:v>80.8</x:v>
      </x:c>
      <x:c r="F108" s="116" t="str">
        <x:v>Late-round kicker; treat as replaceable unless scoring strongly rewards distance.</x:v>
      </x:c>
      <x:c r="G108" s="116" t="str">
        <x:v>Ranks near the top of the current kicker pool, but kicker week-to-week separation is small in a 10-team league.</x:v>
      </x:c>
      <x:c r="H108" s="116" t="str">
        <x:v>Kicker scoring is volatile and replaceable on waivers; do not pay meaningful draft capital.</x:v>
      </x:c>
      <x:c r="I108" s="48" t="n">
        <x:v>185</x:v>
      </x:c>
      <x:c r="J108" s="116" t="n">
        <x:v>81</x:v>
      </x:c>
      <x:c r="K108" t="str">
        <x:v>B</x:v>
      </x:c>
      <x:c r="L108" t="str">
        <x:v>KICKER MODEL</x:v>
      </x:c>
    </x:row>
    <x:row r="109">
      <x:c r="A109" t="n">
        <x:v>105</x:v>
      </x:c>
      <x:c r="B109" t="str">
        <x:v>WR</x:v>
      </x:c>
      <x:c r="C109" t="n">
        <x:v>28</x:v>
      </x:c>
      <x:c r="D109" s="48" t="str">
        <x:v>Michael Pittman Jr.</x:v>
      </x:c>
      <x:c r="E109" s="48" t="n">
        <x:v>75.55</x:v>
      </x:c>
      <x:c r="F109" s="116" t="str">
        <x:v>WR2/FLEX; dependable lineup option with matchup-driven ceiling.</x:v>
      </x:c>
      <x:c r="G109" s="116" t="str">
        <x:v>He produced 11.9 PPR/FP points per game across 17 games. The workload/efficiency profile gives the model a rate-based reason to keep him here. Market price is favorable around ADP 140 versus model overall rank 105.</x:v>
      </x:c>
      <x:c r="H109" s="116" t="str">
        <x:v>Target competition, quarterback efficiency and touchdown regression are the main downside paths.</x:v>
      </x:c>
      <x:c r="I109" s="48" t="n">
        <x:v>139.5</x:v>
      </x:c>
      <x:c r="J109" s="116" t="n">
        <x:v>34.5</x:v>
      </x:c>
      <x:c r="K109" t="str">
        <x:v>A</x:v>
      </x:c>
      <x:c r="L109" t="str">
        <x:v>RATE-ADJUSTED VETERAN</x:v>
      </x:c>
    </x:row>
    <x:row r="110">
      <x:c r="A110" t="n">
        <x:v>106</x:v>
      </x:c>
      <x:c r="B110" t="str">
        <x:v>QB</x:v>
      </x:c>
      <x:c r="C110" t="n">
        <x:v>16</x:v>
      </x:c>
      <x:c r="D110" s="48" t="str">
        <x:v>Jared Goff</x:v>
      </x:c>
      <x:c r="E110" s="48" t="n">
        <x:v>82.64253383916756</x:v>
      </x:c>
      <x:c r="F110" s="116" t="str">
        <x:v>QB2/streaming tier; useful when matchup and supporting cast line up.</x:v>
      </x:c>
      <x:c r="G110" s="116" t="str">
        <x:v>He produced 17.9 PPR/FP points per game across 17 games. The workload/efficiency profile gives the model a rate-based reason to keep him here. Market price is favorable around ADP 142 versus model overall rank 106.</x:v>
      </x:c>
      <x:c r="H110" s="116" t="str">
        <x:v>Passing-TD efficiency, rushing volume and supporting-cast health are the main swing factors.</x:v>
      </x:c>
      <x:c r="I110" s="48" t="n">
        <x:v>142</x:v>
      </x:c>
      <x:c r="J110" s="116" t="n">
        <x:v>36</x:v>
      </x:c>
      <x:c r="K110" t="str">
        <x:v>A</x:v>
      </x:c>
      <x:c r="L110" t="str">
        <x:v>RATE-ADJUSTED VETERAN</x:v>
      </x:c>
    </x:row>
    <x:row r="111">
      <x:c r="A111" t="n">
        <x:v>107</x:v>
      </x:c>
      <x:c r="B111" t="str">
        <x:v>RB</x:v>
      </x:c>
      <x:c r="C111" t="n">
        <x:v>34</x:v>
      </x:c>
      <x:c r="D111" s="48" t="str">
        <x:v>Chuba Hubbard</x:v>
      </x:c>
      <x:c r="E111" s="48" t="n">
        <x:v>71.86665989322354</x:v>
      </x:c>
      <x:c r="F111" s="116" t="str">
        <x:v>FLEX/bench depth with upside if workload grows.</x:v>
      </x:c>
      <x:c r="G111" s="116" t="str">
        <x:v>He produced 8.4 PPR/FP points per game across 15 games. The workload/efficiency profile gives the model a rate-based reason to keep him here. Market price is favorable around ADP 141 versus model overall rank 107.</x:v>
      </x:c>
      <x:c r="H111" s="116" t="str">
        <x:v>Touchdown variance, receiving-role changes and backfield competition are the main downside paths.</x:v>
      </x:c>
      <x:c r="I111" s="48" t="n">
        <x:v>140.6</x:v>
      </x:c>
      <x:c r="J111" s="116" t="n">
        <x:v>33.599999999999994</x:v>
      </x:c>
      <x:c r="K111" t="str">
        <x:v>A</x:v>
      </x:c>
      <x:c r="L111" t="str">
        <x:v>RATE-ADJUSTED VETERAN</x:v>
      </x:c>
    </x:row>
    <x:row r="112">
      <x:c r="A112" t="n">
        <x:v>108</x:v>
      </x:c>
      <x:c r="B112" t="str">
        <x:v>WR</x:v>
      </x:c>
      <x:c r="C112" t="n">
        <x:v>33</x:v>
      </x:c>
      <x:c r="D112" s="48" t="str">
        <x:v>Rome Odunze</x:v>
      </x:c>
      <x:c r="E112" s="48" t="n">
        <x:v>73.645</x:v>
      </x:c>
      <x:c r="F112" s="116" t="str">
        <x:v>WR2/FLEX; dependable lineup option with matchup-driven ceiling.</x:v>
      </x:c>
      <x:c r="G112" s="116" t="str">
        <x:v>He produced 12.2 PPR/FP points per game across 12 games. The workload/efficiency profile gives the model a rate-based reason to keep him here.</x:v>
      </x:c>
      <x:c r="H112" s="116" t="str">
        <x:v>Target competition, quarterback efficiency and touchdown regression are the main downside paths.</x:v>
      </x:c>
      <x:c r="I112" s="48" t="n">
        <x:v>104.39999999999999</x:v>
      </x:c>
      <x:c r="J112" s="116" t="n">
        <x:v>-3.6000000000000085</x:v>
      </x:c>
      <x:c r="K112" t="str">
        <x:v>A</x:v>
      </x:c>
      <x:c r="L112" t="str">
        <x:v>RATE-ADJUSTED VETERAN</x:v>
      </x:c>
    </x:row>
    <x:row r="113">
      <x:c r="A113" t="n">
        <x:v>109</x:v>
      </x:c>
      <x:c r="B113" t="str">
        <x:v>WR</x:v>
      </x:c>
      <x:c r="C113" t="n">
        <x:v>32</x:v>
      </x:c>
      <x:c r="D113" s="48" t="str">
        <x:v>Christian Watson</x:v>
      </x:c>
      <x:c r="E113" s="48" t="n">
        <x:v>73.8925</x:v>
      </x:c>
      <x:c r="F113" s="116" t="str">
        <x:v>WR2/FLEX; dependable lineup option with matchup-driven ceiling.</x:v>
      </x:c>
      <x:c r="G113" s="116" t="str">
        <x:v>He produced 13.2 PPR/FP points per game across 10 games. The workload/efficiency profile gives the model a rate-based reason to keep him here.</x:v>
      </x:c>
      <x:c r="H113" s="116" t="str">
        <x:v>Target competition, quarterback efficiency and touchdown regression are the main downside paths.</x:v>
      </x:c>
      <x:c r="I113" s="48" t="n">
        <x:v>116.1</x:v>
      </x:c>
      <x:c r="J113" s="116" t="n">
        <x:v>7.099999999999994</x:v>
      </x:c>
      <x:c r="K113" t="str">
        <x:v>B</x:v>
      </x:c>
      <x:c r="L113" t="str">
        <x:v>RATE-ADJUSTED VETERAN</x:v>
      </x:c>
    </x:row>
    <x:row r="114">
      <x:c r="A114" t="n">
        <x:v>110</x:v>
      </x:c>
      <x:c r="B114" t="str">
        <x:v>WR</x:v>
      </x:c>
      <x:c r="C114" t="n">
        <x:v>30</x:v>
      </x:c>
      <x:c r="D114" s="48" t="str">
        <x:v>Jakobi Meyers</x:v>
      </x:c>
      <x:c r="E114" s="48" t="n">
        <x:v>74.88</x:v>
      </x:c>
      <x:c r="F114" s="116" t="str">
        <x:v>WR2/FLEX; dependable lineup option with matchup-driven ceiling.</x:v>
      </x:c>
      <x:c r="G114" s="116" t="str">
        <x:v>He produced 11.0 PPR/FP points per game across 16 games. The workload/efficiency profile gives the model a rate-based reason to keep him here. Market price is favorable around ADP 143 versus model overall rank 110.</x:v>
      </x:c>
      <x:c r="H114" s="116" t="str">
        <x:v>Target competition, quarterback efficiency and touchdown regression are the main downside paths.</x:v>
      </x:c>
      <x:c r="I114" s="48" t="n">
        <x:v>143.4</x:v>
      </x:c>
      <x:c r="J114" s="116" t="n">
        <x:v>33.400000000000006</x:v>
      </x:c>
      <x:c r="K114" t="str">
        <x:v>A</x:v>
      </x:c>
      <x:c r="L114" t="str">
        <x:v>RATE-ADJUSTED VETERAN</x:v>
      </x:c>
    </x:row>
    <x:row r="115">
      <x:c r="A115" t="n">
        <x:v>111</x:v>
      </x:c>
      <x:c r="B115" t="str">
        <x:v>RB</x:v>
      </x:c>
      <x:c r="C115" t="n">
        <x:v>35</x:v>
      </x:c>
      <x:c r="D115" s="48" t="str">
        <x:v>Aaron Jones Sr.</x:v>
      </x:c>
      <x:c r="E115" s="48" t="n">
        <x:v>71.6976534059668</x:v>
      </x:c>
      <x:c r="F115" s="116" t="str">
        <x:v>FLEX/bench depth with upside if workload grows.</x:v>
      </x:c>
      <x:c r="G115" s="116" t="str">
        <x:v>He produced 9.9 PPR/FP points per game across 12 games. The workload/efficiency profile gives the model a rate-based reason to keep him here. Market price is favorable around ADP 145 versus model overall rank 111.</x:v>
      </x:c>
      <x:c r="H115" s="116" t="str">
        <x:v>Touchdown variance, receiving-role changes and backfield competition are the main downside paths.</x:v>
      </x:c>
      <x:c r="I115" s="48" t="n">
        <x:v>144.8</x:v>
      </x:c>
      <x:c r="J115" s="116" t="n">
        <x:v>33.80000000000001</x:v>
      </x:c>
      <x:c r="K115" t="str">
        <x:v>A</x:v>
      </x:c>
      <x:c r="L115" t="str">
        <x:v>RATE-ADJUSTED VETERAN</x:v>
      </x:c>
    </x:row>
    <x:row r="116">
      <x:c r="A116" t="n">
        <x:v>112</x:v>
      </x:c>
      <x:c r="B116" t="str">
        <x:v>DST</x:v>
      </x:c>
      <x:c r="C116" t="n">
        <x:v>6</x:v>
      </x:c>
      <x:c r="D116" s="48" t="str">
        <x:v>Minnesota Vikings</x:v>
      </x:c>
      <x:c r="E116" s="48" t="n">
        <x:v>87.5</x:v>
      </x:c>
      <x:c r="F116" s="116" t="str">
        <x:v>Streaming/late-round defense; matchup matters more than preseason rank.</x:v>
      </x:c>
      <x:c r="G116" s="116" t="str">
        <x:v>The unit grades well relative to the current DST pool, but the model intentionally keeps defense behind core skill positions.</x:v>
      </x:c>
      <x:c r="H116" s="116" t="str">
        <x:v>DST scoring is highly opponent- and turnover-dependent, making season-long rank fragile.</x:v>
      </x:c>
      <x:c r="I116" s="48" t="n">
        <x:v>180</x:v>
      </x:c>
      <x:c r="J116" s="116" t="n">
        <x:v>68</x:v>
      </x:c>
      <x:c r="K116" t="str">
        <x:v>B</x:v>
      </x:c>
      <x:c r="L116" t="str">
        <x:v>DST MODEL</x:v>
      </x:c>
    </x:row>
    <x:row r="117">
      <x:c r="A117" t="n">
        <x:v>113</x:v>
      </x:c>
      <x:c r="B117" t="str">
        <x:v>RB</x:v>
      </x:c>
      <x:c r="C117" t="n">
        <x:v>36</x:v>
      </x:c>
      <x:c r="D117" s="48" t="str">
        <x:v>J.K. Dobbins</x:v>
      </x:c>
      <x:c r="E117" s="48" t="n">
        <x:v>71.16661350850421</x:v>
      </x:c>
      <x:c r="F117" s="116" t="str">
        <x:v>FLEX/bench depth with upside if workload grows.</x:v>
      </x:c>
      <x:c r="G117" s="116" t="str">
        <x:v>He produced 11.6 PPR/FP points per game across 10 games. The workload/efficiency profile gives the model a rate-based reason to keep him here. Market price is favorable around ADP 149 versus model overall rank 113.</x:v>
      </x:c>
      <x:c r="H117" s="116" t="str">
        <x:v>Touchdown variance, receiving-role changes and backfield competition are the main downside paths.</x:v>
      </x:c>
      <x:c r="I117" s="48" t="n">
        <x:v>149</x:v>
      </x:c>
      <x:c r="J117" s="116" t="n">
        <x:v>36</x:v>
      </x:c>
      <x:c r="K117" t="str">
        <x:v>B</x:v>
      </x:c>
      <x:c r="L117" t="str">
        <x:v>RATE-ADJUSTED VETERAN</x:v>
      </x:c>
    </x:row>
    <x:row r="118">
      <x:c r="A118" t="n">
        <x:v>114</x:v>
      </x:c>
      <x:c r="B118" t="str">
        <x:v>WR</x:v>
      </x:c>
      <x:c r="C118" t="n">
        <x:v>31</x:v>
      </x:c>
      <x:c r="D118" s="48" t="str">
        <x:v>Jordan Addison</x:v>
      </x:c>
      <x:c r="E118" s="48" t="n">
        <x:v>74.21</x:v>
      </x:c>
      <x:c r="F118" s="116" t="str">
        <x:v>WR2/FLEX; dependable lineup option with matchup-driven ceiling.</x:v>
      </x:c>
      <x:c r="G118" s="116" t="str">
        <x:v>He produced 9.6 PPR/FP points per game across 14 games. The workload/efficiency profile gives the model a rate-based reason to keep him here. Market price is favorable around ADP 147 versus model overall rank 114.</x:v>
      </x:c>
      <x:c r="H118" s="116" t="str">
        <x:v>Target competition, quarterback efficiency and touchdown regression are the main downside paths.</x:v>
      </x:c>
      <x:c r="I118" s="48" t="n">
        <x:v>147.29999999999998</x:v>
      </x:c>
      <x:c r="J118" s="116" t="n">
        <x:v>33.29999999999998</x:v>
      </x:c>
      <x:c r="K118" t="str">
        <x:v>A</x:v>
      </x:c>
      <x:c r="L118" t="str">
        <x:v>RATE-ADJUSTED VETERAN</x:v>
      </x:c>
    </x:row>
    <x:row r="119">
      <x:c r="A119" t="n">
        <x:v>115</x:v>
      </x:c>
      <x:c r="B119" t="str">
        <x:v>DST</x:v>
      </x:c>
      <x:c r="C119" t="n">
        <x:v>7</x:v>
      </x:c>
      <x:c r="D119" s="48" t="str">
        <x:v>New England Patriots</x:v>
      </x:c>
      <x:c r="E119" s="48" t="n">
        <x:v>86.4</x:v>
      </x:c>
      <x:c r="F119" s="116" t="str">
        <x:v>Streaming/late-round defense; matchup matters more than preseason rank.</x:v>
      </x:c>
      <x:c r="G119" s="116" t="str">
        <x:v>The unit grades well relative to the current DST pool, but the model intentionally keeps defense behind core skill positions.</x:v>
      </x:c>
      <x:c r="H119" s="116" t="str">
        <x:v>DST scoring is highly opponent- and turnover-dependent, making season-long rank fragile.</x:v>
      </x:c>
      <x:c r="I119" s="48" t="n">
        <x:v>184</x:v>
      </x:c>
      <x:c r="J119" s="116" t="n">
        <x:v>69</x:v>
      </x:c>
      <x:c r="K119" t="str">
        <x:v>B</x:v>
      </x:c>
      <x:c r="L119" t="str">
        <x:v>DST MODEL</x:v>
      </x:c>
    </x:row>
    <x:row r="120">
      <x:c r="A120" t="n">
        <x:v>116</x:v>
      </x:c>
      <x:c r="B120" t="str">
        <x:v>TE</x:v>
      </x:c>
      <x:c r="C120" t="n">
        <x:v>17</x:v>
      </x:c>
      <x:c r="D120" s="48" t="str">
        <x:v>Hunter Henry</x:v>
      </x:c>
      <x:c r="E120" s="48" t="n">
        <x:v>76.2525933033895</x:v>
      </x:c>
      <x:c r="F120" s="116" t="str">
        <x:v>Streaming/TE2 range; touchdown and route volume drive usefulness.</x:v>
      </x:c>
      <x:c r="G120" s="116" t="str">
        <x:v>He produced 10.5 PPR/FP points per game across 17 games. The workload/efficiency profile gives the model a rate-based reason to keep him here. Market price is favorable around ADP 161 versus model overall rank 116.</x:v>
      </x:c>
      <x:c r="H120" s="116" t="str">
        <x:v>Route share, target volume and touchdown volatility are the main swing factors.</x:v>
      </x:c>
      <x:c r="I120" s="48" t="n">
        <x:v>161</x:v>
      </x:c>
      <x:c r="J120" s="116" t="n">
        <x:v>45</x:v>
      </x:c>
      <x:c r="K120" t="str">
        <x:v>A</x:v>
      </x:c>
      <x:c r="L120" t="str">
        <x:v>RATE-ADJUSTED VETERAN</x:v>
      </x:c>
    </x:row>
    <x:row r="121">
      <x:c r="A121" t="n">
        <x:v>117</x:v>
      </x:c>
      <x:c r="B121" t="str">
        <x:v>K</x:v>
      </x:c>
      <x:c r="C121" t="n">
        <x:v>8</x:v>
      </x:c>
      <x:c r="D121" s="48" t="str">
        <x:v>Harrison Mevis</x:v>
      </x:c>
      <x:c r="E121" s="48" t="n">
        <x:v>78.6</x:v>
      </x:c>
      <x:c r="F121" s="116" t="str">
        <x:v>Late-round kicker; treat as replaceable unless scoring strongly rewards distance.</x:v>
      </x:c>
      <x:c r="G121" s="116" t="str">
        <x:v>Ranks near the top of the current kicker pool, but kicker week-to-week separation is small in a 10-team league.</x:v>
      </x:c>
      <x:c r="H121" s="116" t="str">
        <x:v>Kicker scoring is volatile and replaceable on waivers; do not pay meaningful draft capital.</x:v>
      </x:c>
      <x:c r="I121" s="48" t="n">
        <x:v>190</x:v>
      </x:c>
      <x:c r="J121" s="116" t="n">
        <x:v>73</x:v>
      </x:c>
      <x:c r="K121" t="str">
        <x:v>B</x:v>
      </x:c>
      <x:c r="L121" t="str">
        <x:v>KICKER MODEL</x:v>
      </x:c>
    </x:row>
    <x:row r="122">
      <x:c r="A122" t="n">
        <x:v>118</x:v>
      </x:c>
      <x:c r="B122" t="str">
        <x:v>WR</x:v>
      </x:c>
      <x:c r="C122" t="n">
        <x:v>34</x:v>
      </x:c>
      <x:c r="D122" s="48" t="str">
        <x:v>Wan'Dale Robinson</x:v>
      </x:c>
      <x:c r="E122" s="48" t="n">
        <x:v>73.53999999999999</x:v>
      </x:c>
      <x:c r="F122" s="116" t="str">
        <x:v>WR2/FLEX; dependable lineup option with matchup-driven ceiling.</x:v>
      </x:c>
      <x:c r="G122" s="116" t="str">
        <x:v>He produced 13.7 PPR/FP points per game across 16 games. The workload/efficiency profile gives the model a rate-based reason to keep him here. Market price is favorable around ADP 151 versus model overall rank 118.</x:v>
      </x:c>
      <x:c r="H122" s="116" t="str">
        <x:v>Target competition, quarterback efficiency and touchdown regression are the main downside paths.</x:v>
      </x:c>
      <x:c r="I122" s="48" t="n">
        <x:v>151.2</x:v>
      </x:c>
      <x:c r="J122" s="116" t="n">
        <x:v>33.19999999999999</x:v>
      </x:c>
      <x:c r="K122" t="str">
        <x:v>A</x:v>
      </x:c>
      <x:c r="L122" t="str">
        <x:v>RATE-ADJUSTED VETERAN</x:v>
      </x:c>
    </x:row>
    <x:row r="123">
      <x:c r="A123" t="n">
        <x:v>119</x:v>
      </x:c>
      <x:c r="B123" t="str">
        <x:v>QB</x:v>
      </x:c>
      <x:c r="C123" t="n">
        <x:v>17</x:v>
      </x:c>
      <x:c r="D123" s="48" t="str">
        <x:v>Kyler Murray</x:v>
      </x:c>
      <x:c r="E123" s="48" t="n">
        <x:v>80.71009771989318</x:v>
      </x:c>
      <x:c r="F123" s="116" t="str">
        <x:v>QB2/streaming tier; useful when matchup and supporting cast line up.</x:v>
      </x:c>
      <x:c r="G123" s="116" t="str">
        <x:v>He produced 16.2 PPR/FP points per game across 5 games. The workload/efficiency profile gives the model a rate-based reason to keep him here. Market price is favorable around ADP 150 versus model overall rank 119.</x:v>
      </x:c>
      <x:c r="H123" s="116" t="str">
        <x:v>Availability/sample risk is elevated after only 5 games; talent is not being punished as heavily as durability.</x:v>
      </x:c>
      <x:c r="I123" s="48" t="n">
        <x:v>150</x:v>
      </x:c>
      <x:c r="J123" s="116" t="n">
        <x:v>31</x:v>
      </x:c>
      <x:c r="K123" t="str">
        <x:v>B</x:v>
      </x:c>
      <x:c r="L123" t="str">
        <x:v>RATE-ADJUSTED VETERAN</x:v>
      </x:c>
    </x:row>
    <x:row r="124">
      <x:c r="A124" t="n">
        <x:v>120</x:v>
      </x:c>
      <x:c r="B124" t="str">
        <x:v>WR</x:v>
      </x:c>
      <x:c r="C124" t="n">
        <x:v>37</x:v>
      </x:c>
      <x:c r="D124" s="48" t="str">
        <x:v>Marvin Harrison Jr.</x:v>
      </x:c>
      <x:c r="E124" s="48" t="n">
        <x:v>71.81</x:v>
      </x:c>
      <x:c r="F124" s="116" t="str">
        <x:v>FLEX/bench receiver; needs target growth or efficiency spikes.</x:v>
      </x:c>
      <x:c r="G124" s="116" t="str">
        <x:v>He produced 10.6 PPR/FP points per game across 12 games. The workload/efficiency profile gives the model a rate-based reason to keep him here.</x:v>
      </x:c>
      <x:c r="H124" s="116" t="str">
        <x:v>Target competition, quarterback efficiency and touchdown regression are the main downside paths.</x:v>
      </x:c>
      <x:c r="I124" s="48" t="n">
        <x:v>112.2</x:v>
      </x:c>
      <x:c r="J124" s="116" t="n">
        <x:v>-7.799999999999997</x:v>
      </x:c>
      <x:c r="K124" t="str">
        <x:v>A</x:v>
      </x:c>
      <x:c r="L124" t="str">
        <x:v>RATE-ADJUSTED VETERAN</x:v>
      </x:c>
    </x:row>
    <x:row r="125">
      <x:c r="A125" t="n">
        <x:v>121</x:v>
      </x:c>
      <x:c r="B125" t="str">
        <x:v>TE</x:v>
      </x:c>
      <x:c r="C125" t="n">
        <x:v>18</x:v>
      </x:c>
      <x:c r="D125" s="48" t="str">
        <x:v>Brenton Strange</x:v>
      </x:c>
      <x:c r="E125" s="48" t="n">
        <x:v>76.03210666780286</x:v>
      </x:c>
      <x:c r="F125" s="116" t="str">
        <x:v>Streaming/TE2 range; touchdown and route volume drive usefulness.</x:v>
      </x:c>
      <x:c r="G125" s="116" t="str">
        <x:v>He produced 9.8 PPR/FP points per game across 12 games. The workload/efficiency profile gives the model a rate-based reason to keep him here. Market price is favorable around ADP 170 versus model overall rank 121.</x:v>
      </x:c>
      <x:c r="H125" s="116" t="str">
        <x:v>Route share, target volume and touchdown volatility are the main swing factors.</x:v>
      </x:c>
      <x:c r="I125" s="48" t="n">
        <x:v>170</x:v>
      </x:c>
      <x:c r="J125" s="116" t="n">
        <x:v>49</x:v>
      </x:c>
      <x:c r="K125" t="str">
        <x:v>A</x:v>
      </x:c>
      <x:c r="L125" t="str">
        <x:v>RATE-ADJUSTED VETERAN</x:v>
      </x:c>
    </x:row>
    <x:row r="126">
      <x:c r="A126" t="n">
        <x:v>122</x:v>
      </x:c>
      <x:c r="B126" t="str">
        <x:v>WR</x:v>
      </x:c>
      <x:c r="C126" t="n">
        <x:v>36</x:v>
      </x:c>
      <x:c r="D126" s="48" t="str">
        <x:v>Carnell Tate</x:v>
      </x:c>
      <x:c r="E126" s="48" t="n">
        <x:v>71.89</x:v>
      </x:c>
      <x:c r="F126" s="116" t="str">
        <x:v>WR2/FLEX; dependable lineup option with matchup-driven ceiling.</x:v>
      </x:c>
      <x:c r="G126" s="116" t="str">
        <x:v>Rookie score 95.1, backed by No. 4 draft capital and a 6.71 NFL prospect grade. The 2026 role projection is strong enough to replace missing NFL history.</x:v>
      </x:c>
      <x:c r="H126" s="116" t="str">
        <x:v>NFL translation and exact weekly role are the main variables; preseason first-team usage can move this rating quickly.</x:v>
      </x:c>
      <x:c r="I126" s="48" t="n">
        <x:v>127.8</x:v>
      </x:c>
      <x:c r="J126" s="116" t="n">
        <x:v>5.799999999999997</x:v>
      </x:c>
      <x:c r="K126" t="str">
        <x:v>B</x:v>
      </x:c>
      <x:c r="L126" t="str">
        <x:v>ROOKIE ENGINE</x:v>
      </x:c>
    </x:row>
    <x:row r="127">
      <x:c r="A127" t="n">
        <x:v>123</x:v>
      </x:c>
      <x:c r="B127" t="str">
        <x:v>RB</x:v>
      </x:c>
      <x:c r="C127" t="n">
        <x:v>37</x:v>
      </x:c>
      <x:c r="D127" s="48" t="str">
        <x:v>Blake Corum</x:v>
      </x:c>
      <x:c r="E127" s="48" t="n">
        <x:v>69.51960871574394</x:v>
      </x:c>
      <x:c r="F127" s="116" t="str">
        <x:v>FLEX/bench depth with upside if workload grows.</x:v>
      </x:c>
      <x:c r="G127" s="116" t="str">
        <x:v>He produced 7.2 PPR/FP points per game across 17 games. The workload/efficiency profile gives the model a rate-based reason to keep him here. Market price is favorable around ADP 153 versus model overall rank 123.</x:v>
      </x:c>
      <x:c r="H127" s="116" t="str">
        <x:v>Touchdown variance, receiving-role changes and backfield competition are the main downside paths.</x:v>
      </x:c>
      <x:c r="I127" s="48" t="n">
        <x:v>153.20000000000002</x:v>
      </x:c>
      <x:c r="J127" s="116" t="n">
        <x:v>30.200000000000017</x:v>
      </x:c>
      <x:c r="K127" t="str">
        <x:v>A</x:v>
      </x:c>
      <x:c r="L127" t="str">
        <x:v>RATE-ADJUSTED VETERAN</x:v>
      </x:c>
    </x:row>
    <x:row r="128">
      <x:c r="A128" t="n">
        <x:v>124</x:v>
      </x:c>
      <x:c r="B128" t="str">
        <x:v>DST</x:v>
      </x:c>
      <x:c r="C128" t="n">
        <x:v>8</x:v>
      </x:c>
      <x:c r="D128" s="48" t="str">
        <x:v>Jacksonville Jaguars</x:v>
      </x:c>
      <x:c r="E128" s="48" t="n">
        <x:v>85.3</x:v>
      </x:c>
      <x:c r="F128" s="116" t="str">
        <x:v>Streaming/late-round defense; matchup matters more than preseason rank.</x:v>
      </x:c>
      <x:c r="G128" s="116" t="str">
        <x:v>The unit grades well relative to the current DST pool, but the model intentionally keeps defense behind core skill positions.</x:v>
      </x:c>
      <x:c r="H128" s="116" t="str">
        <x:v>DST scoring is highly opponent- and turnover-dependent, making season-long rank fragile.</x:v>
      </x:c>
      <x:c r="I128" s="48" t="n">
        <x:v>188</x:v>
      </x:c>
      <x:c r="J128" s="116" t="n">
        <x:v>64</x:v>
      </x:c>
      <x:c r="K128" t="str">
        <x:v>B</x:v>
      </x:c>
      <x:c r="L128" t="str">
        <x:v>DST MODEL</x:v>
      </x:c>
    </x:row>
    <x:row r="129">
      <x:c r="A129" t="n">
        <x:v>125</x:v>
      </x:c>
      <x:c r="B129" t="str">
        <x:v>TE</x:v>
      </x:c>
      <x:c r="C129" t="n">
        <x:v>19</x:v>
      </x:c>
      <x:c r="D129" s="48" t="str">
        <x:v>Chig Okonkwo</x:v>
      </x:c>
      <x:c r="E129" s="48" t="n">
        <x:v>75.51323575633128</x:v>
      </x:c>
      <x:c r="F129" s="116" t="str">
        <x:v>Deep TE stash; needs a larger route/target role to matter in 10-team leagues.</x:v>
      </x:c>
      <x:c r="G129" s="116" t="str">
        <x:v>He produced 7.3 PPR/FP points per game across 17 games. The workload/efficiency profile gives the model a rate-based reason to keep him here. Market price is favorable around ADP 179 versus model overall rank 125.</x:v>
      </x:c>
      <x:c r="H129" s="116" t="str">
        <x:v>Route share, target volume and touchdown volatility are the main swing factors.</x:v>
      </x:c>
      <x:c r="I129" s="48" t="n">
        <x:v>179</x:v>
      </x:c>
      <x:c r="J129" s="116" t="n">
        <x:v>54</x:v>
      </x:c>
      <x:c r="K129" t="str">
        <x:v>A</x:v>
      </x:c>
      <x:c r="L129" t="str">
        <x:v>RATE-ADJUSTED VETERAN</x:v>
      </x:c>
    </x:row>
    <x:row r="130">
      <x:c r="A130" t="n">
        <x:v>126</x:v>
      </x:c>
      <x:c r="B130" t="str">
        <x:v>QB</x:v>
      </x:c>
      <x:c r="C130" t="n">
        <x:v>18</x:v>
      </x:c>
      <x:c r="D130" s="48" t="str">
        <x:v>Jordan Love</x:v>
      </x:c>
      <x:c r="E130" s="48" t="n">
        <x:v>80.04076246709151</x:v>
      </x:c>
      <x:c r="F130" s="116" t="str">
        <x:v>QB2/streaming tier; useful when matchup and supporting cast line up.</x:v>
      </x:c>
      <x:c r="G130" s="116" t="str">
        <x:v>He produced 16.1 PPR/FP points per game across 15 games. The workload/efficiency profile gives the model a rate-based reason to keep him here. Market price is favorable around ADP 158 versus model overall rank 126.</x:v>
      </x:c>
      <x:c r="H130" s="116" t="str">
        <x:v>Passing-TD efficiency, rushing volume and supporting-cast health are the main swing factors.</x:v>
      </x:c>
      <x:c r="I130" s="48" t="n">
        <x:v>158</x:v>
      </x:c>
      <x:c r="J130" s="116" t="n">
        <x:v>32</x:v>
      </x:c>
      <x:c r="K130" t="str">
        <x:v>A</x:v>
      </x:c>
      <x:c r="L130" t="str">
        <x:v>RATE-ADJUSTED VETERAN</x:v>
      </x:c>
    </x:row>
    <x:row r="131">
      <x:c r="A131" t="n">
        <x:v>127</x:v>
      </x:c>
      <x:c r="B131" t="str">
        <x:v>RB</x:v>
      </x:c>
      <x:c r="C131" t="n">
        <x:v>38</x:v>
      </x:c>
      <x:c r="D131" s="48" t="str">
        <x:v>Rachaad White</x:v>
      </x:c>
      <x:c r="E131" s="48" t="n">
        <x:v>69.2036568927438</x:v>
      </x:c>
      <x:c r="F131" s="116" t="str">
        <x:v>FLEX/bench depth with upside if workload grows.</x:v>
      </x:c>
      <x:c r="G131" s="116" t="str">
        <x:v>He produced 8.5 PPR/FP points per game across 17 games. The workload/efficiency profile gives the model a rate-based reason to keep him here. Market price is favorable around ADP 157 versus model overall rank 127.</x:v>
      </x:c>
      <x:c r="H131" s="116" t="str">
        <x:v>Touchdown variance, receiving-role changes and backfield competition are the main downside paths.</x:v>
      </x:c>
      <x:c r="I131" s="48" t="n">
        <x:v>157.4</x:v>
      </x:c>
      <x:c r="J131" s="116" t="n">
        <x:v>30.400000000000006</x:v>
      </x:c>
      <x:c r="K131" t="str">
        <x:v>A</x:v>
      </x:c>
      <x:c r="L131" t="str">
        <x:v>RATE-ADJUSTED VETERAN</x:v>
      </x:c>
    </x:row>
    <x:row r="132">
      <x:c r="A132" t="n">
        <x:v>128</x:v>
      </x:c>
      <x:c r="B132" t="str">
        <x:v>WR</x:v>
      </x:c>
      <x:c r="C132" t="n">
        <x:v>40</x:v>
      </x:c>
      <x:c r="D132" s="48" t="str">
        <x:v>Alec Pierce</x:v>
      </x:c>
      <x:c r="E132" s="48" t="n">
        <x:v>70.725</x:v>
      </x:c>
      <x:c r="F132" s="116" t="str">
        <x:v>FLEX/bench receiver; needs target growth or efficiency spikes.</x:v>
      </x:c>
      <x:c r="G132" s="116" t="str">
        <x:v>He produced 12.2 PPR/FP points per game across 15 games. The workload/efficiency profile gives the model a rate-based reason to keep him here.</x:v>
      </x:c>
      <x:c r="H132" s="116" t="str">
        <x:v>Target competition, quarterback efficiency and touchdown regression are the main downside paths.</x:v>
      </x:c>
      <x:c r="I132" s="48" t="n">
        <x:v>120</x:v>
      </x:c>
      <x:c r="J132" s="116" t="n">
        <x:v>-8</x:v>
      </x:c>
      <x:c r="K132" t="str">
        <x:v>A</x:v>
      </x:c>
      <x:c r="L132" t="str">
        <x:v>RATE-ADJUSTED VETERAN</x:v>
      </x:c>
    </x:row>
    <x:row r="133">
      <x:c r="A133" t="n">
        <x:v>129</x:v>
      </x:c>
      <x:c r="B133" t="str">
        <x:v>RB</x:v>
      </x:c>
      <x:c r="C133" t="n">
        <x:v>39</x:v>
      </x:c>
      <x:c r="D133" s="48" t="str">
        <x:v>Jacory Croskey-Merritt</x:v>
      </x:c>
      <x:c r="E133" s="48" t="n">
        <x:v>68.99221175225878</x:v>
      </x:c>
      <x:c r="F133" s="116" t="str">
        <x:v>FLEX/bench depth with upside if workload grows.</x:v>
      </x:c>
      <x:c r="G133" s="116" t="str">
        <x:v>He produced 8.2 PPR/FP points per game across 17 games. The workload/efficiency profile gives the model a rate-based reason to keep him here. Market price is favorable around ADP 162 versus model overall rank 129.</x:v>
      </x:c>
      <x:c r="H133" s="116" t="str">
        <x:v>Touchdown variance, receiving-role changes and backfield competition are the main downside paths.</x:v>
      </x:c>
      <x:c r="I133" s="48" t="n">
        <x:v>161.6</x:v>
      </x:c>
      <x:c r="J133" s="116" t="n">
        <x:v>32.599999999999994</x:v>
      </x:c>
      <x:c r="K133" t="str">
        <x:v>A</x:v>
      </x:c>
      <x:c r="L133" t="str">
        <x:v>RATE-ADJUSTED VETERAN</x:v>
      </x:c>
    </x:row>
    <x:row r="134">
      <x:c r="A134" t="n">
        <x:v>130</x:v>
      </x:c>
      <x:c r="B134" t="str">
        <x:v>QB</x:v>
      </x:c>
      <x:c r="C134" t="n">
        <x:v>19</x:v>
      </x:c>
      <x:c r="D134" s="48" t="str">
        <x:v>Baker Mayfield</x:v>
      </x:c>
      <x:c r="E134" s="48" t="n">
        <x:v>79.82600097102224</x:v>
      </x:c>
      <x:c r="F134" s="116" t="str">
        <x:v>Bench/streaming option; needs matchup, rushing or TD spike weeks.</x:v>
      </x:c>
      <x:c r="G134" s="116" t="str">
        <x:v>He produced 16.6 PPR/FP points per game across 17 games. The workload/efficiency profile gives the model a rate-based reason to keep him here. Market price is favorable around ADP 166 versus model overall rank 130.</x:v>
      </x:c>
      <x:c r="H134" s="116" t="str">
        <x:v>Passing-TD efficiency, rushing volume and supporting-cast health are the main swing factors.</x:v>
      </x:c>
      <x:c r="I134" s="48" t="n">
        <x:v>166</x:v>
      </x:c>
      <x:c r="J134" s="116" t="n">
        <x:v>36</x:v>
      </x:c>
      <x:c r="K134" t="str">
        <x:v>A</x:v>
      </x:c>
      <x:c r="L134" t="str">
        <x:v>RATE-ADJUSTED VETERAN</x:v>
      </x:c>
    </x:row>
    <x:row r="135">
      <x:c r="A135" t="n">
        <x:v>131</x:v>
      </x:c>
      <x:c r="B135" t="str">
        <x:v>K</x:v>
      </x:c>
      <x:c r="C135" t="n">
        <x:v>9</x:v>
      </x:c>
      <x:c r="D135" s="48" t="str">
        <x:v>Chase McLaughlin</x:v>
      </x:c>
      <x:c r="E135" s="48" t="n">
        <x:v>76.4</x:v>
      </x:c>
      <x:c r="F135" s="116" t="str">
        <x:v>Late-round kicker; treat as replaceable unless scoring strongly rewards distance.</x:v>
      </x:c>
      <x:c r="G135" s="116" t="str">
        <x:v>Ranks near the top of the current kicker pool, but kicker week-to-week separation is small in a 10-team league.</x:v>
      </x:c>
      <x:c r="H135" s="116" t="str">
        <x:v>Kicker scoring is volatile and replaceable on waivers; do not pay meaningful draft capital.</x:v>
      </x:c>
      <x:c r="I135" s="48" t="n">
        <x:v>195</x:v>
      </x:c>
      <x:c r="J135" s="116" t="n">
        <x:v>64</x:v>
      </x:c>
      <x:c r="K135" t="str">
        <x:v>B</x:v>
      </x:c>
      <x:c r="L135" t="str">
        <x:v>KICKER MODEL</x:v>
      </x:c>
    </x:row>
    <x:row r="136">
      <x:c r="A136" t="n">
        <x:v>132</x:v>
      </x:c>
      <x:c r="B136" t="str">
        <x:v>DST</x:v>
      </x:c>
      <x:c r="C136" t="n">
        <x:v>9</x:v>
      </x:c>
      <x:c r="D136" s="48" t="str">
        <x:v>Pittsburgh Steelers</x:v>
      </x:c>
      <x:c r="E136" s="48" t="n">
        <x:v>84.2</x:v>
      </x:c>
      <x:c r="F136" s="116" t="str">
        <x:v>Streaming/late-round defense; matchup matters more than preseason rank.</x:v>
      </x:c>
      <x:c r="G136" s="116" t="str">
        <x:v>The unit grades well relative to the current DST pool, but the model intentionally keeps defense behind core skill positions.</x:v>
      </x:c>
      <x:c r="H136" s="116" t="str">
        <x:v>DST scoring is highly opponent- and turnover-dependent, making season-long rank fragile.</x:v>
      </x:c>
      <x:c r="I136" s="48" t="n">
        <x:v>192</x:v>
      </x:c>
      <x:c r="J136" s="116" t="n">
        <x:v>60</x:v>
      </x:c>
      <x:c r="K136" t="str">
        <x:v>B</x:v>
      </x:c>
      <x:c r="L136" t="str">
        <x:v>DST MODEL</x:v>
      </x:c>
    </x:row>
    <x:row r="137">
      <x:c r="A137" t="n">
        <x:v>133</x:v>
      </x:c>
      <x:c r="B137" t="str">
        <x:v>WR</x:v>
      </x:c>
      <x:c r="C137" t="n">
        <x:v>38</x:v>
      </x:c>
      <x:c r="D137" s="48" t="str">
        <x:v>Parker Washington</x:v>
      </x:c>
      <x:c r="E137" s="48" t="n">
        <x:v>71.53</x:v>
      </x:c>
      <x:c r="F137" s="116" t="str">
        <x:v>FLEX/bench receiver; needs target growth or efficiency spikes.</x:v>
      </x:c>
      <x:c r="G137" s="116" t="str">
        <x:v>He produced 11.5 PPR/FP points per game across 16 games. The workload/efficiency profile gives the model a rate-based reason to keep him here. Market price is favorable around ADP 163 versus model overall rank 133.</x:v>
      </x:c>
      <x:c r="H137" s="116" t="str">
        <x:v>Target competition, quarterback efficiency and touchdown regression are the main downside paths.</x:v>
      </x:c>
      <x:c r="I137" s="48" t="n">
        <x:v>162.9</x:v>
      </x:c>
      <x:c r="J137" s="116" t="n">
        <x:v>29.900000000000006</x:v>
      </x:c>
      <x:c r="K137" t="str">
        <x:v>A</x:v>
      </x:c>
      <x:c r="L137" t="str">
        <x:v>RATE-ADJUSTED VETERAN</x:v>
      </x:c>
    </x:row>
    <x:row r="138">
      <x:c r="A138" t="n">
        <x:v>134</x:v>
      </x:c>
      <x:c r="B138" t="str">
        <x:v>WR</x:v>
      </x:c>
      <x:c r="C138" t="n">
        <x:v>42</x:v>
      </x:c>
      <x:c r="D138" s="48" t="str">
        <x:v>DK Metcalf</x:v>
      </x:c>
      <x:c r="E138" s="48" t="n">
        <x:v>69.8075</x:v>
      </x:c>
      <x:c r="F138" s="116" t="str">
        <x:v>FLEX/bench receiver; needs target growth or efficiency spikes.</x:v>
      </x:c>
      <x:c r="G138" s="116" t="str">
        <x:v>He produced 12.4 PPR/FP points per game across 15 games. The workload/efficiency profile gives the model a rate-based reason to keep him here. The market is more aggressive at ADP 124 versus model overall rank 134, so price matters.</x:v>
      </x:c>
      <x:c r="H138" s="116" t="str">
        <x:v>Price is the biggest risk: the market currently asks you to draft him earlier than the model prefers.</x:v>
      </x:c>
      <x:c r="I138" s="48" t="n">
        <x:v>123.89999999999999</x:v>
      </x:c>
      <x:c r="J138" s="116" t="n">
        <x:v>-10.100000000000009</x:v>
      </x:c>
      <x:c r="K138" t="str">
        <x:v>A</x:v>
      </x:c>
      <x:c r="L138" t="str">
        <x:v>RATE-ADJUSTED VETERAN</x:v>
      </x:c>
    </x:row>
    <x:row r="139">
      <x:c r="A139" t="n">
        <x:v>135</x:v>
      </x:c>
      <x:c r="B139" t="str">
        <x:v>TE</x:v>
      </x:c>
      <x:c r="C139" t="n">
        <x:v>20</x:v>
      </x:c>
      <x:c r="D139" s="48" t="str">
        <x:v>Kenyon Sadiq</x:v>
      </x:c>
      <x:c r="E139" s="48" t="n">
        <x:v>74.09381905002525</x:v>
      </x:c>
      <x:c r="F139" s="116" t="str">
        <x:v>Deep TE stash; needs a larger route/target role to matter in 10-team leagues.</x:v>
      </x:c>
      <x:c r="G139" s="116" t="str">
        <x:v>Rookie score 86.6, backed by No. 16 draft capital and a 6.46 NFL prospect grade. The 2026 role projection is strong enough to replace missing NFL history. Market price is favorable around ADP 188 versus model overall rank 135.</x:v>
      </x:c>
      <x:c r="H139" s="116" t="str">
        <x:v>NFL translation and exact weekly role are the main variables; preseason first-team usage can move this rating quickly.</x:v>
      </x:c>
      <x:c r="I139" s="48" t="n">
        <x:v>188</x:v>
      </x:c>
      <x:c r="J139" s="116" t="n">
        <x:v>53</x:v>
      </x:c>
      <x:c r="K139" t="str">
        <x:v>B</x:v>
      </x:c>
      <x:c r="L139" t="str">
        <x:v>ROOKIE ENGINE</x:v>
      </x:c>
    </x:row>
    <x:row r="140">
      <x:c r="A140" t="n">
        <x:v>136</x:v>
      </x:c>
      <x:c r="B140" t="str">
        <x:v>RB</x:v>
      </x:c>
      <x:c r="C140" t="n">
        <x:v>40</x:v>
      </x:c>
      <x:c r="D140" s="48" t="str">
        <x:v>Jordan Mason</x:v>
      </x:c>
      <x:c r="E140" s="48" t="n">
        <x:v>67.65739288663394</x:v>
      </x:c>
      <x:c r="F140" s="116" t="str">
        <x:v>FLEX/bench depth with upside if workload grows.</x:v>
      </x:c>
      <x:c r="G140" s="116" t="str">
        <x:v>He produced 8.1 PPR/FP points per game across 16 games. The workload/efficiency profile gives the model a rate-based reason to keep him here. Market price is favorable around ADP 166 versus model overall rank 136.</x:v>
      </x:c>
      <x:c r="H140" s="116" t="str">
        <x:v>Touchdown variance, receiving-role changes and backfield competition are the main downside paths.</x:v>
      </x:c>
      <x:c r="I140" s="48" t="n">
        <x:v>165.8</x:v>
      </x:c>
      <x:c r="J140" s="116" t="n">
        <x:v>29.80000000000001</x:v>
      </x:c>
      <x:c r="K140" t="str">
        <x:v>A</x:v>
      </x:c>
      <x:c r="L140" t="str">
        <x:v>RATE-ADJUSTED VETERAN</x:v>
      </x:c>
    </x:row>
    <x:row r="141">
      <x:c r="A141" t="n">
        <x:v>137</x:v>
      </x:c>
      <x:c r="B141" t="str">
        <x:v>WR</x:v>
      </x:c>
      <x:c r="C141" t="n">
        <x:v>39</x:v>
      </x:c>
      <x:c r="D141" s="48" t="str">
        <x:v>Chris Godwin Jr.</x:v>
      </x:c>
      <x:c r="E141" s="48" t="n">
        <x:v>70.86</x:v>
      </x:c>
      <x:c r="F141" s="116" t="str">
        <x:v>FLEX/bench receiver; needs target growth or efficiency spikes.</x:v>
      </x:c>
      <x:c r="G141" s="116" t="str">
        <x:v>The 2026 opportunity and projection carry most of the grade because detailed 2025 rate data is incomplete. Market price is favorable around ADP 167 versus model overall rank 137.</x:v>
      </x:c>
      <x:c r="H141" s="116" t="str">
        <x:v>Evidence is thinner than for established veterans, so camp, depth-chart and role news can move the grade materially.</x:v>
      </x:c>
      <x:c r="I141" s="48" t="n">
        <x:v>166.79999999999998</x:v>
      </x:c>
      <x:c r="J141" s="116" t="n">
        <x:v>29.799999999999983</x:v>
      </x:c>
      <x:c r="K141" t="str">
        <x:v>C</x:v>
      </x:c>
      <x:c r="L141" t="str">
        <x:v>HISTORY FALLBACK</x:v>
      </x:c>
    </x:row>
    <x:row r="142">
      <x:c r="A142" t="n">
        <x:v>138</x:v>
      </x:c>
      <x:c r="B142" t="str">
        <x:v>TE</x:v>
      </x:c>
      <x:c r="C142" t="n">
        <x:v>21</x:v>
      </x:c>
      <x:c r="D142" s="48" t="str">
        <x:v>T.J. Hockenson</x:v>
      </x:c>
      <x:c r="E142" s="48" t="n">
        <x:v>73.85269503643518</x:v>
      </x:c>
      <x:c r="F142" s="116" t="str">
        <x:v>Deep TE stash; needs a larger route/target role to matter in 10-team leagues.</x:v>
      </x:c>
      <x:c r="G142" s="116" t="str">
        <x:v>He produced 7.5 PPR/FP points per game across 15 games. The workload/efficiency profile gives the model a rate-based reason to keep him here. Market price is favorable around ADP 197 versus model overall rank 138.</x:v>
      </x:c>
      <x:c r="H142" s="116" t="str">
        <x:v>Route share, target volume and touchdown volatility are the main swing factors.</x:v>
      </x:c>
      <x:c r="I142" s="48" t="n">
        <x:v>197</x:v>
      </x:c>
      <x:c r="J142" s="116" t="n">
        <x:v>59</x:v>
      </x:c>
      <x:c r="K142" t="str">
        <x:v>A</x:v>
      </x:c>
      <x:c r="L142" t="str">
        <x:v>RATE-ADJUSTED VETERAN</x:v>
      </x:c>
    </x:row>
    <x:row r="143">
      <x:c r="A143" t="n">
        <x:v>139</x:v>
      </x:c>
      <x:c r="B143" t="str">
        <x:v>DST</x:v>
      </x:c>
      <x:c r="C143" t="n">
        <x:v>10</x:v>
      </x:c>
      <x:c r="D143" s="48" t="str">
        <x:v>Los Angeles Chargers</x:v>
      </x:c>
      <x:c r="E143" s="48" t="n">
        <x:v>83.1</x:v>
      </x:c>
      <x:c r="F143" s="116" t="str">
        <x:v>Streaming/late-round defense; matchup matters more than preseason rank.</x:v>
      </x:c>
      <x:c r="G143" s="116" t="str">
        <x:v>The unit grades well relative to the current DST pool, but the model intentionally keeps defense behind core skill positions.</x:v>
      </x:c>
      <x:c r="H143" s="116" t="str">
        <x:v>DST scoring is highly opponent- and turnover-dependent, making season-long rank fragile.</x:v>
      </x:c>
      <x:c r="I143" s="48" t="n">
        <x:v>196</x:v>
      </x:c>
      <x:c r="J143" s="116" t="n">
        <x:v>57</x:v>
      </x:c>
      <x:c r="K143" t="str">
        <x:v>B</x:v>
      </x:c>
      <x:c r="L143" t="str">
        <x:v>DST MODEL</x:v>
      </x:c>
    </x:row>
    <x:row r="144">
      <x:c r="A144" t="n">
        <x:v>140</x:v>
      </x:c>
      <x:c r="B144" t="str">
        <x:v>TE</x:v>
      </x:c>
      <x:c r="C144" t="n">
        <x:v>22</x:v>
      </x:c>
      <x:c r="D144" s="48" t="str">
        <x:v>Dalton Schultz</x:v>
      </x:c>
      <x:c r="E144" s="48" t="n">
        <x:v>73.27947609768881</x:v>
      </x:c>
      <x:c r="F144" s="116" t="str">
        <x:v>Deep TE stash; needs a larger route/target role to matter in 10-team leagues.</x:v>
      </x:c>
      <x:c r="G144" s="116" t="str">
        <x:v>He produced 10.4 PPR/FP points per game across 17 games. The workload/efficiency profile gives the model a rate-based reason to keep him here. Market price is favorable around ADP 206 versus model overall rank 140.</x:v>
      </x:c>
      <x:c r="H144" s="116" t="str">
        <x:v>Route share, target volume and touchdown volatility are the main swing factors.</x:v>
      </x:c>
      <x:c r="I144" s="48" t="n">
        <x:v>206</x:v>
      </x:c>
      <x:c r="J144" s="116" t="n">
        <x:v>66</x:v>
      </x:c>
      <x:c r="K144" t="str">
        <x:v>A</x:v>
      </x:c>
      <x:c r="L144" t="str">
        <x:v>RATE-ADJUSTED VETERAN</x:v>
      </x:c>
    </x:row>
    <x:row r="145">
      <x:c r="A145" t="n">
        <x:v>141</x:v>
      </x:c>
      <x:c r="B145" t="str">
        <x:v>WR</x:v>
      </x:c>
      <x:c r="C145" t="n">
        <x:v>45</x:v>
      </x:c>
      <x:c r="D145" s="48" t="str">
        <x:v>Courtland Sutton</x:v>
      </x:c>
      <x:c r="E145" s="48" t="n">
        <x:v>68.7225</x:v>
      </x:c>
      <x:c r="F145" s="116" t="str">
        <x:v>FLEX/bench receiver; needs target growth or efficiency spikes.</x:v>
      </x:c>
      <x:c r="G145" s="116" t="str">
        <x:v>He produced 13.0 PPR/FP points per game across 17 games. The workload/efficiency profile gives the model a rate-based reason to keep him here.</x:v>
      </x:c>
      <x:c r="H145" s="116" t="str">
        <x:v>Target competition, quarterback efficiency and touchdown regression are the main downside paths.</x:v>
      </x:c>
      <x:c r="I145" s="48" t="n">
        <x:v>131.7</x:v>
      </x:c>
      <x:c r="J145" s="116" t="n">
        <x:v>-9.300000000000011</x:v>
      </x:c>
      <x:c r="K145" t="str">
        <x:v>A</x:v>
      </x:c>
      <x:c r="L145" t="str">
        <x:v>RATE-ADJUSTED VETERAN</x:v>
      </x:c>
    </x:row>
    <x:row r="146">
      <x:c r="A146" t="n">
        <x:v>142</x:v>
      </x:c>
      <x:c r="B146" t="str">
        <x:v>WR</x:v>
      </x:c>
      <x:c r="C146" t="n">
        <x:v>41</x:v>
      </x:c>
      <x:c r="D146" s="48" t="str">
        <x:v>Quentin Johnston</x:v>
      </x:c>
      <x:c r="E146" s="48" t="n">
        <x:v>70.19</x:v>
      </x:c>
      <x:c r="F146" s="116" t="str">
        <x:v>FLEX/bench receiver; needs target growth or efficiency spikes.</x:v>
      </x:c>
      <x:c r="G146" s="116" t="str">
        <x:v>He produced 12.2 PPR/FP points per game across 14 games. The workload/efficiency profile gives the model a rate-based reason to keep him here. Market price is favorable around ADP 171 versus model overall rank 142.</x:v>
      </x:c>
      <x:c r="H146" s="116" t="str">
        <x:v>Target competition, quarterback efficiency and touchdown regression are the main downside paths.</x:v>
      </x:c>
      <x:c r="I146" s="48" t="n">
        <x:v>170.7</x:v>
      </x:c>
      <x:c r="J146" s="116" t="n">
        <x:v>28.69999999999999</x:v>
      </x:c>
      <x:c r="K146" t="str">
        <x:v>A</x:v>
      </x:c>
      <x:c r="L146" t="str">
        <x:v>RATE-ADJUSTED VETERAN</x:v>
      </x:c>
    </x:row>
    <x:row r="147">
      <x:c r="A147" t="n">
        <x:v>143</x:v>
      </x:c>
      <x:c r="B147" t="str">
        <x:v>RB</x:v>
      </x:c>
      <x:c r="C147" t="n">
        <x:v>41</x:v>
      </x:c>
      <x:c r="D147" s="48" t="str">
        <x:v>Woody Marks</x:v>
      </x:c>
      <x:c r="E147" s="48" t="n">
        <x:v>66.86623003473099</x:v>
      </x:c>
      <x:c r="F147" s="116" t="str">
        <x:v>Bench stash/handcuff profile; value is tied to role change or injury ahead.</x:v>
      </x:c>
      <x:c r="G147" s="116" t="str">
        <x:v>He produced 9.4 PPR/FP points per game across 16 games. The workload/efficiency profile gives the model a rate-based reason to keep him here. Market price is favorable around ADP 170 versus model overall rank 143.</x:v>
      </x:c>
      <x:c r="H147" s="116" t="str">
        <x:v>Touchdown variance, receiving-role changes and backfield competition are the main downside paths.</x:v>
      </x:c>
      <x:c r="I147" s="48" t="n">
        <x:v>170</x:v>
      </x:c>
      <x:c r="J147" s="116" t="n">
        <x:v>27</x:v>
      </x:c>
      <x:c r="K147" t="str">
        <x:v>A</x:v>
      </x:c>
      <x:c r="L147" t="str">
        <x:v>RATE-ADJUSTED VETERAN</x:v>
      </x:c>
    </x:row>
    <x:row r="148">
      <x:c r="A148" t="n">
        <x:v>144</x:v>
      </x:c>
      <x:c r="B148" t="str">
        <x:v>QB</x:v>
      </x:c>
      <x:c r="C148" t="n">
        <x:v>20</x:v>
      </x:c>
      <x:c r="D148" s="48" t="str">
        <x:v>Tyler Shough</x:v>
      </x:c>
      <x:c r="E148" s="48" t="n">
        <x:v>77.36561414654547</x:v>
      </x:c>
      <x:c r="F148" s="116" t="str">
        <x:v>Bench/streaming option; needs matchup, rushing or TD spike weeks.</x:v>
      </x:c>
      <x:c r="G148" s="116" t="str">
        <x:v>He produced 14.9 PPR/FP points per game across 11 games. The workload/efficiency profile gives the model a rate-based reason to keep him here. Market price is favorable around ADP 174 versus model overall rank 144.</x:v>
      </x:c>
      <x:c r="H148" s="116" t="str">
        <x:v>Passing-TD efficiency, rushing volume and supporting-cast health are the main swing factors.</x:v>
      </x:c>
      <x:c r="I148" s="48" t="n">
        <x:v>174</x:v>
      </x:c>
      <x:c r="J148" s="116" t="n">
        <x:v>30</x:v>
      </x:c>
      <x:c r="K148" t="str">
        <x:v>B</x:v>
      </x:c>
      <x:c r="L148" t="str">
        <x:v>RATE-ADJUSTED VETERAN</x:v>
      </x:c>
    </x:row>
    <x:row r="149">
      <x:c r="A149" t="n">
        <x:v>145</x:v>
      </x:c>
      <x:c r="B149" t="str">
        <x:v>WR</x:v>
      </x:c>
      <x:c r="C149" t="n">
        <x:v>35</x:v>
      </x:c>
      <x:c r="D149" s="48" t="str">
        <x:v>Makai Lemon</x:v>
      </x:c>
      <x:c r="E149" s="48" t="n">
        <x:v>72.2</x:v>
      </x:c>
      <x:c r="F149" s="116" t="str">
        <x:v>WR2/FLEX; dependable lineup option with matchup-driven ceiling.</x:v>
      </x:c>
      <x:c r="G149" s="116" t="str">
        <x:v>Rookie score 89.2, backed by No. 20 draft capital and a 6.47 NFL prospect grade. The 2026 role projection is strong enough to replace missing NFL history. Market price is favorable around ADP 159 versus model overall rank 145.</x:v>
      </x:c>
      <x:c r="H149" s="116" t="str">
        <x:v>NFL translation and exact weekly role are the main variables; preseason first-team usage can move this rating quickly.</x:v>
      </x:c>
      <x:c r="I149" s="48" t="n">
        <x:v>159</x:v>
      </x:c>
      <x:c r="J149" s="116" t="n">
        <x:v>14</x:v>
      </x:c>
      <x:c r="K149" t="str">
        <x:v>B</x:v>
      </x:c>
      <x:c r="L149" t="str">
        <x:v>ROOKIE ENGINE</x:v>
      </x:c>
    </x:row>
    <x:row r="150">
      <x:c r="A150" t="n">
        <x:v>146</x:v>
      </x:c>
      <x:c r="B150" t="str">
        <x:v>TE</x:v>
      </x:c>
      <x:c r="C150" t="n">
        <x:v>23</x:v>
      </x:c>
      <x:c r="D150" s="48" t="str">
        <x:v>Oronde Gadsden II</x:v>
      </x:c>
      <x:c r="E150" s="48" t="n">
        <x:v>72.5137519384936</x:v>
      </x:c>
      <x:c r="F150" s="116" t="str">
        <x:v>Deep TE stash; needs a larger route/target role to matter in 10-team leagues.</x:v>
      </x:c>
      <x:c r="G150" s="116" t="str">
        <x:v>He produced 8.8 PPR/FP points per game across 15 games. The workload/efficiency profile gives the model a rate-based reason to keep him here. Market price is favorable around ADP 215 versus model overall rank 146.</x:v>
      </x:c>
      <x:c r="H150" s="116" t="str">
        <x:v>Route share, target volume and touchdown volatility are the main swing factors.</x:v>
      </x:c>
      <x:c r="I150" s="48" t="n">
        <x:v>215</x:v>
      </x:c>
      <x:c r="J150" s="116" t="n">
        <x:v>69</x:v>
      </x:c>
      <x:c r="K150" t="str">
        <x:v>A</x:v>
      </x:c>
      <x:c r="L150" t="str">
        <x:v>RATE-ADJUSTED VETERAN</x:v>
      </x:c>
    </x:row>
    <x:row r="151">
      <x:c r="A151" t="n">
        <x:v>147</x:v>
      </x:c>
      <x:c r="B151" t="str">
        <x:v>RB</x:v>
      </x:c>
      <x:c r="C151" t="n">
        <x:v>42</x:v>
      </x:c>
      <x:c r="D151" s="48" t="str">
        <x:v>Chris Rodriguez Jr.</x:v>
      </x:c>
      <x:c r="E151" s="48" t="n">
        <x:v>66.53699590996025</x:v>
      </x:c>
      <x:c r="F151" s="116" t="str">
        <x:v>Bench stash/handcuff profile; value is tied to role change or injury ahead.</x:v>
      </x:c>
      <x:c r="G151" s="116" t="str">
        <x:v>He produced 7.0 PPR/FP points per game across 13 games. The workload/efficiency profile gives the model a rate-based reason to keep him here. Market price is favorable around ADP 174 versus model overall rank 147.</x:v>
      </x:c>
      <x:c r="H151" s="116" t="str">
        <x:v>Touchdown variance, receiving-role changes and backfield competition are the main downside paths.</x:v>
      </x:c>
      <x:c r="I151" s="48" t="n">
        <x:v>174.20000000000002</x:v>
      </x:c>
      <x:c r="J151" s="116" t="n">
        <x:v>27.200000000000017</x:v>
      </x:c>
      <x:c r="K151" t="str">
        <x:v>A</x:v>
      </x:c>
      <x:c r="L151" t="str">
        <x:v>RATE-ADJUSTED VETERAN</x:v>
      </x:c>
    </x:row>
    <x:row r="152">
      <x:c r="A152" t="n">
        <x:v>148</x:v>
      </x:c>
      <x:c r="B152" t="str">
        <x:v>K</x:v>
      </x:c>
      <x:c r="C152" t="n">
        <x:v>10</x:v>
      </x:c>
      <x:c r="D152" s="48" t="str">
        <x:v>Cairo Santos</x:v>
      </x:c>
      <x:c r="E152" s="48" t="n">
        <x:v>74.2</x:v>
      </x:c>
      <x:c r="F152" s="116" t="str">
        <x:v>Late-round kicker; treat as replaceable unless scoring strongly rewards distance.</x:v>
      </x:c>
      <x:c r="G152" s="116" t="str">
        <x:v>Ranks near the top of the current kicker pool, but kicker week-to-week separation is small in a 10-team league.</x:v>
      </x:c>
      <x:c r="H152" s="116" t="str">
        <x:v>Kicker scoring is volatile and replaceable on waivers; do not pay meaningful draft capital.</x:v>
      </x:c>
      <x:c r="I152" s="48" t="n">
        <x:v>200</x:v>
      </x:c>
      <x:c r="J152" s="116" t="n">
        <x:v>52</x:v>
      </x:c>
      <x:c r="K152" t="str">
        <x:v>B</x:v>
      </x:c>
      <x:c r="L152" t="str">
        <x:v>KICKER MODEL</x:v>
      </x:c>
    </x:row>
    <x:row r="153">
      <x:c r="A153" t="n">
        <x:v>149</x:v>
      </x:c>
      <x:c r="B153" t="str">
        <x:v>RB</x:v>
      </x:c>
      <x:c r="C153" t="n">
        <x:v>43</x:v>
      </x:c>
      <x:c r="D153" s="48" t="str">
        <x:v>Tyrone Tracy Jr.</x:v>
      </x:c>
      <x:c r="E153" s="48" t="n">
        <x:v>66.53102686810404</x:v>
      </x:c>
      <x:c r="F153" s="116" t="str">
        <x:v>Bench stash/handcuff profile; value is tied to role change or injury ahead.</x:v>
      </x:c>
      <x:c r="G153" s="116" t="str">
        <x:v>He produced 10.7 PPR/FP points per game across 15 games. The workload/efficiency profile gives the model a rate-based reason to keep him here. Market price is favorable around ADP 178 versus model overall rank 149.</x:v>
      </x:c>
      <x:c r="H153" s="116" t="str">
        <x:v>Touchdown variance, receiving-role changes and backfield competition are the main downside paths.</x:v>
      </x:c>
      <x:c r="I153" s="48" t="n">
        <x:v>178.4</x:v>
      </x:c>
      <x:c r="J153" s="116" t="n">
        <x:v>29.400000000000006</x:v>
      </x:c>
      <x:c r="K153" t="str">
        <x:v>A</x:v>
      </x:c>
      <x:c r="L153" t="str">
        <x:v>RATE-ADJUSTED VETERAN</x:v>
      </x:c>
    </x:row>
    <x:row r="154">
      <x:c r="A154" t="n">
        <x:v>150</x:v>
      </x:c>
      <x:c r="B154" t="str">
        <x:v>WR</x:v>
      </x:c>
      <x:c r="C154" t="n">
        <x:v>43</x:v>
      </x:c>
      <x:c r="D154" s="48" t="str">
        <x:v>Ricky Pearsall</x:v>
      </x:c>
      <x:c r="E154" s="48" t="n">
        <x:v>69.52</x:v>
      </x:c>
      <x:c r="F154" s="116" t="str">
        <x:v>FLEX/bench receiver; needs target growth or efficiency spikes.</x:v>
      </x:c>
      <x:c r="G154" s="116" t="str">
        <x:v>The 2026 opportunity and projection carry most of the grade because detailed 2025 rate data is incomplete. Market price is favorable around ADP 175 versus model overall rank 150.</x:v>
      </x:c>
      <x:c r="H154" s="116" t="str">
        <x:v>Evidence is thinner than for established veterans, so camp, depth-chart and role news can move the grade materially.</x:v>
      </x:c>
      <x:c r="I154" s="48" t="n">
        <x:v>174.6</x:v>
      </x:c>
      <x:c r="J154" s="116" t="n">
        <x:v>24.599999999999994</x:v>
      </x:c>
      <x:c r="K154" t="str">
        <x:v>C</x:v>
      </x:c>
      <x:c r="L154" t="str">
        <x:v>HISTORY FALLBACK</x:v>
      </x:c>
    </x:row>
    <x:row r="155">
      <x:c r="A155" t="n">
        <x:v>151</x:v>
      </x:c>
      <x:c r="B155" t="str">
        <x:v>DST</x:v>
      </x:c>
      <x:c r="C155" t="n">
        <x:v>11</x:v>
      </x:c>
      <x:c r="D155" s="48" t="str">
        <x:v>Baltimore Ravens</x:v>
      </x:c>
      <x:c r="E155" s="48" t="n">
        <x:v>82</x:v>
      </x:c>
      <x:c r="F155" s="116" t="str">
        <x:v>Streaming/late-round defense; matchup matters more than preseason rank.</x:v>
      </x:c>
      <x:c r="G155" s="116" t="str">
        <x:v>The unit grades well relative to the current DST pool, but the model intentionally keeps defense behind core skill positions.</x:v>
      </x:c>
      <x:c r="H155" s="116" t="str">
        <x:v>DST scoring is highly opponent- and turnover-dependent, making season-long rank fragile.</x:v>
      </x:c>
      <x:c r="I155" s="48" t="n">
        <x:v>200</x:v>
      </x:c>
      <x:c r="J155" s="116" t="n">
        <x:v>49</x:v>
      </x:c>
      <x:c r="K155" t="str">
        <x:v>B</x:v>
      </x:c>
      <x:c r="L155" t="str">
        <x:v>DST MODEL</x:v>
      </x:c>
    </x:row>
    <x:row r="156">
      <x:c r="A156" t="n">
        <x:v>152</x:v>
      </x:c>
      <x:c r="B156" t="str">
        <x:v>WR</x:v>
      </x:c>
      <x:c r="C156" t="n">
        <x:v>48</x:v>
      </x:c>
      <x:c r="D156" s="48" t="str">
        <x:v>Brian Thomas Jr.</x:v>
      </x:c>
      <x:c r="E156" s="48" t="n">
        <x:v>66.9675</x:v>
      </x:c>
      <x:c r="F156" s="116" t="str">
        <x:v>FLEX/bench receiver; needs target growth or efficiency spikes.</x:v>
      </x:c>
      <x:c r="G156" s="116" t="str">
        <x:v>The 2026 opportunity and projection carry most of the grade because detailed 2025 rate data is incomplete.</x:v>
      </x:c>
      <x:c r="H156" s="116" t="str">
        <x:v>Target competition, quarterback efficiency and touchdown regression are the main downside paths.</x:v>
      </x:c>
      <x:c r="I156" s="48" t="n">
        <x:v>155.1</x:v>
      </x:c>
      <x:c r="J156" s="116" t="n">
        <x:v>3.0999999999999943</x:v>
      </x:c>
      <x:c r="K156" t="str">
        <x:v>B</x:v>
      </x:c>
      <x:c r="L156" t="str">
        <x:v>HISTORY FALLBACK</x:v>
      </x:c>
    </x:row>
    <x:row r="157">
      <x:c r="A157" t="n">
        <x:v>153</x:v>
      </x:c>
      <x:c r="B157" t="str">
        <x:v>WR</x:v>
      </x:c>
      <x:c r="C157" t="n">
        <x:v>44</x:v>
      </x:c>
      <x:c r="D157" s="48" t="str">
        <x:v>Michael Wilson</x:v>
      </x:c>
      <x:c r="E157" s="48" t="n">
        <x:v>68.85</x:v>
      </x:c>
      <x:c r="F157" s="116" t="str">
        <x:v>FLEX/bench receiver; needs target growth or efficiency spikes.</x:v>
      </x:c>
      <x:c r="G157" s="116" t="str">
        <x:v>He produced 13.0 PPR/FP points per game across 17 games. The workload/efficiency profile gives the model a rate-based reason to keep him here. Market price is favorable around ADP 178 versus model overall rank 153.</x:v>
      </x:c>
      <x:c r="H157" s="116" t="str">
        <x:v>Target competition, quarterback efficiency and touchdown regression are the main downside paths.</x:v>
      </x:c>
      <x:c r="I157" s="48" t="n">
        <x:v>178.5</x:v>
      </x:c>
      <x:c r="J157" s="116" t="n">
        <x:v>25.5</x:v>
      </x:c>
      <x:c r="K157" t="str">
        <x:v>A</x:v>
      </x:c>
      <x:c r="L157" t="str">
        <x:v>RATE-ADJUSTED VETERAN</x:v>
      </x:c>
    </x:row>
    <x:row r="158">
      <x:c r="A158" t="n">
        <x:v>154</x:v>
      </x:c>
      <x:c r="B158" t="str">
        <x:v>QB</x:v>
      </x:c>
      <x:c r="C158" t="n">
        <x:v>21</x:v>
      </x:c>
      <x:c r="D158" s="48" t="str">
        <x:v>C.J. Stroud</x:v>
      </x:c>
      <x:c r="E158" s="48" t="n">
        <x:v>75.76205455491312</x:v>
      </x:c>
      <x:c r="F158" s="116" t="str">
        <x:v>Bench/streaming option; needs matchup, rushing or TD spike weeks.</x:v>
      </x:c>
      <x:c r="G158" s="116" t="str">
        <x:v>He produced 15.5 PPR/FP points per game across 14 games. The workload/efficiency profile gives the model a rate-based reason to keep him here. Market price is favorable around ADP 182 versus model overall rank 154.</x:v>
      </x:c>
      <x:c r="H158" s="116" t="str">
        <x:v>Passing-TD efficiency, rushing volume and supporting-cast health are the main swing factors.</x:v>
      </x:c>
      <x:c r="I158" s="48" t="n">
        <x:v>182</x:v>
      </x:c>
      <x:c r="J158" s="116" t="n">
        <x:v>28</x:v>
      </x:c>
      <x:c r="K158" t="str">
        <x:v>A</x:v>
      </x:c>
      <x:c r="L158" t="str">
        <x:v>RATE-ADJUSTED VETERAN</x:v>
      </x:c>
    </x:row>
    <x:row r="159">
      <x:c r="A159" t="n">
        <x:v>155</x:v>
      </x:c>
      <x:c r="B159" t="str">
        <x:v>WR</x:v>
      </x:c>
      <x:c r="C159" t="n">
        <x:v>46</x:v>
      </x:c>
      <x:c r="D159" s="48" t="str">
        <x:v>Xavier Worthy</x:v>
      </x:c>
      <x:c r="E159" s="48" t="n">
        <x:v>68.18</x:v>
      </x:c>
      <x:c r="F159" s="116" t="str">
        <x:v>FLEX/bench receiver; needs target growth or efficiency spikes.</x:v>
      </x:c>
      <x:c r="G159" s="116" t="str">
        <x:v>He produced 7.9 PPR/FP points per game across 14 games. The workload/efficiency profile gives the model a rate-based reason to keep him here. Market price is favorable around ADP 182 versus model overall rank 155.</x:v>
      </x:c>
      <x:c r="H159" s="116" t="str">
        <x:v>Target competition, quarterback efficiency and touchdown regression are the main downside paths.</x:v>
      </x:c>
      <x:c r="I159" s="48" t="n">
        <x:v>182.4</x:v>
      </x:c>
      <x:c r="J159" s="116" t="n">
        <x:v>27.400000000000006</x:v>
      </x:c>
      <x:c r="K159" t="str">
        <x:v>A</x:v>
      </x:c>
      <x:c r="L159" t="str">
        <x:v>RATE-ADJUSTED VETERAN</x:v>
      </x:c>
    </x:row>
    <x:row r="160">
      <x:c r="A160" t="n">
        <x:v>156</x:v>
      </x:c>
      <x:c r="B160" t="str">
        <x:v>TE</x:v>
      </x:c>
      <x:c r="C160" t="n">
        <x:v>24</x:v>
      </x:c>
      <x:c r="D160" s="48" t="str">
        <x:v>AJ Barner</x:v>
      </x:c>
      <x:c r="E160" s="48" t="n">
        <x:v>70.12450665294148</x:v>
      </x:c>
      <x:c r="F160" s="116" t="str">
        <x:v>Deep TE stash; needs a larger route/target role to matter in 10-team leagues.</x:v>
      </x:c>
      <x:c r="G160" s="116" t="str">
        <x:v>He produced 8.7 PPR/FP points per game across 17 games. The workload/efficiency profile gives the model a rate-based reason to keep him here. Market price is favorable around ADP 224 versus model overall rank 156.</x:v>
      </x:c>
      <x:c r="H160" s="116" t="str">
        <x:v>Route share, target volume and touchdown volatility are the main swing factors.</x:v>
      </x:c>
      <x:c r="I160" s="48" t="n">
        <x:v>224</x:v>
      </x:c>
      <x:c r="J160" s="116" t="n">
        <x:v>68</x:v>
      </x:c>
      <x:c r="K160" t="str">
        <x:v>A</x:v>
      </x:c>
      <x:c r="L160" t="str">
        <x:v>RATE-ADJUSTED VETERAN</x:v>
      </x:c>
    </x:row>
    <x:row r="161">
      <x:c r="A161" t="n">
        <x:v>157</x:v>
      </x:c>
      <x:c r="B161" t="str">
        <x:v>QB</x:v>
      </x:c>
      <x:c r="C161" t="n">
        <x:v>22</x:v>
      </x:c>
      <x:c r="D161" s="48" t="str">
        <x:v>Sam Darnold</x:v>
      </x:c>
      <x:c r="E161" s="48" t="n">
        <x:v>75.55416867822036</x:v>
      </x:c>
      <x:c r="F161" s="116" t="str">
        <x:v>Bench/streaming option; needs matchup, rushing or TD spike weeks.</x:v>
      </x:c>
      <x:c r="G161" s="116" t="str">
        <x:v>He produced 14.7 PPR/FP points per game across 17 games. The workload/efficiency profile gives the model a rate-based reason to keep him here. Market price is favorable around ADP 190 versus model overall rank 157.</x:v>
      </x:c>
      <x:c r="H161" s="116" t="str">
        <x:v>Passing-TD efficiency, rushing volume and supporting-cast health are the main swing factors.</x:v>
      </x:c>
      <x:c r="I161" s="48" t="n">
        <x:v>190</x:v>
      </x:c>
      <x:c r="J161" s="116" t="n">
        <x:v>33</x:v>
      </x:c>
      <x:c r="K161" t="str">
        <x:v>A</x:v>
      </x:c>
      <x:c r="L161" t="str">
        <x:v>RATE-ADJUSTED VETERAN</x:v>
      </x:c>
    </x:row>
    <x:row r="162">
      <x:c r="A162" t="n">
        <x:v>158</x:v>
      </x:c>
      <x:c r="B162" t="str">
        <x:v>QB</x:v>
      </x:c>
      <x:c r="C162" t="n">
        <x:v>23</x:v>
      </x:c>
      <x:c r="D162" s="48" t="str">
        <x:v>Daniel Jones</x:v>
      </x:c>
      <x:c r="E162" s="48" t="n">
        <x:v>74.79037310491178</x:v>
      </x:c>
      <x:c r="F162" s="116" t="str">
        <x:v>Bench/streaming option; needs matchup, rushing or TD spike weeks.</x:v>
      </x:c>
      <x:c r="G162" s="116" t="str">
        <x:v>He produced 18.0 PPR/FP points per game across 13 games. The workload/efficiency profile gives the model a rate-based reason to keep him here. Market price is favorable around ADP 198 versus model overall rank 158.</x:v>
      </x:c>
      <x:c r="H162" s="116" t="str">
        <x:v>Passing-TD efficiency, rushing volume and supporting-cast health are the main swing factors.</x:v>
      </x:c>
      <x:c r="I162" s="48" t="n">
        <x:v>198</x:v>
      </x:c>
      <x:c r="J162" s="116" t="n">
        <x:v>40</x:v>
      </x:c>
      <x:c r="K162" t="str">
        <x:v>A</x:v>
      </x:c>
      <x:c r="L162" t="str">
        <x:v>RATE-ADJUSTED VETERAN</x:v>
      </x:c>
    </x:row>
    <x:row r="163">
      <x:c r="A163" t="n">
        <x:v>159</x:v>
      </x:c>
      <x:c r="B163" t="str">
        <x:v>WR</x:v>
      </x:c>
      <x:c r="C163" t="n">
        <x:v>47</x:v>
      </x:c>
      <x:c r="D163" s="48" t="str">
        <x:v>Matthew Golden</x:v>
      </x:c>
      <x:c r="E163" s="48" t="n">
        <x:v>67.50999999999999</x:v>
      </x:c>
      <x:c r="F163" s="116" t="str">
        <x:v>FLEX/bench receiver; needs target growth or efficiency spikes.</x:v>
      </x:c>
      <x:c r="G163" s="116" t="str">
        <x:v>The 2026 opportunity and projection carry most of the grade because detailed 2025 rate data is incomplete. Market price is favorable around ADP 186 versus model overall rank 159.</x:v>
      </x:c>
      <x:c r="H163" s="116" t="str">
        <x:v>Evidence is thinner than for established veterans, so camp, depth-chart and role news can move the grade materially.</x:v>
      </x:c>
      <x:c r="I163" s="48" t="n">
        <x:v>186.29999999999998</x:v>
      </x:c>
      <x:c r="J163" s="116" t="n">
        <x:v>27.299999999999983</x:v>
      </x:c>
      <x:c r="K163" t="str">
        <x:v>C</x:v>
      </x:c>
      <x:c r="L163" t="str">
        <x:v>HISTORY FALLBACK</x:v>
      </x:c>
    </x:row>
    <x:row r="164">
      <x:c r="A164" t="n">
        <x:v>160</x:v>
      </x:c>
      <x:c r="B164" t="str">
        <x:v>QB</x:v>
      </x:c>
      <x:c r="C164" t="n">
        <x:v>24</x:v>
      </x:c>
      <x:c r="D164" s="48" t="str">
        <x:v>Malik Willis</x:v>
      </x:c>
      <x:c r="E164" s="48" t="n">
        <x:v>74.24027225755167</x:v>
      </x:c>
      <x:c r="F164" s="116" t="str">
        <x:v>Bench/streaming option; needs matchup, rushing or TD spike weeks.</x:v>
      </x:c>
      <x:c r="G164" s="116" t="str">
        <x:v>He produced 12.8 PPR/FP points per game across 4 games. The workload/efficiency profile gives the model a rate-based reason to keep him here. Market price is favorable around ADP 206 versus model overall rank 160.</x:v>
      </x:c>
      <x:c r="H164" s="116" t="str">
        <x:v>Availability/sample risk is elevated after only 4 games; talent is not being punished as heavily as durability.</x:v>
      </x:c>
      <x:c r="I164" s="48" t="n">
        <x:v>206</x:v>
      </x:c>
      <x:c r="J164" s="116" t="n">
        <x:v>46</x:v>
      </x:c>
      <x:c r="K164" t="str">
        <x:v>B</x:v>
      </x:c>
      <x:c r="L164" t="str">
        <x:v>RATE-ADJUSTED VETERAN</x:v>
      </x:c>
    </x:row>
    <x:row r="165">
      <x:c r="A165" t="n">
        <x:v>161</x:v>
      </x:c>
      <x:c r="B165" t="str">
        <x:v>DST</x:v>
      </x:c>
      <x:c r="C165" t="n">
        <x:v>12</x:v>
      </x:c>
      <x:c r="D165" s="48" t="str">
        <x:v>Green Bay Packers</x:v>
      </x:c>
      <x:c r="E165" s="48" t="n">
        <x:v>80.9</x:v>
      </x:c>
      <x:c r="F165" s="116" t="str">
        <x:v>Streaming/late-round defense; matchup matters more than preseason rank.</x:v>
      </x:c>
      <x:c r="G165" s="116" t="str">
        <x:v>The unit grades well relative to the current DST pool, but the model intentionally keeps defense behind core skill positions.</x:v>
      </x:c>
      <x:c r="H165" s="116" t="str">
        <x:v>DST scoring is highly opponent- and turnover-dependent, making season-long rank fragile.</x:v>
      </x:c>
      <x:c r="I165" s="48" t="n">
        <x:v>204</x:v>
      </x:c>
      <x:c r="J165" s="116" t="n">
        <x:v>43</x:v>
      </x:c>
      <x:c r="K165" t="str">
        <x:v>B</x:v>
      </x:c>
      <x:c r="L165" t="str">
        <x:v>DST MODEL</x:v>
      </x:c>
    </x:row>
    <x:row r="166">
      <x:c r="A166" t="n">
        <x:v>162</x:v>
      </x:c>
      <x:c r="B166" t="str">
        <x:v>WR</x:v>
      </x:c>
      <x:c r="C166" t="n">
        <x:v>49</x:v>
      </x:c>
      <x:c r="D166" s="48" t="str">
        <x:v>Josh Downs</x:v>
      </x:c>
      <x:c r="E166" s="48" t="n">
        <x:v>66.84</x:v>
      </x:c>
      <x:c r="F166" s="116" t="str">
        <x:v>FLEX/bench receiver; needs target growth or efficiency spikes.</x:v>
      </x:c>
      <x:c r="G166" s="116" t="str">
        <x:v>He produced 8.5 PPR/FP points per game across 16 games. The workload/efficiency profile gives the model a rate-based reason to keep him here. Market price is favorable around ADP 190 versus model overall rank 162.</x:v>
      </x:c>
      <x:c r="H166" s="116" t="str">
        <x:v>Target competition, quarterback efficiency and touchdown regression are the main downside paths.</x:v>
      </x:c>
      <x:c r="I166" s="48" t="n">
        <x:v>190.2</x:v>
      </x:c>
      <x:c r="J166" s="116" t="n">
        <x:v>28.19999999999999</x:v>
      </x:c>
      <x:c r="K166" t="str">
        <x:v>A</x:v>
      </x:c>
      <x:c r="L166" t="str">
        <x:v>RATE-ADJUSTED VETERAN</x:v>
      </x:c>
    </x:row>
    <x:row r="167">
      <x:c r="A167" t="n">
        <x:v>163</x:v>
      </x:c>
      <x:c r="B167" t="str">
        <x:v>QB</x:v>
      </x:c>
      <x:c r="C167" t="n">
        <x:v>25</x:v>
      </x:c>
      <x:c r="D167" s="48" t="str">
        <x:v>Bryce Young</x:v>
      </x:c>
      <x:c r="E167" s="48" t="n">
        <x:v>72.79764579957634</x:v>
      </x:c>
      <x:c r="F167" s="116" t="str">
        <x:v>Deep QB2; waiver-level in a normal 10-team format.</x:v>
      </x:c>
      <x:c r="G167" s="116" t="str">
        <x:v>He produced 14.3 PPR/FP points per game across 16 games. The workload/efficiency profile gives the model a rate-based reason to keep him here. Market price is favorable around ADP 214 versus model overall rank 163.</x:v>
      </x:c>
      <x:c r="H167" s="116" t="str">
        <x:v>Passing-TD efficiency, rushing volume and supporting-cast health are the main swing factors.</x:v>
      </x:c>
      <x:c r="I167" s="48" t="n">
        <x:v>214</x:v>
      </x:c>
      <x:c r="J167" s="116" t="n">
        <x:v>51</x:v>
      </x:c>
      <x:c r="K167" t="str">
        <x:v>A</x:v>
      </x:c>
      <x:c r="L167" t="str">
        <x:v>RATE-ADJUSTED VETERAN</x:v>
      </x:c>
    </x:row>
    <x:row r="168">
      <x:c r="A168" t="n">
        <x:v>164</x:v>
      </x:c>
      <x:c r="B168" t="str">
        <x:v>QB</x:v>
      </x:c>
      <x:c r="C168" t="n">
        <x:v>26</x:v>
      </x:c>
      <x:c r="D168" s="48" t="str">
        <x:v>Cam Ward</x:v>
      </x:c>
      <x:c r="E168" s="48" t="n">
        <x:v>72.66457683651541</x:v>
      </x:c>
      <x:c r="F168" s="116" t="str">
        <x:v>Deep QB2; waiver-level in a normal 10-team format.</x:v>
      </x:c>
      <x:c r="G168" s="116" t="str">
        <x:v>He produced 11.4 PPR/FP points per game across 17 games. The workload/efficiency profile gives the model a rate-based reason to keep him here. Market price is favorable around ADP 222 versus model overall rank 164.</x:v>
      </x:c>
      <x:c r="H168" s="116" t="str">
        <x:v>Passing-TD efficiency, rushing volume and supporting-cast health are the main swing factors.</x:v>
      </x:c>
      <x:c r="I168" s="48" t="n">
        <x:v>222</x:v>
      </x:c>
      <x:c r="J168" s="116" t="n">
        <x:v>58</x:v>
      </x:c>
      <x:c r="K168" t="str">
        <x:v>A</x:v>
      </x:c>
      <x:c r="L168" t="str">
        <x:v>RATE-ADJUSTED VETERAN</x:v>
      </x:c>
    </x:row>
    <x:row r="169">
      <x:c r="A169" t="n">
        <x:v>165</x:v>
      </x:c>
      <x:c r="B169" t="str">
        <x:v>TE</x:v>
      </x:c>
      <x:c r="C169" t="n">
        <x:v>25</x:v>
      </x:c>
      <x:c r="D169" s="48" t="str">
        <x:v>Cade Otton</x:v>
      </x:c>
      <x:c r="E169" s="48" t="n">
        <x:v>66.64902120836972</x:v>
      </x:c>
      <x:c r="F169" s="116" t="str">
        <x:v>Deep TE stash; needs a larger route/target role to matter in 10-team leagues.</x:v>
      </x:c>
      <x:c r="G169" s="116" t="str">
        <x:v>He produced 7.6 PPR/FP points per game across 16 games. The workload/efficiency profile gives the model a rate-based reason to keep him here. Market price is favorable around ADP 233 versus model overall rank 165.</x:v>
      </x:c>
      <x:c r="H169" s="116" t="str">
        <x:v>Route share, target volume and touchdown volatility are the main swing factors.</x:v>
      </x:c>
      <x:c r="I169" s="48" t="n">
        <x:v>233</x:v>
      </x:c>
      <x:c r="J169" s="116" t="n">
        <x:v>68</x:v>
      </x:c>
      <x:c r="K169" t="str">
        <x:v>A</x:v>
      </x:c>
      <x:c r="L169" t="str">
        <x:v>RATE-ADJUSTED VETERAN</x:v>
      </x:c>
    </x:row>
    <x:row r="170">
      <x:c r="A170" t="n">
        <x:v>166</x:v>
      </x:c>
      <x:c r="B170" t="str">
        <x:v>TE</x:v>
      </x:c>
      <x:c r="C170" t="n">
        <x:v>26</x:v>
      </x:c>
      <x:c r="D170" s="48" t="str">
        <x:v>Gunnar Helm</x:v>
      </x:c>
      <x:c r="E170" s="48" t="n">
        <x:v>66.62233998586467</x:v>
      </x:c>
      <x:c r="F170" s="116" t="str">
        <x:v>Deep TE stash; needs a larger route/target role to matter in 10-team leagues.</x:v>
      </x:c>
      <x:c r="G170" s="116" t="str">
        <x:v>He produced 5.8 PPR/FP points per game across 16 games. The workload/efficiency profile gives the model a rate-based reason to keep him here. Market price is favorable around ADP 242 versus model overall rank 166.</x:v>
      </x:c>
      <x:c r="H170" s="116" t="str">
        <x:v>Route share, target volume and touchdown volatility are the main swing factors.</x:v>
      </x:c>
      <x:c r="I170" s="48" t="n">
        <x:v>242</x:v>
      </x:c>
      <x:c r="J170" s="116" t="n">
        <x:v>76</x:v>
      </x:c>
      <x:c r="K170" t="str">
        <x:v>A</x:v>
      </x:c>
      <x:c r="L170" t="str">
        <x:v>RATE-ADJUSTED VETERAN</x:v>
      </x:c>
    </x:row>
    <x:row r="171">
      <x:c r="A171" t="n">
        <x:v>167</x:v>
      </x:c>
      <x:c r="B171" t="str">
        <x:v>WR</x:v>
      </x:c>
      <x:c r="C171" t="n">
        <x:v>50</x:v>
      </x:c>
      <x:c r="D171" s="48" t="str">
        <x:v>Jayden Reed</x:v>
      </x:c>
      <x:c r="E171" s="48" t="n">
        <x:v>66.16999999999999</x:v>
      </x:c>
      <x:c r="F171" s="116" t="str">
        <x:v>FLEX/bench receiver; needs target growth or efficiency spikes.</x:v>
      </x:c>
      <x:c r="G171" s="116" t="str">
        <x:v>The 2026 opportunity and projection carry most of the grade because detailed 2025 rate data is incomplete. Market price is favorable around ADP 194 versus model overall rank 167.</x:v>
      </x:c>
      <x:c r="H171" s="116" t="str">
        <x:v>Evidence is thinner than for established veterans, so camp, depth-chart and role news can move the grade materially.</x:v>
      </x:c>
      <x:c r="I171" s="48" t="n">
        <x:v>194.1</x:v>
      </x:c>
      <x:c r="J171" s="116" t="n">
        <x:v>27.099999999999994</x:v>
      </x:c>
      <x:c r="K171" t="str">
        <x:v>C</x:v>
      </x:c>
      <x:c r="L171" t="str">
        <x:v>HISTORY FALLBACK</x:v>
      </x:c>
    </x:row>
    <x:row r="172">
      <x:c r="A172" t="n">
        <x:v>168</x:v>
      </x:c>
      <x:c r="B172" t="str">
        <x:v>RB</x:v>
      </x:c>
      <x:c r="C172" t="n">
        <x:v>44</x:v>
      </x:c>
      <x:c r="D172" s="48" t="str">
        <x:v>Tyler Allgeier</x:v>
      </x:c>
      <x:c r="E172" s="48" t="n">
        <x:v>63.03217197650326</x:v>
      </x:c>
      <x:c r="F172" s="116" t="str">
        <x:v>Bench stash/handcuff profile; value is tied to role change or injury ahead.</x:v>
      </x:c>
      <x:c r="G172" s="116" t="str">
        <x:v>He produced 7.2 PPR/FP points per game across 17 games. The workload/efficiency profile gives the model a rate-based reason to keep him here. Market price is favorable around ADP 183 versus model overall rank 168.</x:v>
      </x:c>
      <x:c r="H172" s="116" t="str">
        <x:v>Touchdown variance, receiving-role changes and backfield competition are the main downside paths.</x:v>
      </x:c>
      <x:c r="I172" s="48" t="n">
        <x:v>182.6</x:v>
      </x:c>
      <x:c r="J172" s="116" t="n">
        <x:v>14.599999999999994</x:v>
      </x:c>
      <x:c r="K172" t="str">
        <x:v>A</x:v>
      </x:c>
      <x:c r="L172" t="str">
        <x:v>RATE-ADJUSTED VETERAN</x:v>
      </x:c>
    </x:row>
    <x:row r="173">
      <x:c r="A173" t="n">
        <x:v>169</x:v>
      </x:c>
      <x:c r="B173" t="str">
        <x:v>QB</x:v>
      </x:c>
      <x:c r="C173" t="n">
        <x:v>27</x:v>
      </x:c>
      <x:c r="D173" s="48" t="str">
        <x:v>Jacoby Brissett</x:v>
      </x:c>
      <x:c r="E173" s="48" t="n">
        <x:v>71.3334204764594</x:v>
      </x:c>
      <x:c r="F173" s="116" t="str">
        <x:v>Deep QB2; waiver-level in a normal 10-team format.</x:v>
      </x:c>
      <x:c r="G173" s="116" t="str">
        <x:v>He produced 16.8 PPR/FP points per game across 14 games. The workload/efficiency profile gives the model a rate-based reason to keep him here. Market price is favorable around ADP 230 versus model overall rank 169.</x:v>
      </x:c>
      <x:c r="H173" s="116" t="str">
        <x:v>Passing-TD efficiency, rushing volume and supporting-cast health are the main swing factors.</x:v>
      </x:c>
      <x:c r="I173" s="48" t="n">
        <x:v>230</x:v>
      </x:c>
      <x:c r="J173" s="116" t="n">
        <x:v>61</x:v>
      </x:c>
      <x:c r="K173" t="str">
        <x:v>A</x:v>
      </x:c>
      <x:c r="L173" t="str">
        <x:v>RATE-ADJUSTED VETERAN</x:v>
      </x:c>
    </x:row>
    <x:row r="174">
      <x:c r="A174" t="n">
        <x:v>170</x:v>
      </x:c>
      <x:c r="B174" t="str">
        <x:v>QB</x:v>
      </x:c>
      <x:c r="C174" t="n">
        <x:v>28</x:v>
      </x:c>
      <x:c r="D174" s="48" t="str">
        <x:v>Geno Smith</x:v>
      </x:c>
      <x:c r="E174" s="48" t="n">
        <x:v>71.09857323143055</x:v>
      </x:c>
      <x:c r="F174" s="116" t="str">
        <x:v>Deep QB2; waiver-level in a normal 10-team format.</x:v>
      </x:c>
      <x:c r="G174" s="116" t="str">
        <x:v>He produced 12.7 PPR/FP points per game across 15 games. The workload/efficiency profile gives the model a rate-based reason to keep him here. Market price is favorable around ADP 238 versus model overall rank 170.</x:v>
      </x:c>
      <x:c r="H174" s="116" t="str">
        <x:v>Passing-TD efficiency, rushing volume and supporting-cast health are the main swing factors.</x:v>
      </x:c>
      <x:c r="I174" s="48" t="n">
        <x:v>238</x:v>
      </x:c>
      <x:c r="J174" s="116" t="n">
        <x:v>68</x:v>
      </x:c>
      <x:c r="K174" t="str">
        <x:v>A</x:v>
      </x:c>
      <x:c r="L174" t="str">
        <x:v>RATE-ADJUSTED VETERAN</x:v>
      </x:c>
    </x:row>
    <x:row r="175">
      <x:c r="A175" t="n">
        <x:v>171</x:v>
      </x:c>
      <x:c r="B175" t="str">
        <x:v>WR</x:v>
      </x:c>
      <x:c r="C175" t="n">
        <x:v>51</x:v>
      </x:c>
      <x:c r="D175" s="48" t="str">
        <x:v>Khalil Shakir</x:v>
      </x:c>
      <x:c r="E175" s="48" t="n">
        <x:v>65.5</x:v>
      </x:c>
      <x:c r="F175" s="116" t="str">
        <x:v>Late-round bench upside; role growth is required for weekly relevance.</x:v>
      </x:c>
      <x:c r="G175" s="116" t="str">
        <x:v>He produced 10.4 PPR/FP points per game across 16 games. The workload/efficiency profile gives the model a rate-based reason to keep him here. Market price is favorable around ADP 198 versus model overall rank 171.</x:v>
      </x:c>
      <x:c r="H175" s="116" t="str">
        <x:v>Target competition, quarterback efficiency and touchdown regression are the main downside paths.</x:v>
      </x:c>
      <x:c r="I175" s="48" t="n">
        <x:v>198</x:v>
      </x:c>
      <x:c r="J175" s="116" t="n">
        <x:v>27</x:v>
      </x:c>
      <x:c r="K175" t="str">
        <x:v>A</x:v>
      </x:c>
      <x:c r="L175" t="str">
        <x:v>RATE-ADJUSTED VETERAN</x:v>
      </x:c>
    </x:row>
    <x:row r="176">
      <x:c r="A176" t="n">
        <x:v>172</x:v>
      </x:c>
      <x:c r="B176" t="str">
        <x:v>QB</x:v>
      </x:c>
      <x:c r="C176" t="n">
        <x:v>29</x:v>
      </x:c>
      <x:c r="D176" s="48" t="str">
        <x:v>Aaron Rodgers</x:v>
      </x:c>
      <x:c r="E176" s="48" t="n">
        <x:v>70.88484375797985</x:v>
      </x:c>
      <x:c r="F176" s="116" t="str">
        <x:v>Deep QB2; waiver-level in a normal 10-team format.</x:v>
      </x:c>
      <x:c r="G176" s="116" t="str">
        <x:v>He produced 14.6 PPR/FP points per game across 16 games. The workload/efficiency profile gives the model a rate-based reason to keep him here. Market price is favorable around ADP 246 versus model overall rank 172.</x:v>
      </x:c>
      <x:c r="H176" s="116" t="str">
        <x:v>Passing-TD efficiency, rushing volume and supporting-cast health are the main swing factors.</x:v>
      </x:c>
      <x:c r="I176" s="48" t="n">
        <x:v>246</x:v>
      </x:c>
      <x:c r="J176" s="116" t="n">
        <x:v>74</x:v>
      </x:c>
      <x:c r="K176" t="str">
        <x:v>A</x:v>
      </x:c>
      <x:c r="L176" t="str">
        <x:v>RATE-ADJUSTED VETERAN</x:v>
      </x:c>
    </x:row>
    <x:row r="177">
      <x:c r="A177" t="n">
        <x:v>173</x:v>
      </x:c>
      <x:c r="B177" t="str">
        <x:v>RB</x:v>
      </x:c>
      <x:c r="C177" t="n">
        <x:v>45</x:v>
      </x:c>
      <x:c r="D177" s="48" t="str">
        <x:v>Zach Charbonnet</x:v>
      </x:c>
      <x:c r="E177" s="48" t="n">
        <x:v>62.5498230438228</x:v>
      </x:c>
      <x:c r="F177" s="116" t="str">
        <x:v>Bench stash/handcuff profile; value is tied to role change or injury ahead.</x:v>
      </x:c>
      <x:c r="G177" s="116" t="str">
        <x:v>He produced 11.3 PPR/FP points per game across 16 games. The workload/efficiency profile gives the model a rate-based reason to keep him here. Market price is favorable around ADP 187 versus model overall rank 173.</x:v>
      </x:c>
      <x:c r="H177" s="116" t="str">
        <x:v>Touchdown variance, receiving-role changes and backfield competition are the main downside paths.</x:v>
      </x:c>
      <x:c r="I177" s="48" t="n">
        <x:v>186.8</x:v>
      </x:c>
      <x:c r="J177" s="116" t="n">
        <x:v>13.800000000000011</x:v>
      </x:c>
      <x:c r="K177" t="str">
        <x:v>A</x:v>
      </x:c>
      <x:c r="L177" t="str">
        <x:v>RATE-ADJUSTED VETERAN</x:v>
      </x:c>
    </x:row>
    <x:row r="178">
      <x:c r="A178" t="n">
        <x:v>174</x:v>
      </x:c>
      <x:c r="B178" t="str">
        <x:v>WR</x:v>
      </x:c>
      <x:c r="C178" t="n">
        <x:v>52</x:v>
      </x:c>
      <x:c r="D178" s="48" t="str">
        <x:v>Jalin Hyatt</x:v>
      </x:c>
      <x:c r="E178" s="48" t="n">
        <x:v>64.83</x:v>
      </x:c>
      <x:c r="F178" s="116" t="str">
        <x:v>Late-round bench upside; role growth is required for weekly relevance.</x:v>
      </x:c>
      <x:c r="G178" s="116" t="str">
        <x:v>The 2026 opportunity and projection carry most of the grade because detailed 2025 rate data is incomplete. Market price is favorable around ADP 202 versus model overall rank 174.</x:v>
      </x:c>
      <x:c r="H178" s="116" t="str">
        <x:v>Evidence is thinner than for established veterans, so camp, depth-chart and role news can move the grade materially.</x:v>
      </x:c>
      <x:c r="I178" s="48" t="n">
        <x:v>201.9</x:v>
      </x:c>
      <x:c r="J178" s="116" t="n">
        <x:v>27.900000000000006</x:v>
      </x:c>
      <x:c r="K178" t="str">
        <x:v>C</x:v>
      </x:c>
      <x:c r="L178" t="str">
        <x:v>HISTORY FALLBACK</x:v>
      </x:c>
    </x:row>
    <x:row r="179">
      <x:c r="A179" t="n">
        <x:v>175</x:v>
      </x:c>
      <x:c r="B179" t="str">
        <x:v>TE</x:v>
      </x:c>
      <x:c r="C179" t="n">
        <x:v>27</x:v>
      </x:c>
      <x:c r="D179" s="48" t="str">
        <x:v>Terrance Ferguson</x:v>
      </x:c>
      <x:c r="E179" s="48" t="n">
        <x:v>64.36205882352941</x:v>
      </x:c>
      <x:c r="F179" s="116" t="str">
        <x:v>Deep TE stash; needs a larger route/target role to matter in 10-team leagues.</x:v>
      </x:c>
      <x:c r="G179" s="116" t="str">
        <x:v>He produced 4.0 PPR/FP points per game across 13 games. The workload/efficiency profile gives the model a rate-based reason to keep him here. Market price is favorable around ADP 251 versus model overall rank 175.</x:v>
      </x:c>
      <x:c r="H179" s="116" t="str">
        <x:v>Route share, target volume and touchdown volatility are the main swing factors.</x:v>
      </x:c>
      <x:c r="I179" s="48" t="n">
        <x:v>251</x:v>
      </x:c>
      <x:c r="J179" s="116" t="n">
        <x:v>76</x:v>
      </x:c>
      <x:c r="K179" t="str">
        <x:v>A</x:v>
      </x:c>
      <x:c r="L179" t="str">
        <x:v>RATE-ADJUSTED VETERAN</x:v>
      </x:c>
    </x:row>
    <x:row r="180">
      <x:c r="A180" t="n">
        <x:v>176</x:v>
      </x:c>
      <x:c r="B180" t="str">
        <x:v>K</x:v>
      </x:c>
      <x:c r="C180" t="n">
        <x:v>11</x:v>
      </x:c>
      <x:c r="D180" s="48" t="str">
        <x:v>Andy Borregales</x:v>
      </x:c>
      <x:c r="E180" s="48" t="n">
        <x:v>72</x:v>
      </x:c>
      <x:c r="F180" s="116" t="str">
        <x:v>Late-round kicker; treat as replaceable unless scoring strongly rewards distance.</x:v>
      </x:c>
      <x:c r="G180" s="116" t="str">
        <x:v>Ranks near the top of the current kicker pool, but kicker week-to-week separation is small in a 10-team league.</x:v>
      </x:c>
      <x:c r="H180" s="116" t="str">
        <x:v>Kicker scoring is volatile and replaceable on waivers; do not pay meaningful draft capital.</x:v>
      </x:c>
      <x:c r="I180" s="48" t="n">
        <x:v>205</x:v>
      </x:c>
      <x:c r="J180" s="116" t="n">
        <x:v>29</x:v>
      </x:c>
      <x:c r="K180" t="str">
        <x:v>B</x:v>
      </x:c>
      <x:c r="L180" t="str">
        <x:v>KICKER MODEL</x:v>
      </x:c>
    </x:row>
    <x:row r="181">
      <x:c r="A181" t="n">
        <x:v>177</x:v>
      </x:c>
      <x:c r="B181" t="str">
        <x:v>RB</x:v>
      </x:c>
      <x:c r="C181" t="n">
        <x:v>46</x:v>
      </x:c>
      <x:c r="D181" s="48" t="str">
        <x:v>Jonathon Brooks</x:v>
      </x:c>
      <x:c r="E181" s="48" t="n">
        <x:v>62.199999999999996</x:v>
      </x:c>
      <x:c r="F181" s="116" t="str">
        <x:v>Bench stash/handcuff profile; value is tied to role change or injury ahead.</x:v>
      </x:c>
      <x:c r="G181" s="116" t="str">
        <x:v>The 2026 opportunity and projection carry most of the grade because detailed 2025 rate data is incomplete. Market price is favorable around ADP 191 versus model overall rank 177.</x:v>
      </x:c>
      <x:c r="H181" s="116" t="str">
        <x:v>Evidence is thinner than for established veterans, so camp, depth-chart and role news can move the grade materially.</x:v>
      </x:c>
      <x:c r="I181" s="48" t="n">
        <x:v>191</x:v>
      </x:c>
      <x:c r="J181" s="116" t="n">
        <x:v>14</x:v>
      </x:c>
      <x:c r="K181" t="str">
        <x:v>C</x:v>
      </x:c>
      <x:c r="L181" t="str">
        <x:v>HISTORY FALLBACK</x:v>
      </x:c>
    </x:row>
    <x:row r="182">
      <x:c r="A182" t="n">
        <x:v>178</x:v>
      </x:c>
      <x:c r="B182" t="str">
        <x:v>WR</x:v>
      </x:c>
      <x:c r="C182" t="n">
        <x:v>53</x:v>
      </x:c>
      <x:c r="D182" s="48" t="str">
        <x:v>Romeo Doubs</x:v>
      </x:c>
      <x:c r="E182" s="48" t="n">
        <x:v>64.16</x:v>
      </x:c>
      <x:c r="F182" s="116" t="str">
        <x:v>Late-round bench upside; role growth is required for weekly relevance.</x:v>
      </x:c>
      <x:c r="G182" s="116" t="str">
        <x:v>He produced 10.3 PPR/FP points per game across 16 games. The workload/efficiency profile gives the model a rate-based reason to keep him here. Market price is favorable around ADP 206 versus model overall rank 178.</x:v>
      </x:c>
      <x:c r="H182" s="116" t="str">
        <x:v>Target competition, quarterback efficiency and touchdown regression are the main downside paths.</x:v>
      </x:c>
      <x:c r="I182" s="48" t="n">
        <x:v>205.79999999999998</x:v>
      </x:c>
      <x:c r="J182" s="116" t="n">
        <x:v>27.799999999999983</x:v>
      </x:c>
      <x:c r="K182" t="str">
        <x:v>A</x:v>
      </x:c>
      <x:c r="L182" t="str">
        <x:v>RATE-ADJUSTED VETERAN</x:v>
      </x:c>
    </x:row>
    <x:row r="183">
      <x:c r="A183" t="n">
        <x:v>179</x:v>
      </x:c>
      <x:c r="B183" t="str">
        <x:v>WR</x:v>
      </x:c>
      <x:c r="C183" t="n">
        <x:v>54</x:v>
      </x:c>
      <x:c r="D183" s="48" t="str">
        <x:v>Jalen Coker</x:v>
      </x:c>
      <x:c r="E183" s="48" t="n">
        <x:v>63.489999999999995</x:v>
      </x:c>
      <x:c r="F183" s="116" t="str">
        <x:v>Late-round bench upside; role growth is required for weekly relevance.</x:v>
      </x:c>
      <x:c r="G183" s="116" t="str">
        <x:v>He produced 8.2 PPR/FP points per game across 11 games. The workload/efficiency profile gives the model a rate-based reason to keep him here. Market price is favorable around ADP 210 versus model overall rank 179.</x:v>
      </x:c>
      <x:c r="H183" s="116" t="str">
        <x:v>Target competition, quarterback efficiency and touchdown regression are the main downside paths.</x:v>
      </x:c>
      <x:c r="I183" s="48" t="n">
        <x:v>209.7</x:v>
      </x:c>
      <x:c r="J183" s="116" t="n">
        <x:v>30.69999999999999</x:v>
      </x:c>
      <x:c r="K183" t="str">
        <x:v>B</x:v>
      </x:c>
      <x:c r="L183" t="str">
        <x:v>RATE-ADJUSTED VETERAN</x:v>
      </x:c>
    </x:row>
    <x:row r="184">
      <x:c r="A184" t="n">
        <x:v>180</x:v>
      </x:c>
      <x:c r="B184" t="str">
        <x:v>RB</x:v>
      </x:c>
      <x:c r="C184" t="n">
        <x:v>47</x:v>
      </x:c>
      <x:c r="D184" t="str">
        <x:v>Emanuel Wilson</x:v>
      </x:c>
      <x:c r="E184" s="48" t="n">
        <x:v>61.982145601653485</x:v>
      </x:c>
      <x:c r="F184" s="116" t="str">
        <x:v>Bench stash/handcuff profile; value is tied to role change or injury ahead.</x:v>
      </x:c>
      <x:c r="G184" s="116" t="str">
        <x:v>He produced 5.6 PPR/FP points per game across 17 games. The workload/efficiency profile gives the model a rate-based reason to keep him here. Market price is favorable around ADP 195 versus model overall rank 180.</x:v>
      </x:c>
      <x:c r="H184" s="116" t="str">
        <x:v>Touchdown variance, receiving-role changes and backfield competition are the main downside paths.</x:v>
      </x:c>
      <x:c r="I184" s="48" t="n">
        <x:v>195.20000000000002</x:v>
      </x:c>
      <x:c r="J184" s="48" t="n">
        <x:v>15.200000000000017</x:v>
      </x:c>
      <x:c r="K184" t="str">
        <x:v>A</x:v>
      </x:c>
      <x:c r="L184" t="str">
        <x:v>RATE-ADJUSTED VETERAN</x:v>
      </x:c>
    </x:row>
    <x:row r="185">
      <x:c r="A185" t="n">
        <x:v>181</x:v>
      </x:c>
      <x:c r="B185" t="str">
        <x:v>WR</x:v>
      </x:c>
      <x:c r="C185" t="n">
        <x:v>55</x:v>
      </x:c>
      <x:c r="D185" t="str">
        <x:v>KC Concepcion</x:v>
      </x:c>
      <x:c r="E185" s="48" t="n">
        <x:v>62.82</x:v>
      </x:c>
      <x:c r="F185" s="116" t="str">
        <x:v>Late-round bench upside; role growth is required for weekly relevance.</x:v>
      </x:c>
      <x:c r="G185" s="116" t="str">
        <x:v>Rookie score 85.3, backed by No. 24 draft capital and a 6.42 NFL prospect grade. The 2026 role projection is strong enough to replace missing NFL history. Market price is favorable around ADP 214 versus model overall rank 181.</x:v>
      </x:c>
      <x:c r="H185" s="116" t="str">
        <x:v>NFL translation and exact weekly role are the main variables; preseason first-team usage can move this rating quickly.</x:v>
      </x:c>
      <x:c r="I185" s="48" t="n">
        <x:v>213.6</x:v>
      </x:c>
      <x:c r="J185" s="48" t="n">
        <x:v>32.599999999999994</x:v>
      </x:c>
      <x:c r="K185" t="str">
        <x:v>B</x:v>
      </x:c>
      <x:c r="L185" t="str">
        <x:v>ROOKIE ENGINE</x:v>
      </x:c>
    </x:row>
    <x:row r="186">
      <x:c r="A186" t="n">
        <x:v>182</x:v>
      </x:c>
      <x:c r="B186" t="str">
        <x:v>DST</x:v>
      </x:c>
      <x:c r="C186" t="n">
        <x:v>13</x:v>
      </x:c>
      <x:c r="D186" t="str">
        <x:v>Detroit Lions</x:v>
      </x:c>
      <x:c r="E186" s="48" t="n">
        <x:v>79.8</x:v>
      </x:c>
      <x:c r="F186" s="116" t="str">
        <x:v>Streaming/late-round defense; matchup matters more than preseason rank.</x:v>
      </x:c>
      <x:c r="G186" s="116" t="str">
        <x:v>The unit grades well relative to the current DST pool, but the model intentionally keeps defense behind core skill positions.</x:v>
      </x:c>
      <x:c r="H186" s="116" t="str">
        <x:v>DST scoring is highly opponent- and turnover-dependent, making season-long rank fragile.</x:v>
      </x:c>
      <x:c r="I186" s="48" t="n">
        <x:v>208</x:v>
      </x:c>
      <x:c r="J186" s="48" t="n">
        <x:v>26</x:v>
      </x:c>
      <x:c r="K186" t="str">
        <x:v>B</x:v>
      </x:c>
      <x:c r="L186" t="str">
        <x:v>DST MODEL</x:v>
      </x:c>
    </x:row>
    <x:row r="187">
      <x:c r="A187" t="n">
        <x:v>183</x:v>
      </x:c>
      <x:c r="B187" t="str">
        <x:v>QB</x:v>
      </x:c>
      <x:c r="C187" t="n">
        <x:v>30</x:v>
      </x:c>
      <x:c r="D187" t="str">
        <x:v>Tua Tagovailoa</x:v>
      </x:c>
      <x:c r="E187" s="48" t="n">
        <x:v>67.85117431898288</x:v>
      </x:c>
      <x:c r="F187" s="116" t="str">
        <x:v>Deep QB2; waiver-level in a normal 10-team format.</x:v>
      </x:c>
      <x:c r="G187" s="116" t="str">
        <x:v>He produced 12.5 PPR/FP points per game across 14 games. The workload/efficiency profile gives the model a rate-based reason to keep him here. Market price is favorable around ADP 254 versus model overall rank 183.</x:v>
      </x:c>
      <x:c r="H187" s="116" t="str">
        <x:v>Passing-TD efficiency, rushing volume and supporting-cast health are the main swing factors.</x:v>
      </x:c>
      <x:c r="I187" s="48" t="n">
        <x:v>254</x:v>
      </x:c>
      <x:c r="J187" s="48" t="n">
        <x:v>71</x:v>
      </x:c>
      <x:c r="K187" t="str">
        <x:v>A</x:v>
      </x:c>
      <x:c r="L187" t="str">
        <x:v>RATE-ADJUSTED VETERAN</x:v>
      </x:c>
    </x:row>
    <x:row r="188">
      <x:c r="A188" t="n">
        <x:v>184</x:v>
      </x:c>
      <x:c r="B188" t="str">
        <x:v>WR</x:v>
      </x:c>
      <x:c r="C188" t="n">
        <x:v>56</x:v>
      </x:c>
      <x:c r="D188" t="str">
        <x:v>Rashid Shaheed</x:v>
      </x:c>
      <x:c r="E188" s="48" t="n">
        <x:v>62.15</x:v>
      </x:c>
      <x:c r="F188" s="116" t="str">
        <x:v>Late-round bench upside; role growth is required for weekly relevance.</x:v>
      </x:c>
      <x:c r="G188" s="116" t="str">
        <x:v>He produced 8.7 PPR/FP points per game across 18 games. The workload/efficiency profile gives the model a rate-based reason to keep him here. Market price is favorable around ADP 218 versus model overall rank 184.</x:v>
      </x:c>
      <x:c r="H188" s="116" t="str">
        <x:v>Target competition, quarterback efficiency and touchdown regression are the main downside paths.</x:v>
      </x:c>
      <x:c r="I188" s="48" t="n">
        <x:v>217.5</x:v>
      </x:c>
      <x:c r="J188" s="48" t="n">
        <x:v>33.5</x:v>
      </x:c>
      <x:c r="K188" t="str">
        <x:v>A</x:v>
      </x:c>
      <x:c r="L188" t="str">
        <x:v>RATE-ADJUSTED VETERAN</x:v>
      </x:c>
    </x:row>
    <x:row r="189">
      <x:c r="A189" t="n">
        <x:v>185</x:v>
      </x:c>
      <x:c r="B189" t="str">
        <x:v>WR</x:v>
      </x:c>
      <x:c r="C189" t="n">
        <x:v>57</x:v>
      </x:c>
      <x:c r="D189" t="str">
        <x:v>Calvin Ridley</x:v>
      </x:c>
      <x:c r="E189" s="48" t="n">
        <x:v>61.48</x:v>
      </x:c>
      <x:c r="F189" s="116" t="str">
        <x:v>Late-round bench upside; role growth is required for weekly relevance.</x:v>
      </x:c>
      <x:c r="G189" s="116" t="str">
        <x:v>The 2026 opportunity and projection carry most of the grade because detailed 2025 rate data is incomplete. Market price is favorable around ADP 221 versus model overall rank 185.</x:v>
      </x:c>
      <x:c r="H189" s="116" t="str">
        <x:v>Evidence is thinner than for established veterans, so camp, depth-chart and role news can move the grade materially.</x:v>
      </x:c>
      <x:c r="I189" s="48" t="n">
        <x:v>221.4</x:v>
      </x:c>
      <x:c r="J189" s="48" t="n">
        <x:v>36.400000000000006</x:v>
      </x:c>
      <x:c r="K189" t="str">
        <x:v>C</x:v>
      </x:c>
      <x:c r="L189" t="str">
        <x:v>HISTORY FALLBACK</x:v>
      </x:c>
    </x:row>
    <x:row r="190">
      <x:c r="A190" t="n">
        <x:v>186</x:v>
      </x:c>
      <x:c r="B190" t="str">
        <x:v>WR</x:v>
      </x:c>
      <x:c r="C190" t="n">
        <x:v>58</x:v>
      </x:c>
      <x:c r="D190" t="str">
        <x:v>Omar Cooper Jr.</x:v>
      </x:c>
      <x:c r="E190" s="48" t="n">
        <x:v>60.809999999999995</x:v>
      </x:c>
      <x:c r="F190" s="116" t="str">
        <x:v>Late-round bench upside; role growth is required for weekly relevance.</x:v>
      </x:c>
      <x:c r="G190" s="116" t="str">
        <x:v>Rookie score 82.1, backed by No. 30 draft capital and a 6.39 NFL prospect grade. The 2026 role projection is strong enough to replace missing NFL history. Market price is favorable around ADP 225 versus model overall rank 186.</x:v>
      </x:c>
      <x:c r="H190" s="116" t="str">
        <x:v>NFL translation and exact weekly role are the main variables; preseason first-team usage can move this rating quickly.</x:v>
      </x:c>
      <x:c r="I190" s="48" t="n">
        <x:v>225.29999999999998</x:v>
      </x:c>
      <x:c r="J190" s="48" t="n">
        <x:v>39.29999999999998</x:v>
      </x:c>
      <x:c r="K190" t="str">
        <x:v>B</x:v>
      </x:c>
      <x:c r="L190" t="str">
        <x:v>ROOKIE ENGINE</x:v>
      </x:c>
    </x:row>
    <x:row r="191">
      <x:c r="A191" t="n">
        <x:v>187</x:v>
      </x:c>
      <x:c r="B191" t="str">
        <x:v>RB</x:v>
      </x:c>
      <x:c r="C191" t="n">
        <x:v>48</x:v>
      </x:c>
      <x:c r="D191" t="str">
        <x:v>Isiah Pacheco</x:v>
      </x:c>
      <x:c r="E191" s="48" t="n">
        <x:v>60.00923076923077</x:v>
      </x:c>
      <x:c r="F191" s="116" t="str">
        <x:v>Bench stash/handcuff profile; value is tied to role change or injury ahead.</x:v>
      </x:c>
      <x:c r="G191" s="116" t="str">
        <x:v>The 2026 opportunity and projection carry most of the grade because detailed 2025 rate data is incomplete. Market price is favorable around ADP 199 versus model overall rank 187.</x:v>
      </x:c>
      <x:c r="H191" s="116" t="str">
        <x:v>Touchdown variance, receiving-role changes and backfield competition are the main downside paths.</x:v>
      </x:c>
      <x:c r="I191" s="48" t="n">
        <x:v>199.4</x:v>
      </x:c>
      <x:c r="J191" s="48" t="n">
        <x:v>12.400000000000006</x:v>
      </x:c>
      <x:c r="K191" t="str">
        <x:v>B</x:v>
      </x:c>
      <x:c r="L191" t="str">
        <x:v>HISTORY FALLBACK</x:v>
      </x:c>
    </x:row>
    <x:row r="192">
      <x:c r="A192" t="n">
        <x:v>188</x:v>
      </x:c>
      <x:c r="B192" t="str">
        <x:v>QB</x:v>
      </x:c>
      <x:c r="C192" t="n">
        <x:v>31</x:v>
      </x:c>
      <x:c r="D192" t="str">
        <x:v>Kirk Cousins</x:v>
      </x:c>
      <x:c r="E192" s="48" t="n">
        <x:v>65.79292388521264</x:v>
      </x:c>
      <x:c r="F192" s="116" t="str">
        <x:v>Deep QB2; waiver-level in a normal 10-team format.</x:v>
      </x:c>
      <x:c r="G192" s="116" t="str">
        <x:v>He produced 10.9 PPR/FP points per game across 10 games. The workload/efficiency profile gives the model a rate-based reason to keep him here. Market price is favorable around ADP 262 versus model overall rank 188.</x:v>
      </x:c>
      <x:c r="H192" s="116" t="str">
        <x:v>Passing-TD efficiency, rushing volume and supporting-cast health are the main swing factors.</x:v>
      </x:c>
      <x:c r="I192" s="48" t="n">
        <x:v>262</x:v>
      </x:c>
      <x:c r="J192" s="48" t="n">
        <x:v>74</x:v>
      </x:c>
      <x:c r="K192" t="str">
        <x:v>B</x:v>
      </x:c>
      <x:c r="L192" t="str">
        <x:v>RATE-ADJUSTED VETERAN</x:v>
      </x:c>
    </x:row>
    <x:row r="193">
      <x:c r="A193" t="n">
        <x:v>189</x:v>
      </x:c>
      <x:c r="B193" t="str">
        <x:v>WR</x:v>
      </x:c>
      <x:c r="C193" t="n">
        <x:v>59</x:v>
      </x:c>
      <x:c r="D193" t="str">
        <x:v>Jerry Jeudy</x:v>
      </x:c>
      <x:c r="E193" s="48" t="n">
        <x:v>60.14</x:v>
      </x:c>
      <x:c r="F193" s="116" t="str">
        <x:v>Late-round bench upside; role growth is required for weekly relevance.</x:v>
      </x:c>
      <x:c r="G193" s="116" t="str">
        <x:v>He produced 7.1 PPR/FP points per game across 17 games. The workload/efficiency profile gives the model a rate-based reason to keep him here. Market price is favorable around ADP 229 versus model overall rank 189.</x:v>
      </x:c>
      <x:c r="H193" s="116" t="str">
        <x:v>Target competition, quarterback efficiency and touchdown regression are the main downside paths.</x:v>
      </x:c>
      <x:c r="I193" s="48" t="n">
        <x:v>229.2</x:v>
      </x:c>
      <x:c r="J193" s="48" t="n">
        <x:v>40.19999999999999</x:v>
      </x:c>
      <x:c r="K193" t="str">
        <x:v>A</x:v>
      </x:c>
      <x:c r="L193" t="str">
        <x:v>RATE-ADJUSTED VETERAN</x:v>
      </x:c>
    </x:row>
    <x:row r="194">
      <x:c r="A194" t="n">
        <x:v>190</x:v>
      </x:c>
      <x:c r="B194" t="str">
        <x:v>WR</x:v>
      </x:c>
      <x:c r="C194" t="n">
        <x:v>60</x:v>
      </x:c>
      <x:c r="D194" t="str">
        <x:v>Jalen Nailor</x:v>
      </x:c>
      <x:c r="E194" s="48" t="n">
        <x:v>59.47</x:v>
      </x:c>
      <x:c r="F194" s="116" t="str">
        <x:v>Late-round bench upside; role growth is required for weekly relevance.</x:v>
      </x:c>
      <x:c r="G194" s="116" t="str">
        <x:v>He produced 5.9 PPR/FP points per game across 17 games. The workload/efficiency profile gives the model a rate-based reason to keep him here. Market price is favorable around ADP 233 versus model overall rank 190.</x:v>
      </x:c>
      <x:c r="H194" s="116" t="str">
        <x:v>Target competition, quarterback efficiency and touchdown regression are the main downside paths.</x:v>
      </x:c>
      <x:c r="I194" s="48" t="n">
        <x:v>233.1</x:v>
      </x:c>
      <x:c r="J194" s="48" t="n">
        <x:v>43.099999999999994</x:v>
      </x:c>
      <x:c r="K194" t="str">
        <x:v>A</x:v>
      </x:c>
      <x:c r="L194" t="str">
        <x:v>RATE-ADJUSTED VETERAN</x:v>
      </x:c>
    </x:row>
    <x:row r="195">
      <x:c r="A195" t="n">
        <x:v>191</x:v>
      </x:c>
      <x:c r="B195" t="str">
        <x:v>RB</x:v>
      </x:c>
      <x:c r="C195" t="n">
        <x:v>49</x:v>
      </x:c>
      <x:c r="D195" t="str">
        <x:v>Alvin Kamara</x:v>
      </x:c>
      <x:c r="E195" s="48" t="n">
        <x:v>59.150000000000006</x:v>
      </x:c>
      <x:c r="F195" s="116" t="str">
        <x:v>Bench stash/handcuff profile; value is tied to role change or injury ahead.</x:v>
      </x:c>
      <x:c r="G195" s="116" t="str">
        <x:v>The 2026 opportunity and projection carry most of the grade because detailed 2025 rate data is incomplete. Market price is favorable around ADP 204 versus model overall rank 191.</x:v>
      </x:c>
      <x:c r="H195" s="116" t="str">
        <x:v>Touchdown variance, receiving-role changes and backfield competition are the main downside paths.</x:v>
      </x:c>
      <x:c r="I195" s="48" t="n">
        <x:v>203.60000000000002</x:v>
      </x:c>
      <x:c r="J195" s="48" t="n">
        <x:v>12.600000000000023</x:v>
      </x:c>
      <x:c r="K195" t="str">
        <x:v>B</x:v>
      </x:c>
      <x:c r="L195" t="str">
        <x:v>HISTORY FALLBACK</x:v>
      </x:c>
    </x:row>
    <x:row r="196">
      <x:c r="A196" t="n">
        <x:v>192</x:v>
      </x:c>
      <x:c r="B196" t="str">
        <x:v>WR</x:v>
      </x:c>
      <x:c r="C196" t="n">
        <x:v>61</x:v>
      </x:c>
      <x:c r="D196" t="str">
        <x:v>Jalen McMillan</x:v>
      </x:c>
      <x:c r="E196" s="48" t="n">
        <x:v>58.8</x:v>
      </x:c>
      <x:c r="F196" s="116" t="str">
        <x:v>Late-round bench upside; role growth is required for weekly relevance.</x:v>
      </x:c>
      <x:c r="G196" s="116" t="str">
        <x:v>The 2026 opportunity and projection carry most of the grade because detailed 2025 rate data is incomplete. Market price is favorable around ADP 237 versus model overall rank 192.</x:v>
      </x:c>
      <x:c r="H196" s="116" t="str">
        <x:v>Evidence is thinner than for established veterans, so camp, depth-chart and role news can move the grade materially.</x:v>
      </x:c>
      <x:c r="I196" s="48" t="n">
        <x:v>237</x:v>
      </x:c>
      <x:c r="J196" s="48" t="n">
        <x:v>45</x:v>
      </x:c>
      <x:c r="K196" t="str">
        <x:v>C</x:v>
      </x:c>
      <x:c r="L196" t="str">
        <x:v>HISTORY FALLBACK</x:v>
      </x:c>
    </x:row>
    <x:row r="197">
      <x:c r="A197" t="n">
        <x:v>193</x:v>
      </x:c>
      <x:c r="B197" t="str">
        <x:v>WR</x:v>
      </x:c>
      <x:c r="C197" t="n">
        <x:v>62</x:v>
      </x:c>
      <x:c r="D197" t="str">
        <x:v>Adonai Mitchell</x:v>
      </x:c>
      <x:c r="E197" s="48" t="n">
        <x:v>58.129999999999995</x:v>
      </x:c>
      <x:c r="F197" s="116" t="str">
        <x:v>Late-round bench upside; role growth is required for weekly relevance.</x:v>
      </x:c>
      <x:c r="G197" s="116" t="str">
        <x:v>The 2026 opportunity and projection carry most of the grade because detailed 2025 rate data is incomplete. Market price is favorable around ADP 241 versus model overall rank 193.</x:v>
      </x:c>
      <x:c r="H197" s="116" t="str">
        <x:v>Evidence is thinner than for established veterans, so camp, depth-chart and role news can move the grade materially.</x:v>
      </x:c>
      <x:c r="I197" s="48" t="n">
        <x:v>240.9</x:v>
      </x:c>
      <x:c r="J197" s="48" t="n">
        <x:v>47.900000000000006</x:v>
      </x:c>
      <x:c r="K197" t="str">
        <x:v>C</x:v>
      </x:c>
      <x:c r="L197" t="str">
        <x:v>HISTORY FALLBACK</x:v>
      </x:c>
    </x:row>
    <x:row r="198">
      <x:c r="A198" t="n">
        <x:v>194</x:v>
      </x:c>
      <x:c r="B198" t="str">
        <x:v>WR</x:v>
      </x:c>
      <x:c r="C198" t="n">
        <x:v>63</x:v>
      </x:c>
      <x:c r="D198" t="str">
        <x:v>Isaac TeSlaa</x:v>
      </x:c>
      <x:c r="E198" s="48" t="n">
        <x:v>57.46</x:v>
      </x:c>
      <x:c r="F198" s="116" t="str">
        <x:v>Late-round bench upside; role growth is required for weekly relevance.</x:v>
      </x:c>
      <x:c r="G198" s="116" t="str">
        <x:v>He produced 4.4 PPR/FP points per game across 17 games. The workload/efficiency profile gives the model a rate-based reason to keep him here. Market price is favorable around ADP 245 versus model overall rank 194.</x:v>
      </x:c>
      <x:c r="H198" s="116" t="str">
        <x:v>Target competition, quarterback efficiency and touchdown regression are the main downside paths.</x:v>
      </x:c>
      <x:c r="I198" s="48" t="n">
        <x:v>244.79999999999998</x:v>
      </x:c>
      <x:c r="J198" s="48" t="n">
        <x:v>50.79999999999998</x:v>
      </x:c>
      <x:c r="K198" t="str">
        <x:v>A</x:v>
      </x:c>
      <x:c r="L198" t="str">
        <x:v>RATE-ADJUSTED VETERAN</x:v>
      </x:c>
    </x:row>
    <x:row r="199">
      <x:c r="A199" t="n">
        <x:v>195</x:v>
      </x:c>
      <x:c r="B199" t="str">
        <x:v>DST</x:v>
      </x:c>
      <x:c r="C199" t="n">
        <x:v>14</x:v>
      </x:c>
      <x:c r="D199" t="str">
        <x:v>Buffalo Bills</x:v>
      </x:c>
      <x:c r="E199" s="48" t="n">
        <x:v>78.7</x:v>
      </x:c>
      <x:c r="F199" s="116" t="str">
        <x:v>Streaming/late-round defense; matchup matters more than preseason rank.</x:v>
      </x:c>
      <x:c r="G199" s="116" t="str">
        <x:v>The unit grades well relative to the current DST pool, but the model intentionally keeps defense behind core skill positions.</x:v>
      </x:c>
      <x:c r="H199" s="116" t="str">
        <x:v>DST scoring is highly opponent- and turnover-dependent, making season-long rank fragile.</x:v>
      </x:c>
      <x:c r="I199" s="48" t="n">
        <x:v>212</x:v>
      </x:c>
      <x:c r="J199" s="48" t="n">
        <x:v>17</x:v>
      </x:c>
      <x:c r="K199" t="str">
        <x:v>B</x:v>
      </x:c>
      <x:c r="L199" t="str">
        <x:v>DST MODEL</x:v>
      </x:c>
    </x:row>
    <x:row r="200">
      <x:c r="A200" t="n">
        <x:v>196</x:v>
      </x:c>
      <x:c r="B200" t="str">
        <x:v>WR</x:v>
      </x:c>
      <x:c r="C200" t="n">
        <x:v>64</x:v>
      </x:c>
      <x:c r="D200" t="str">
        <x:v>Denzel Boston</x:v>
      </x:c>
      <x:c r="E200" s="48" t="n">
        <x:v>56.79</x:v>
      </x:c>
      <x:c r="F200" s="116" t="str">
        <x:v>Late-round bench upside; role growth is required for weekly relevance.</x:v>
      </x:c>
      <x:c r="G200" s="116" t="str">
        <x:v>Rookie score 79.3, backed by No. 39 draft capital and a 6.40 NFL prospect grade. The 2026 role projection is strong enough to replace missing NFL history. Market price is favorable around ADP 249 versus model overall rank 196.</x:v>
      </x:c>
      <x:c r="H200" s="116" t="str">
        <x:v>NFL translation and exact weekly role are the main variables; preseason first-team usage can move this rating quickly.</x:v>
      </x:c>
      <x:c r="I200" s="48" t="n">
        <x:v>248.7</x:v>
      </x:c>
      <x:c r="J200" s="48" t="n">
        <x:v>52.69999999999999</x:v>
      </x:c>
      <x:c r="K200" t="str">
        <x:v>C</x:v>
      </x:c>
      <x:c r="L200" t="str">
        <x:v>ROOKIE ENGINE</x:v>
      </x:c>
    </x:row>
    <x:row r="201">
      <x:c r="A201" t="n">
        <x:v>197</x:v>
      </x:c>
      <x:c r="B201" t="str">
        <x:v>WR</x:v>
      </x:c>
      <x:c r="C201" t="n">
        <x:v>65</x:v>
      </x:c>
      <x:c r="D201" t="str">
        <x:v>Tre Tucker</x:v>
      </x:c>
      <x:c r="E201" s="48" t="n">
        <x:v>56.12</x:v>
      </x:c>
      <x:c r="F201" s="116" t="str">
        <x:v>Late-round bench upside; role growth is required for weekly relevance.</x:v>
      </x:c>
      <x:c r="G201" s="116" t="str">
        <x:v>He produced 9.6 PPR/FP points per game across 17 games. The workload/efficiency profile gives the model a rate-based reason to keep him here. Market price is favorable around ADP 253 versus model overall rank 197.</x:v>
      </x:c>
      <x:c r="H201" s="116" t="str">
        <x:v>Target competition, quarterback efficiency and touchdown regression are the main downside paths.</x:v>
      </x:c>
      <x:c r="I201" s="48" t="n">
        <x:v>252.6</x:v>
      </x:c>
      <x:c r="J201" s="48" t="n">
        <x:v>55.599999999999994</x:v>
      </x:c>
      <x:c r="K201" t="str">
        <x:v>A</x:v>
      </x:c>
      <x:c r="L201" t="str">
        <x:v>RATE-ADJUSTED VETERAN</x:v>
      </x:c>
    </x:row>
    <x:row r="202">
      <x:c r="A202" t="n">
        <x:v>198</x:v>
      </x:c>
      <x:c r="B202" t="str">
        <x:v>WR</x:v>
      </x:c>
      <x:c r="C202" t="n">
        <x:v>66</x:v>
      </x:c>
      <x:c r="D202" t="str">
        <x:v>Antonio Williams</x:v>
      </x:c>
      <x:c r="E202" s="48" t="n">
        <x:v>55.449999999999996</x:v>
      </x:c>
      <x:c r="F202" s="116" t="str">
        <x:v>Late-round bench upside; role growth is required for weekly relevance.</x:v>
      </x:c>
      <x:c r="G202" s="116" t="str">
        <x:v>The 2026 opportunity and projection carry most of the grade because detailed 2025 rate data is incomplete. Market price is favorable around ADP 256 versus model overall rank 198.</x:v>
      </x:c>
      <x:c r="H202" s="116" t="str">
        <x:v>Evidence is thinner than for established veterans, so camp, depth-chart and role news can move the grade materially.</x:v>
      </x:c>
      <x:c r="I202" s="48" t="n">
        <x:v>256.5</x:v>
      </x:c>
      <x:c r="J202" s="48" t="n">
        <x:v>58.5</x:v>
      </x:c>
      <x:c r="K202" t="str">
        <x:v>C</x:v>
      </x:c>
      <x:c r="L202" t="str">
        <x:v>HISTORY FALLBACK</x:v>
      </x:c>
    </x:row>
    <x:row r="203">
      <x:c r="A203" t="n">
        <x:v>199</x:v>
      </x:c>
      <x:c r="B203" t="str">
        <x:v>RB</x:v>
      </x:c>
      <x:c r="C203" t="n">
        <x:v>50</x:v>
      </x:c>
      <x:c r="D203" t="str">
        <x:v>Justice Hill</x:v>
      </x:c>
      <x:c r="E203" s="48" t="n">
        <x:v>54.879999999999995</x:v>
      </x:c>
      <x:c r="F203" s="116" t="str">
        <x:v>Bench stash/handcuff profile; value is tied to role change or injury ahead.</x:v>
      </x:c>
      <x:c r="G203" s="116" t="str">
        <x:v>The 2026 opportunity and projection carry most of the grade because detailed 2025 rate data is incomplete.</x:v>
      </x:c>
      <x:c r="H203" s="116" t="str">
        <x:v>Touchdown variance, receiving-role changes and backfield competition are the main downside paths.</x:v>
      </x:c>
      <x:c r="I203" s="48" t="n">
        <x:v>207.8</x:v>
      </x:c>
      <x:c r="J203" s="48" t="n">
        <x:v>8.800000000000011</x:v>
      </x:c>
      <x:c r="K203" t="str">
        <x:v>B</x:v>
      </x:c>
      <x:c r="L203" t="str">
        <x:v>HISTORY FALLBACK</x:v>
      </x:c>
    </x:row>
    <x:row r="204">
      <x:c r="A204" t="n">
        <x:v>200</x:v>
      </x:c>
      <x:c r="B204" t="str">
        <x:v>QB</x:v>
      </x:c>
      <x:c r="C204" t="n">
        <x:v>32</x:v>
      </x:c>
      <x:c r="D204" t="str">
        <x:v>Deshaun Watson</x:v>
      </x:c>
      <x:c r="E204" s="48" t="n">
        <x:v>60.25</x:v>
      </x:c>
      <x:c r="F204" s="116" t="str">
        <x:v>Deep QB2; waiver-level in a normal 10-team format.</x:v>
      </x:c>
      <x:c r="G204" s="116" t="str">
        <x:v>The 2026 opportunity and projection carry most of the grade because detailed 2025 rate data is incomplete. Market price is favorable around ADP 270 versus model overall rank 200.</x:v>
      </x:c>
      <x:c r="H204" s="116" t="str">
        <x:v>Evidence is thinner than for established veterans, so camp, depth-chart and role news can move the grade materially.</x:v>
      </x:c>
      <x:c r="I204" s="48" t="n">
        <x:v>270</x:v>
      </x:c>
      <x:c r="J204" s="48" t="n">
        <x:v>70</x:v>
      </x:c>
      <x:c r="K204" t="str">
        <x:v>C</x:v>
      </x:c>
      <x:c r="L204" t="str">
        <x:v>HISTORY FALLBACK</x:v>
      </x:c>
    </x:row>
    <x:row r="205">
      <x:c r="A205" t="n">
        <x:v>201</x:v>
      </x:c>
      <x:c r="B205" t="str">
        <x:v>WR</x:v>
      </x:c>
      <x:c r="C205" t="n">
        <x:v>67</x:v>
      </x:c>
      <x:c r="D205" t="str">
        <x:v>Travis Hunter</x:v>
      </x:c>
      <x:c r="E205" s="48" t="n">
        <x:v>54.779999999999994</x:v>
      </x:c>
      <x:c r="F205" s="116" t="str">
        <x:v>Late-round bench upside; role growth is required for weekly relevance.</x:v>
      </x:c>
      <x:c r="G205" s="116" t="str">
        <x:v>The 2026 opportunity and projection carry most of the grade because detailed 2025 rate data is incomplete. Market price is favorable around ADP 260 versus model overall rank 201.</x:v>
      </x:c>
      <x:c r="H205" s="116" t="str">
        <x:v>Evidence is thinner than for established veterans, so camp, depth-chart and role news can move the grade materially.</x:v>
      </x:c>
      <x:c r="I205" s="48" t="n">
        <x:v>260.4</x:v>
      </x:c>
      <x:c r="J205" s="48" t="n">
        <x:v>59.39999999999998</x:v>
      </x:c>
      <x:c r="K205" t="str">
        <x:v>C</x:v>
      </x:c>
      <x:c r="L205" t="str">
        <x:v>HISTORY FALLBACK</x:v>
      </x:c>
    </x:row>
    <x:row r="206">
      <x:c r="A206" t="n">
        <x:v>202</x:v>
      </x:c>
      <x:c r="B206" t="str">
        <x:v>WR</x:v>
      </x:c>
      <x:c r="C206" t="n">
        <x:v>68</x:v>
      </x:c>
      <x:c r="D206" t="str">
        <x:v>Ryan Flournoy</x:v>
      </x:c>
      <x:c r="E206" s="48" t="n">
        <x:v>54.11</x:v>
      </x:c>
      <x:c r="F206" s="116" t="str">
        <x:v>Late-round bench upside; role growth is required for weekly relevance.</x:v>
      </x:c>
      <x:c r="G206" s="116" t="str">
        <x:v>He produced 7.6 PPR/FP points per game across 15 games. The workload/efficiency profile gives the model a rate-based reason to keep him here. Market price is favorable around ADP 264 versus model overall rank 202.</x:v>
      </x:c>
      <x:c r="H206" s="116" t="str">
        <x:v>Target competition, quarterback efficiency and touchdown regression are the main downside paths.</x:v>
      </x:c>
      <x:c r="I206" s="48" t="n">
        <x:v>264.3</x:v>
      </x:c>
      <x:c r="J206" s="48" t="n">
        <x:v>62.30000000000001</x:v>
      </x:c>
      <x:c r="K206" t="str">
        <x:v>A</x:v>
      </x:c>
      <x:c r="L206" t="str">
        <x:v>RATE-ADJUSTED VETERAN</x:v>
      </x:c>
    </x:row>
    <x:row r="207">
      <x:c r="A207" t="n">
        <x:v>203</x:v>
      </x:c>
      <x:c r="B207" t="str">
        <x:v>K</x:v>
      </x:c>
      <x:c r="C207" t="n">
        <x:v>12</x:v>
      </x:c>
      <x:c r="D207" t="str">
        <x:v>Evan McPherson</x:v>
      </x:c>
      <x:c r="E207" s="48" t="n">
        <x:v>69.8</x:v>
      </x:c>
      <x:c r="F207" s="116" t="str">
        <x:v>Late-round kicker; treat as replaceable unless scoring strongly rewards distance.</x:v>
      </x:c>
      <x:c r="G207" s="116" t="str">
        <x:v>Ranks near the top of the current kicker pool, but kicker week-to-week separation is small in a 10-team league.</x:v>
      </x:c>
      <x:c r="H207" s="116" t="str">
        <x:v>Kicker scoring is volatile and replaceable on waivers; do not pay meaningful draft capital.</x:v>
      </x:c>
      <x:c r="I207" s="48" t="n">
        <x:v>210</x:v>
      </x:c>
      <x:c r="J207" s="48" t="n">
        <x:v>7</x:v>
      </x:c>
      <x:c r="K207" t="str">
        <x:v>B</x:v>
      </x:c>
      <x:c r="L207" t="str">
        <x:v>KICKER MODEL</x:v>
      </x:c>
    </x:row>
    <x:row r="208">
      <x:c r="A208" t="n">
        <x:v>204</x:v>
      </x:c>
      <x:c r="B208" t="str">
        <x:v>WR</x:v>
      </x:c>
      <x:c r="C208" t="n">
        <x:v>69</x:v>
      </x:c>
      <x:c r="D208" t="str">
        <x:v>Jauan Jennings</x:v>
      </x:c>
      <x:c r="E208" s="48" t="n">
        <x:v>53.44</x:v>
      </x:c>
      <x:c r="F208" s="116" t="str">
        <x:v>Late-round bench upside; role growth is required for weekly relevance.</x:v>
      </x:c>
      <x:c r="G208" s="116" t="str">
        <x:v>He produced 11.6 PPR/FP points per game across 15 games. The workload/efficiency profile gives the model a rate-based reason to keep him here. Market price is favorable around ADP 268 versus model overall rank 204.</x:v>
      </x:c>
      <x:c r="H208" s="116" t="str">
        <x:v>Target competition, quarterback efficiency and touchdown regression are the main downside paths.</x:v>
      </x:c>
      <x:c r="I208" s="48" t="n">
        <x:v>268.2</x:v>
      </x:c>
      <x:c r="J208" s="48" t="n">
        <x:v>64.19999999999999</x:v>
      </x:c>
      <x:c r="K208" t="str">
        <x:v>A</x:v>
      </x:c>
      <x:c r="L208" t="str">
        <x:v>RATE-ADJUSTED VETERAN</x:v>
      </x:c>
    </x:row>
    <x:row r="209">
      <x:c r="A209" t="n">
        <x:v>205</x:v>
      </x:c>
      <x:c r="B209" t="str">
        <x:v>WR</x:v>
      </x:c>
      <x:c r="C209" t="n">
        <x:v>70</x:v>
      </x:c>
      <x:c r="D209" t="str">
        <x:v>Darnell Mooney</x:v>
      </x:c>
      <x:c r="E209" s="48" t="n">
        <x:v>52.769999999999996</x:v>
      </x:c>
      <x:c r="F209" s="116" t="str">
        <x:v>Late-round bench upside; role growth is required for weekly relevance.</x:v>
      </x:c>
      <x:c r="G209" s="116" t="str">
        <x:v>The 2026 opportunity and projection carry most of the grade because detailed 2025 rate data is incomplete. Market price is favorable around ADP 272 versus model overall rank 205.</x:v>
      </x:c>
      <x:c r="H209" s="116" t="str">
        <x:v>Evidence is thinner than for established veterans, so camp, depth-chart and role news can move the grade materially.</x:v>
      </x:c>
      <x:c r="I209" s="48" t="n">
        <x:v>272.09999999999997</x:v>
      </x:c>
      <x:c r="J209" s="48" t="n">
        <x:v>67.09999999999997</x:v>
      </x:c>
      <x:c r="K209" t="str">
        <x:v>C</x:v>
      </x:c>
      <x:c r="L209" t="str">
        <x:v>HISTORY FALLBACK</x:v>
      </x:c>
    </x:row>
    <x:row r="210">
      <x:c r="A210" t="n">
        <x:v>206</x:v>
      </x:c>
      <x:c r="B210" t="str">
        <x:v>DST</x:v>
      </x:c>
      <x:c r="C210" t="n">
        <x:v>15</x:v>
      </x:c>
      <x:c r="D210" t="str">
        <x:v>Kansas City Chiefs</x:v>
      </x:c>
      <x:c r="E210" s="48" t="n">
        <x:v>77.6</x:v>
      </x:c>
      <x:c r="F210" s="116" t="str">
        <x:v>Streaming/late-round defense; matchup matters more than preseason rank.</x:v>
      </x:c>
      <x:c r="G210" s="116" t="str">
        <x:v>The unit grades well relative to the current DST pool, but the model intentionally keeps defense behind core skill positions.</x:v>
      </x:c>
      <x:c r="H210" s="116" t="str">
        <x:v>DST scoring is highly opponent- and turnover-dependent, making season-long rank fragile.</x:v>
      </x:c>
      <x:c r="I210" s="48" t="n">
        <x:v>216</x:v>
      </x:c>
      <x:c r="J210" s="48" t="n">
        <x:v>10</x:v>
      </x:c>
      <x:c r="K210" t="str">
        <x:v>B</x:v>
      </x:c>
      <x:c r="L210" t="str">
        <x:v>DST MODEL</x:v>
      </x:c>
    </x:row>
    <x:row r="211">
      <x:c r="A211" t="n">
        <x:v>207</x:v>
      </x:c>
      <x:c r="B211" t="str">
        <x:v>DST</x:v>
      </x:c>
      <x:c r="C211" t="n">
        <x:v>16</x:v>
      </x:c>
      <x:c r="D211" t="str">
        <x:v>Cleveland Browns</x:v>
      </x:c>
      <x:c r="E211" s="48" t="n">
        <x:v>76.5</x:v>
      </x:c>
      <x:c r="F211" s="116" t="str">
        <x:v>Streaming/late-round defense; matchup matters more than preseason rank.</x:v>
      </x:c>
      <x:c r="G211" s="116" t="str">
        <x:v>The unit grades well relative to the current DST pool, but the model intentionally keeps defense behind core skill positions.</x:v>
      </x:c>
      <x:c r="H211" s="116" t="str">
        <x:v>DST scoring is highly opponent- and turnover-dependent, making season-long rank fragile.</x:v>
      </x:c>
      <x:c r="I211" s="48" t="n">
        <x:v>220</x:v>
      </x:c>
      <x:c r="J211" s="48" t="n">
        <x:v>13</x:v>
      </x:c>
      <x:c r="K211" t="str">
        <x:v>B</x:v>
      </x:c>
      <x:c r="L211" t="str">
        <x:v>DST MODEL</x:v>
      </x:c>
    </x:row>
    <x:row r="212">
      <x:c r="A212" t="n">
        <x:v>208</x:v>
      </x:c>
      <x:c r="B212" t="str">
        <x:v>DST</x:v>
      </x:c>
      <x:c r="C212" t="n">
        <x:v>17</x:v>
      </x:c>
      <x:c r="D212" t="str">
        <x:v>San Francisco 49ers</x:v>
      </x:c>
      <x:c r="E212" s="48" t="n">
        <x:v>75.4</x:v>
      </x:c>
      <x:c r="F212" s="116" t="str">
        <x:v>Streaming/late-round defense; matchup matters more than preseason rank.</x:v>
      </x:c>
      <x:c r="G212" s="116" t="str">
        <x:v>The unit grades well relative to the current DST pool, but the model intentionally keeps defense behind core skill positions.</x:v>
      </x:c>
      <x:c r="H212" s="116" t="str">
        <x:v>DST scoring is highly opponent- and turnover-dependent, making season-long rank fragile.</x:v>
      </x:c>
      <x:c r="I212" s="48" t="n">
        <x:v>224</x:v>
      </x:c>
      <x:c r="J212" s="48" t="n">
        <x:v>16</x:v>
      </x:c>
      <x:c r="K212" t="str">
        <x:v>B</x:v>
      </x:c>
      <x:c r="L212" t="str">
        <x:v>DST MODEL</x:v>
      </x:c>
    </x:row>
    <x:row r="213">
      <x:c r="A213" t="n">
        <x:v>209</x:v>
      </x:c>
      <x:c r="B213" t="str">
        <x:v>DST</x:v>
      </x:c>
      <x:c r="C213" t="n">
        <x:v>18</x:v>
      </x:c>
      <x:c r="D213" t="str">
        <x:v>New Orleans Saints</x:v>
      </x:c>
      <x:c r="E213" s="48" t="n">
        <x:v>74.3</x:v>
      </x:c>
      <x:c r="F213" s="116" t="str">
        <x:v>Streaming/late-round defense; matchup matters more than preseason rank.</x:v>
      </x:c>
      <x:c r="G213" s="116" t="str">
        <x:v>The unit grades well relative to the current DST pool, but the model intentionally keeps defense behind core skill positions.</x:v>
      </x:c>
      <x:c r="H213" s="116" t="str">
        <x:v>DST scoring is highly opponent- and turnover-dependent, making season-long rank fragile.</x:v>
      </x:c>
      <x:c r="I213" s="48" t="n">
        <x:v>228</x:v>
      </x:c>
      <x:c r="J213" s="48" t="n">
        <x:v>19</x:v>
      </x:c>
      <x:c r="K213" t="str">
        <x:v>B</x:v>
      </x:c>
      <x:c r="L213" t="str">
        <x:v>DST MODEL</x:v>
      </x:c>
    </x:row>
    <x:row r="214">
      <x:c r="A214" t="n">
        <x:v>210</x:v>
      </x:c>
      <x:c r="B214" t="str">
        <x:v>DST</x:v>
      </x:c>
      <x:c r="C214" t="n">
        <x:v>19</x:v>
      </x:c>
      <x:c r="D214" t="str">
        <x:v>Atlanta Falcons</x:v>
      </x:c>
      <x:c r="E214" s="48" t="n">
        <x:v>73.2</x:v>
      </x:c>
      <x:c r="F214" s="116" t="str">
        <x:v>Streaming/late-round defense; matchup matters more than preseason rank.</x:v>
      </x:c>
      <x:c r="G214" s="116" t="str">
        <x:v>The unit grades well relative to the current DST pool, but the model intentionally keeps defense behind core skill positions.</x:v>
      </x:c>
      <x:c r="H214" s="116" t="str">
        <x:v>DST scoring is highly opponent- and turnover-dependent, making season-long rank fragile.</x:v>
      </x:c>
      <x:c r="I214" s="48" t="n">
        <x:v>232</x:v>
      </x:c>
      <x:c r="J214" s="48" t="n">
        <x:v>22</x:v>
      </x:c>
      <x:c r="K214" t="str">
        <x:v>B</x:v>
      </x:c>
      <x:c r="L214" t="str">
        <x:v>DST MODEL</x:v>
      </x:c>
    </x:row>
    <x:row r="215">
      <x:c r="A215" t="n">
        <x:v>211</x:v>
      </x:c>
      <x:c r="B215" t="str">
        <x:v>DST</x:v>
      </x:c>
      <x:c r="C215" t="n">
        <x:v>20</x:v>
      </x:c>
      <x:c r="D215" t="str">
        <x:v>Chicago Bears</x:v>
      </x:c>
      <x:c r="E215" s="48" t="n">
        <x:v>72.1</x:v>
      </x:c>
      <x:c r="F215" s="116" t="str">
        <x:v>Streaming/late-round defense; matchup matters more than preseason rank.</x:v>
      </x:c>
      <x:c r="G215" s="116" t="str">
        <x:v>The unit grades well relative to the current DST pool, but the model intentionally keeps defense behind core skill positions.</x:v>
      </x:c>
      <x:c r="H215" s="116" t="str">
        <x:v>DST scoring is highly opponent- and turnover-dependent, making season-long rank fragile.</x:v>
      </x:c>
      <x:c r="I215" s="48" t="n">
        <x:v>236</x:v>
      </x:c>
      <x:c r="J215" s="48" t="n">
        <x:v>25</x:v>
      </x:c>
      <x:c r="K215" t="str">
        <x:v>B</x:v>
      </x:c>
      <x:c r="L215" t="str">
        <x:v>DST MODEL</x:v>
      </x:c>
    </x:row>
    <x:row r="216">
      <x:c r="A216" t="n">
        <x:v>212</x:v>
      </x:c>
      <x:c r="B216" t="str">
        <x:v>DST</x:v>
      </x:c>
      <x:c r="C216" t="n">
        <x:v>21</x:v>
      </x:c>
      <x:c r="D216" t="str">
        <x:v>Indianapolis Colts</x:v>
      </x:c>
      <x:c r="E216" s="48" t="n">
        <x:v>71</x:v>
      </x:c>
      <x:c r="F216" s="116" t="str">
        <x:v>Streaming/late-round defense; matchup matters more than preseason rank.</x:v>
      </x:c>
      <x:c r="G216" s="116" t="str">
        <x:v>The unit grades well relative to the current DST pool, but the model intentionally keeps defense behind core skill positions.</x:v>
      </x:c>
      <x:c r="H216" s="116" t="str">
        <x:v>DST scoring is highly opponent- and turnover-dependent, making season-long rank fragile.</x:v>
      </x:c>
      <x:c r="I216" s="48" t="n">
        <x:v>240</x:v>
      </x:c>
      <x:c r="J216" s="48" t="n">
        <x:v>28</x:v>
      </x:c>
      <x:c r="K216" t="str">
        <x:v>B</x:v>
      </x:c>
      <x:c r="L216" t="str">
        <x:v>DST MODEL</x:v>
      </x:c>
    </x:row>
    <x:row r="217">
      <x:c r="A217" t="n">
        <x:v>213</x:v>
      </x:c>
      <x:c r="B217" t="str">
        <x:v>DST</x:v>
      </x:c>
      <x:c r="C217" t="n">
        <x:v>22</x:v>
      </x:c>
      <x:c r="D217" t="str">
        <x:v>New York Giants</x:v>
      </x:c>
      <x:c r="E217" s="48" t="n">
        <x:v>69.9</x:v>
      </x:c>
      <x:c r="F217" s="116" t="str">
        <x:v>Streaming/late-round defense; matchup matters more than preseason rank.</x:v>
      </x:c>
      <x:c r="G217" s="116" t="str">
        <x:v>The unit grades well relative to the current DST pool, but the model intentionally keeps defense behind core skill positions.</x:v>
      </x:c>
      <x:c r="H217" s="116" t="str">
        <x:v>DST scoring is highly opponent- and turnover-dependent, making season-long rank fragile.</x:v>
      </x:c>
      <x:c r="I217" s="48" t="n">
        <x:v>244</x:v>
      </x:c>
      <x:c r="J217" s="48" t="n">
        <x:v>31</x:v>
      </x:c>
      <x:c r="K217" t="str">
        <x:v>B</x:v>
      </x:c>
      <x:c r="L217" t="str">
        <x:v>DST MODEL</x:v>
      </x:c>
    </x:row>
    <x:row r="218">
      <x:c r="A218" t="n">
        <x:v>214</x:v>
      </x:c>
      <x:c r="B218" t="str">
        <x:v>DST</x:v>
      </x:c>
      <x:c r="C218" t="n">
        <x:v>23</x:v>
      </x:c>
      <x:c r="D218" t="str">
        <x:v>Tampa Bay Buccaneers</x:v>
      </x:c>
      <x:c r="E218" s="48" t="n">
        <x:v>68.8</x:v>
      </x:c>
      <x:c r="F218" s="116" t="str">
        <x:v>Streaming/late-round defense; matchup matters more than preseason rank.</x:v>
      </x:c>
      <x:c r="G218" s="116" t="str">
        <x:v>The unit grades well relative to the current DST pool, but the model intentionally keeps defense behind core skill positions.</x:v>
      </x:c>
      <x:c r="H218" s="116" t="str">
        <x:v>DST scoring is highly opponent- and turnover-dependent, making season-long rank fragile.</x:v>
      </x:c>
      <x:c r="I218" s="48" t="n">
        <x:v>248</x:v>
      </x:c>
      <x:c r="J218" s="48" t="n">
        <x:v>34</x:v>
      </x:c>
      <x:c r="K218" t="str">
        <x:v>B</x:v>
      </x:c>
      <x:c r="L218" t="str">
        <x:v>DST MODEL</x:v>
      </x:c>
    </x:row>
    <x:row r="219">
      <x:c r="A219" t="n">
        <x:v>215</x:v>
      </x:c>
      <x:c r="B219" t="str">
        <x:v>DST</x:v>
      </x:c>
      <x:c r="C219" t="n">
        <x:v>24</x:v>
      </x:c>
      <x:c r="D219" t="str">
        <x:v>Dallas Cowboys</x:v>
      </x:c>
      <x:c r="E219" s="48" t="n">
        <x:v>67.7</x:v>
      </x:c>
      <x:c r="F219" s="116" t="str">
        <x:v>Streaming/late-round defense; matchup matters more than preseason rank.</x:v>
      </x:c>
      <x:c r="G219" s="116" t="str">
        <x:v>The unit grades well relative to the current DST pool, but the model intentionally keeps defense behind core skill positions.</x:v>
      </x:c>
      <x:c r="H219" s="116" t="str">
        <x:v>DST scoring is highly opponent- and turnover-dependent, making season-long rank fragile.</x:v>
      </x:c>
      <x:c r="I219" s="48" t="n">
        <x:v>252</x:v>
      </x:c>
      <x:c r="J219" s="48" t="n">
        <x:v>37</x:v>
      </x:c>
      <x:c r="K219" t="str">
        <x:v>B</x:v>
      </x:c>
      <x:c r="L219" t="str">
        <x:v>DST MODEL</x:v>
      </x:c>
    </x:row>
    <x:row r="220">
      <x:c r="A220" t="n">
        <x:v>216</x:v>
      </x:c>
      <x:c r="B220" t="str">
        <x:v>DST</x:v>
      </x:c>
      <x:c r="C220" t="n">
        <x:v>25</x:v>
      </x:c>
      <x:c r="D220" t="str">
        <x:v>Carolina Panthers</x:v>
      </x:c>
      <x:c r="E220" s="48" t="n">
        <x:v>66.6</x:v>
      </x:c>
      <x:c r="F220" s="116" t="str">
        <x:v>Streaming/late-round defense; matchup matters more than preseason rank.</x:v>
      </x:c>
      <x:c r="G220" s="116" t="str">
        <x:v>The unit grades well relative to the current DST pool, but the model intentionally keeps defense behind core skill positions.</x:v>
      </x:c>
      <x:c r="H220" s="116" t="str">
        <x:v>DST scoring is highly opponent- and turnover-dependent, making season-long rank fragile.</x:v>
      </x:c>
      <x:c r="I220" s="48" t="n">
        <x:v>256</x:v>
      </x:c>
      <x:c r="J220" s="48" t="n">
        <x:v>40</x:v>
      </x:c>
      <x:c r="K220" t="str">
        <x:v>B</x:v>
      </x:c>
      <x:c r="L220" t="str">
        <x:v>DST MODEL</x:v>
      </x:c>
    </x:row>
    <x:row r="221">
      <x:c r="A221" t="n">
        <x:v>217</x:v>
      </x:c>
      <x:c r="B221" t="str">
        <x:v>DST</x:v>
      </x:c>
      <x:c r="C221" t="n">
        <x:v>26</x:v>
      </x:c>
      <x:c r="D221" t="str">
        <x:v>Tennessee Titans</x:v>
      </x:c>
      <x:c r="E221" s="48" t="n">
        <x:v>65.5</x:v>
      </x:c>
      <x:c r="F221" s="116" t="str">
        <x:v>Streaming/late-round defense; matchup matters more than preseason rank.</x:v>
      </x:c>
      <x:c r="G221" s="116" t="str">
        <x:v>The unit grades well relative to the current DST pool, but the model intentionally keeps defense behind core skill positions.</x:v>
      </x:c>
      <x:c r="H221" s="116" t="str">
        <x:v>DST scoring is highly opponent- and turnover-dependent, making season-long rank fragile.</x:v>
      </x:c>
      <x:c r="I221" s="48" t="n">
        <x:v>260</x:v>
      </x:c>
      <x:c r="J221" s="48" t="n">
        <x:v>43</x:v>
      </x:c>
      <x:c r="K221" t="str">
        <x:v>B</x:v>
      </x:c>
      <x:c r="L221" t="str">
        <x:v>DST MODEL</x:v>
      </x:c>
    </x:row>
    <x:row r="222">
      <x:c r="A222" t="n">
        <x:v>218</x:v>
      </x:c>
      <x:c r="B222" t="str">
        <x:v>DST</x:v>
      </x:c>
      <x:c r="C222" t="n">
        <x:v>27</x:v>
      </x:c>
      <x:c r="D222" t="str">
        <x:v>Miami Dolphins</x:v>
      </x:c>
      <x:c r="E222" s="48" t="n">
        <x:v>64.4</x:v>
      </x:c>
      <x:c r="F222" s="116" t="str">
        <x:v>Streaming/late-round defense; matchup matters more than preseason rank.</x:v>
      </x:c>
      <x:c r="G222" s="116" t="str">
        <x:v>The unit grades well relative to the current DST pool, but the model intentionally keeps defense behind core skill positions.</x:v>
      </x:c>
      <x:c r="H222" s="116" t="str">
        <x:v>DST scoring is highly opponent- and turnover-dependent, making season-long rank fragile.</x:v>
      </x:c>
      <x:c r="I222" s="48" t="n">
        <x:v>264</x:v>
      </x:c>
      <x:c r="J222" s="48" t="n">
        <x:v>46</x:v>
      </x:c>
      <x:c r="K222" t="str">
        <x:v>B</x:v>
      </x:c>
      <x:c r="L222" t="str">
        <x:v>DST MODEL</x:v>
      </x:c>
    </x:row>
    <x:row r="223">
      <x:c r="A223" t="n">
        <x:v>219</x:v>
      </x:c>
      <x:c r="B223" t="str">
        <x:v>DST</x:v>
      </x:c>
      <x:c r="C223" t="n">
        <x:v>28</x:v>
      </x:c>
      <x:c r="D223" t="str">
        <x:v>Washington Commanders</x:v>
      </x:c>
      <x:c r="E223" s="48" t="n">
        <x:v>63.3</x:v>
      </x:c>
      <x:c r="F223" s="116" t="str">
        <x:v>Streaming/late-round defense; matchup matters more than preseason rank.</x:v>
      </x:c>
      <x:c r="G223" s="116" t="str">
        <x:v>The unit grades well relative to the current DST pool, but the model intentionally keeps defense behind core skill positions.</x:v>
      </x:c>
      <x:c r="H223" s="116" t="str">
        <x:v>DST scoring is highly opponent- and turnover-dependent, making season-long rank fragile.</x:v>
      </x:c>
      <x:c r="I223" s="48" t="n">
        <x:v>268</x:v>
      </x:c>
      <x:c r="J223" s="48" t="n">
        <x:v>49</x:v>
      </x:c>
      <x:c r="K223" t="str">
        <x:v>B</x:v>
      </x:c>
      <x:c r="L223" t="str">
        <x:v>DST MODEL</x:v>
      </x:c>
    </x:row>
    <x:row r="224">
      <x:c r="A224" t="n">
        <x:v>220</x:v>
      </x:c>
      <x:c r="B224" t="str">
        <x:v>DST</x:v>
      </x:c>
      <x:c r="C224" t="n">
        <x:v>29</x:v>
      </x:c>
      <x:c r="D224" t="str">
        <x:v>New York Jets</x:v>
      </x:c>
      <x:c r="E224" s="48" t="n">
        <x:v>62.199999999999996</x:v>
      </x:c>
      <x:c r="F224" s="116" t="str">
        <x:v>Streaming/late-round defense; matchup matters more than preseason rank.</x:v>
      </x:c>
      <x:c r="G224" s="116" t="str">
        <x:v>The unit grades well relative to the current DST pool, but the model intentionally keeps defense behind core skill positions.</x:v>
      </x:c>
      <x:c r="H224" s="116" t="str">
        <x:v>DST scoring is highly opponent- and turnover-dependent, making season-long rank fragile.</x:v>
      </x:c>
      <x:c r="I224" s="48" t="n">
        <x:v>272</x:v>
      </x:c>
      <x:c r="J224" s="48" t="n">
        <x:v>52</x:v>
      </x:c>
      <x:c r="K224" t="str">
        <x:v>B</x:v>
      </x:c>
      <x:c r="L224" t="str">
        <x:v>DST MODEL</x:v>
      </x:c>
    </x:row>
    <x:row r="225">
      <x:c r="A225" t="n">
        <x:v>221</x:v>
      </x:c>
      <x:c r="B225" t="str">
        <x:v>DST</x:v>
      </x:c>
      <x:c r="C225" t="n">
        <x:v>30</x:v>
      </x:c>
      <x:c r="D225" t="str">
        <x:v>Arizona Cardinals</x:v>
      </x:c>
      <x:c r="E225" s="48" t="n">
        <x:v>61.099999999999994</x:v>
      </x:c>
      <x:c r="F225" s="116" t="str">
        <x:v>Streaming/late-round defense; matchup matters more than preseason rank.</x:v>
      </x:c>
      <x:c r="G225" s="116" t="str">
        <x:v>The unit grades well relative to the current DST pool, but the model intentionally keeps defense behind core skill positions.</x:v>
      </x:c>
      <x:c r="H225" s="116" t="str">
        <x:v>DST scoring is highly opponent- and turnover-dependent, making season-long rank fragile.</x:v>
      </x:c>
      <x:c r="I225" s="48" t="n">
        <x:v>276</x:v>
      </x:c>
      <x:c r="J225" s="48" t="n">
        <x:v>55</x:v>
      </x:c>
      <x:c r="K225" t="str">
        <x:v>B</x:v>
      </x:c>
      <x:c r="L225" t="str">
        <x:v>DST MODEL</x:v>
      </x:c>
    </x:row>
    <x:row r="226">
      <x:c r="A226" t="n">
        <x:v>222</x:v>
      </x:c>
      <x:c r="B226" t="str">
        <x:v>DST</x:v>
      </x:c>
      <x:c r="C226" t="n">
        <x:v>31</x:v>
      </x:c>
      <x:c r="D226" t="str">
        <x:v>Cincinnati Bengals</x:v>
      </x:c>
      <x:c r="E226" s="48" t="n">
        <x:v>60</x:v>
      </x:c>
      <x:c r="F226" s="116" t="str">
        <x:v>Streaming/late-round defense; matchup matters more than preseason rank.</x:v>
      </x:c>
      <x:c r="G226" s="116" t="str">
        <x:v>The unit grades well relative to the current DST pool, but the model intentionally keeps defense behind core skill positions.</x:v>
      </x:c>
      <x:c r="H226" s="116" t="str">
        <x:v>DST scoring is highly opponent- and turnover-dependent, making season-long rank fragile.</x:v>
      </x:c>
      <x:c r="I226" s="48" t="n">
        <x:v>280</x:v>
      </x:c>
      <x:c r="J226" s="48" t="n">
        <x:v>58</x:v>
      </x:c>
      <x:c r="K226" t="str">
        <x:v>B</x:v>
      </x:c>
      <x:c r="L226" t="str">
        <x:v>DST MODEL</x:v>
      </x:c>
    </x:row>
    <x:row r="227">
      <x:c r="A227" t="n">
        <x:v>223</x:v>
      </x:c>
      <x:c r="B227" t="str">
        <x:v>DST</x:v>
      </x:c>
      <x:c r="C227" t="n">
        <x:v>32</x:v>
      </x:c>
      <x:c r="D227" t="str">
        <x:v>Las Vegas Raiders</x:v>
      </x:c>
      <x:c r="E227" s="48" t="n">
        <x:v>58.9</x:v>
      </x:c>
      <x:c r="F227" s="116" t="str">
        <x:v>Streaming/late-round defense; matchup matters more than preseason rank.</x:v>
      </x:c>
      <x:c r="G227" s="116" t="str">
        <x:v>The unit grades well relative to the current DST pool, but the model intentionally keeps defense behind core skill positions.</x:v>
      </x:c>
      <x:c r="H227" s="116" t="str">
        <x:v>DST scoring is highly opponent- and turnover-dependent, making season-long rank fragile.</x:v>
      </x:c>
      <x:c r="I227" s="48" t="n">
        <x:v>284</x:v>
      </x:c>
      <x:c r="J227" s="48" t="n">
        <x:v>61</x:v>
      </x:c>
      <x:c r="K227" t="str">
        <x:v>B</x:v>
      </x:c>
      <x:c r="L227" t="str">
        <x:v>DST MODEL</x:v>
      </x:c>
    </x:row>
  </x:sheetData>
  <x:mergeCells>
    <x:mergeCell ref="A1:J1"/>
    <x:mergeCell ref="A2:J2"/>
    <x:mergeCell ref="A1:L1"/>
    <x:mergeCell ref="A2:L2"/>
  </x:mergeCells>
  <x:conditionalFormatting sqref="D5:D18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{6B62C52E-BEEF-8D38-DAAC-88426700A3EC}</x14:id>
        </x:ext>
      </x:extLst>
    </x:cfRule>
  </x:conditionalFormatting>
  <x:conditionalFormatting sqref="E5:E227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{E9E49E99-6AA6-8619-9216-88862840E790}</x14:id>
        </x:ext>
      </x:extLst>
    </x:cfRule>
  </x:conditionalFormatting>
  <x:conditionalFormatting sqref="J5:J227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B62C52E-BEEF-8D38-DAAC-88426700A3EC}">
            <x14:dataBar gradient="1">
              <x14:cfvo type="min"/>
              <x14:cfvo type="max"/>
              <x14:fillColor rgb="FFA02B93"/>
            </x14:dataBar>
          </x14:cfRule>
          <xm:sqref>D5:D183</xm:sqref>
        </x14:conditionalFormatting>
        <x14:conditionalFormatting>
          <x14:cfRule type="dataBar" priority="2" id="{E9E49E99-6AA6-8619-9216-88862840E790}">
            <x14:dataBar gradient="1">
              <x14:cfvo type="min"/>
              <x14:cfvo type="max"/>
              <x14:fillColor rgb="FFA02B93"/>
            </x14:dataBar>
          </x14:cfRule>
          <xm:sqref>E5:E227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.75" hidden="0" customWidth="1"/>
    <x:col min="3" max="3" width="40" hidden="0" customWidth="1"/>
    <x:col min="5" max="5" width="6.75" hidden="0" customWidth="1"/>
    <x:col min="6" max="6" width="23.1299991607666" hidden="0" customWidth="1"/>
    <x:col min="7" max="7" width="14.380000114440918" hidden="0" customWidth="1"/>
    <x:col min="8" max="8" width="28" hidden="0" customWidth="1"/>
  </x:cols>
  <x:sheetData>
    <x:row r="1">
      <x:c r="A1" s="100" t="str">
        <x:v>Fantasy Football League Configuration — Editable</x:v>
      </x:c>
    </x:row>
    <x:row r="2">
      <x:c r="A2" s="103" t="str">
        <x:v>Default = 10-team full-PPR, 1QB / 2RB / 2WR / 1TE / 1FLEX / 1K / 1DST. Blue cells are designed to be edited.</x:v>
      </x:c>
    </x:row>
    <x:row r="4">
      <x:c r="A4" s="108" t="str">
        <x:v>League Setting</x:v>
      </x:c>
      <x:c r="B4" s="108" t="str">
        <x:v>Value</x:v>
      </x:c>
      <x:c r="C4" s="108" t="str">
        <x:v>Notes</x:v>
      </x:c>
      <x:c r="E4" s="108" t="str">
        <x:v>Position</x:v>
      </x:c>
      <x:c r="F4" s="108" t="str">
        <x:v>Calculated Replacement Rank</x:v>
      </x:c>
      <x:c r="G4" s="108" t="str">
        <x:v>Override</x:v>
      </x:c>
      <x:c r="H4" s="108" t="str">
        <x:v>Effective Rank</x:v>
      </x:c>
    </x:row>
    <x:row r="5">
      <x:c r="A5" t="str">
        <x:v>Teams</x:v>
      </x:c>
      <x:c r="B5" s="109" t="n">
        <x:v>10</x:v>
      </x:c>
      <x:c r="C5" t="str">
        <x:v>Change league size here.</x:v>
      </x:c>
      <x:c r="E5" t="str">
        <x:v>QB</x:v>
      </x:c>
      <x:c r="F5" t="n">
        <x:f>ROUND($B$5*$B$7+$B$5*0.30,0)</x:f>
        <x:v>13</x:v>
      </x:c>
      <x:c r="G5" s="109"/>
      <x:c r="H5" t="n">
        <x:f>IF(G5="",F5,G5)</x:f>
        <x:v>13</x:v>
      </x:c>
    </x:row>
    <x:row r="6">
      <x:c r="A6" t="str">
        <x:v>Scoring</x:v>
      </x:c>
      <x:c r="B6" s="109" t="str">
        <x:v>PPR</x:v>
      </x:c>
      <x:c r="C6" t="str">
        <x:v>Current player model is PPR.</x:v>
      </x:c>
      <x:c r="E6" t="str">
        <x:v>RB</x:v>
      </x:c>
      <x:c r="F6" t="n">
        <x:f>ROUND($B$5*$B$8+$B$5*$B$11*0.55+$B$5*0.60,0)</x:f>
        <x:v>32</x:v>
      </x:c>
      <x:c r="G6" s="109"/>
      <x:c r="H6" t="n">
        <x:f>IF(G6="",F6,G6)</x:f>
        <x:v>32</x:v>
      </x:c>
    </x:row>
    <x:row r="7">
      <x:c r="A7" t="str">
        <x:v>Starting QB</x:v>
      </x:c>
      <x:c r="B7" s="109" t="n">
        <x:v>1</x:v>
      </x:c>
      <x:c r="C7" t="str">
        <x:v>Per team</x:v>
      </x:c>
      <x:c r="E7" t="str">
        <x:v>WR</x:v>
      </x:c>
      <x:c r="F7" t="n">
        <x:f>ROUND($B$5*$B$9+$B$5*$B$11*0.45+$B$5*0.80,0)</x:f>
        <x:v>33</x:v>
      </x:c>
      <x:c r="G7" s="109"/>
      <x:c r="H7" t="n">
        <x:f>IF(G7="",F7,G7)</x:f>
        <x:v>33</x:v>
      </x:c>
    </x:row>
    <x:row r="8">
      <x:c r="A8" t="str">
        <x:v>Starting RB</x:v>
      </x:c>
      <x:c r="B8" s="109" t="n">
        <x:v>2</x:v>
      </x:c>
      <x:c r="C8" t="str">
        <x:v>Per team</x:v>
      </x:c>
      <x:c r="E8" t="str">
        <x:v>TE</x:v>
      </x:c>
      <x:c r="F8" t="n">
        <x:f>ROUND($B$5*$B$10+$B$5*0.30,0)</x:f>
        <x:v>13</x:v>
      </x:c>
      <x:c r="G8" s="109"/>
      <x:c r="H8" t="n">
        <x:f>IF(G8="",F8,G8)</x:f>
        <x:v>13</x:v>
      </x:c>
    </x:row>
    <x:row r="9">
      <x:c r="A9" t="str">
        <x:v>Starting WR</x:v>
      </x:c>
      <x:c r="B9" s="109" t="n">
        <x:v>2</x:v>
      </x:c>
      <x:c r="C9" t="str">
        <x:v>Per team</x:v>
      </x:c>
      <x:c r="E9" t="str">
        <x:v>K</x:v>
      </x:c>
      <x:c r="F9" t="n">
        <x:f>ROUND($B$5*$B$12,0)</x:f>
        <x:v>10</x:v>
      </x:c>
      <x:c r="G9" s="109"/>
      <x:c r="H9" t="n">
        <x:f>IF(G9="",F9,G9)</x:f>
        <x:v>10</x:v>
      </x:c>
    </x:row>
    <x:row r="10">
      <x:c r="A10" t="str">
        <x:v>Starting TE</x:v>
      </x:c>
      <x:c r="B10" s="109" t="n">
        <x:v>1</x:v>
      </x:c>
      <x:c r="C10" t="str">
        <x:v>Per team</x:v>
      </x:c>
      <x:c r="E10" t="str">
        <x:v>DST</x:v>
      </x:c>
      <x:c r="F10" t="n">
        <x:f>ROUND($B$5*$B$13,0)</x:f>
        <x:v>10</x:v>
      </x:c>
      <x:c r="G10" s="109"/>
      <x:c r="H10" t="n">
        <x:f>IF(G10="",F10,G10)</x:f>
        <x:v>10</x:v>
      </x:c>
    </x:row>
    <x:row r="11">
      <x:c r="A11" t="str">
        <x:v>Starting FLEX</x:v>
      </x:c>
      <x:c r="B11" s="109" t="n">
        <x:v>1</x:v>
      </x:c>
      <x:c r="C11" t="str">
        <x:v>RB/WR/TE</x:v>
      </x:c>
    </x:row>
    <x:row r="12">
      <x:c r="A12" t="str">
        <x:v>Starting K</x:v>
      </x:c>
      <x:c r="B12" s="109" t="n">
        <x:v>1</x:v>
      </x:c>
      <x:c r="C12" t="str">
        <x:v>Per team</x:v>
      </x:c>
    </x:row>
    <x:row r="13">
      <x:c r="A13" t="str">
        <x:v>Starting DST</x:v>
      </x:c>
      <x:c r="B13" s="109" t="n">
        <x:v>1</x:v>
      </x:c>
      <x:c r="C13" t="str">
        <x:v>Per team</x:v>
      </x:c>
      <x:c r="E13" s="108" t="str">
        <x:v>Position</x:v>
      </x:c>
      <x:c r="F13" s="108" t="str">
        <x:v>Replacement Rating</x:v>
      </x:c>
      <x:c r="G13" s="108" t="str">
        <x:v>Scarcity Multiplier</x:v>
      </x:c>
      <x:c r="H13" s="108" t="str">
        <x:v>Notes</x:v>
      </x:c>
    </x:row>
    <x:row r="14">
      <x:c r="A14" t="str">
        <x:v>Bench</x:v>
      </x:c>
      <x:c r="B14" s="109" t="n">
        <x:v>6</x:v>
      </x:c>
      <x:c r="C14" t="str">
        <x:v>Per team</x:v>
      </x:c>
      <x:c r="E14" t="str">
        <x:v>QB</x:v>
      </x:c>
      <x:c r="F14" t="n">
        <x:f>INDEX('FINAL QB'!$C$5:$C$36,MIN($H$5,32))</x:f>
        <x:v>84.69210205685258</x:v>
      </x:c>
      <x:c r="G14" s="109" t="n">
        <x:v>1</x:v>
      </x:c>
      <x:c r="H14" t="str">
        <x:v>QB lower scarcity in 1QB</x:v>
      </x:c>
    </x:row>
    <x:row r="15">
      <x:c r="A15" t="str">
        <x:v>K Draft Penalty</x:v>
      </x:c>
      <x:c r="B15" s="109" t="n">
        <x:v>18</x:v>
      </x:c>
      <x:c r="C15" t="str">
        <x:v>Higher = draft later</x:v>
      </x:c>
      <x:c r="E15" t="str">
        <x:v>RB</x:v>
      </x:c>
      <x:c r="F15" t="n">
        <x:f>INDEX('FINAL RB'!$C$5:$C$54,MIN($H$6,50))</x:f>
        <x:v>73.56779045370797</x:v>
      </x:c>
      <x:c r="G15" s="109" t="n">
        <x:v>1.15</x:v>
      </x:c>
      <x:c r="H15" t="str">
        <x:v>RB FLEX scarcity</x:v>
      </x:c>
    </x:row>
    <x:row r="16">
      <x:c r="A16" t="str">
        <x:v>DST Draft Penalty</x:v>
      </x:c>
      <x:c r="B16" s="109" t="n">
        <x:v>20</x:v>
      </x:c>
      <x:c r="C16" t="str">
        <x:v>Higher = draft later</x:v>
      </x:c>
      <x:c r="E16" t="str">
        <x:v>WR</x:v>
      </x:c>
      <x:c r="F16" t="n">
        <x:f>INDEX('FINAL WR'!$C$5:$C$78,MIN($H$7,70))</x:f>
        <x:v>73.645</x:v>
      </x:c>
      <x:c r="G16" s="109" t="n">
        <x:v>1.1</x:v>
      </x:c>
      <x:c r="H16" t="str">
        <x:v>WR FLEX scarcity</x:v>
      </x:c>
    </x:row>
    <x:row r="17">
      <x:c r="A17" t="str">
        <x:v>QB 1QB Penalty</x:v>
      </x:c>
      <x:c r="B17" s="109" t="n">
        <x:v>3</x:v>
      </x:c>
      <x:c r="C17" t="str">
        <x:v>Set lower in Superflex/2QB</x:v>
      </x:c>
      <x:c r="E17" t="str">
        <x:v>TE</x:v>
      </x:c>
      <x:c r="F17" t="n">
        <x:f>INDEX('FINAL TE'!$C$5:$C$31,MIN($H$8,27))</x:f>
        <x:v>79.9181106679422</x:v>
      </x:c>
      <x:c r="G17" s="109" t="n">
        <x:v>0.9</x:v>
      </x:c>
      <x:c r="H17" t="str">
        <x:v>Elite TE separation matters, but 10-team replacement is deep</x:v>
      </x:c>
    </x:row>
    <x:row r="18">
      <x:c r="E18" t="str">
        <x:v>K</x:v>
      </x:c>
      <x:c r="F18" t="n">
        <x:f>INDEX('K Rankings'!$D$5:$D$16,MIN($H$9,12))</x:f>
        <x:v>74.2</x:v>
      </x:c>
      <x:c r="G18" s="109" t="n">
        <x:v>0.55</x:v>
      </x:c>
      <x:c r="H18" t="str">
        <x:v>K de-emphasized</x:v>
      </x:c>
    </x:row>
    <x:row r="19">
      <x:c r="E19" t="str">
        <x:v>DST</x:v>
      </x:c>
      <x:c r="F19" t="n">
        <x:f>INDEX('DST Rankings'!$D$5:$D$36,MIN($H$10,32))</x:f>
        <x:v>83.1</x:v>
      </x:c>
      <x:c r="G19" s="109" t="n">
        <x:v>0.5</x:v>
      </x:c>
      <x:c r="H19" t="str">
        <x:v>DST de-emphasized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5.5" hidden="0" customWidth="1"/>
    <x:col min="2" max="2" width="23" hidden="0" customWidth="1"/>
    <x:col min="3" max="3" width="4.630000114440918" hidden="0" customWidth="1"/>
    <x:col min="4" max="4" width="5.380000114440918" hidden="0" customWidth="1"/>
    <x:col min="5" max="5" width="5.130000114440918" hidden="0" customWidth="1"/>
    <x:col min="6" max="6" width="38" hidden="0" customWidth="1"/>
    <x:col min="7" max="7" width="46" hidden="0" customWidth="1"/>
    <x:col min="8" max="8" width="42" hidden="0" customWidth="1"/>
    <x:col min="9" max="9" width="44" hidden="0" customWidth="1"/>
  </x:cols>
  <x:sheetData>
    <x:row r="1">
      <x:c r="A1" s="111" t="str">
        <x:v>2026 Kickers — Final Rankings</x:v>
      </x:c>
    </x:row>
    <x:row r="2">
      <x:c r="A2" s="112" t="str">
        <x:v>Kickers are ranked, but the default 10-team strategy is still to wait until the final rounds.</x:v>
      </x:c>
    </x:row>
    <x:row r="4">
      <x:c r="A4" s="115" t="str">
        <x:v>Rank</x:v>
      </x:c>
      <x:c r="B4" s="115" t="str">
        <x:v>Kicker</x:v>
      </x:c>
      <x:c r="C4" s="115" t="str">
        <x:v>Team</x:v>
      </x:c>
      <x:c r="D4" s="115" t="str">
        <x:v>Rating</x:v>
      </x:c>
      <x:c r="E4" s="115" t="str">
        <x:v>Tier</x:v>
      </x:c>
      <x:c r="F4" s="115" t="str">
        <x:v>2026 Expectation</x:v>
      </x:c>
      <x:c r="G4" s="115" t="str">
        <x:v>Why</x:v>
      </x:c>
      <x:c r="H4" s="115" t="str">
        <x:v>Main Risk</x:v>
      </x:c>
      <x:c r="I4" s="115" t="str">
        <x:v>Source</x:v>
      </x:c>
    </x:row>
    <x:row r="5">
      <x:c r="A5" t="n">
        <x:v>1</x:v>
      </x:c>
      <x:c r="B5" t="str">
        <x:v>Brandon Aubrey</x:v>
      </x:c>
      <x:c r="C5" t="str">
        <x:v>DAL</x:v>
      </x:c>
      <x:c r="D5" s="48" t="n">
        <x:v>94</x:v>
      </x:c>
      <x:c r="E5" s="48" t="str">
        <x:v>TIER 1</x:v>
      </x:c>
      <x:c r="F5" s="116" t="str">
        <x:v>Top-tier kicker option, but still a final-round target.</x:v>
      </x:c>
      <x:c r="G5" s="116" t="str">
        <x:v>Ranks near the top of the current kicker pool, but kicker week-to-week separation is small in a 10-team league.</x:v>
      </x:c>
      <x:c r="H5" s="98" t="str">
        <x:v>Kicker scoring is volatile and replaceable on waivers; do not pay meaningful draft capital.</x:v>
      </x:c>
      <x:c r="I5" t="str">
        <x:v>https://www.fantasypros.com/nfl/rankings/k-cheatsheets.php</x:v>
      </x:c>
    </x:row>
    <x:row r="6">
      <x:c r="A6" t="n">
        <x:v>2</x:v>
      </x:c>
      <x:c r="B6" t="str">
        <x:v>Ka'imi Fairbairn</x:v>
      </x:c>
      <x:c r="C6" t="str">
        <x:v>HOU</x:v>
      </x:c>
      <x:c r="D6" s="48" t="n">
        <x:v>91.8</x:v>
      </x:c>
      <x:c r="E6" s="48" t="str">
        <x:v>TIER 1</x:v>
      </x:c>
      <x:c r="F6" s="116" t="str">
        <x:v>Top-tier kicker option, but still a final-round target.</x:v>
      </x:c>
      <x:c r="G6" s="116" t="str">
        <x:v>Ranks near the top of the current kicker pool, but kicker week-to-week separation is small in a 10-team league.</x:v>
      </x:c>
      <x:c r="H6" s="98" t="str">
        <x:v>Kicker scoring is volatile and replaceable on waivers; do not pay meaningful draft capital.</x:v>
      </x:c>
      <x:c r="I6" t="str">
        <x:v>https://www.fantasypros.com/nfl/rankings/k-cheatsheets.php</x:v>
      </x:c>
    </x:row>
    <x:row r="7">
      <x:c r="A7" t="n">
        <x:v>3</x:v>
      </x:c>
      <x:c r="B7" t="str">
        <x:v>Cameron Dicker</x:v>
      </x:c>
      <x:c r="C7" t="str">
        <x:v>LAC</x:v>
      </x:c>
      <x:c r="D7" s="48" t="n">
        <x:v>89.6</x:v>
      </x:c>
      <x:c r="E7" s="48" t="str">
        <x:v>TIER 2</x:v>
      </x:c>
      <x:c r="F7" s="116" t="str">
        <x:v>Top-tier kicker option, but still a final-round target.</x:v>
      </x:c>
      <x:c r="G7" s="116" t="str">
        <x:v>Ranks near the top of the current kicker pool, but kicker week-to-week separation is small in a 10-team league.</x:v>
      </x:c>
      <x:c r="H7" s="98" t="str">
        <x:v>Kicker scoring is volatile and replaceable on waivers; do not pay meaningful draft capital.</x:v>
      </x:c>
      <x:c r="I7" t="str">
        <x:v>https://www.fantasypros.com/nfl/rankings/k-cheatsheets.php</x:v>
      </x:c>
    </x:row>
    <x:row r="8">
      <x:c r="A8" t="n">
        <x:v>4</x:v>
      </x:c>
      <x:c r="B8" t="str">
        <x:v>Jason Myers</x:v>
      </x:c>
      <x:c r="C8" t="str">
        <x:v>SEA</x:v>
      </x:c>
      <x:c r="D8" s="48" t="n">
        <x:v>87.4</x:v>
      </x:c>
      <x:c r="E8" s="48" t="str">
        <x:v>TIER 2</x:v>
      </x:c>
      <x:c r="F8" s="116" t="str">
        <x:v>Top-tier kicker option, but still a final-round target.</x:v>
      </x:c>
      <x:c r="G8" s="116" t="str">
        <x:v>Ranks near the top of the current kicker pool, but kicker week-to-week separation is small in a 10-team league.</x:v>
      </x:c>
      <x:c r="H8" s="98" t="str">
        <x:v>Kicker scoring is volatile and replaceable on waivers; do not pay meaningful draft capital.</x:v>
      </x:c>
      <x:c r="I8" t="str">
        <x:v>https://www.fantasypros.com/nfl/rankings/k-cheatsheets.php</x:v>
      </x:c>
    </x:row>
    <x:row r="9">
      <x:c r="A9" t="n">
        <x:v>5</x:v>
      </x:c>
      <x:c r="B9" t="str">
        <x:v>Cam Little</x:v>
      </x:c>
      <x:c r="C9" t="str">
        <x:v>JAC</x:v>
      </x:c>
      <x:c r="D9" s="48" t="n">
        <x:v>85.2</x:v>
      </x:c>
      <x:c r="E9" s="48" t="str">
        <x:v>TIER 2</x:v>
      </x:c>
      <x:c r="F9" s="116" t="str">
        <x:v>Top-tier kicker option, but still a final-round target.</x:v>
      </x:c>
      <x:c r="G9" s="116" t="str">
        <x:v>Ranks near the top of the current kicker pool, but kicker week-to-week separation is small in a 10-team league.</x:v>
      </x:c>
      <x:c r="H9" s="98" t="str">
        <x:v>Kicker scoring is volatile and replaceable on waivers; do not pay meaningful draft capital.</x:v>
      </x:c>
      <x:c r="I9" t="str">
        <x:v>https://www.fantasypros.com/nfl/rankings/k-cheatsheets.php</x:v>
      </x:c>
    </x:row>
    <x:row r="10">
      <x:c r="A10" t="n">
        <x:v>6</x:v>
      </x:c>
      <x:c r="B10" t="str">
        <x:v>Eddy Pineiro</x:v>
      </x:c>
      <x:c r="C10" t="str">
        <x:v>SF</x:v>
      </x:c>
      <x:c r="D10" s="48" t="n">
        <x:v>83</x:v>
      </x:c>
      <x:c r="E10" s="48" t="str">
        <x:v>TIER 3</x:v>
      </x:c>
      <x:c r="F10" s="116" t="str">
        <x:v>Late-round kicker; treat as replaceable unless scoring strongly rewards distance.</x:v>
      </x:c>
      <x:c r="G10" s="116" t="str">
        <x:v>Ranks near the top of the current kicker pool, but kicker week-to-week separation is small in a 10-team league.</x:v>
      </x:c>
      <x:c r="H10" s="98" t="str">
        <x:v>Kicker scoring is volatile and replaceable on waivers; do not pay meaningful draft capital.</x:v>
      </x:c>
      <x:c r="I10" t="str">
        <x:v>https://www.fantasypros.com/nfl/rankings/k-cheatsheets.php</x:v>
      </x:c>
    </x:row>
    <x:row r="11">
      <x:c r="A11" t="n">
        <x:v>7</x:v>
      </x:c>
      <x:c r="B11" t="str">
        <x:v>Tyler Loop</x:v>
      </x:c>
      <x:c r="C11" t="str">
        <x:v>BAL</x:v>
      </x:c>
      <x:c r="D11" s="48" t="n">
        <x:v>80.8</x:v>
      </x:c>
      <x:c r="E11" s="48" t="str">
        <x:v>TIER 3</x:v>
      </x:c>
      <x:c r="F11" s="116" t="str">
        <x:v>Late-round kicker; treat as replaceable unless scoring strongly rewards distance.</x:v>
      </x:c>
      <x:c r="G11" s="116" t="str">
        <x:v>Ranks near the top of the current kicker pool, but kicker week-to-week separation is small in a 10-team league.</x:v>
      </x:c>
      <x:c r="H11" s="98" t="str">
        <x:v>Kicker scoring is volatile and replaceable on waivers; do not pay meaningful draft capital.</x:v>
      </x:c>
      <x:c r="I11" t="str">
        <x:v>https://www.fantasypros.com/nfl/rankings/k-cheatsheets.php</x:v>
      </x:c>
    </x:row>
    <x:row r="12">
      <x:c r="A12" t="n">
        <x:v>8</x:v>
      </x:c>
      <x:c r="B12" t="str">
        <x:v>Harrison Mevis</x:v>
      </x:c>
      <x:c r="C12" t="str">
        <x:v>LAR</x:v>
      </x:c>
      <x:c r="D12" s="48" t="n">
        <x:v>78.6</x:v>
      </x:c>
      <x:c r="E12" s="48" t="str">
        <x:v>TIER 4</x:v>
      </x:c>
      <x:c r="F12" s="116" t="str">
        <x:v>Late-round kicker; treat as replaceable unless scoring strongly rewards distance.</x:v>
      </x:c>
      <x:c r="G12" s="116" t="str">
        <x:v>Ranks near the top of the current kicker pool, but kicker week-to-week separation is small in a 10-team league.</x:v>
      </x:c>
      <x:c r="H12" s="98" t="str">
        <x:v>Kicker scoring is volatile and replaceable on waivers; do not pay meaningful draft capital.</x:v>
      </x:c>
      <x:c r="I12" t="str">
        <x:v>https://www.fantasypros.com/nfl/rankings/k-cheatsheets.php</x:v>
      </x:c>
    </x:row>
    <x:row r="13">
      <x:c r="A13" t="n">
        <x:v>9</x:v>
      </x:c>
      <x:c r="B13" t="str">
        <x:v>Chase McLaughlin</x:v>
      </x:c>
      <x:c r="C13" t="str">
        <x:v>TB</x:v>
      </x:c>
      <x:c r="D13" s="48" t="n">
        <x:v>76.4</x:v>
      </x:c>
      <x:c r="E13" s="48" t="str">
        <x:v>TIER 4</x:v>
      </x:c>
      <x:c r="F13" s="116" t="str">
        <x:v>Late-round kicker; treat as replaceable unless scoring strongly rewards distance.</x:v>
      </x:c>
      <x:c r="G13" s="116" t="str">
        <x:v>Ranks near the top of the current kicker pool, but kicker week-to-week separation is small in a 10-team league.</x:v>
      </x:c>
      <x:c r="H13" s="98" t="str">
        <x:v>Kicker scoring is volatile and replaceable on waivers; do not pay meaningful draft capital.</x:v>
      </x:c>
      <x:c r="I13" t="str">
        <x:v>https://www.fantasypros.com/nfl/rankings/k-cheatsheets.php</x:v>
      </x:c>
    </x:row>
    <x:row r="14">
      <x:c r="A14" t="n">
        <x:v>10</x:v>
      </x:c>
      <x:c r="B14" t="str">
        <x:v>Cairo Santos</x:v>
      </x:c>
      <x:c r="C14" t="str">
        <x:v>CHI</x:v>
      </x:c>
      <x:c r="D14" s="48" t="n">
        <x:v>74.2</x:v>
      </x:c>
      <x:c r="E14" s="48" t="str">
        <x:v>TIER 5</x:v>
      </x:c>
      <x:c r="F14" s="116" t="str">
        <x:v>Late-round kicker; treat as replaceable unless scoring strongly rewards distance.</x:v>
      </x:c>
      <x:c r="G14" s="116" t="str">
        <x:v>Ranks near the top of the current kicker pool, but kicker week-to-week separation is small in a 10-team league.</x:v>
      </x:c>
      <x:c r="H14" s="98" t="str">
        <x:v>Kicker scoring is volatile and replaceable on waivers; do not pay meaningful draft capital.</x:v>
      </x:c>
      <x:c r="I14" t="str">
        <x:v>https://www.fantasypros.com/nfl/rankings/k-cheatsheets.php</x:v>
      </x:c>
    </x:row>
    <x:row r="15">
      <x:c r="A15" t="n">
        <x:v>11</x:v>
      </x:c>
      <x:c r="B15" t="str">
        <x:v>Andy Borregales</x:v>
      </x:c>
      <x:c r="C15" t="str">
        <x:v>NE</x:v>
      </x:c>
      <x:c r="D15" s="48" t="n">
        <x:v>72</x:v>
      </x:c>
      <x:c r="E15" s="48" t="str">
        <x:v>TIER 5</x:v>
      </x:c>
      <x:c r="F15" s="116" t="str">
        <x:v>Late-round kicker; treat as replaceable unless scoring strongly rewards distance.</x:v>
      </x:c>
      <x:c r="G15" s="116" t="str">
        <x:v>Ranks near the top of the current kicker pool, but kicker week-to-week separation is small in a 10-team league.</x:v>
      </x:c>
      <x:c r="H15" s="98" t="str">
        <x:v>Kicker scoring is volatile and replaceable on waivers; do not pay meaningful draft capital.</x:v>
      </x:c>
      <x:c r="I15" t="str">
        <x:v>https://www.fantasypros.com/nfl/rankings/k-cheatsheets.php</x:v>
      </x:c>
    </x:row>
    <x:row r="16">
      <x:c r="A16" t="n">
        <x:v>12</x:v>
      </x:c>
      <x:c r="B16" t="str">
        <x:v>Evan McPherson</x:v>
      </x:c>
      <x:c r="C16" t="str">
        <x:v>CIN</x:v>
      </x:c>
      <x:c r="D16" s="48" t="n">
        <x:v>69.8</x:v>
      </x:c>
      <x:c r="E16" s="48" t="str">
        <x:v>TIER 6</x:v>
      </x:c>
      <x:c r="F16" s="116" t="str">
        <x:v>Late-round kicker; treat as replaceable unless scoring strongly rewards distance.</x:v>
      </x:c>
      <x:c r="G16" s="116" t="str">
        <x:v>Ranks near the top of the current kicker pool, but kicker week-to-week separation is small in a 10-team league.</x:v>
      </x:c>
      <x:c r="H16" s="98" t="str">
        <x:v>Kicker scoring is volatile and replaceable on waivers; do not pay meaningful draft capital.</x:v>
      </x:c>
      <x:c r="I16" t="str">
        <x:v>https://www.fantasypros.com/nfl/rankings/k-cheatsheets.php</x:v>
      </x:c>
    </x:row>
  </x:sheetData>
  <x:mergeCells>
    <x:mergeCell ref="A1:H1"/>
    <x:mergeCell ref="A2:H2"/>
    <x:mergeCell ref="A1:I1"/>
    <x:mergeCell ref="A2:I2"/>
  </x:mergeCells>
  <x:conditionalFormatting sqref="D5:D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9" hidden="0" customWidth="1"/>
    <x:col min="2" max="2" width="25" hidden="0" customWidth="1"/>
    <x:col min="3" max="3" width="4.630000114440918" hidden="0" customWidth="1"/>
    <x:col min="4" max="4" width="5.380000114440918" hidden="0" customWidth="1"/>
    <x:col min="5" max="5" width="5.130000114440918" hidden="0" customWidth="1"/>
    <x:col min="6" max="6" width="40" hidden="0" customWidth="1"/>
    <x:col min="7" max="7" width="46" hidden="0" customWidth="1"/>
    <x:col min="8" max="8" width="44" hidden="0" customWidth="1"/>
    <x:col min="9" max="9" width="44" hidden="0" customWidth="1"/>
  </x:cols>
  <x:sheetData>
    <x:row r="1">
      <x:c r="A1" s="111" t="str">
        <x:v>2026 Defense / Special Teams — Final Rankings</x:v>
      </x:c>
    </x:row>
    <x:row r="2">
      <x:c r="A2" s="112" t="str">
        <x:v>DST is a late-round/streaming position in the default 10-team format; matchup sensitivity is built into the risk language.</x:v>
      </x:c>
    </x:row>
    <x:row r="4">
      <x:c r="A4" s="115" t="str">
        <x:v>Rank</x:v>
      </x:c>
      <x:c r="B4" s="115" t="str">
        <x:v>Defense</x:v>
      </x:c>
      <x:c r="C4" s="115" t="str">
        <x:v>Team</x:v>
      </x:c>
      <x:c r="D4" s="115" t="str">
        <x:v>Rating</x:v>
      </x:c>
      <x:c r="E4" s="115" t="str">
        <x:v>Tier</x:v>
      </x:c>
      <x:c r="F4" s="115" t="str">
        <x:v>2026 Expectation</x:v>
      </x:c>
      <x:c r="G4" s="115" t="str">
        <x:v>Why</x:v>
      </x:c>
      <x:c r="H4" s="115" t="str">
        <x:v>Main Risk</x:v>
      </x:c>
      <x:c r="I4" s="115" t="str">
        <x:v>Source</x:v>
      </x:c>
    </x:row>
    <x:row r="5">
      <x:c r="A5" t="n">
        <x:v>1</x:v>
      </x:c>
      <x:c r="B5" t="str">
        <x:v>Houston Texans</x:v>
      </x:c>
      <x:c r="C5" t="str">
        <x:v>HOU</x:v>
      </x:c>
      <x:c r="D5" s="48" t="n">
        <x:v>93</x:v>
      </x:c>
      <x:c r="E5" s="48" t="str">
        <x:v>TIER 1</x:v>
      </x:c>
      <x:c r="F5" s="116" t="str">
        <x:v>Elite DST target if available in the final rounds; otherwise streaming remains viable.</x:v>
      </x:c>
      <x:c r="G5" s="116" t="str">
        <x:v>The unit grades well relative to the current DST pool, but the model intentionally keeps defense behind core skill positions.</x:v>
      </x:c>
      <x:c r="H5" s="98" t="str">
        <x:v>DST scoring is highly opponent- and turnover-dependent, making season-long rank fragile.</x:v>
      </x:c>
      <x:c r="I5" t="str">
        <x:v>https://www.fantasypros.com/nfl/rankings/dst-cheatsheets.php</x:v>
      </x:c>
    </x:row>
    <x:row r="6">
      <x:c r="A6" t="n">
        <x:v>2</x:v>
      </x:c>
      <x:c r="B6" t="str">
        <x:v>Denver Broncos</x:v>
      </x:c>
      <x:c r="C6" t="str">
        <x:v>DEN</x:v>
      </x:c>
      <x:c r="D6" s="48" t="n">
        <x:v>91.9</x:v>
      </x:c>
      <x:c r="E6" s="48" t="str">
        <x:v>TIER 1</x:v>
      </x:c>
      <x:c r="F6" s="116" t="str">
        <x:v>Elite DST target if available in the final rounds; otherwise streaming remains viable.</x:v>
      </x:c>
      <x:c r="G6" s="116" t="str">
        <x:v>The unit grades well relative to the current DST pool, but the model intentionally keeps defense behind core skill positions.</x:v>
      </x:c>
      <x:c r="H6" s="98" t="str">
        <x:v>DST scoring is highly opponent- and turnover-dependent, making season-long rank fragile.</x:v>
      </x:c>
      <x:c r="I6" t="str">
        <x:v>https://www.fantasypros.com/nfl/rankings/dst-cheatsheets.php</x:v>
      </x:c>
    </x:row>
    <x:row r="7">
      <x:c r="A7" t="n">
        <x:v>3</x:v>
      </x:c>
      <x:c r="B7" t="str">
        <x:v>Seattle Seahawks</x:v>
      </x:c>
      <x:c r="C7" t="str">
        <x:v>SEA</x:v>
      </x:c>
      <x:c r="D7" s="48" t="n">
        <x:v>90.8</x:v>
      </x:c>
      <x:c r="E7" s="48" t="str">
        <x:v>TIER 1</x:v>
      </x:c>
      <x:c r="F7" s="116" t="str">
        <x:v>Elite DST target if available in the final rounds; otherwise streaming remains viable.</x:v>
      </x:c>
      <x:c r="G7" s="116" t="str">
        <x:v>The unit grades well relative to the current DST pool, but the model intentionally keeps defense behind core skill positions.</x:v>
      </x:c>
      <x:c r="H7" s="98" t="str">
        <x:v>DST scoring is highly opponent- and turnover-dependent, making season-long rank fragile.</x:v>
      </x:c>
      <x:c r="I7" t="str">
        <x:v>https://www.fantasypros.com/nfl/rankings/dst-cheatsheets.php</x:v>
      </x:c>
    </x:row>
    <x:row r="8">
      <x:c r="A8" t="n">
        <x:v>4</x:v>
      </x:c>
      <x:c r="B8" t="str">
        <x:v>Los Angeles Rams</x:v>
      </x:c>
      <x:c r="C8" t="str">
        <x:v>LAR</x:v>
      </x:c>
      <x:c r="D8" s="48" t="n">
        <x:v>89.7</x:v>
      </x:c>
      <x:c r="E8" s="48" t="str">
        <x:v>TIER 2</x:v>
      </x:c>
      <x:c r="F8" s="116" t="str">
        <x:v>Elite DST target if available in the final rounds; otherwise streaming remains viable.</x:v>
      </x:c>
      <x:c r="G8" s="116" t="str">
        <x:v>The unit grades well relative to the current DST pool, but the model intentionally keeps defense behind core skill positions.</x:v>
      </x:c>
      <x:c r="H8" s="98" t="str">
        <x:v>DST scoring is highly opponent- and turnover-dependent, making season-long rank fragile.</x:v>
      </x:c>
      <x:c r="I8" t="str">
        <x:v>https://www.fantasypros.com/nfl/rankings/dst-cheatsheets.php</x:v>
      </x:c>
    </x:row>
    <x:row r="9">
      <x:c r="A9" t="n">
        <x:v>5</x:v>
      </x:c>
      <x:c r="B9" t="str">
        <x:v>Philadelphia Eagles</x:v>
      </x:c>
      <x:c r="C9" t="str">
        <x:v>PHI</x:v>
      </x:c>
      <x:c r="D9" s="48" t="n">
        <x:v>88.6</x:v>
      </x:c>
      <x:c r="E9" s="48" t="str">
        <x:v>TIER 2</x:v>
      </x:c>
      <x:c r="F9" s="116" t="str">
        <x:v>Elite DST target if available in the final rounds; otherwise streaming remains viable.</x:v>
      </x:c>
      <x:c r="G9" s="116" t="str">
        <x:v>The unit grades well relative to the current DST pool, but the model intentionally keeps defense behind core skill positions.</x:v>
      </x:c>
      <x:c r="H9" s="98" t="str">
        <x:v>DST scoring is highly opponent- and turnover-dependent, making season-long rank fragile.</x:v>
      </x:c>
      <x:c r="I9" t="str">
        <x:v>https://www.fantasypros.com/nfl/rankings/dst-cheatsheets.php</x:v>
      </x:c>
    </x:row>
    <x:row r="10">
      <x:c r="A10" t="n">
        <x:v>6</x:v>
      </x:c>
      <x:c r="B10" t="str">
        <x:v>Minnesota Vikings</x:v>
      </x:c>
      <x:c r="C10" t="str">
        <x:v>MIN</x:v>
      </x:c>
      <x:c r="D10" s="48" t="n">
        <x:v>87.5</x:v>
      </x:c>
      <x:c r="E10" s="48" t="str">
        <x:v>TIER 2</x:v>
      </x:c>
      <x:c r="F10" s="116" t="str">
        <x:v>Streaming/late-round defense; matchup matters more than preseason rank.</x:v>
      </x:c>
      <x:c r="G10" s="116" t="str">
        <x:v>The unit grades well relative to the current DST pool, but the model intentionally keeps defense behind core skill positions.</x:v>
      </x:c>
      <x:c r="H10" s="98" t="str">
        <x:v>DST scoring is highly opponent- and turnover-dependent, making season-long rank fragile.</x:v>
      </x:c>
      <x:c r="I10" t="str">
        <x:v>https://www.fantasypros.com/nfl/rankings/dst-cheatsheets.php</x:v>
      </x:c>
    </x:row>
    <x:row r="11">
      <x:c r="A11" t="n">
        <x:v>7</x:v>
      </x:c>
      <x:c r="B11" t="str">
        <x:v>New England Patriots</x:v>
      </x:c>
      <x:c r="C11" t="str">
        <x:v>NE</x:v>
      </x:c>
      <x:c r="D11" s="48" t="n">
        <x:v>86.4</x:v>
      </x:c>
      <x:c r="E11" s="48" t="str">
        <x:v>TIER 2</x:v>
      </x:c>
      <x:c r="F11" s="116" t="str">
        <x:v>Streaming/late-round defense; matchup matters more than preseason rank.</x:v>
      </x:c>
      <x:c r="G11" s="116" t="str">
        <x:v>The unit grades well relative to the current DST pool, but the model intentionally keeps defense behind core skill positions.</x:v>
      </x:c>
      <x:c r="H11" s="98" t="str">
        <x:v>DST scoring is highly opponent- and turnover-dependent, making season-long rank fragile.</x:v>
      </x:c>
      <x:c r="I11" t="str">
        <x:v>https://www.fantasypros.com/nfl/rankings/dst-cheatsheets.php</x:v>
      </x:c>
    </x:row>
    <x:row r="12">
      <x:c r="A12" t="n">
        <x:v>8</x:v>
      </x:c>
      <x:c r="B12" t="str">
        <x:v>Jacksonville Jaguars</x:v>
      </x:c>
      <x:c r="C12" t="str">
        <x:v>JAC</x:v>
      </x:c>
      <x:c r="D12" s="48" t="n">
        <x:v>85.3</x:v>
      </x:c>
      <x:c r="E12" s="48" t="str">
        <x:v>TIER 2</x:v>
      </x:c>
      <x:c r="F12" s="116" t="str">
        <x:v>Streaming/late-round defense; matchup matters more than preseason rank.</x:v>
      </x:c>
      <x:c r="G12" s="116" t="str">
        <x:v>The unit grades well relative to the current DST pool, but the model intentionally keeps defense behind core skill positions.</x:v>
      </x:c>
      <x:c r="H12" s="98" t="str">
        <x:v>DST scoring is highly opponent- and turnover-dependent, making season-long rank fragile.</x:v>
      </x:c>
      <x:c r="I12" t="str">
        <x:v>https://www.fantasypros.com/nfl/rankings/dst-cheatsheets.php</x:v>
      </x:c>
    </x:row>
    <x:row r="13">
      <x:c r="A13" t="n">
        <x:v>9</x:v>
      </x:c>
      <x:c r="B13" t="str">
        <x:v>Pittsburgh Steelers</x:v>
      </x:c>
      <x:c r="C13" t="str">
        <x:v>PIT</x:v>
      </x:c>
      <x:c r="D13" s="48" t="n">
        <x:v>84.2</x:v>
      </x:c>
      <x:c r="E13" s="48" t="str">
        <x:v>TIER 3</x:v>
      </x:c>
      <x:c r="F13" s="116" t="str">
        <x:v>Streaming/late-round defense; matchup matters more than preseason rank.</x:v>
      </x:c>
      <x:c r="G13" s="116" t="str">
        <x:v>The unit grades well relative to the current DST pool, but the model intentionally keeps defense behind core skill positions.</x:v>
      </x:c>
      <x:c r="H13" s="98" t="str">
        <x:v>DST scoring is highly opponent- and turnover-dependent, making season-long rank fragile.</x:v>
      </x:c>
      <x:c r="I13" t="str">
        <x:v>https://www.fantasypros.com/nfl/rankings/dst-cheatsheets.php</x:v>
      </x:c>
    </x:row>
    <x:row r="14">
      <x:c r="A14" t="n">
        <x:v>10</x:v>
      </x:c>
      <x:c r="B14" t="str">
        <x:v>Los Angeles Chargers</x:v>
      </x:c>
      <x:c r="C14" t="str">
        <x:v>LAC</x:v>
      </x:c>
      <x:c r="D14" s="48" t="n">
        <x:v>83.1</x:v>
      </x:c>
      <x:c r="E14" s="48" t="str">
        <x:v>TIER 3</x:v>
      </x:c>
      <x:c r="F14" s="116" t="str">
        <x:v>Streaming/late-round defense; matchup matters more than preseason rank.</x:v>
      </x:c>
      <x:c r="G14" s="116" t="str">
        <x:v>The unit grades well relative to the current DST pool, but the model intentionally keeps defense behind core skill positions.</x:v>
      </x:c>
      <x:c r="H14" s="98" t="str">
        <x:v>DST scoring is highly opponent- and turnover-dependent, making season-long rank fragile.</x:v>
      </x:c>
      <x:c r="I14" t="str">
        <x:v>https://www.fantasypros.com/nfl/rankings/dst-cheatsheets.php</x:v>
      </x:c>
    </x:row>
    <x:row r="15">
      <x:c r="A15" t="n">
        <x:v>11</x:v>
      </x:c>
      <x:c r="B15" t="str">
        <x:v>Baltimore Ravens</x:v>
      </x:c>
      <x:c r="C15" t="str">
        <x:v>BAL</x:v>
      </x:c>
      <x:c r="D15" s="48" t="n">
        <x:v>82</x:v>
      </x:c>
      <x:c r="E15" s="48" t="str">
        <x:v>TIER 3</x:v>
      </x:c>
      <x:c r="F15" s="116" t="str">
        <x:v>Streaming/late-round defense; matchup matters more than preseason rank.</x:v>
      </x:c>
      <x:c r="G15" s="116" t="str">
        <x:v>The unit grades well relative to the current DST pool, but the model intentionally keeps defense behind core skill positions.</x:v>
      </x:c>
      <x:c r="H15" s="98" t="str">
        <x:v>DST scoring is highly opponent- and turnover-dependent, making season-long rank fragile.</x:v>
      </x:c>
      <x:c r="I15" t="str">
        <x:v>https://www.fantasypros.com/nfl/rankings/dst-cheatsheets.php</x:v>
      </x:c>
    </x:row>
    <x:row r="16">
      <x:c r="A16" t="n">
        <x:v>12</x:v>
      </x:c>
      <x:c r="B16" t="str">
        <x:v>Green Bay Packers</x:v>
      </x:c>
      <x:c r="C16" t="str">
        <x:v>GB</x:v>
      </x:c>
      <x:c r="D16" s="48" t="n">
        <x:v>80.9</x:v>
      </x:c>
      <x:c r="E16" s="48" t="str">
        <x:v>TIER 3</x:v>
      </x:c>
      <x:c r="F16" s="116" t="str">
        <x:v>Streaming/late-round defense; matchup matters more than preseason rank.</x:v>
      </x:c>
      <x:c r="G16" s="116" t="str">
        <x:v>The unit grades well relative to the current DST pool, but the model intentionally keeps defense behind core skill positions.</x:v>
      </x:c>
      <x:c r="H16" s="98" t="str">
        <x:v>DST scoring is highly opponent- and turnover-dependent, making season-long rank fragile.</x:v>
      </x:c>
      <x:c r="I16" t="str">
        <x:v>https://www.fantasypros.com/nfl/rankings/dst-cheatsheets.php</x:v>
      </x:c>
    </x:row>
    <x:row r="17">
      <x:c r="A17" t="n">
        <x:v>13</x:v>
      </x:c>
      <x:c r="B17" t="str">
        <x:v>Detroit Lions</x:v>
      </x:c>
      <x:c r="C17" t="str">
        <x:v>DET</x:v>
      </x:c>
      <x:c r="D17" s="48" t="n">
        <x:v>79.8</x:v>
      </x:c>
      <x:c r="E17" s="48" t="str">
        <x:v>TIER 4</x:v>
      </x:c>
      <x:c r="F17" s="116" t="str">
        <x:v>Streaming/late-round defense; matchup matters more than preseason rank.</x:v>
      </x:c>
      <x:c r="G17" s="116" t="str">
        <x:v>The unit grades well relative to the current DST pool, but the model intentionally keeps defense behind core skill positions.</x:v>
      </x:c>
      <x:c r="H17" s="98" t="str">
        <x:v>DST scoring is highly opponent- and turnover-dependent, making season-long rank fragile.</x:v>
      </x:c>
      <x:c r="I17" t="str">
        <x:v>https://www.fantasypros.com/nfl/rankings/dst-cheatsheets.php</x:v>
      </x:c>
    </x:row>
    <x:row r="18">
      <x:c r="A18" t="n">
        <x:v>14</x:v>
      </x:c>
      <x:c r="B18" t="str">
        <x:v>Buffalo Bills</x:v>
      </x:c>
      <x:c r="C18" t="str">
        <x:v>BUF</x:v>
      </x:c>
      <x:c r="D18" s="48" t="n">
        <x:v>78.7</x:v>
      </x:c>
      <x:c r="E18" s="48" t="str">
        <x:v>TIER 4</x:v>
      </x:c>
      <x:c r="F18" s="116" t="str">
        <x:v>Streaming/late-round defense; matchup matters more than preseason rank.</x:v>
      </x:c>
      <x:c r="G18" s="116" t="str">
        <x:v>The unit grades well relative to the current DST pool, but the model intentionally keeps defense behind core skill positions.</x:v>
      </x:c>
      <x:c r="H18" s="98" t="str">
        <x:v>DST scoring is highly opponent- and turnover-dependent, making season-long rank fragile.</x:v>
      </x:c>
      <x:c r="I18" t="str">
        <x:v>https://www.fantasypros.com/nfl/rankings/dst-cheatsheets.php</x:v>
      </x:c>
    </x:row>
    <x:row r="19">
      <x:c r="A19" t="n">
        <x:v>15</x:v>
      </x:c>
      <x:c r="B19" t="str">
        <x:v>Kansas City Chiefs</x:v>
      </x:c>
      <x:c r="C19" t="str">
        <x:v>KC</x:v>
      </x:c>
      <x:c r="D19" s="48" t="n">
        <x:v>77.6</x:v>
      </x:c>
      <x:c r="E19" s="48" t="str">
        <x:v>TIER 4</x:v>
      </x:c>
      <x:c r="F19" s="116" t="str">
        <x:v>Streaming/late-round defense; matchup matters more than preseason rank.</x:v>
      </x:c>
      <x:c r="G19" s="116" t="str">
        <x:v>The unit grades well relative to the current DST pool, but the model intentionally keeps defense behind core skill positions.</x:v>
      </x:c>
      <x:c r="H19" s="98" t="str">
        <x:v>DST scoring is highly opponent- and turnover-dependent, making season-long rank fragile.</x:v>
      </x:c>
      <x:c r="I19" t="str">
        <x:v>https://www.fantasypros.com/nfl/rankings/dst-cheatsheets.php</x:v>
      </x:c>
    </x:row>
    <x:row r="20">
      <x:c r="A20" t="n">
        <x:v>16</x:v>
      </x:c>
      <x:c r="B20" t="str">
        <x:v>Cleveland Browns</x:v>
      </x:c>
      <x:c r="C20" t="str">
        <x:v>CLE</x:v>
      </x:c>
      <x:c r="D20" s="48" t="n">
        <x:v>76.5</x:v>
      </x:c>
      <x:c r="E20" s="48" t="str">
        <x:v>TIER 4</x:v>
      </x:c>
      <x:c r="F20" s="116" t="str">
        <x:v>Streaming/late-round defense; matchup matters more than preseason rank.</x:v>
      </x:c>
      <x:c r="G20" s="116" t="str">
        <x:v>The unit grades well relative to the current DST pool, but the model intentionally keeps defense behind core skill positions.</x:v>
      </x:c>
      <x:c r="H20" s="98" t="str">
        <x:v>DST scoring is highly opponent- and turnover-dependent, making season-long rank fragile.</x:v>
      </x:c>
      <x:c r="I20" t="str">
        <x:v>https://www.fantasypros.com/nfl/rankings/dst-cheatsheets.php</x:v>
      </x:c>
    </x:row>
    <x:row r="21">
      <x:c r="A21" t="n">
        <x:v>17</x:v>
      </x:c>
      <x:c r="B21" t="str">
        <x:v>San Francisco 49ers</x:v>
      </x:c>
      <x:c r="C21" t="str">
        <x:v>SF</x:v>
      </x:c>
      <x:c r="D21" s="48" t="n">
        <x:v>75.4</x:v>
      </x:c>
      <x:c r="E21" s="48" t="str">
        <x:v>TIER 4</x:v>
      </x:c>
      <x:c r="F21" s="116" t="str">
        <x:v>Streaming/late-round defense; matchup matters more than preseason rank.</x:v>
      </x:c>
      <x:c r="G21" s="116" t="str">
        <x:v>The unit grades well relative to the current DST pool, but the model intentionally keeps defense behind core skill positions.</x:v>
      </x:c>
      <x:c r="H21" s="98" t="str">
        <x:v>DST scoring is highly opponent- and turnover-dependent, making season-long rank fragile.</x:v>
      </x:c>
      <x:c r="I21" t="str">
        <x:v>https://www.fantasypros.com/nfl/rankings/dst-cheatsheets.php</x:v>
      </x:c>
    </x:row>
    <x:row r="22">
      <x:c r="A22" t="n">
        <x:v>18</x:v>
      </x:c>
      <x:c r="B22" t="str">
        <x:v>New Orleans Saints</x:v>
      </x:c>
      <x:c r="C22" t="str">
        <x:v>NO</x:v>
      </x:c>
      <x:c r="D22" s="48" t="n">
        <x:v>74.3</x:v>
      </x:c>
      <x:c r="E22" s="48" t="str">
        <x:v>TIER 5</x:v>
      </x:c>
      <x:c r="F22" s="116" t="str">
        <x:v>Streaming/late-round defense; matchup matters more than preseason rank.</x:v>
      </x:c>
      <x:c r="G22" s="116" t="str">
        <x:v>The unit grades well relative to the current DST pool, but the model intentionally keeps defense behind core skill positions.</x:v>
      </x:c>
      <x:c r="H22" s="98" t="str">
        <x:v>DST scoring is highly opponent- and turnover-dependent, making season-long rank fragile.</x:v>
      </x:c>
      <x:c r="I22" t="str">
        <x:v>https://www.fantasypros.com/nfl/rankings/dst-cheatsheets.php</x:v>
      </x:c>
    </x:row>
    <x:row r="23">
      <x:c r="A23" t="n">
        <x:v>19</x:v>
      </x:c>
      <x:c r="B23" t="str">
        <x:v>Atlanta Falcons</x:v>
      </x:c>
      <x:c r="C23" t="str">
        <x:v>ATL</x:v>
      </x:c>
      <x:c r="D23" s="48" t="n">
        <x:v>73.2</x:v>
      </x:c>
      <x:c r="E23" s="48" t="str">
        <x:v>TIER 5</x:v>
      </x:c>
      <x:c r="F23" s="116" t="str">
        <x:v>Streaming/late-round defense; matchup matters more than preseason rank.</x:v>
      </x:c>
      <x:c r="G23" s="116" t="str">
        <x:v>The unit grades well relative to the current DST pool, but the model intentionally keeps defense behind core skill positions.</x:v>
      </x:c>
      <x:c r="H23" s="98" t="str">
        <x:v>DST scoring is highly opponent- and turnover-dependent, making season-long rank fragile.</x:v>
      </x:c>
      <x:c r="I23" t="str">
        <x:v>https://www.fantasypros.com/nfl/rankings/dst-cheatsheets.php</x:v>
      </x:c>
    </x:row>
    <x:row r="24">
      <x:c r="A24" t="n">
        <x:v>20</x:v>
      </x:c>
      <x:c r="B24" t="str">
        <x:v>Chicago Bears</x:v>
      </x:c>
      <x:c r="C24" t="str">
        <x:v>CHI</x:v>
      </x:c>
      <x:c r="D24" s="48" t="n">
        <x:v>72.1</x:v>
      </x:c>
      <x:c r="E24" s="48" t="str">
        <x:v>TIER 5</x:v>
      </x:c>
      <x:c r="F24" s="116" t="str">
        <x:v>Streaming/late-round defense; matchup matters more than preseason rank.</x:v>
      </x:c>
      <x:c r="G24" s="116" t="str">
        <x:v>The unit grades well relative to the current DST pool, but the model intentionally keeps defense behind core skill positions.</x:v>
      </x:c>
      <x:c r="H24" s="98" t="str">
        <x:v>DST scoring is highly opponent- and turnover-dependent, making season-long rank fragile.</x:v>
      </x:c>
      <x:c r="I24" t="str">
        <x:v>https://www.fantasypros.com/nfl/rankings/dst-cheatsheets.php</x:v>
      </x:c>
    </x:row>
    <x:row r="25">
      <x:c r="A25" t="n">
        <x:v>21</x:v>
      </x:c>
      <x:c r="B25" t="str">
        <x:v>Indianapolis Colts</x:v>
      </x:c>
      <x:c r="C25" t="str">
        <x:v>IND</x:v>
      </x:c>
      <x:c r="D25" s="48" t="n">
        <x:v>71</x:v>
      </x:c>
      <x:c r="E25" s="48" t="str">
        <x:v>TIER 5</x:v>
      </x:c>
      <x:c r="F25" s="116" t="str">
        <x:v>Streaming/late-round defense; matchup matters more than preseason rank.</x:v>
      </x:c>
      <x:c r="G25" s="116" t="str">
        <x:v>The unit grades well relative to the current DST pool, but the model intentionally keeps defense behind core skill positions.</x:v>
      </x:c>
      <x:c r="H25" s="98" t="str">
        <x:v>DST scoring is highly opponent- and turnover-dependent, making season-long rank fragile.</x:v>
      </x:c>
      <x:c r="I25" t="str">
        <x:v>https://www.fantasypros.com/nfl/rankings/dst-cheatsheets.php</x:v>
      </x:c>
    </x:row>
    <x:row r="26">
      <x:c r="A26" t="n">
        <x:v>22</x:v>
      </x:c>
      <x:c r="B26" t="str">
        <x:v>New York Giants</x:v>
      </x:c>
      <x:c r="C26" t="str">
        <x:v>NYG</x:v>
      </x:c>
      <x:c r="D26" s="48" t="n">
        <x:v>69.9</x:v>
      </x:c>
      <x:c r="E26" s="48" t="str">
        <x:v>TIER 6</x:v>
      </x:c>
      <x:c r="F26" s="116" t="str">
        <x:v>Streaming/late-round defense; matchup matters more than preseason rank.</x:v>
      </x:c>
      <x:c r="G26" s="116" t="str">
        <x:v>The unit grades well relative to the current DST pool, but the model intentionally keeps defense behind core skill positions.</x:v>
      </x:c>
      <x:c r="H26" s="98" t="str">
        <x:v>DST scoring is highly opponent- and turnover-dependent, making season-long rank fragile.</x:v>
      </x:c>
      <x:c r="I26" t="str">
        <x:v>https://www.fantasypros.com/nfl/rankings/dst-cheatsheets.php</x:v>
      </x:c>
    </x:row>
    <x:row r="27">
      <x:c r="A27" t="n">
        <x:v>23</x:v>
      </x:c>
      <x:c r="B27" t="str">
        <x:v>Tampa Bay Buccaneers</x:v>
      </x:c>
      <x:c r="C27" t="str">
        <x:v>TB</x:v>
      </x:c>
      <x:c r="D27" s="48" t="n">
        <x:v>68.8</x:v>
      </x:c>
      <x:c r="E27" s="48" t="str">
        <x:v>TIER 6</x:v>
      </x:c>
      <x:c r="F27" s="116" t="str">
        <x:v>Streaming/late-round defense; matchup matters more than preseason rank.</x:v>
      </x:c>
      <x:c r="G27" s="116" t="str">
        <x:v>The unit grades well relative to the current DST pool, but the model intentionally keeps defense behind core skill positions.</x:v>
      </x:c>
      <x:c r="H27" s="98" t="str">
        <x:v>DST scoring is highly opponent- and turnover-dependent, making season-long rank fragile.</x:v>
      </x:c>
      <x:c r="I27" t="str">
        <x:v>https://www.fantasypros.com/nfl/rankings/dst-cheatsheets.php</x:v>
      </x:c>
    </x:row>
    <x:row r="28">
      <x:c r="A28" t="n">
        <x:v>24</x:v>
      </x:c>
      <x:c r="B28" t="str">
        <x:v>Dallas Cowboys</x:v>
      </x:c>
      <x:c r="C28" t="str">
        <x:v>DAL</x:v>
      </x:c>
      <x:c r="D28" s="48" t="n">
        <x:v>67.7</x:v>
      </x:c>
      <x:c r="E28" s="48" t="str">
        <x:v>TIER 6</x:v>
      </x:c>
      <x:c r="F28" s="116" t="str">
        <x:v>Streaming/late-round defense; matchup matters more than preseason rank.</x:v>
      </x:c>
      <x:c r="G28" s="116" t="str">
        <x:v>The unit grades well relative to the current DST pool, but the model intentionally keeps defense behind core skill positions.</x:v>
      </x:c>
      <x:c r="H28" s="98" t="str">
        <x:v>DST scoring is highly opponent- and turnover-dependent, making season-long rank fragile.</x:v>
      </x:c>
      <x:c r="I28" t="str">
        <x:v>https://www.fantasypros.com/nfl/rankings/dst-cheatsheets.php</x:v>
      </x:c>
    </x:row>
    <x:row r="29">
      <x:c r="A29" t="n">
        <x:v>25</x:v>
      </x:c>
      <x:c r="B29" t="str">
        <x:v>Carolina Panthers</x:v>
      </x:c>
      <x:c r="C29" t="str">
        <x:v>CAR</x:v>
      </x:c>
      <x:c r="D29" s="48" t="n">
        <x:v>66.6</x:v>
      </x:c>
      <x:c r="E29" s="48" t="str">
        <x:v>TIER 6</x:v>
      </x:c>
      <x:c r="F29" s="116" t="str">
        <x:v>Streaming/late-round defense; matchup matters more than preseason rank.</x:v>
      </x:c>
      <x:c r="G29" s="116" t="str">
        <x:v>The unit grades well relative to the current DST pool, but the model intentionally keeps defense behind core skill positions.</x:v>
      </x:c>
      <x:c r="H29" s="98" t="str">
        <x:v>DST scoring is highly opponent- and turnover-dependent, making season-long rank fragile.</x:v>
      </x:c>
      <x:c r="I29" t="str">
        <x:v>https://www.fantasypros.com/nfl/rankings/dst-cheatsheets.php</x:v>
      </x:c>
    </x:row>
    <x:row r="30">
      <x:c r="A30" t="n">
        <x:v>26</x:v>
      </x:c>
      <x:c r="B30" t="str">
        <x:v>Tennessee Titans</x:v>
      </x:c>
      <x:c r="C30" t="str">
        <x:v>TEN</x:v>
      </x:c>
      <x:c r="D30" s="48" t="n">
        <x:v>65.5</x:v>
      </x:c>
      <x:c r="E30" s="48" t="str">
        <x:v>TIER 6</x:v>
      </x:c>
      <x:c r="F30" s="116" t="str">
        <x:v>Streaming/late-round defense; matchup matters more than preseason rank.</x:v>
      </x:c>
      <x:c r="G30" s="116" t="str">
        <x:v>The unit grades well relative to the current DST pool, but the model intentionally keeps defense behind core skill positions.</x:v>
      </x:c>
      <x:c r="H30" s="98" t="str">
        <x:v>DST scoring is highly opponent- and turnover-dependent, making season-long rank fragile.</x:v>
      </x:c>
      <x:c r="I30" t="str">
        <x:v>https://www.si.com/fantasy/2026-football-defense-rankings-seasonal-leagues</x:v>
      </x:c>
    </x:row>
    <x:row r="31">
      <x:c r="A31" t="n">
        <x:v>27</x:v>
      </x:c>
      <x:c r="B31" t="str">
        <x:v>Miami Dolphins</x:v>
      </x:c>
      <x:c r="C31" t="str">
        <x:v>MIA</x:v>
      </x:c>
      <x:c r="D31" s="48" t="n">
        <x:v>64.4</x:v>
      </x:c>
      <x:c r="E31" s="48" t="str">
        <x:v>TIER 7</x:v>
      </x:c>
      <x:c r="F31" s="116" t="str">
        <x:v>Streaming/late-round defense; matchup matters more than preseason rank.</x:v>
      </x:c>
      <x:c r="G31" s="116" t="str">
        <x:v>The unit grades well relative to the current DST pool, but the model intentionally keeps defense behind core skill positions.</x:v>
      </x:c>
      <x:c r="H31" s="98" t="str">
        <x:v>DST scoring is highly opponent- and turnover-dependent, making season-long rank fragile.</x:v>
      </x:c>
      <x:c r="I31" t="str">
        <x:v>https://www.si.com/fantasy/2026-football-defense-rankings-seasonal-leagues</x:v>
      </x:c>
    </x:row>
    <x:row r="32">
      <x:c r="A32" t="n">
        <x:v>28</x:v>
      </x:c>
      <x:c r="B32" t="str">
        <x:v>Washington Commanders</x:v>
      </x:c>
      <x:c r="C32" t="str">
        <x:v>WAS</x:v>
      </x:c>
      <x:c r="D32" s="48" t="n">
        <x:v>63.3</x:v>
      </x:c>
      <x:c r="E32" s="48" t="str">
        <x:v>TIER 7</x:v>
      </x:c>
      <x:c r="F32" s="116" t="str">
        <x:v>Streaming/late-round defense; matchup matters more than preseason rank.</x:v>
      </x:c>
      <x:c r="G32" s="116" t="str">
        <x:v>The unit grades well relative to the current DST pool, but the model intentionally keeps defense behind core skill positions.</x:v>
      </x:c>
      <x:c r="H32" s="98" t="str">
        <x:v>DST scoring is highly opponent- and turnover-dependent, making season-long rank fragile.</x:v>
      </x:c>
      <x:c r="I32" t="str">
        <x:v>https://www.si.com/fantasy/2026-football-defense-rankings-seasonal-leagues</x:v>
      </x:c>
    </x:row>
    <x:row r="33">
      <x:c r="A33" t="n">
        <x:v>29</x:v>
      </x:c>
      <x:c r="B33" t="str">
        <x:v>New York Jets</x:v>
      </x:c>
      <x:c r="C33" t="str">
        <x:v>NYJ</x:v>
      </x:c>
      <x:c r="D33" s="48" t="n">
        <x:v>62.199999999999996</x:v>
      </x:c>
      <x:c r="E33" s="48" t="str">
        <x:v>TIER 7</x:v>
      </x:c>
      <x:c r="F33" s="116" t="str">
        <x:v>Streaming/late-round defense; matchup matters more than preseason rank.</x:v>
      </x:c>
      <x:c r="G33" s="116" t="str">
        <x:v>The unit grades well relative to the current DST pool, but the model intentionally keeps defense behind core skill positions.</x:v>
      </x:c>
      <x:c r="H33" s="98" t="str">
        <x:v>DST scoring is highly opponent- and turnover-dependent, making season-long rank fragile.</x:v>
      </x:c>
      <x:c r="I33" t="str">
        <x:v>https://www.si.com/fantasy/2026-football-defense-rankings-seasonal-leagues</x:v>
      </x:c>
    </x:row>
    <x:row r="34">
      <x:c r="A34" t="n">
        <x:v>30</x:v>
      </x:c>
      <x:c r="B34" t="str">
        <x:v>Arizona Cardinals</x:v>
      </x:c>
      <x:c r="C34" t="str">
        <x:v>ARI</x:v>
      </x:c>
      <x:c r="D34" s="48" t="n">
        <x:v>61.099999999999994</x:v>
      </x:c>
      <x:c r="E34" s="48" t="str">
        <x:v>TIER 7</x:v>
      </x:c>
      <x:c r="F34" s="116" t="str">
        <x:v>Streaming/late-round defense; matchup matters more than preseason rank.</x:v>
      </x:c>
      <x:c r="G34" s="116" t="str">
        <x:v>The unit grades well relative to the current DST pool, but the model intentionally keeps defense behind core skill positions.</x:v>
      </x:c>
      <x:c r="H34" s="98" t="str">
        <x:v>DST scoring is highly opponent- and turnover-dependent, making season-long rank fragile.</x:v>
      </x:c>
      <x:c r="I34" t="str">
        <x:v>https://www.si.com/fantasy/2026-football-defense-rankings-seasonal-leagues</x:v>
      </x:c>
    </x:row>
    <x:row r="35">
      <x:c r="A35" t="n">
        <x:v>31</x:v>
      </x:c>
      <x:c r="B35" t="str">
        <x:v>Cincinnati Bengals</x:v>
      </x:c>
      <x:c r="C35" t="str">
        <x:v>CIN</x:v>
      </x:c>
      <x:c r="D35" s="48" t="n">
        <x:v>60</x:v>
      </x:c>
      <x:c r="E35" s="48" t="str">
        <x:v>TIER 7</x:v>
      </x:c>
      <x:c r="F35" s="116" t="str">
        <x:v>Streaming/late-round defense; matchup matters more than preseason rank.</x:v>
      </x:c>
      <x:c r="G35" s="116" t="str">
        <x:v>The unit grades well relative to the current DST pool, but the model intentionally keeps defense behind core skill positions.</x:v>
      </x:c>
      <x:c r="H35" s="98" t="str">
        <x:v>DST scoring is highly opponent- and turnover-dependent, making season-long rank fragile.</x:v>
      </x:c>
      <x:c r="I35" t="str">
        <x:v>https://www.si.com/fantasy/2026-football-defense-rankings-seasonal-leagues</x:v>
      </x:c>
    </x:row>
    <x:row r="36">
      <x:c r="A36" t="n">
        <x:v>32</x:v>
      </x:c>
      <x:c r="B36" t="str">
        <x:v>Las Vegas Raiders</x:v>
      </x:c>
      <x:c r="C36" t="str">
        <x:v>LV</x:v>
      </x:c>
      <x:c r="D36" s="48" t="n">
        <x:v>58.9</x:v>
      </x:c>
      <x:c r="E36" s="48" t="str">
        <x:v>TIER 7</x:v>
      </x:c>
      <x:c r="F36" s="116" t="str">
        <x:v>Streaming/late-round defense; matchup matters more than preseason rank.</x:v>
      </x:c>
      <x:c r="G36" s="116" t="str">
        <x:v>The unit grades well relative to the current DST pool, but the model intentionally keeps defense behind core skill positions.</x:v>
      </x:c>
      <x:c r="H36" s="98" t="str">
        <x:v>DST scoring is highly opponent- and turnover-dependent, making season-long rank fragile.</x:v>
      </x:c>
      <x:c r="I36" t="str">
        <x:v>https://www.si.com/fantasy/2026-football-defense-rankings-seasonal-leagues</x:v>
      </x:c>
    </x:row>
  </x:sheetData>
  <x:mergeCells>
    <x:mergeCell ref="A1:H1"/>
    <x:mergeCell ref="A2:H2"/>
    <x:mergeCell ref="A1:I1"/>
    <x:mergeCell ref="A2:I2"/>
  </x:mergeCells>
  <x:conditionalFormatting sqref="D5:D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6.37999725341797" hidden="0" customWidth="1"/>
    <x:col min="2" max="2" width="25" hidden="0" customWidth="1"/>
    <x:col min="3" max="3" width="10.25" hidden="0" customWidth="1"/>
    <x:col min="4" max="4" width="8" hidden="0" customWidth="1"/>
    <x:col min="5" max="5" width="6.880000114440918" hidden="0" customWidth="1"/>
    <x:col min="6" max="6" width="8" hidden="0" customWidth="1"/>
    <x:col min="7" max="7" width="7.25" hidden="0" customWidth="1"/>
    <x:col min="8" max="8" width="48" hidden="0" customWidth="1"/>
    <x:col min="9" max="9" width="10.630000114440918" hidden="0" customWidth="1"/>
    <x:col min="10" max="10" width="45" hidden="0" customWidth="1"/>
  </x:cols>
  <x:sheetData>
    <x:row r="1">
      <x:c r="A1" s="100" t="str">
        <x:v>Manual Injury / Role / News Adjustments — Editable</x:v>
      </x:c>
    </x:row>
    <x:row r="2">
      <x:c r="A2" s="103" t="str">
        <x:v>Injury, role and other adjustments feed directly into Draft Engine.</x:v>
      </x:c>
    </x:row>
    <x:row r="4">
      <x:c r="A4" s="108" t="str">
        <x:v>Pos</x:v>
      </x:c>
      <x:c r="B4" s="108" t="str">
        <x:v>Player</x:v>
      </x:c>
      <x:c r="C4" s="108" t="str">
        <x:v>Base Rating</x:v>
      </x:c>
      <x:c r="D4" s="108" t="str">
        <x:v>Injury Adj</x:v>
      </x:c>
      <x:c r="E4" s="108" t="str">
        <x:v>Role Adj</x:v>
      </x:c>
      <x:c r="F4" s="108" t="str">
        <x:v>Other Adj</x:v>
      </x:c>
      <x:c r="G4" s="108" t="str">
        <x:v>Total Adj</x:v>
      </x:c>
      <x:c r="H4" s="108" t="str">
        <x:v>News / Reason</x:v>
      </x:c>
      <x:c r="I4" s="108" t="str">
        <x:v>Last Updated</x:v>
      </x:c>
      <x:c r="J4" s="108" t="str">
        <x:v>Source</x:v>
      </x:c>
    </x:row>
    <x:row r="5">
      <x:c r="A5" t="str">
        <x:v>QB</x:v>
      </x:c>
      <x:c r="B5" t="str">
        <x:v>Josh Allen</x:v>
      </x:c>
      <x:c r="C5" t="n">
        <x:v>97.30987910633218</x:v>
      </x:c>
      <x:c r="D5" s="109" t="n">
        <x:v>0</x:v>
      </x:c>
      <x:c r="E5" s="109" t="n">
        <x:v>0</x:v>
      </x:c>
      <x:c r="F5" s="109" t="n">
        <x:v>0</x:v>
      </x:c>
      <x:c r="G5" t="n">
        <x:f>SUM(D5:F5)</x:f>
        <x:v>0</x:v>
      </x:c>
      <x:c r="H5" t="str"/>
      <x:c r="I5" t="str">
        <x:v>2026-08-11</x:v>
      </x:c>
      <x:c r="J5" t="str"/>
    </x:row>
    <x:row r="6">
      <x:c r="A6" t="str">
        <x:v>QB</x:v>
      </x:c>
      <x:c r="B6" t="str">
        <x:v>Caleb Williams</x:v>
      </x:c>
      <x:c r="C6" t="n">
        <x:v>92.1926680327037</x:v>
      </x:c>
      <x:c r="D6" s="109" t="n">
        <x:v>0</x:v>
      </x:c>
      <x:c r="E6" s="109" t="n">
        <x:v>0</x:v>
      </x:c>
      <x:c r="F6" s="109" t="n">
        <x:v>0</x:v>
      </x:c>
      <x:c r="G6" t="n">
        <x:f>SUM(D6:F6)</x:f>
        <x:v>0</x:v>
      </x:c>
      <x:c r="H6" t="str"/>
      <x:c r="I6" t="str">
        <x:v>2026-08-11</x:v>
      </x:c>
      <x:c r="J6" t="str"/>
    </x:row>
    <x:row r="7">
      <x:c r="A7" t="str">
        <x:v>QB</x:v>
      </x:c>
      <x:c r="B7" t="str">
        <x:v>Drake Maye</x:v>
      </x:c>
      <x:c r="C7" t="n">
        <x:v>91.04298794920528</x:v>
      </x:c>
      <x:c r="D7" s="109" t="n">
        <x:v>0</x:v>
      </x:c>
      <x:c r="E7" s="109" t="n">
        <x:v>0</x:v>
      </x:c>
      <x:c r="F7" s="109" t="n">
        <x:v>0</x:v>
      </x:c>
      <x:c r="G7" t="n">
        <x:f>SUM(D7:F7)</x:f>
        <x:v>0</x:v>
      </x:c>
      <x:c r="H7" t="str"/>
      <x:c r="I7" t="str">
        <x:v>2026-08-11</x:v>
      </x:c>
      <x:c r="J7" t="str"/>
    </x:row>
    <x:row r="8">
      <x:c r="A8" t="str">
        <x:v>QB</x:v>
      </x:c>
      <x:c r="B8" t="str">
        <x:v>Justin Herbert</x:v>
      </x:c>
      <x:c r="C8" t="n">
        <x:v>90.11691162251876</x:v>
      </x:c>
      <x:c r="D8" s="109" t="n">
        <x:v>0</x:v>
      </x:c>
      <x:c r="E8" s="109" t="n">
        <x:v>0</x:v>
      </x:c>
      <x:c r="F8" s="109" t="n">
        <x:v>0</x:v>
      </x:c>
      <x:c r="G8" t="n">
        <x:f>SUM(D8:F8)</x:f>
        <x:v>0</x:v>
      </x:c>
      <x:c r="H8" t="str"/>
      <x:c r="I8" t="str">
        <x:v>2026-08-11</x:v>
      </x:c>
      <x:c r="J8" t="str"/>
    </x:row>
    <x:row r="9">
      <x:c r="A9" t="str">
        <x:v>QB</x:v>
      </x:c>
      <x:c r="B9" t="str">
        <x:v>Lamar Jackson</x:v>
      </x:c>
      <x:c r="C9" t="n">
        <x:v>88.71118360968082</x:v>
      </x:c>
      <x:c r="D9" s="109" t="n">
        <x:v>0</x:v>
      </x:c>
      <x:c r="E9" s="109" t="n">
        <x:v>0</x:v>
      </x:c>
      <x:c r="F9" s="109" t="n">
        <x:v>0</x:v>
      </x:c>
      <x:c r="G9" t="n">
        <x:f>SUM(D9:F9)</x:f>
        <x:v>0</x:v>
      </x:c>
      <x:c r="H9" t="str"/>
      <x:c r="I9" t="str">
        <x:v>2026-08-11</x:v>
      </x:c>
      <x:c r="J9" t="str"/>
    </x:row>
    <x:row r="10">
      <x:c r="A10" t="str">
        <x:v>QB</x:v>
      </x:c>
      <x:c r="B10" t="str">
        <x:v>Jalen Hurts</x:v>
      </x:c>
      <x:c r="C10" t="n">
        <x:v>88.44992587495246</x:v>
      </x:c>
      <x:c r="D10" s="109" t="n">
        <x:v>0</x:v>
      </x:c>
      <x:c r="E10" s="109" t="n">
        <x:v>0</x:v>
      </x:c>
      <x:c r="F10" s="109" t="n">
        <x:v>0</x:v>
      </x:c>
      <x:c r="G10" t="n">
        <x:f>SUM(D10:F10)</x:f>
        <x:v>0</x:v>
      </x:c>
      <x:c r="H10" t="str"/>
      <x:c r="I10" t="str">
        <x:v>2026-08-11</x:v>
      </x:c>
      <x:c r="J10" t="str"/>
    </x:row>
    <x:row r="11">
      <x:c r="A11" t="str">
        <x:v>QB</x:v>
      </x:c>
      <x:c r="B11" t="str">
        <x:v>Patrick Mahomes II</x:v>
      </x:c>
      <x:c r="C11" t="n">
        <x:v>87.00630420406199</x:v>
      </x:c>
      <x:c r="D11" s="109" t="n">
        <x:v>0</x:v>
      </x:c>
      <x:c r="E11" s="109" t="n">
        <x:v>0</x:v>
      </x:c>
      <x:c r="F11" s="109" t="n">
        <x:v>0</x:v>
      </x:c>
      <x:c r="G11" t="n">
        <x:f>SUM(D11:F11)</x:f>
        <x:v>0</x:v>
      </x:c>
      <x:c r="H11" t="str"/>
      <x:c r="I11" t="str">
        <x:v>2026-08-11</x:v>
      </x:c>
      <x:c r="J11" t="str"/>
    </x:row>
    <x:row r="12">
      <x:c r="A12" t="str">
        <x:v>QB</x:v>
      </x:c>
      <x:c r="B12" t="str">
        <x:v>Jayden Daniels</x:v>
      </x:c>
      <x:c r="C12" t="n">
        <x:v>86.70031647962188</x:v>
      </x:c>
      <x:c r="D12" s="109" t="n">
        <x:v>0</x:v>
      </x:c>
      <x:c r="E12" s="109" t="n">
        <x:v>0</x:v>
      </x:c>
      <x:c r="F12" s="109" t="n">
        <x:v>0</x:v>
      </x:c>
      <x:c r="G12" t="n">
        <x:f>SUM(D12:F12)</x:f>
        <x:v>0</x:v>
      </x:c>
      <x:c r="H12" t="str"/>
      <x:c r="I12" t="str">
        <x:v>2026-08-11</x:v>
      </x:c>
      <x:c r="J12" t="str"/>
    </x:row>
    <x:row r="13">
      <x:c r="A13" t="str">
        <x:v>QB</x:v>
      </x:c>
      <x:c r="B13" t="str">
        <x:v>Joe Burrow</x:v>
      </x:c>
      <x:c r="C13" t="n">
        <x:v>85.59126599193758</x:v>
      </x:c>
      <x:c r="D13" s="109" t="n">
        <x:v>0</x:v>
      </x:c>
      <x:c r="E13" s="109" t="n">
        <x:v>0</x:v>
      </x:c>
      <x:c r="F13" s="109" t="n">
        <x:v>0</x:v>
      </x:c>
      <x:c r="G13" t="n">
        <x:f>SUM(D13:F13)</x:f>
        <x:v>0</x:v>
      </x:c>
      <x:c r="H13" t="str"/>
      <x:c r="I13" t="str">
        <x:v>2026-08-11</x:v>
      </x:c>
      <x:c r="J13" t="str"/>
    </x:row>
    <x:row r="14">
      <x:c r="A14" t="str">
        <x:v>QB</x:v>
      </x:c>
      <x:c r="B14" t="str">
        <x:v>Matthew Stafford</x:v>
      </x:c>
      <x:c r="C14" t="n">
        <x:v>85.41970528201219</x:v>
      </x:c>
      <x:c r="D14" s="109" t="n">
        <x:v>0</x:v>
      </x:c>
      <x:c r="E14" s="109" t="n">
        <x:v>0</x:v>
      </x:c>
      <x:c r="F14" s="109" t="n">
        <x:v>0</x:v>
      </x:c>
      <x:c r="G14" t="n">
        <x:f>SUM(D14:F14)</x:f>
        <x:v>0</x:v>
      </x:c>
      <x:c r="H14" t="str"/>
      <x:c r="I14" t="str">
        <x:v>2026-08-11</x:v>
      </x:c>
      <x:c r="J14" t="str"/>
    </x:row>
    <x:row r="15">
      <x:c r="A15" t="str">
        <x:v>QB</x:v>
      </x:c>
      <x:c r="B15" t="str">
        <x:v>Bo Nix</x:v>
      </x:c>
      <x:c r="C15" t="n">
        <x:v>85.24848366137027</x:v>
      </x:c>
      <x:c r="D15" s="109" t="n">
        <x:v>0</x:v>
      </x:c>
      <x:c r="E15" s="109" t="n">
        <x:v>0</x:v>
      </x:c>
      <x:c r="F15" s="109" t="n">
        <x:v>0</x:v>
      </x:c>
      <x:c r="G15" t="n">
        <x:f>SUM(D15:F15)</x:f>
        <x:v>0</x:v>
      </x:c>
      <x:c r="H15" t="str"/>
      <x:c r="I15" t="str">
        <x:v>2026-08-11</x:v>
      </x:c>
      <x:c r="J15" t="str"/>
    </x:row>
    <x:row r="16">
      <x:c r="A16" t="str">
        <x:v>QB</x:v>
      </x:c>
      <x:c r="B16" t="str">
        <x:v>Dak Prescott</x:v>
      </x:c>
      <x:c r="C16" t="n">
        <x:v>85.11563022939153</x:v>
      </x:c>
      <x:c r="D16" s="109" t="n">
        <x:v>0</x:v>
      </x:c>
      <x:c r="E16" s="109" t="n">
        <x:v>0</x:v>
      </x:c>
      <x:c r="F16" s="109" t="n">
        <x:v>0</x:v>
      </x:c>
      <x:c r="G16" t="n">
        <x:f>SUM(D16:F16)</x:f>
        <x:v>0</x:v>
      </x:c>
      <x:c r="H16" t="str"/>
      <x:c r="I16" t="str">
        <x:v>2026-08-11</x:v>
      </x:c>
      <x:c r="J16" t="str"/>
    </x:row>
    <x:row r="17">
      <x:c r="A17" t="str">
        <x:v>QB</x:v>
      </x:c>
      <x:c r="B17" t="str">
        <x:v>Trevor Lawrence</x:v>
      </x:c>
      <x:c r="C17" t="n">
        <x:v>84.69210205685258</x:v>
      </x:c>
      <x:c r="D17" s="109" t="n">
        <x:v>0</x:v>
      </x:c>
      <x:c r="E17" s="109" t="n">
        <x:v>0</x:v>
      </x:c>
      <x:c r="F17" s="109" t="n">
        <x:v>0</x:v>
      </x:c>
      <x:c r="G17" t="n">
        <x:f>SUM(D17:F17)</x:f>
        <x:v>0</x:v>
      </x:c>
      <x:c r="H17" t="str"/>
      <x:c r="I17" t="str">
        <x:v>2026-08-11</x:v>
      </x:c>
      <x:c r="J17" t="str"/>
    </x:row>
    <x:row r="18">
      <x:c r="A18" t="str">
        <x:v>QB</x:v>
      </x:c>
      <x:c r="B18" t="str">
        <x:v>Brock Purdy</x:v>
      </x:c>
      <x:c r="C18" t="n">
        <x:v>83.83859812261841</x:v>
      </x:c>
      <x:c r="D18" s="109" t="n">
        <x:v>0</x:v>
      </x:c>
      <x:c r="E18" s="109" t="n">
        <x:v>0</x:v>
      </x:c>
      <x:c r="F18" s="109" t="n">
        <x:v>0</x:v>
      </x:c>
      <x:c r="G18" t="n">
        <x:f>SUM(D18:F18)</x:f>
        <x:v>0</x:v>
      </x:c>
      <x:c r="H18" t="str"/>
      <x:c r="I18" t="str">
        <x:v>2026-08-11</x:v>
      </x:c>
      <x:c r="J18" t="str"/>
    </x:row>
    <x:row r="19">
      <x:c r="A19" t="str">
        <x:v>QB</x:v>
      </x:c>
      <x:c r="B19" t="str">
        <x:v>Jaxson Dart</x:v>
      </x:c>
      <x:c r="C19" t="n">
        <x:v>83.0606951237557</x:v>
      </x:c>
      <x:c r="D19" s="109" t="n">
        <x:v>0</x:v>
      </x:c>
      <x:c r="E19" s="109" t="n">
        <x:v>0</x:v>
      </x:c>
      <x:c r="F19" s="109" t="n">
        <x:v>0</x:v>
      </x:c>
      <x:c r="G19" t="n">
        <x:f>SUM(D19:F19)</x:f>
        <x:v>0</x:v>
      </x:c>
      <x:c r="H19" t="str"/>
      <x:c r="I19" t="str">
        <x:v>2026-08-11</x:v>
      </x:c>
      <x:c r="J19" t="str"/>
    </x:row>
    <x:row r="20">
      <x:c r="A20" t="str">
        <x:v>QB</x:v>
      </x:c>
      <x:c r="B20" t="str">
        <x:v>Jared Goff</x:v>
      </x:c>
      <x:c r="C20" t="n">
        <x:v>82.64253383916756</x:v>
      </x:c>
      <x:c r="D20" s="109" t="n">
        <x:v>0</x:v>
      </x:c>
      <x:c r="E20" s="109" t="n">
        <x:v>0</x:v>
      </x:c>
      <x:c r="F20" s="109" t="n">
        <x:v>0</x:v>
      </x:c>
      <x:c r="G20" t="n">
        <x:f>SUM(D20:F20)</x:f>
        <x:v>0</x:v>
      </x:c>
      <x:c r="H20" t="str"/>
      <x:c r="I20" t="str">
        <x:v>2026-08-11</x:v>
      </x:c>
      <x:c r="J20" t="str"/>
    </x:row>
    <x:row r="21">
      <x:c r="A21" t="str">
        <x:v>QB</x:v>
      </x:c>
      <x:c r="B21" t="str">
        <x:v>Kyler Murray</x:v>
      </x:c>
      <x:c r="C21" t="n">
        <x:v>80.71009771989318</x:v>
      </x:c>
      <x:c r="D21" s="109" t="n">
        <x:v>0</x:v>
      </x:c>
      <x:c r="E21" s="109" t="n">
        <x:v>0</x:v>
      </x:c>
      <x:c r="F21" s="109" t="n">
        <x:v>0</x:v>
      </x:c>
      <x:c r="G21" t="n">
        <x:f>SUM(D21:F21)</x:f>
        <x:v>0</x:v>
      </x:c>
      <x:c r="H21" t="str"/>
      <x:c r="I21" t="str">
        <x:v>2026-08-11</x:v>
      </x:c>
      <x:c r="J21" t="str"/>
    </x:row>
    <x:row r="22">
      <x:c r="A22" t="str">
        <x:v>QB</x:v>
      </x:c>
      <x:c r="B22" t="str">
        <x:v>Jordan Love</x:v>
      </x:c>
      <x:c r="C22" t="n">
        <x:v>80.04076246709151</x:v>
      </x:c>
      <x:c r="D22" s="109" t="n">
        <x:v>0</x:v>
      </x:c>
      <x:c r="E22" s="109" t="n">
        <x:v>0</x:v>
      </x:c>
      <x:c r="F22" s="109" t="n">
        <x:v>0</x:v>
      </x:c>
      <x:c r="G22" t="n">
        <x:f>SUM(D22:F22)</x:f>
        <x:v>0</x:v>
      </x:c>
      <x:c r="H22" t="str"/>
      <x:c r="I22" t="str">
        <x:v>2026-08-11</x:v>
      </x:c>
      <x:c r="J22" t="str"/>
    </x:row>
    <x:row r="23">
      <x:c r="A23" t="str">
        <x:v>QB</x:v>
      </x:c>
      <x:c r="B23" t="str">
        <x:v>Baker Mayfield</x:v>
      </x:c>
      <x:c r="C23" t="n">
        <x:v>79.82600097102224</x:v>
      </x:c>
      <x:c r="D23" s="109" t="n">
        <x:v>0</x:v>
      </x:c>
      <x:c r="E23" s="109" t="n">
        <x:v>0</x:v>
      </x:c>
      <x:c r="F23" s="109" t="n">
        <x:v>0</x:v>
      </x:c>
      <x:c r="G23" t="n">
        <x:f>SUM(D23:F23)</x:f>
        <x:v>0</x:v>
      </x:c>
      <x:c r="H23" t="str"/>
      <x:c r="I23" t="str">
        <x:v>2026-08-11</x:v>
      </x:c>
      <x:c r="J23" t="str"/>
    </x:row>
    <x:row r="24">
      <x:c r="A24" t="str">
        <x:v>QB</x:v>
      </x:c>
      <x:c r="B24" t="str">
        <x:v>Tyler Shough</x:v>
      </x:c>
      <x:c r="C24" t="n">
        <x:v>77.36561414654547</x:v>
      </x:c>
      <x:c r="D24" s="109" t="n">
        <x:v>0</x:v>
      </x:c>
      <x:c r="E24" s="109" t="n">
        <x:v>0</x:v>
      </x:c>
      <x:c r="F24" s="109" t="n">
        <x:v>0</x:v>
      </x:c>
      <x:c r="G24" t="n">
        <x:f>SUM(D24:F24)</x:f>
        <x:v>0</x:v>
      </x:c>
      <x:c r="H24" t="str"/>
      <x:c r="I24" t="str">
        <x:v>2026-08-11</x:v>
      </x:c>
      <x:c r="J24" t="str"/>
    </x:row>
    <x:row r="25">
      <x:c r="A25" t="str">
        <x:v>QB</x:v>
      </x:c>
      <x:c r="B25" t="str">
        <x:v>C.J. Stroud</x:v>
      </x:c>
      <x:c r="C25" t="n">
        <x:v>75.76205455491312</x:v>
      </x:c>
      <x:c r="D25" s="109" t="n">
        <x:v>0</x:v>
      </x:c>
      <x:c r="E25" s="109" t="n">
        <x:v>0</x:v>
      </x:c>
      <x:c r="F25" s="109" t="n">
        <x:v>0</x:v>
      </x:c>
      <x:c r="G25" t="n">
        <x:f>SUM(D25:F25)</x:f>
        <x:v>0</x:v>
      </x:c>
      <x:c r="H25" t="str"/>
      <x:c r="I25" t="str">
        <x:v>2026-08-11</x:v>
      </x:c>
      <x:c r="J25" t="str"/>
    </x:row>
    <x:row r="26">
      <x:c r="A26" t="str">
        <x:v>QB</x:v>
      </x:c>
      <x:c r="B26" t="str">
        <x:v>Sam Darnold</x:v>
      </x:c>
      <x:c r="C26" t="n">
        <x:v>75.55416867822036</x:v>
      </x:c>
      <x:c r="D26" s="109" t="n">
        <x:v>0</x:v>
      </x:c>
      <x:c r="E26" s="109" t="n">
        <x:v>0</x:v>
      </x:c>
      <x:c r="F26" s="109" t="n">
        <x:v>0</x:v>
      </x:c>
      <x:c r="G26" t="n">
        <x:f>SUM(D26:F26)</x:f>
        <x:v>0</x:v>
      </x:c>
      <x:c r="H26" t="str"/>
      <x:c r="I26" t="str">
        <x:v>2026-08-11</x:v>
      </x:c>
      <x:c r="J26" t="str"/>
    </x:row>
    <x:row r="27">
      <x:c r="A27" t="str">
        <x:v>QB</x:v>
      </x:c>
      <x:c r="B27" t="str">
        <x:v>Daniel Jones</x:v>
      </x:c>
      <x:c r="C27" t="n">
        <x:v>74.79037310491178</x:v>
      </x:c>
      <x:c r="D27" s="109" t="n">
        <x:v>0</x:v>
      </x:c>
      <x:c r="E27" s="109" t="n">
        <x:v>0</x:v>
      </x:c>
      <x:c r="F27" s="109" t="n">
        <x:v>0</x:v>
      </x:c>
      <x:c r="G27" t="n">
        <x:f>SUM(D27:F27)</x:f>
        <x:v>0</x:v>
      </x:c>
      <x:c r="H27" t="str"/>
      <x:c r="I27" t="str">
        <x:v>2026-08-11</x:v>
      </x:c>
      <x:c r="J27" t="str"/>
    </x:row>
    <x:row r="28">
      <x:c r="A28" t="str">
        <x:v>QB</x:v>
      </x:c>
      <x:c r="B28" t="str">
        <x:v>Malik Willis</x:v>
      </x:c>
      <x:c r="C28" t="n">
        <x:v>74.24027225755167</x:v>
      </x:c>
      <x:c r="D28" s="109" t="n">
        <x:v>0</x:v>
      </x:c>
      <x:c r="E28" s="109" t="n">
        <x:v>0</x:v>
      </x:c>
      <x:c r="F28" s="109" t="n">
        <x:v>0</x:v>
      </x:c>
      <x:c r="G28" t="n">
        <x:f>SUM(D28:F28)</x:f>
        <x:v>0</x:v>
      </x:c>
      <x:c r="H28" t="str"/>
      <x:c r="I28" t="str">
        <x:v>2026-08-11</x:v>
      </x:c>
      <x:c r="J28" t="str"/>
    </x:row>
    <x:row r="29">
      <x:c r="A29" t="str">
        <x:v>QB</x:v>
      </x:c>
      <x:c r="B29" t="str">
        <x:v>Bryce Young</x:v>
      </x:c>
      <x:c r="C29" t="n">
        <x:v>72.79764579957634</x:v>
      </x:c>
      <x:c r="D29" s="109" t="n">
        <x:v>0</x:v>
      </x:c>
      <x:c r="E29" s="109" t="n">
        <x:v>0</x:v>
      </x:c>
      <x:c r="F29" s="109" t="n">
        <x:v>0</x:v>
      </x:c>
      <x:c r="G29" t="n">
        <x:f>SUM(D29:F29)</x:f>
        <x:v>0</x:v>
      </x:c>
      <x:c r="H29" t="str"/>
      <x:c r="I29" t="str">
        <x:v>2026-08-11</x:v>
      </x:c>
      <x:c r="J29" t="str"/>
    </x:row>
    <x:row r="30">
      <x:c r="A30" t="str">
        <x:v>QB</x:v>
      </x:c>
      <x:c r="B30" t="str">
        <x:v>Cam Ward</x:v>
      </x:c>
      <x:c r="C30" t="n">
        <x:v>72.66457683651541</x:v>
      </x:c>
      <x:c r="D30" s="109" t="n">
        <x:v>0</x:v>
      </x:c>
      <x:c r="E30" s="109" t="n">
        <x:v>0</x:v>
      </x:c>
      <x:c r="F30" s="109" t="n">
        <x:v>0</x:v>
      </x:c>
      <x:c r="G30" t="n">
        <x:f>SUM(D30:F30)</x:f>
        <x:v>0</x:v>
      </x:c>
      <x:c r="H30" t="str"/>
      <x:c r="I30" t="str">
        <x:v>2026-08-11</x:v>
      </x:c>
      <x:c r="J30" t="str"/>
    </x:row>
    <x:row r="31">
      <x:c r="A31" t="str">
        <x:v>QB</x:v>
      </x:c>
      <x:c r="B31" t="str">
        <x:v>Jacoby Brissett</x:v>
      </x:c>
      <x:c r="C31" t="n">
        <x:v>71.3334204764594</x:v>
      </x:c>
      <x:c r="D31" s="109" t="n">
        <x:v>0</x:v>
      </x:c>
      <x:c r="E31" s="109" t="n">
        <x:v>0</x:v>
      </x:c>
      <x:c r="F31" s="109" t="n">
        <x:v>0</x:v>
      </x:c>
      <x:c r="G31" t="n">
        <x:f>SUM(D31:F31)</x:f>
        <x:v>0</x:v>
      </x:c>
      <x:c r="H31" t="str"/>
      <x:c r="I31" t="str">
        <x:v>2026-08-11</x:v>
      </x:c>
      <x:c r="J31" t="str"/>
    </x:row>
    <x:row r="32">
      <x:c r="A32" t="str">
        <x:v>QB</x:v>
      </x:c>
      <x:c r="B32" t="str">
        <x:v>Geno Smith</x:v>
      </x:c>
      <x:c r="C32" t="n">
        <x:v>71.09857323143055</x:v>
      </x:c>
      <x:c r="D32" s="109" t="n">
        <x:v>0</x:v>
      </x:c>
      <x:c r="E32" s="109" t="n">
        <x:v>0</x:v>
      </x:c>
      <x:c r="F32" s="109" t="n">
        <x:v>0</x:v>
      </x:c>
      <x:c r="G32" t="n">
        <x:f>SUM(D32:F32)</x:f>
        <x:v>0</x:v>
      </x:c>
      <x:c r="H32" t="str"/>
      <x:c r="I32" t="str">
        <x:v>2026-08-11</x:v>
      </x:c>
      <x:c r="J32" t="str"/>
    </x:row>
    <x:row r="33">
      <x:c r="A33" t="str">
        <x:v>QB</x:v>
      </x:c>
      <x:c r="B33" t="str">
        <x:v>Aaron Rodgers</x:v>
      </x:c>
      <x:c r="C33" t="n">
        <x:v>70.88484375797985</x:v>
      </x:c>
      <x:c r="D33" s="109" t="n">
        <x:v>0</x:v>
      </x:c>
      <x:c r="E33" s="109" t="n">
        <x:v>0</x:v>
      </x:c>
      <x:c r="F33" s="109" t="n">
        <x:v>0</x:v>
      </x:c>
      <x:c r="G33" t="n">
        <x:f>SUM(D33:F33)</x:f>
        <x:v>0</x:v>
      </x:c>
      <x:c r="H33" t="str"/>
      <x:c r="I33" t="str">
        <x:v>2026-08-11</x:v>
      </x:c>
      <x:c r="J33" t="str"/>
    </x:row>
    <x:row r="34">
      <x:c r="A34" t="str">
        <x:v>QB</x:v>
      </x:c>
      <x:c r="B34" t="str">
        <x:v>Tua Tagovailoa</x:v>
      </x:c>
      <x:c r="C34" t="n">
        <x:v>67.85117431898288</x:v>
      </x:c>
      <x:c r="D34" s="109" t="n">
        <x:v>0</x:v>
      </x:c>
      <x:c r="E34" s="109" t="n">
        <x:v>0</x:v>
      </x:c>
      <x:c r="F34" s="109" t="n">
        <x:v>0</x:v>
      </x:c>
      <x:c r="G34" t="n">
        <x:f>SUM(D34:F34)</x:f>
        <x:v>0</x:v>
      </x:c>
      <x:c r="H34" t="str"/>
      <x:c r="I34" t="str">
        <x:v>2026-08-11</x:v>
      </x:c>
      <x:c r="J34" t="str"/>
    </x:row>
    <x:row r="35">
      <x:c r="A35" t="str">
        <x:v>QB</x:v>
      </x:c>
      <x:c r="B35" t="str">
        <x:v>Kirk Cousins</x:v>
      </x:c>
      <x:c r="C35" t="n">
        <x:v>65.79292388521264</x:v>
      </x:c>
      <x:c r="D35" s="109" t="n">
        <x:v>0</x:v>
      </x:c>
      <x:c r="E35" s="109" t="n">
        <x:v>0</x:v>
      </x:c>
      <x:c r="F35" s="109" t="n">
        <x:v>0</x:v>
      </x:c>
      <x:c r="G35" t="n">
        <x:f>SUM(D35:F35)</x:f>
        <x:v>0</x:v>
      </x:c>
      <x:c r="H35" t="str"/>
      <x:c r="I35" t="str">
        <x:v>2026-08-11</x:v>
      </x:c>
      <x:c r="J35" t="str"/>
    </x:row>
    <x:row r="36">
      <x:c r="A36" t="str">
        <x:v>QB</x:v>
      </x:c>
      <x:c r="B36" t="str">
        <x:v>Deshaun Watson</x:v>
      </x:c>
      <x:c r="C36" t="n">
        <x:v>60.25</x:v>
      </x:c>
      <x:c r="D36" s="109" t="n">
        <x:v>0</x:v>
      </x:c>
      <x:c r="E36" s="109" t="n">
        <x:v>0</x:v>
      </x:c>
      <x:c r="F36" s="109" t="n">
        <x:v>0</x:v>
      </x:c>
      <x:c r="G36" t="n">
        <x:f>SUM(D36:F36)</x:f>
        <x:v>0</x:v>
      </x:c>
      <x:c r="H36" t="str"/>
      <x:c r="I36" t="str">
        <x:v>2026-08-11</x:v>
      </x:c>
      <x:c r="J36" t="str"/>
    </x:row>
    <x:row r="37">
      <x:c r="A37" t="str">
        <x:v>RB</x:v>
      </x:c>
      <x:c r="B37" t="str">
        <x:v>Bijan Robinson</x:v>
      </x:c>
      <x:c r="C37" t="n">
        <x:v>97.36734220227106</x:v>
      </x:c>
      <x:c r="D37" s="109" t="n">
        <x:v>0</x:v>
      </x:c>
      <x:c r="E37" s="109" t="n">
        <x:v>0</x:v>
      </x:c>
      <x:c r="F37" s="109" t="n">
        <x:v>0</x:v>
      </x:c>
      <x:c r="G37" t="n">
        <x:f>SUM(D37:F37)</x:f>
        <x:v>0</x:v>
      </x:c>
      <x:c r="H37" t="str"/>
      <x:c r="I37" t="str">
        <x:v>2026-08-11</x:v>
      </x:c>
      <x:c r="J37" t="str"/>
    </x:row>
    <x:row r="38">
      <x:c r="A38" t="str">
        <x:v>RB</x:v>
      </x:c>
      <x:c r="B38" t="str">
        <x:v>Jahmyr Gibbs</x:v>
      </x:c>
      <x:c r="C38" t="n">
        <x:v>96.33225593201456</x:v>
      </x:c>
      <x:c r="D38" s="109" t="n">
        <x:v>0</x:v>
      </x:c>
      <x:c r="E38" s="109" t="n">
        <x:v>0</x:v>
      </x:c>
      <x:c r="F38" s="109" t="n">
        <x:v>0</x:v>
      </x:c>
      <x:c r="G38" t="n">
        <x:f>SUM(D38:F38)</x:f>
        <x:v>0</x:v>
      </x:c>
      <x:c r="H38" t="str"/>
      <x:c r="I38" t="str">
        <x:v>2026-08-11</x:v>
      </x:c>
      <x:c r="J38" t="str"/>
    </x:row>
    <x:row r="39">
      <x:c r="A39" t="str">
        <x:v>RB</x:v>
      </x:c>
      <x:c r="B39" t="str">
        <x:v>Christian McCaffrey</x:v>
      </x:c>
      <x:c r="C39" t="n">
        <x:v>94.24472639320388</x:v>
      </x:c>
      <x:c r="D39" s="109" t="n">
        <x:v>0</x:v>
      </x:c>
      <x:c r="E39" s="109" t="n">
        <x:v>0</x:v>
      </x:c>
      <x:c r="F39" s="109" t="n">
        <x:v>0</x:v>
      </x:c>
      <x:c r="G39" t="n">
        <x:f>SUM(D39:F39)</x:f>
        <x:v>0</x:v>
      </x:c>
      <x:c r="H39" t="str"/>
      <x:c r="I39" t="str">
        <x:v>2026-08-11</x:v>
      </x:c>
      <x:c r="J39" t="str"/>
    </x:row>
    <x:row r="40">
      <x:c r="A40" t="str">
        <x:v>RB</x:v>
      </x:c>
      <x:c r="B40" t="str">
        <x:v>Jonathan Taylor</x:v>
      </x:c>
      <x:c r="C40" t="n">
        <x:v>92.14700218120157</x:v>
      </x:c>
      <x:c r="D40" s="109" t="n">
        <x:v>0</x:v>
      </x:c>
      <x:c r="E40" s="109" t="n">
        <x:v>0</x:v>
      </x:c>
      <x:c r="F40" s="109" t="n">
        <x:v>0</x:v>
      </x:c>
      <x:c r="G40" t="n">
        <x:f>SUM(D40:F40)</x:f>
        <x:v>0</x:v>
      </x:c>
      <x:c r="H40" t="str"/>
      <x:c r="I40" t="str">
        <x:v>2026-08-11</x:v>
      </x:c>
      <x:c r="J40" t="str"/>
    </x:row>
    <x:row r="41">
      <x:c r="A41" t="str">
        <x:v>RB</x:v>
      </x:c>
      <x:c r="B41" t="str">
        <x:v>Jeremiyah Love</x:v>
      </x:c>
      <x:c r="C41" t="n">
        <x:v>90.86590000000001</x:v>
      </x:c>
      <x:c r="D41" s="109" t="n">
        <x:v>0</x:v>
      </x:c>
      <x:c r="E41" s="109" t="n">
        <x:v>0</x:v>
      </x:c>
      <x:c r="F41" s="109" t="n">
        <x:v>0</x:v>
      </x:c>
      <x:c r="G41" t="n">
        <x:f>SUM(D41:F41)</x:f>
        <x:v>0</x:v>
      </x:c>
      <x:c r="H41" t="str"/>
      <x:c r="I41" t="str">
        <x:v>2026-08-11</x:v>
      </x:c>
      <x:c r="J41" t="str"/>
    </x:row>
    <x:row r="42">
      <x:c r="A42" t="str">
        <x:v>RB</x:v>
      </x:c>
      <x:c r="B42" t="str">
        <x:v>Omarion Hampton</x:v>
      </x:c>
      <x:c r="C42" t="n">
        <x:v>88.64207068235326</x:v>
      </x:c>
      <x:c r="D42" s="109" t="n">
        <x:v>0</x:v>
      </x:c>
      <x:c r="E42" s="109" t="n">
        <x:v>0</x:v>
      </x:c>
      <x:c r="F42" s="109" t="n">
        <x:v>0</x:v>
      </x:c>
      <x:c r="G42" t="n">
        <x:f>SUM(D42:F42)</x:f>
        <x:v>0</x:v>
      </x:c>
      <x:c r="H42" t="str"/>
      <x:c r="I42" t="str">
        <x:v>2026-08-11</x:v>
      </x:c>
      <x:c r="J42" t="str"/>
    </x:row>
    <x:row r="43">
      <x:c r="A43" t="str">
        <x:v>RB</x:v>
      </x:c>
      <x:c r="B43" t="str">
        <x:v>De'Von Achane</x:v>
      </x:c>
      <x:c r="C43" t="n">
        <x:v>87.94401204138569</x:v>
      </x:c>
      <x:c r="D43" s="109" t="n">
        <x:v>0</x:v>
      </x:c>
      <x:c r="E43" s="109" t="n">
        <x:v>0</x:v>
      </x:c>
      <x:c r="F43" s="109" t="n">
        <x:v>0</x:v>
      </x:c>
      <x:c r="G43" t="n">
        <x:f>SUM(D43:F43)</x:f>
        <x:v>0</x:v>
      </x:c>
      <x:c r="H43" t="str"/>
      <x:c r="I43" t="str">
        <x:v>2026-08-11</x:v>
      </x:c>
      <x:c r="J43" t="str"/>
    </x:row>
    <x:row r="44">
      <x:c r="A44" t="str">
        <x:v>RB</x:v>
      </x:c>
      <x:c r="B44" t="str">
        <x:v>Kenneth Walker III</x:v>
      </x:c>
      <x:c r="C44" t="n">
        <x:v>87.29261371508893</x:v>
      </x:c>
      <x:c r="D44" s="109" t="n">
        <x:v>0</x:v>
      </x:c>
      <x:c r="E44" s="109" t="n">
        <x:v>0</x:v>
      </x:c>
      <x:c r="F44" s="109" t="n">
        <x:v>0</x:v>
      </x:c>
      <x:c r="G44" t="n">
        <x:f>SUM(D44:F44)</x:f>
        <x:v>0</x:v>
      </x:c>
      <x:c r="H44" t="str"/>
      <x:c r="I44" t="str">
        <x:v>2026-08-11</x:v>
      </x:c>
      <x:c r="J44" t="str"/>
    </x:row>
    <x:row r="45">
      <x:c r="A45" t="str">
        <x:v>RB</x:v>
      </x:c>
      <x:c r="B45" t="str">
        <x:v>James Cook III</x:v>
      </x:c>
      <x:c r="C45" t="n">
        <x:v>87.05801139512144</x:v>
      </x:c>
      <x:c r="D45" s="109" t="n">
        <x:v>0</x:v>
      </x:c>
      <x:c r="E45" s="109" t="n">
        <x:v>0</x:v>
      </x:c>
      <x:c r="F45" s="109" t="n">
        <x:v>0</x:v>
      </x:c>
      <x:c r="G45" t="n">
        <x:f>SUM(D45:F45)</x:f>
        <x:v>0</x:v>
      </x:c>
      <x:c r="H45" t="str"/>
      <x:c r="I45" t="str">
        <x:v>2026-08-11</x:v>
      </x:c>
      <x:c r="J45" t="str"/>
    </x:row>
    <x:row r="46">
      <x:c r="A46" t="str">
        <x:v>RB</x:v>
      </x:c>
      <x:c r="B46" t="str">
        <x:v>Kyren Williams</x:v>
      </x:c>
      <x:c r="C46" t="n">
        <x:v>85.94862618540519</x:v>
      </x:c>
      <x:c r="D46" s="109" t="n">
        <x:v>0</x:v>
      </x:c>
      <x:c r="E46" s="109" t="n">
        <x:v>0</x:v>
      </x:c>
      <x:c r="F46" s="109" t="n">
        <x:v>0</x:v>
      </x:c>
      <x:c r="G46" t="n">
        <x:f>SUM(D46:F46)</x:f>
        <x:v>0</x:v>
      </x:c>
      <x:c r="H46" t="str"/>
      <x:c r="I46" t="str">
        <x:v>2026-08-11</x:v>
      </x:c>
      <x:c r="J46" t="str"/>
    </x:row>
    <x:row r="47">
      <x:c r="A47" t="str">
        <x:v>RB</x:v>
      </x:c>
      <x:c r="B47" t="str">
        <x:v>Breece Hall</x:v>
      </x:c>
      <x:c r="C47" t="n">
        <x:v>85.89523439048523</x:v>
      </x:c>
      <x:c r="D47" s="109" t="n">
        <x:v>0</x:v>
      </x:c>
      <x:c r="E47" s="109" t="n">
        <x:v>0</x:v>
      </x:c>
      <x:c r="F47" s="109" t="n">
        <x:v>0</x:v>
      </x:c>
      <x:c r="G47" t="n">
        <x:f>SUM(D47:F47)</x:f>
        <x:v>0</x:v>
      </x:c>
      <x:c r="H47" t="str"/>
      <x:c r="I47" t="str">
        <x:v>2026-08-11</x:v>
      </x:c>
      <x:c r="J47" t="str"/>
    </x:row>
    <x:row r="48">
      <x:c r="A48" t="str">
        <x:v>RB</x:v>
      </x:c>
      <x:c r="B48" t="str">
        <x:v>Ashton Jeanty</x:v>
      </x:c>
      <x:c r="C48" t="n">
        <x:v>85.84326054048074</x:v>
      </x:c>
      <x:c r="D48" s="109" t="n">
        <x:v>0</x:v>
      </x:c>
      <x:c r="E48" s="109" t="n">
        <x:v>0</x:v>
      </x:c>
      <x:c r="F48" s="109" t="n">
        <x:v>0</x:v>
      </x:c>
      <x:c r="G48" t="n">
        <x:f>SUM(D48:F48)</x:f>
        <x:v>0</x:v>
      </x:c>
      <x:c r="H48" t="str"/>
      <x:c r="I48" t="str">
        <x:v>2026-08-11</x:v>
      </x:c>
      <x:c r="J48" t="str"/>
    </x:row>
    <x:row r="49">
      <x:c r="A49" t="str">
        <x:v>RB</x:v>
      </x:c>
      <x:c r="B49" t="str">
        <x:v>Derrick Henry</x:v>
      </x:c>
      <x:c r="C49" t="n">
        <x:v>85.66739845204964</x:v>
      </x:c>
      <x:c r="D49" s="109" t="n">
        <x:v>0</x:v>
      </x:c>
      <x:c r="E49" s="109" t="n">
        <x:v>0</x:v>
      </x:c>
      <x:c r="F49" s="109" t="n">
        <x:v>0</x:v>
      </x:c>
      <x:c r="G49" t="n">
        <x:f>SUM(D49:F49)</x:f>
        <x:v>0</x:v>
      </x:c>
      <x:c r="H49" t="str"/>
      <x:c r="I49" t="str">
        <x:v>2026-08-11</x:v>
      </x:c>
      <x:c r="J49" t="str"/>
    </x:row>
    <x:row r="50">
      <x:c r="A50" t="str">
        <x:v>RB</x:v>
      </x:c>
      <x:c r="B50" t="str">
        <x:v>Chase Brown</x:v>
      </x:c>
      <x:c r="C50" t="n">
        <x:v>85.66441832712566</x:v>
      </x:c>
      <x:c r="D50" s="109" t="n">
        <x:v>0</x:v>
      </x:c>
      <x:c r="E50" s="109" t="n">
        <x:v>0</x:v>
      </x:c>
      <x:c r="F50" s="109" t="n">
        <x:v>0</x:v>
      </x:c>
      <x:c r="G50" t="n">
        <x:f>SUM(D50:F50)</x:f>
        <x:v>0</x:v>
      </x:c>
      <x:c r="H50" t="str"/>
      <x:c r="I50" t="str">
        <x:v>2026-08-11</x:v>
      </x:c>
      <x:c r="J50" t="str"/>
    </x:row>
    <x:row r="51">
      <x:c r="A51" t="str">
        <x:v>RB</x:v>
      </x:c>
      <x:c r="B51" t="str">
        <x:v>Josh Jacobs</x:v>
      </x:c>
      <x:c r="C51" t="n">
        <x:v>84.42639357709083</x:v>
      </x:c>
      <x:c r="D51" s="109" t="n">
        <x:v>0</x:v>
      </x:c>
      <x:c r="E51" s="109" t="n">
        <x:v>0</x:v>
      </x:c>
      <x:c r="F51" s="109" t="n">
        <x:v>0</x:v>
      </x:c>
      <x:c r="G51" t="n">
        <x:f>SUM(D51:F51)</x:f>
        <x:v>0</x:v>
      </x:c>
      <x:c r="H51" t="str"/>
      <x:c r="I51" t="str">
        <x:v>2026-08-11</x:v>
      </x:c>
      <x:c r="J51" t="str"/>
    </x:row>
    <x:row r="52">
      <x:c r="A52" t="str">
        <x:v>RB</x:v>
      </x:c>
      <x:c r="B52" t="str">
        <x:v>Saquon Barkley</x:v>
      </x:c>
      <x:c r="C52" t="n">
        <x:v>84.03395323879701</x:v>
      </x:c>
      <x:c r="D52" s="109" t="n">
        <x:v>0</x:v>
      </x:c>
      <x:c r="E52" s="109" t="n">
        <x:v>0</x:v>
      </x:c>
      <x:c r="F52" s="109" t="n">
        <x:v>0</x:v>
      </x:c>
      <x:c r="G52" t="n">
        <x:f>SUM(D52:F52)</x:f>
        <x:v>0</x:v>
      </x:c>
      <x:c r="H52" t="str"/>
      <x:c r="I52" t="str">
        <x:v>2026-08-11</x:v>
      </x:c>
      <x:c r="J52" t="str"/>
    </x:row>
    <x:row r="53">
      <x:c r="A53" t="str">
        <x:v>RB</x:v>
      </x:c>
      <x:c r="B53" t="str">
        <x:v>Javonte Williams</x:v>
      </x:c>
      <x:c r="C53" t="n">
        <x:v>83.80323538924502</x:v>
      </x:c>
      <x:c r="D53" s="109" t="n">
        <x:v>0</x:v>
      </x:c>
      <x:c r="E53" s="109" t="n">
        <x:v>0</x:v>
      </x:c>
      <x:c r="F53" s="109" t="n">
        <x:v>0</x:v>
      </x:c>
      <x:c r="G53" t="n">
        <x:f>SUM(D53:F53)</x:f>
        <x:v>0</x:v>
      </x:c>
      <x:c r="H53" t="str"/>
      <x:c r="I53" t="str">
        <x:v>2026-08-11</x:v>
      </x:c>
      <x:c r="J53" t="str"/>
    </x:row>
    <x:row r="54">
      <x:c r="A54" t="str">
        <x:v>RB</x:v>
      </x:c>
      <x:c r="B54" t="str">
        <x:v>Travis Etienne Jr.</x:v>
      </x:c>
      <x:c r="C54" t="n">
        <x:v>83.04362987072798</x:v>
      </x:c>
      <x:c r="D54" s="109" t="n">
        <x:v>0</x:v>
      </x:c>
      <x:c r="E54" s="109" t="n">
        <x:v>0</x:v>
      </x:c>
      <x:c r="F54" s="109" t="n">
        <x:v>0</x:v>
      </x:c>
      <x:c r="G54" t="n">
        <x:f>SUM(D54:F54)</x:f>
        <x:v>0</x:v>
      </x:c>
      <x:c r="H54" t="str"/>
      <x:c r="I54" t="str">
        <x:v>2026-08-11</x:v>
      </x:c>
      <x:c r="J54" t="str"/>
    </x:row>
    <x:row r="55">
      <x:c r="A55" t="str">
        <x:v>RB</x:v>
      </x:c>
      <x:c r="B55" t="str">
        <x:v>Cam Skattebo</x:v>
      </x:c>
      <x:c r="C55" t="n">
        <x:v>81.88843624288153</x:v>
      </x:c>
      <x:c r="D55" s="109" t="n">
        <x:v>0</x:v>
      </x:c>
      <x:c r="E55" s="109" t="n">
        <x:v>0</x:v>
      </x:c>
      <x:c r="F55" s="109" t="n">
        <x:v>0</x:v>
      </x:c>
      <x:c r="G55" t="n">
        <x:f>SUM(D55:F55)</x:f>
        <x:v>0</x:v>
      </x:c>
      <x:c r="H55" t="str"/>
      <x:c r="I55" t="str">
        <x:v>2026-08-11</x:v>
      </x:c>
      <x:c r="J55" t="str"/>
    </x:row>
    <x:row r="56">
      <x:c r="A56" t="str">
        <x:v>RB</x:v>
      </x:c>
      <x:c r="B56" t="str">
        <x:v>D'Andre Swift</x:v>
      </x:c>
      <x:c r="C56" t="n">
        <x:v>79.98556548600793</x:v>
      </x:c>
      <x:c r="D56" s="109" t="n">
        <x:v>0</x:v>
      </x:c>
      <x:c r="E56" s="109" t="n">
        <x:v>0</x:v>
      </x:c>
      <x:c r="F56" s="109" t="n">
        <x:v>0</x:v>
      </x:c>
      <x:c r="G56" t="n">
        <x:f>SUM(D56:F56)</x:f>
        <x:v>0</x:v>
      </x:c>
      <x:c r="H56" t="str"/>
      <x:c r="I56" t="str">
        <x:v>2026-08-11</x:v>
      </x:c>
      <x:c r="J56" t="str"/>
    </x:row>
    <x:row r="57">
      <x:c r="A57" t="str">
        <x:v>RB</x:v>
      </x:c>
      <x:c r="B57" t="str">
        <x:v>Bucky Irving</x:v>
      </x:c>
      <x:c r="C57" t="n">
        <x:v>79.93547988785315</x:v>
      </x:c>
      <x:c r="D57" s="109" t="n">
        <x:v>0</x:v>
      </x:c>
      <x:c r="E57" s="109" t="n">
        <x:v>0</x:v>
      </x:c>
      <x:c r="F57" s="109" t="n">
        <x:v>0</x:v>
      </x:c>
      <x:c r="G57" t="n">
        <x:f>SUM(D57:F57)</x:f>
        <x:v>0</x:v>
      </x:c>
      <x:c r="H57" t="str"/>
      <x:c r="I57" t="str">
        <x:v>2026-08-11</x:v>
      </x:c>
      <x:c r="J57" t="str"/>
    </x:row>
    <x:row r="58">
      <x:c r="A58" t="str">
        <x:v>RB</x:v>
      </x:c>
      <x:c r="B58" t="str">
        <x:v>Quinshon Judkins</x:v>
      </x:c>
      <x:c r="C58" t="n">
        <x:v>79.930324528899</x:v>
      </x:c>
      <x:c r="D58" s="109" t="n">
        <x:v>0</x:v>
      </x:c>
      <x:c r="E58" s="109" t="n">
        <x:v>0</x:v>
      </x:c>
      <x:c r="F58" s="109" t="n">
        <x:v>0</x:v>
      </x:c>
      <x:c r="G58" t="n">
        <x:f>SUM(D58:F58)</x:f>
        <x:v>0</x:v>
      </x:c>
      <x:c r="H58" t="str"/>
      <x:c r="I58" t="str">
        <x:v>2026-08-11</x:v>
      </x:c>
      <x:c r="J58" t="str"/>
    </x:row>
    <x:row r="59">
      <x:c r="A59" t="str">
        <x:v>RB</x:v>
      </x:c>
      <x:c r="B59" t="str">
        <x:v>David Montgomery</x:v>
      </x:c>
      <x:c r="C59" t="n">
        <x:v>77.91019458711787</x:v>
      </x:c>
      <x:c r="D59" s="109" t="n">
        <x:v>0</x:v>
      </x:c>
      <x:c r="E59" s="109" t="n">
        <x:v>0</x:v>
      </x:c>
      <x:c r="F59" s="109" t="n">
        <x:v>0</x:v>
      </x:c>
      <x:c r="G59" t="n">
        <x:f>SUM(D59:F59)</x:f>
        <x:v>0</x:v>
      </x:c>
      <x:c r="H59" t="str"/>
      <x:c r="I59" t="str">
        <x:v>2026-08-11</x:v>
      </x:c>
      <x:c r="J59" t="str"/>
    </x:row>
    <x:row r="60">
      <x:c r="A60" t="str">
        <x:v>RB</x:v>
      </x:c>
      <x:c r="B60" t="str">
        <x:v>TreVeyon Henderson</x:v>
      </x:c>
      <x:c r="C60" t="n">
        <x:v>77.83249669656783</x:v>
      </x:c>
      <x:c r="D60" s="109" t="n">
        <x:v>0</x:v>
      </x:c>
      <x:c r="E60" s="109" t="n">
        <x:v>0</x:v>
      </x:c>
      <x:c r="F60" s="109" t="n">
        <x:v>0</x:v>
      </x:c>
      <x:c r="G60" t="n">
        <x:f>SUM(D60:F60)</x:f>
        <x:v>0</x:v>
      </x:c>
      <x:c r="H60" t="str"/>
      <x:c r="I60" t="str">
        <x:v>2026-08-11</x:v>
      </x:c>
      <x:c r="J60" t="str"/>
    </x:row>
    <x:row r="61">
      <x:c r="A61" t="str">
        <x:v>RB</x:v>
      </x:c>
      <x:c r="B61" t="str">
        <x:v>Jadarian Price</x:v>
      </x:c>
      <x:c r="C61" t="n">
        <x:v>76.66217827185447</x:v>
      </x:c>
      <x:c r="D61" s="109" t="n">
        <x:v>0</x:v>
      </x:c>
      <x:c r="E61" s="109" t="n">
        <x:v>0</x:v>
      </x:c>
      <x:c r="F61" s="109" t="n">
        <x:v>0</x:v>
      </x:c>
      <x:c r="G61" t="n">
        <x:f>SUM(D61:F61)</x:f>
        <x:v>0</x:v>
      </x:c>
      <x:c r="H61" t="str"/>
      <x:c r="I61" t="str">
        <x:v>2026-08-11</x:v>
      </x:c>
      <x:c r="J61" t="str"/>
    </x:row>
    <x:row r="62">
      <x:c r="A62" t="str">
        <x:v>RB</x:v>
      </x:c>
      <x:c r="B62" t="str">
        <x:v>Jaylen Warren</x:v>
      </x:c>
      <x:c r="C62" t="n">
        <x:v>76.09178759711432</x:v>
      </x:c>
      <x:c r="D62" s="109" t="n">
        <x:v>0</x:v>
      </x:c>
      <x:c r="E62" s="109" t="n">
        <x:v>0</x:v>
      </x:c>
      <x:c r="F62" s="109" t="n">
        <x:v>0</x:v>
      </x:c>
      <x:c r="G62" t="n">
        <x:f>SUM(D62:F62)</x:f>
        <x:v>0</x:v>
      </x:c>
      <x:c r="H62" t="str"/>
      <x:c r="I62" t="str">
        <x:v>2026-08-11</x:v>
      </x:c>
      <x:c r="J62" t="str"/>
    </x:row>
    <x:row r="63">
      <x:c r="A63" t="str">
        <x:v>RB</x:v>
      </x:c>
      <x:c r="B63" t="str">
        <x:v>Rico Dowdle</x:v>
      </x:c>
      <x:c r="C63" t="n">
        <x:v>75.78578939506124</x:v>
      </x:c>
      <x:c r="D63" s="109" t="n">
        <x:v>0</x:v>
      </x:c>
      <x:c r="E63" s="109" t="n">
        <x:v>0</x:v>
      </x:c>
      <x:c r="F63" s="109" t="n">
        <x:v>0</x:v>
      </x:c>
      <x:c r="G63" t="n">
        <x:f>SUM(D63:F63)</x:f>
        <x:v>0</x:v>
      </x:c>
      <x:c r="H63" t="str"/>
      <x:c r="I63" t="str">
        <x:v>2026-08-11</x:v>
      </x:c>
      <x:c r="J63" t="str"/>
    </x:row>
    <x:row r="64">
      <x:c r="A64" t="str">
        <x:v>RB</x:v>
      </x:c>
      <x:c r="B64" t="str">
        <x:v>Tony Pollard</x:v>
      </x:c>
      <x:c r="C64" t="n">
        <x:v>75.0986337752362</x:v>
      </x:c>
      <x:c r="D64" s="109" t="n">
        <x:v>0</x:v>
      </x:c>
      <x:c r="E64" s="109" t="n">
        <x:v>0</x:v>
      </x:c>
      <x:c r="F64" s="109" t="n">
        <x:v>0</x:v>
      </x:c>
      <x:c r="G64" t="n">
        <x:f>SUM(D64:F64)</x:f>
        <x:v>0</x:v>
      </x:c>
      <x:c r="H64" t="str"/>
      <x:c r="I64" t="str">
        <x:v>2026-08-11</x:v>
      </x:c>
      <x:c r="J64" t="str"/>
    </x:row>
    <x:row r="65">
      <x:c r="A65" t="str">
        <x:v>RB</x:v>
      </x:c>
      <x:c r="B65" t="str">
        <x:v>Rhamondre Stevenson</x:v>
      </x:c>
      <x:c r="C65" t="n">
        <x:v>74.58812104950168</x:v>
      </x:c>
      <x:c r="D65" s="109" t="n">
        <x:v>0</x:v>
      </x:c>
      <x:c r="E65" s="109" t="n">
        <x:v>0</x:v>
      </x:c>
      <x:c r="F65" s="109" t="n">
        <x:v>0</x:v>
      </x:c>
      <x:c r="G65" t="n">
        <x:f>SUM(D65:F65)</x:f>
        <x:v>0</x:v>
      </x:c>
      <x:c r="H65" t="str"/>
      <x:c r="I65" t="str">
        <x:v>2026-08-11</x:v>
      </x:c>
      <x:c r="J65" t="str"/>
    </x:row>
    <x:row r="66">
      <x:c r="A66" t="str">
        <x:v>RB</x:v>
      </x:c>
      <x:c r="B66" t="str">
        <x:v>Kenneth Gainwell</x:v>
      </x:c>
      <x:c r="C66" t="n">
        <x:v>74.50491919835545</x:v>
      </x:c>
      <x:c r="D66" s="109" t="n">
        <x:v>0</x:v>
      </x:c>
      <x:c r="E66" s="109" t="n">
        <x:v>0</x:v>
      </x:c>
      <x:c r="F66" s="109" t="n">
        <x:v>0</x:v>
      </x:c>
      <x:c r="G66" t="n">
        <x:f>SUM(D66:F66)</x:f>
        <x:v>0</x:v>
      </x:c>
      <x:c r="H66" t="str"/>
      <x:c r="I66" t="str">
        <x:v>2026-08-11</x:v>
      </x:c>
      <x:c r="J66" t="str"/>
    </x:row>
    <x:row r="67">
      <x:c r="A67" t="str">
        <x:v>RB</x:v>
      </x:c>
      <x:c r="B67" t="str">
        <x:v>Bhayshul Tuten</x:v>
      </x:c>
      <x:c r="C67" t="n">
        <x:v>74.46766975676302</x:v>
      </x:c>
      <x:c r="D67" s="109" t="n">
        <x:v>0</x:v>
      </x:c>
      <x:c r="E67" s="109" t="n">
        <x:v>0</x:v>
      </x:c>
      <x:c r="F67" s="109" t="n">
        <x:v>0</x:v>
      </x:c>
      <x:c r="G67" t="n">
        <x:f>SUM(D67:F67)</x:f>
        <x:v>0</x:v>
      </x:c>
      <x:c r="H67" t="str"/>
      <x:c r="I67" t="str">
        <x:v>2026-08-11</x:v>
      </x:c>
      <x:c r="J67" t="str"/>
    </x:row>
    <x:row r="68">
      <x:c r="A68" t="str">
        <x:v>RB</x:v>
      </x:c>
      <x:c r="B68" t="str">
        <x:v>RJ Harvey</x:v>
      </x:c>
      <x:c r="C68" t="n">
        <x:v>73.56779045370797</x:v>
      </x:c>
      <x:c r="D68" s="109" t="n">
        <x:v>0</x:v>
      </x:c>
      <x:c r="E68" s="109" t="n">
        <x:v>0</x:v>
      </x:c>
      <x:c r="F68" s="109" t="n">
        <x:v>0</x:v>
      </x:c>
      <x:c r="G68" t="n">
        <x:f>SUM(D68:F68)</x:f>
        <x:v>0</x:v>
      </x:c>
      <x:c r="H68" t="str"/>
      <x:c r="I68" t="str">
        <x:v>2026-08-11</x:v>
      </x:c>
      <x:c r="J68" t="str"/>
    </x:row>
    <x:row r="69">
      <x:c r="A69" t="str">
        <x:v>RB</x:v>
      </x:c>
      <x:c r="B69" t="str">
        <x:v>Kyle Monangai</x:v>
      </x:c>
      <x:c r="C69" t="n">
        <x:v>72.61019893136515</x:v>
      </x:c>
      <x:c r="D69" s="109" t="n">
        <x:v>0</x:v>
      </x:c>
      <x:c r="E69" s="109" t="n">
        <x:v>0</x:v>
      </x:c>
      <x:c r="F69" s="109" t="n">
        <x:v>0</x:v>
      </x:c>
      <x:c r="G69" t="n">
        <x:f>SUM(D69:F69)</x:f>
        <x:v>0</x:v>
      </x:c>
      <x:c r="H69" t="str"/>
      <x:c r="I69" t="str">
        <x:v>2026-08-11</x:v>
      </x:c>
      <x:c r="J69" t="str"/>
    </x:row>
    <x:row r="70">
      <x:c r="A70" t="str">
        <x:v>RB</x:v>
      </x:c>
      <x:c r="B70" t="str">
        <x:v>Chuba Hubbard</x:v>
      </x:c>
      <x:c r="C70" t="n">
        <x:v>71.86665989322354</x:v>
      </x:c>
      <x:c r="D70" s="109" t="n">
        <x:v>0</x:v>
      </x:c>
      <x:c r="E70" s="109" t="n">
        <x:v>0</x:v>
      </x:c>
      <x:c r="F70" s="109" t="n">
        <x:v>0</x:v>
      </x:c>
      <x:c r="G70" t="n">
        <x:f>SUM(D70:F70)</x:f>
        <x:v>0</x:v>
      </x:c>
      <x:c r="H70" t="str"/>
      <x:c r="I70" t="str">
        <x:v>2026-08-11</x:v>
      </x:c>
      <x:c r="J70" t="str"/>
    </x:row>
    <x:row r="71">
      <x:c r="A71" t="str">
        <x:v>RB</x:v>
      </x:c>
      <x:c r="B71" t="str">
        <x:v>Aaron Jones Sr.</x:v>
      </x:c>
      <x:c r="C71" t="n">
        <x:v>71.6976534059668</x:v>
      </x:c>
      <x:c r="D71" s="109" t="n">
        <x:v>0</x:v>
      </x:c>
      <x:c r="E71" s="109" t="n">
        <x:v>0</x:v>
      </x:c>
      <x:c r="F71" s="109" t="n">
        <x:v>0</x:v>
      </x:c>
      <x:c r="G71" t="n">
        <x:f>SUM(D71:F71)</x:f>
        <x:v>0</x:v>
      </x:c>
      <x:c r="H71" t="str"/>
      <x:c r="I71" t="str">
        <x:v>2026-08-11</x:v>
      </x:c>
      <x:c r="J71" t="str"/>
    </x:row>
    <x:row r="72">
      <x:c r="A72" t="str">
        <x:v>RB</x:v>
      </x:c>
      <x:c r="B72" t="str">
        <x:v>J.K. Dobbins</x:v>
      </x:c>
      <x:c r="C72" t="n">
        <x:v>71.16661350850421</x:v>
      </x:c>
      <x:c r="D72" s="109" t="n">
        <x:v>0</x:v>
      </x:c>
      <x:c r="E72" s="109" t="n">
        <x:v>0</x:v>
      </x:c>
      <x:c r="F72" s="109" t="n">
        <x:v>0</x:v>
      </x:c>
      <x:c r="G72" t="n">
        <x:f>SUM(D72:F72)</x:f>
        <x:v>0</x:v>
      </x:c>
      <x:c r="H72" t="str"/>
      <x:c r="I72" t="str">
        <x:v>2026-08-11</x:v>
      </x:c>
      <x:c r="J72" t="str"/>
    </x:row>
    <x:row r="73">
      <x:c r="A73" t="str">
        <x:v>RB</x:v>
      </x:c>
      <x:c r="B73" t="str">
        <x:v>Blake Corum</x:v>
      </x:c>
      <x:c r="C73" t="n">
        <x:v>69.51960871574394</x:v>
      </x:c>
      <x:c r="D73" s="109" t="n">
        <x:v>0</x:v>
      </x:c>
      <x:c r="E73" s="109" t="n">
        <x:v>0</x:v>
      </x:c>
      <x:c r="F73" s="109" t="n">
        <x:v>0</x:v>
      </x:c>
      <x:c r="G73" t="n">
        <x:f>SUM(D73:F73)</x:f>
        <x:v>0</x:v>
      </x:c>
      <x:c r="H73" t="str"/>
      <x:c r="I73" t="str">
        <x:v>2026-08-11</x:v>
      </x:c>
      <x:c r="J73" t="str"/>
    </x:row>
    <x:row r="74">
      <x:c r="A74" t="str">
        <x:v>RB</x:v>
      </x:c>
      <x:c r="B74" t="str">
        <x:v>Rachaad White</x:v>
      </x:c>
      <x:c r="C74" t="n">
        <x:v>69.2036568927438</x:v>
      </x:c>
      <x:c r="D74" s="109" t="n">
        <x:v>0</x:v>
      </x:c>
      <x:c r="E74" s="109" t="n">
        <x:v>0</x:v>
      </x:c>
      <x:c r="F74" s="109" t="n">
        <x:v>0</x:v>
      </x:c>
      <x:c r="G74" t="n">
        <x:f>SUM(D74:F74)</x:f>
        <x:v>0</x:v>
      </x:c>
      <x:c r="H74" t="str"/>
      <x:c r="I74" t="str">
        <x:v>2026-08-11</x:v>
      </x:c>
      <x:c r="J74" t="str"/>
    </x:row>
    <x:row r="75">
      <x:c r="A75" t="str">
        <x:v>RB</x:v>
      </x:c>
      <x:c r="B75" t="str">
        <x:v>Jacory Croskey-Merritt</x:v>
      </x:c>
      <x:c r="C75" t="n">
        <x:v>68.99221175225878</x:v>
      </x:c>
      <x:c r="D75" s="109" t="n">
        <x:v>0</x:v>
      </x:c>
      <x:c r="E75" s="109" t="n">
        <x:v>0</x:v>
      </x:c>
      <x:c r="F75" s="109" t="n">
        <x:v>0</x:v>
      </x:c>
      <x:c r="G75" t="n">
        <x:f>SUM(D75:F75)</x:f>
        <x:v>0</x:v>
      </x:c>
      <x:c r="H75" t="str"/>
      <x:c r="I75" t="str">
        <x:v>2026-08-11</x:v>
      </x:c>
      <x:c r="J75" t="str"/>
    </x:row>
    <x:row r="76">
      <x:c r="A76" t="str">
        <x:v>RB</x:v>
      </x:c>
      <x:c r="B76" t="str">
        <x:v>Jordan Mason</x:v>
      </x:c>
      <x:c r="C76" t="n">
        <x:v>67.65739288663394</x:v>
      </x:c>
      <x:c r="D76" s="109" t="n">
        <x:v>0</x:v>
      </x:c>
      <x:c r="E76" s="109" t="n">
        <x:v>0</x:v>
      </x:c>
      <x:c r="F76" s="109" t="n">
        <x:v>0</x:v>
      </x:c>
      <x:c r="G76" t="n">
        <x:f>SUM(D76:F76)</x:f>
        <x:v>0</x:v>
      </x:c>
      <x:c r="H76" t="str"/>
      <x:c r="I76" t="str">
        <x:v>2026-08-11</x:v>
      </x:c>
      <x:c r="J76" t="str"/>
    </x:row>
    <x:row r="77">
      <x:c r="A77" t="str">
        <x:v>RB</x:v>
      </x:c>
      <x:c r="B77" t="str">
        <x:v>Woody Marks</x:v>
      </x:c>
      <x:c r="C77" t="n">
        <x:v>66.86623003473099</x:v>
      </x:c>
      <x:c r="D77" s="109" t="n">
        <x:v>0</x:v>
      </x:c>
      <x:c r="E77" s="109" t="n">
        <x:v>0</x:v>
      </x:c>
      <x:c r="F77" s="109" t="n">
        <x:v>0</x:v>
      </x:c>
      <x:c r="G77" t="n">
        <x:f>SUM(D77:F77)</x:f>
        <x:v>0</x:v>
      </x:c>
      <x:c r="H77" t="str"/>
      <x:c r="I77" t="str">
        <x:v>2026-08-11</x:v>
      </x:c>
      <x:c r="J77" t="str"/>
    </x:row>
    <x:row r="78">
      <x:c r="A78" t="str">
        <x:v>RB</x:v>
      </x:c>
      <x:c r="B78" t="str">
        <x:v>Chris Rodriguez Jr.</x:v>
      </x:c>
      <x:c r="C78" t="n">
        <x:v>66.53699590996025</x:v>
      </x:c>
      <x:c r="D78" s="109" t="n">
        <x:v>0</x:v>
      </x:c>
      <x:c r="E78" s="109" t="n">
        <x:v>0</x:v>
      </x:c>
      <x:c r="F78" s="109" t="n">
        <x:v>0</x:v>
      </x:c>
      <x:c r="G78" t="n">
        <x:f>SUM(D78:F78)</x:f>
        <x:v>0</x:v>
      </x:c>
      <x:c r="H78" t="str"/>
      <x:c r="I78" t="str">
        <x:v>2026-08-11</x:v>
      </x:c>
      <x:c r="J78" t="str"/>
    </x:row>
    <x:row r="79">
      <x:c r="A79" t="str">
        <x:v>RB</x:v>
      </x:c>
      <x:c r="B79" t="str">
        <x:v>Tyrone Tracy Jr.</x:v>
      </x:c>
      <x:c r="C79" t="n">
        <x:v>66.53102686810404</x:v>
      </x:c>
      <x:c r="D79" s="109" t="n">
        <x:v>0</x:v>
      </x:c>
      <x:c r="E79" s="109" t="n">
        <x:v>0</x:v>
      </x:c>
      <x:c r="F79" s="109" t="n">
        <x:v>0</x:v>
      </x:c>
      <x:c r="G79" t="n">
        <x:f>SUM(D79:F79)</x:f>
        <x:v>0</x:v>
      </x:c>
      <x:c r="H79" t="str"/>
      <x:c r="I79" t="str">
        <x:v>2026-08-11</x:v>
      </x:c>
      <x:c r="J79" t="str"/>
    </x:row>
    <x:row r="80">
      <x:c r="A80" t="str">
        <x:v>RB</x:v>
      </x:c>
      <x:c r="B80" t="str">
        <x:v>Tyler Allgeier</x:v>
      </x:c>
      <x:c r="C80" t="n">
        <x:v>63.03217197650326</x:v>
      </x:c>
      <x:c r="D80" s="109" t="n">
        <x:v>0</x:v>
      </x:c>
      <x:c r="E80" s="109" t="n">
        <x:v>0</x:v>
      </x:c>
      <x:c r="F80" s="109" t="n">
        <x:v>0</x:v>
      </x:c>
      <x:c r="G80" t="n">
        <x:f>SUM(D80:F80)</x:f>
        <x:v>0</x:v>
      </x:c>
      <x:c r="H80" t="str"/>
      <x:c r="I80" t="str">
        <x:v>2026-08-11</x:v>
      </x:c>
      <x:c r="J80" t="str"/>
    </x:row>
    <x:row r="81">
      <x:c r="A81" t="str">
        <x:v>RB</x:v>
      </x:c>
      <x:c r="B81" t="str">
        <x:v>Zach Charbonnet</x:v>
      </x:c>
      <x:c r="C81" t="n">
        <x:v>62.5498230438228</x:v>
      </x:c>
      <x:c r="D81" s="109" t="n">
        <x:v>0</x:v>
      </x:c>
      <x:c r="E81" s="109" t="n">
        <x:v>0</x:v>
      </x:c>
      <x:c r="F81" s="109" t="n">
        <x:v>0</x:v>
      </x:c>
      <x:c r="G81" t="n">
        <x:f>SUM(D81:F81)</x:f>
        <x:v>0</x:v>
      </x:c>
      <x:c r="H81" t="str"/>
      <x:c r="I81" t="str">
        <x:v>2026-08-11</x:v>
      </x:c>
      <x:c r="J81" t="str"/>
    </x:row>
    <x:row r="82">
      <x:c r="A82" t="str">
        <x:v>RB</x:v>
      </x:c>
      <x:c r="B82" t="str">
        <x:v>Jonathon Brooks</x:v>
      </x:c>
      <x:c r="C82" t="n">
        <x:v>62.199999999999996</x:v>
      </x:c>
      <x:c r="D82" s="109" t="n">
        <x:v>0</x:v>
      </x:c>
      <x:c r="E82" s="109" t="n">
        <x:v>0</x:v>
      </x:c>
      <x:c r="F82" s="109" t="n">
        <x:v>0</x:v>
      </x:c>
      <x:c r="G82" t="n">
        <x:f>SUM(D82:F82)</x:f>
        <x:v>0</x:v>
      </x:c>
      <x:c r="H82" t="str"/>
      <x:c r="I82" t="str">
        <x:v>2026-08-11</x:v>
      </x:c>
      <x:c r="J82" t="str"/>
    </x:row>
    <x:row r="83">
      <x:c r="A83" t="str">
        <x:v>RB</x:v>
      </x:c>
      <x:c r="B83" t="str">
        <x:v>Emanuel Wilson</x:v>
      </x:c>
      <x:c r="C83" t="n">
        <x:v>61.982145601653485</x:v>
      </x:c>
      <x:c r="D83" s="109" t="n">
        <x:v>0</x:v>
      </x:c>
      <x:c r="E83" s="109" t="n">
        <x:v>0</x:v>
      </x:c>
      <x:c r="F83" s="109" t="n">
        <x:v>0</x:v>
      </x:c>
      <x:c r="G83" t="n">
        <x:f>SUM(D83:F83)</x:f>
        <x:v>0</x:v>
      </x:c>
      <x:c r="H83" t="str"/>
      <x:c r="I83" t="str">
        <x:v>2026-08-11</x:v>
      </x:c>
      <x:c r="J83" t="str"/>
    </x:row>
    <x:row r="84">
      <x:c r="A84" t="str">
        <x:v>RB</x:v>
      </x:c>
      <x:c r="B84" t="str">
        <x:v>Isiah Pacheco</x:v>
      </x:c>
      <x:c r="C84" t="n">
        <x:v>60.00923076923077</x:v>
      </x:c>
      <x:c r="D84" s="109" t="n">
        <x:v>0</x:v>
      </x:c>
      <x:c r="E84" s="109" t="n">
        <x:v>0</x:v>
      </x:c>
      <x:c r="F84" s="109" t="n">
        <x:v>0</x:v>
      </x:c>
      <x:c r="G84" t="n">
        <x:f>SUM(D84:F84)</x:f>
        <x:v>0</x:v>
      </x:c>
      <x:c r="H84" t="str"/>
      <x:c r="I84" t="str">
        <x:v>2026-08-11</x:v>
      </x:c>
      <x:c r="J84" t="str"/>
    </x:row>
    <x:row r="85">
      <x:c r="A85" t="str">
        <x:v>RB</x:v>
      </x:c>
      <x:c r="B85" t="str">
        <x:v>Alvin Kamara</x:v>
      </x:c>
      <x:c r="C85" t="n">
        <x:v>59.150000000000006</x:v>
      </x:c>
      <x:c r="D85" s="109" t="n">
        <x:v>0</x:v>
      </x:c>
      <x:c r="E85" s="109" t="n">
        <x:v>0</x:v>
      </x:c>
      <x:c r="F85" s="109" t="n">
        <x:v>0</x:v>
      </x:c>
      <x:c r="G85" t="n">
        <x:f>SUM(D85:F85)</x:f>
        <x:v>0</x:v>
      </x:c>
      <x:c r="H85" t="str"/>
      <x:c r="I85" t="str">
        <x:v>2026-08-11</x:v>
      </x:c>
      <x:c r="J85" t="str"/>
    </x:row>
    <x:row r="86">
      <x:c r="A86" t="str">
        <x:v>RB</x:v>
      </x:c>
      <x:c r="B86" t="str">
        <x:v>Justice Hill</x:v>
      </x:c>
      <x:c r="C86" t="n">
        <x:v>54.879999999999995</x:v>
      </x:c>
      <x:c r="D86" s="109" t="n">
        <x:v>0</x:v>
      </x:c>
      <x:c r="E86" s="109" t="n">
        <x:v>0</x:v>
      </x:c>
      <x:c r="F86" s="109" t="n">
        <x:v>0</x:v>
      </x:c>
      <x:c r="G86" t="n">
        <x:f>SUM(D86:F86)</x:f>
        <x:v>0</x:v>
      </x:c>
      <x:c r="H86" t="str"/>
      <x:c r="I86" t="str">
        <x:v>2026-08-11</x:v>
      </x:c>
      <x:c r="J86" t="str"/>
    </x:row>
    <x:row r="87">
      <x:c r="A87" t="str">
        <x:v>TE</x:v>
      </x:c>
      <x:c r="B87" t="str">
        <x:v>Trey McBride</x:v>
      </x:c>
      <x:c r="C87" t="n">
        <x:v>97.73707606111353</x:v>
      </x:c>
      <x:c r="D87" s="109" t="n">
        <x:v>0</x:v>
      </x:c>
      <x:c r="E87" s="109" t="n">
        <x:v>0</x:v>
      </x:c>
      <x:c r="F87" s="109" t="n">
        <x:v>0</x:v>
      </x:c>
      <x:c r="G87" t="n">
        <x:f>SUM(D87:F87)</x:f>
        <x:v>0</x:v>
      </x:c>
      <x:c r="H87" t="str"/>
      <x:c r="I87" t="str">
        <x:v>2026-08-11</x:v>
      </x:c>
      <x:c r="J87" t="str"/>
    </x:row>
    <x:row r="88">
      <x:c r="A88" t="str">
        <x:v>TE</x:v>
      </x:c>
      <x:c r="B88" t="str">
        <x:v>Brock Bowers</x:v>
      </x:c>
      <x:c r="C88" t="n">
        <x:v>94.88455995514477</x:v>
      </x:c>
      <x:c r="D88" s="109" t="n">
        <x:v>0</x:v>
      </x:c>
      <x:c r="E88" s="109" t="n">
        <x:v>0</x:v>
      </x:c>
      <x:c r="F88" s="109" t="n">
        <x:v>0</x:v>
      </x:c>
      <x:c r="G88" t="n">
        <x:f>SUM(D88:F88)</x:f>
        <x:v>0</x:v>
      </x:c>
      <x:c r="H88" t="str"/>
      <x:c r="I88" t="str">
        <x:v>2026-08-11</x:v>
      </x:c>
      <x:c r="J88" t="str"/>
    </x:row>
    <x:row r="89">
      <x:c r="A89" t="str">
        <x:v>TE</x:v>
      </x:c>
      <x:c r="B89" t="str">
        <x:v>Colston Loveland</x:v>
      </x:c>
      <x:c r="C89" t="n">
        <x:v>88.75308009954404</x:v>
      </x:c>
      <x:c r="D89" s="109" t="n">
        <x:v>0</x:v>
      </x:c>
      <x:c r="E89" s="109" t="n">
        <x:v>0</x:v>
      </x:c>
      <x:c r="F89" s="109" t="n">
        <x:v>0</x:v>
      </x:c>
      <x:c r="G89" t="n">
        <x:f>SUM(D89:F89)</x:f>
        <x:v>0</x:v>
      </x:c>
      <x:c r="H89" t="str"/>
      <x:c r="I89" t="str">
        <x:v>2026-08-11</x:v>
      </x:c>
      <x:c r="J89" t="str"/>
    </x:row>
    <x:row r="90">
      <x:c r="A90" t="str">
        <x:v>TE</x:v>
      </x:c>
      <x:c r="B90" t="str">
        <x:v>Tyler Warren</x:v>
      </x:c>
      <x:c r="C90" t="n">
        <x:v>87.2023750800111</x:v>
      </x:c>
      <x:c r="D90" s="109" t="n">
        <x:v>0</x:v>
      </x:c>
      <x:c r="E90" s="109" t="n">
        <x:v>0</x:v>
      </x:c>
      <x:c r="F90" s="109" t="n">
        <x:v>0</x:v>
      </x:c>
      <x:c r="G90" t="n">
        <x:f>SUM(D90:F90)</x:f>
        <x:v>0</x:v>
      </x:c>
      <x:c r="H90" t="str"/>
      <x:c r="I90" t="str">
        <x:v>2026-08-11</x:v>
      </x:c>
      <x:c r="J90" t="str"/>
    </x:row>
    <x:row r="91">
      <x:c r="A91" t="str">
        <x:v>TE</x:v>
      </x:c>
      <x:c r="B91" t="str">
        <x:v>George Kittle</x:v>
      </x:c>
      <x:c r="C91" t="n">
        <x:v>86.26638054791886</x:v>
      </x:c>
      <x:c r="D91" s="109" t="n">
        <x:v>0</x:v>
      </x:c>
      <x:c r="E91" s="109" t="n">
        <x:v>0</x:v>
      </x:c>
      <x:c r="F91" s="109" t="n">
        <x:v>0</x:v>
      </x:c>
      <x:c r="G91" t="n">
        <x:f>SUM(D91:F91)</x:f>
        <x:v>0</x:v>
      </x:c>
      <x:c r="H91" t="str"/>
      <x:c r="I91" t="str">
        <x:v>2026-08-11</x:v>
      </x:c>
      <x:c r="J91" t="str"/>
    </x:row>
    <x:row r="92">
      <x:c r="A92" t="str">
        <x:v>TE</x:v>
      </x:c>
      <x:c r="B92" t="str">
        <x:v>Kyle Pitts Sr.</x:v>
      </x:c>
      <x:c r="C92" t="n">
        <x:v>85.30445968766767</x:v>
      </x:c>
      <x:c r="D92" s="109" t="n">
        <x:v>0</x:v>
      </x:c>
      <x:c r="E92" s="109" t="n">
        <x:v>0</x:v>
      </x:c>
      <x:c r="F92" s="109" t="n">
        <x:v>0</x:v>
      </x:c>
      <x:c r="G92" t="n">
        <x:f>SUM(D92:F92)</x:f>
        <x:v>0</x:v>
      </x:c>
      <x:c r="H92" t="str"/>
      <x:c r="I92" t="str">
        <x:v>2026-08-11</x:v>
      </x:c>
      <x:c r="J92" t="str"/>
    </x:row>
    <x:row r="93">
      <x:c r="A93" t="str">
        <x:v>TE</x:v>
      </x:c>
      <x:c r="B93" t="str">
        <x:v>Harold Fannin Jr.</x:v>
      </x:c>
      <x:c r="C93" t="n">
        <x:v>84.37768905814795</x:v>
      </x:c>
      <x:c r="D93" s="109" t="n">
        <x:v>0</x:v>
      </x:c>
      <x:c r="E93" s="109" t="n">
        <x:v>0</x:v>
      </x:c>
      <x:c r="F93" s="109" t="n">
        <x:v>0</x:v>
      </x:c>
      <x:c r="G93" t="n">
        <x:f>SUM(D93:F93)</x:f>
        <x:v>0</x:v>
      </x:c>
      <x:c r="H93" t="str"/>
      <x:c r="I93" t="str">
        <x:v>2026-08-11</x:v>
      </x:c>
      <x:c r="J93" t="str"/>
    </x:row>
    <x:row r="94">
      <x:c r="A94" t="str">
        <x:v>TE</x:v>
      </x:c>
      <x:c r="B94" t="str">
        <x:v>Jake Ferguson</x:v>
      </x:c>
      <x:c r="C94" t="n">
        <x:v>84.07301065327228</x:v>
      </x:c>
      <x:c r="D94" s="109" t="n">
        <x:v>0</x:v>
      </x:c>
      <x:c r="E94" s="109" t="n">
        <x:v>0</x:v>
      </x:c>
      <x:c r="F94" s="109" t="n">
        <x:v>0</x:v>
      </x:c>
      <x:c r="G94" t="n">
        <x:f>SUM(D94:F94)</x:f>
        <x:v>0</x:v>
      </x:c>
      <x:c r="H94" t="str"/>
      <x:c r="I94" t="str">
        <x:v>2026-08-11</x:v>
      </x:c>
      <x:c r="J94" t="str"/>
    </x:row>
    <x:row r="95">
      <x:c r="A95" t="str">
        <x:v>TE</x:v>
      </x:c>
      <x:c r="B95" t="str">
        <x:v>Tucker Kraft</x:v>
      </x:c>
      <x:c r="C95" t="n">
        <x:v>83.80862670075135</x:v>
      </x:c>
      <x:c r="D95" s="109" t="n">
        <x:v>0</x:v>
      </x:c>
      <x:c r="E95" s="109" t="n">
        <x:v>0</x:v>
      </x:c>
      <x:c r="F95" s="109" t="n">
        <x:v>0</x:v>
      </x:c>
      <x:c r="G95" t="n">
        <x:f>SUM(D95:F95)</x:f>
        <x:v>0</x:v>
      </x:c>
      <x:c r="H95" t="str"/>
      <x:c r="I95" t="str">
        <x:v>2026-08-11</x:v>
      </x:c>
      <x:c r="J95" t="str"/>
    </x:row>
    <x:row r="96">
      <x:c r="A96" t="str">
        <x:v>TE</x:v>
      </x:c>
      <x:c r="B96" t="str">
        <x:v>Sam LaPorta</x:v>
      </x:c>
      <x:c r="C96" t="n">
        <x:v>82.86528996546019</x:v>
      </x:c>
      <x:c r="D96" s="109" t="n">
        <x:v>0</x:v>
      </x:c>
      <x:c r="E96" s="109" t="n">
        <x:v>0</x:v>
      </x:c>
      <x:c r="F96" s="109" t="n">
        <x:v>0</x:v>
      </x:c>
      <x:c r="G96" t="n">
        <x:f>SUM(D96:F96)</x:f>
        <x:v>0</x:v>
      </x:c>
      <x:c r="H96" t="str"/>
      <x:c r="I96" t="str">
        <x:v>2026-08-11</x:v>
      </x:c>
      <x:c r="J96" t="str"/>
    </x:row>
    <x:row r="97">
      <x:c r="A97" t="str">
        <x:v>TE</x:v>
      </x:c>
      <x:c r="B97" t="str">
        <x:v>Dalton Kincaid</x:v>
      </x:c>
      <x:c r="C97" t="n">
        <x:v>81.91409342545279</x:v>
      </x:c>
      <x:c r="D97" s="109" t="n">
        <x:v>0</x:v>
      </x:c>
      <x:c r="E97" s="109" t="n">
        <x:v>0</x:v>
      </x:c>
      <x:c r="F97" s="109" t="n">
        <x:v>0</x:v>
      </x:c>
      <x:c r="G97" t="n">
        <x:f>SUM(D97:F97)</x:f>
        <x:v>0</x:v>
      </x:c>
      <x:c r="H97" t="str"/>
      <x:c r="I97" t="str">
        <x:v>2026-08-11</x:v>
      </x:c>
      <x:c r="J97" t="str"/>
    </x:row>
    <x:row r="98">
      <x:c r="A98" t="str">
        <x:v>TE</x:v>
      </x:c>
      <x:c r="B98" t="str">
        <x:v>Travis Kelce</x:v>
      </x:c>
      <x:c r="C98" t="n">
        <x:v>81.74777495564635</x:v>
      </x:c>
      <x:c r="D98" s="109" t="n">
        <x:v>0</x:v>
      </x:c>
      <x:c r="E98" s="109" t="n">
        <x:v>0</x:v>
      </x:c>
      <x:c r="F98" s="109" t="n">
        <x:v>0</x:v>
      </x:c>
      <x:c r="G98" t="n">
        <x:f>SUM(D98:F98)</x:f>
        <x:v>0</x:v>
      </x:c>
      <x:c r="H98" t="str"/>
      <x:c r="I98" t="str">
        <x:v>2026-08-11</x:v>
      </x:c>
      <x:c r="J98" t="str"/>
    </x:row>
    <x:row r="99">
      <x:c r="A99" t="str">
        <x:v>TE</x:v>
      </x:c>
      <x:c r="B99" t="str">
        <x:v>Dallas Goedert</x:v>
      </x:c>
      <x:c r="C99" t="n">
        <x:v>79.9181106679422</x:v>
      </x:c>
      <x:c r="D99" s="109" t="n">
        <x:v>0</x:v>
      </x:c>
      <x:c r="E99" s="109" t="n">
        <x:v>0</x:v>
      </x:c>
      <x:c r="F99" s="109" t="n">
        <x:v>0</x:v>
      </x:c>
      <x:c r="G99" t="n">
        <x:f>SUM(D99:F99)</x:f>
        <x:v>0</x:v>
      </x:c>
      <x:c r="H99" t="str"/>
      <x:c r="I99" t="str">
        <x:v>2026-08-11</x:v>
      </x:c>
      <x:c r="J99" t="str"/>
    </x:row>
    <x:row r="100">
      <x:c r="A100" t="str">
        <x:v>TE</x:v>
      </x:c>
      <x:c r="B100" t="str">
        <x:v>Mark Andrews</x:v>
      </x:c>
      <x:c r="C100" t="n">
        <x:v>79.06538980083114</x:v>
      </x:c>
      <x:c r="D100" s="109" t="n">
        <x:v>0</x:v>
      </x:c>
      <x:c r="E100" s="109" t="n">
        <x:v>0</x:v>
      </x:c>
      <x:c r="F100" s="109" t="n">
        <x:v>0</x:v>
      </x:c>
      <x:c r="G100" t="n">
        <x:f>SUM(D100:F100)</x:f>
        <x:v>0</x:v>
      </x:c>
      <x:c r="H100" t="str"/>
      <x:c r="I100" t="str">
        <x:v>2026-08-11</x:v>
      </x:c>
      <x:c r="J100" t="str"/>
    </x:row>
    <x:row r="101">
      <x:c r="A101" t="str">
        <x:v>TE</x:v>
      </x:c>
      <x:c r="B101" t="str">
        <x:v>Isaiah Likely</x:v>
      </x:c>
      <x:c r="C101" t="n">
        <x:v>78.57945648354206</x:v>
      </x:c>
      <x:c r="D101" s="109" t="n">
        <x:v>0</x:v>
      </x:c>
      <x:c r="E101" s="109" t="n">
        <x:v>0</x:v>
      </x:c>
      <x:c r="F101" s="109" t="n">
        <x:v>0</x:v>
      </x:c>
      <x:c r="G101" t="n">
        <x:f>SUM(D101:F101)</x:f>
        <x:v>0</x:v>
      </x:c>
      <x:c r="H101" t="str"/>
      <x:c r="I101" t="str">
        <x:v>2026-08-11</x:v>
      </x:c>
      <x:c r="J101" t="str"/>
    </x:row>
    <x:row r="102">
      <x:c r="A102" t="str">
        <x:v>TE</x:v>
      </x:c>
      <x:c r="B102" t="str">
        <x:v>Juwan Johnson</x:v>
      </x:c>
      <x:c r="C102" t="n">
        <x:v>78.32031359820323</x:v>
      </x:c>
      <x:c r="D102" s="109" t="n">
        <x:v>0</x:v>
      </x:c>
      <x:c r="E102" s="109" t="n">
        <x:v>0</x:v>
      </x:c>
      <x:c r="F102" s="109" t="n">
        <x:v>0</x:v>
      </x:c>
      <x:c r="G102" t="n">
        <x:f>SUM(D102:F102)</x:f>
        <x:v>0</x:v>
      </x:c>
      <x:c r="H102" t="str"/>
      <x:c r="I102" t="str">
        <x:v>2026-08-11</x:v>
      </x:c>
      <x:c r="J102" t="str"/>
    </x:row>
    <x:row r="103">
      <x:c r="A103" t="str">
        <x:v>TE</x:v>
      </x:c>
      <x:c r="B103" t="str">
        <x:v>Hunter Henry</x:v>
      </x:c>
      <x:c r="C103" t="n">
        <x:v>76.2525933033895</x:v>
      </x:c>
      <x:c r="D103" s="109" t="n">
        <x:v>0</x:v>
      </x:c>
      <x:c r="E103" s="109" t="n">
        <x:v>0</x:v>
      </x:c>
      <x:c r="F103" s="109" t="n">
        <x:v>0</x:v>
      </x:c>
      <x:c r="G103" t="n">
        <x:f>SUM(D103:F103)</x:f>
        <x:v>0</x:v>
      </x:c>
      <x:c r="H103" t="str"/>
      <x:c r="I103" t="str">
        <x:v>2026-08-11</x:v>
      </x:c>
      <x:c r="J103" t="str"/>
    </x:row>
    <x:row r="104">
      <x:c r="A104" t="str">
        <x:v>TE</x:v>
      </x:c>
      <x:c r="B104" t="str">
        <x:v>Brenton Strange</x:v>
      </x:c>
      <x:c r="C104" t="n">
        <x:v>76.03210666780286</x:v>
      </x:c>
      <x:c r="D104" s="109" t="n">
        <x:v>0</x:v>
      </x:c>
      <x:c r="E104" s="109" t="n">
        <x:v>0</x:v>
      </x:c>
      <x:c r="F104" s="109" t="n">
        <x:v>0</x:v>
      </x:c>
      <x:c r="G104" t="n">
        <x:f>SUM(D104:F104)</x:f>
        <x:v>0</x:v>
      </x:c>
      <x:c r="H104" t="str"/>
      <x:c r="I104" t="str">
        <x:v>2026-08-11</x:v>
      </x:c>
      <x:c r="J104" t="str"/>
    </x:row>
    <x:row r="105">
      <x:c r="A105" t="str">
        <x:v>TE</x:v>
      </x:c>
      <x:c r="B105" t="str">
        <x:v>Chig Okonkwo</x:v>
      </x:c>
      <x:c r="C105" t="n">
        <x:v>75.51323575633128</x:v>
      </x:c>
      <x:c r="D105" s="109" t="n">
        <x:v>0</x:v>
      </x:c>
      <x:c r="E105" s="109" t="n">
        <x:v>0</x:v>
      </x:c>
      <x:c r="F105" s="109" t="n">
        <x:v>0</x:v>
      </x:c>
      <x:c r="G105" t="n">
        <x:f>SUM(D105:F105)</x:f>
        <x:v>0</x:v>
      </x:c>
      <x:c r="H105" t="str"/>
      <x:c r="I105" t="str">
        <x:v>2026-08-11</x:v>
      </x:c>
      <x:c r="J105" t="str"/>
    </x:row>
    <x:row r="106">
      <x:c r="A106" t="str">
        <x:v>TE</x:v>
      </x:c>
      <x:c r="B106" t="str">
        <x:v>Kenyon Sadiq</x:v>
      </x:c>
      <x:c r="C106" t="n">
        <x:v>74.09381905002525</x:v>
      </x:c>
      <x:c r="D106" s="109" t="n">
        <x:v>0</x:v>
      </x:c>
      <x:c r="E106" s="109" t="n">
        <x:v>0</x:v>
      </x:c>
      <x:c r="F106" s="109" t="n">
        <x:v>0</x:v>
      </x:c>
      <x:c r="G106" t="n">
        <x:f>SUM(D106:F106)</x:f>
        <x:v>0</x:v>
      </x:c>
      <x:c r="H106" t="str"/>
      <x:c r="I106" t="str">
        <x:v>2026-08-11</x:v>
      </x:c>
      <x:c r="J106" t="str"/>
    </x:row>
    <x:row r="107">
      <x:c r="A107" t="str">
        <x:v>TE</x:v>
      </x:c>
      <x:c r="B107" t="str">
        <x:v>T.J. Hockenson</x:v>
      </x:c>
      <x:c r="C107" t="n">
        <x:v>73.85269503643518</x:v>
      </x:c>
      <x:c r="D107" s="109" t="n">
        <x:v>0</x:v>
      </x:c>
      <x:c r="E107" s="109" t="n">
        <x:v>0</x:v>
      </x:c>
      <x:c r="F107" s="109" t="n">
        <x:v>0</x:v>
      </x:c>
      <x:c r="G107" t="n">
        <x:f>SUM(D107:F107)</x:f>
        <x:v>0</x:v>
      </x:c>
      <x:c r="H107" t="str"/>
      <x:c r="I107" t="str">
        <x:v>2026-08-11</x:v>
      </x:c>
      <x:c r="J107" t="str"/>
    </x:row>
    <x:row r="108">
      <x:c r="A108" t="str">
        <x:v>TE</x:v>
      </x:c>
      <x:c r="B108" t="str">
        <x:v>Dalton Schultz</x:v>
      </x:c>
      <x:c r="C108" t="n">
        <x:v>73.27947609768881</x:v>
      </x:c>
      <x:c r="D108" s="109" t="n">
        <x:v>0</x:v>
      </x:c>
      <x:c r="E108" s="109" t="n">
        <x:v>0</x:v>
      </x:c>
      <x:c r="F108" s="109" t="n">
        <x:v>0</x:v>
      </x:c>
      <x:c r="G108" t="n">
        <x:f>SUM(D108:F108)</x:f>
        <x:v>0</x:v>
      </x:c>
      <x:c r="H108" t="str"/>
      <x:c r="I108" t="str">
        <x:v>2026-08-11</x:v>
      </x:c>
      <x:c r="J108" t="str"/>
    </x:row>
    <x:row r="109">
      <x:c r="A109" t="str">
        <x:v>TE</x:v>
      </x:c>
      <x:c r="B109" t="str">
        <x:v>Oronde Gadsden II</x:v>
      </x:c>
      <x:c r="C109" t="n">
        <x:v>72.5137519384936</x:v>
      </x:c>
      <x:c r="D109" s="109" t="n">
        <x:v>0</x:v>
      </x:c>
      <x:c r="E109" s="109" t="n">
        <x:v>0</x:v>
      </x:c>
      <x:c r="F109" s="109" t="n">
        <x:v>0</x:v>
      </x:c>
      <x:c r="G109" t="n">
        <x:f>SUM(D109:F109)</x:f>
        <x:v>0</x:v>
      </x:c>
      <x:c r="H109" t="str"/>
      <x:c r="I109" t="str">
        <x:v>2026-08-11</x:v>
      </x:c>
      <x:c r="J109" t="str"/>
    </x:row>
    <x:row r="110">
      <x:c r="A110" t="str">
        <x:v>TE</x:v>
      </x:c>
      <x:c r="B110" t="str">
        <x:v>AJ Barner</x:v>
      </x:c>
      <x:c r="C110" t="n">
        <x:v>70.12450665294148</x:v>
      </x:c>
      <x:c r="D110" s="109" t="n">
        <x:v>0</x:v>
      </x:c>
      <x:c r="E110" s="109" t="n">
        <x:v>0</x:v>
      </x:c>
      <x:c r="F110" s="109" t="n">
        <x:v>0</x:v>
      </x:c>
      <x:c r="G110" t="n">
        <x:f>SUM(D110:F110)</x:f>
        <x:v>0</x:v>
      </x:c>
      <x:c r="H110" t="str"/>
      <x:c r="I110" t="str">
        <x:v>2026-08-11</x:v>
      </x:c>
      <x:c r="J110" t="str"/>
    </x:row>
    <x:row r="111">
      <x:c r="A111" t="str">
        <x:v>TE</x:v>
      </x:c>
      <x:c r="B111" t="str">
        <x:v>Cade Otton</x:v>
      </x:c>
      <x:c r="C111" t="n">
        <x:v>66.64902120836972</x:v>
      </x:c>
      <x:c r="D111" s="109" t="n">
        <x:v>0</x:v>
      </x:c>
      <x:c r="E111" s="109" t="n">
        <x:v>0</x:v>
      </x:c>
      <x:c r="F111" s="109" t="n">
        <x:v>0</x:v>
      </x:c>
      <x:c r="G111" t="n">
        <x:f>SUM(D111:F111)</x:f>
        <x:v>0</x:v>
      </x:c>
      <x:c r="H111" t="str"/>
      <x:c r="I111" t="str">
        <x:v>2026-08-11</x:v>
      </x:c>
      <x:c r="J111" t="str"/>
    </x:row>
    <x:row r="112">
      <x:c r="A112" t="str">
        <x:v>TE</x:v>
      </x:c>
      <x:c r="B112" t="str">
        <x:v>Gunnar Helm</x:v>
      </x:c>
      <x:c r="C112" t="n">
        <x:v>66.62233998586467</x:v>
      </x:c>
      <x:c r="D112" s="109" t="n">
        <x:v>0</x:v>
      </x:c>
      <x:c r="E112" s="109" t="n">
        <x:v>0</x:v>
      </x:c>
      <x:c r="F112" s="109" t="n">
        <x:v>0</x:v>
      </x:c>
      <x:c r="G112" t="n">
        <x:f>SUM(D112:F112)</x:f>
        <x:v>0</x:v>
      </x:c>
      <x:c r="H112" t="str"/>
      <x:c r="I112" t="str">
        <x:v>2026-08-11</x:v>
      </x:c>
      <x:c r="J112" t="str"/>
    </x:row>
    <x:row r="113">
      <x:c r="A113" t="str">
        <x:v>TE</x:v>
      </x:c>
      <x:c r="B113" t="str">
        <x:v>Terrance Ferguson</x:v>
      </x:c>
      <x:c r="C113" t="n">
        <x:v>64.36205882352941</x:v>
      </x:c>
      <x:c r="D113" s="109" t="n">
        <x:v>0</x:v>
      </x:c>
      <x:c r="E113" s="109" t="n">
        <x:v>0</x:v>
      </x:c>
      <x:c r="F113" s="109" t="n">
        <x:v>0</x:v>
      </x:c>
      <x:c r="G113" t="n">
        <x:f>SUM(D113:F113)</x:f>
        <x:v>0</x:v>
      </x:c>
      <x:c r="H113" t="str"/>
      <x:c r="I113" t="str">
        <x:v>2026-08-11</x:v>
      </x:c>
      <x:c r="J113" t="str"/>
    </x:row>
    <x:row r="114">
      <x:c r="A114" t="str">
        <x:v>WR</x:v>
      </x:c>
      <x:c r="B114" t="str">
        <x:v>Ja'Marr Chase</x:v>
      </x:c>
      <x:c r="C114" t="n">
        <x:v>96.73226249999999</x:v>
      </x:c>
      <x:c r="D114" s="109" t="n">
        <x:v>0</x:v>
      </x:c>
      <x:c r="E114" s="109" t="n">
        <x:v>0</x:v>
      </x:c>
      <x:c r="F114" s="109" t="n">
        <x:v>0</x:v>
      </x:c>
      <x:c r="G114" t="n">
        <x:f>SUM(D114:F114)</x:f>
        <x:v>0</x:v>
      </x:c>
      <x:c r="H114" t="str"/>
      <x:c r="I114" t="str">
        <x:v>2026-08-11</x:v>
      </x:c>
      <x:c r="J114" t="str"/>
    </x:row>
    <x:row r="115">
      <x:c r="A115" t="str">
        <x:v>WR</x:v>
      </x:c>
      <x:c r="B115" t="str">
        <x:v>Puka Nacua</x:v>
      </x:c>
      <x:c r="C115" t="n">
        <x:v>98.48591</x:v>
      </x:c>
      <x:c r="D115" s="109" t="n">
        <x:v>0</x:v>
      </x:c>
      <x:c r="E115" s="109" t="n">
        <x:v>0</x:v>
      </x:c>
      <x:c r="F115" s="109" t="n">
        <x:v>0</x:v>
      </x:c>
      <x:c r="G115" t="n">
        <x:f>SUM(D115:F115)</x:f>
        <x:v>0</x:v>
      </x:c>
      <x:c r="H115" t="str"/>
      <x:c r="I115" t="str">
        <x:v>2026-08-11</x:v>
      </x:c>
      <x:c r="J115" t="str"/>
    </x:row>
    <x:row r="116">
      <x:c r="A116" t="str">
        <x:v>WR</x:v>
      </x:c>
      <x:c r="B116" t="str">
        <x:v>Jaxon Smith-Njigba</x:v>
      </x:c>
      <x:c r="C116" t="n">
        <x:v>94.07988999999998</x:v>
      </x:c>
      <x:c r="D116" s="109" t="n">
        <x:v>0</x:v>
      </x:c>
      <x:c r="E116" s="109" t="n">
        <x:v>0</x:v>
      </x:c>
      <x:c r="F116" s="109" t="n">
        <x:v>0</x:v>
      </x:c>
      <x:c r="G116" t="n">
        <x:f>SUM(D116:F116)</x:f>
        <x:v>0</x:v>
      </x:c>
      <x:c r="H116" t="str"/>
      <x:c r="I116" t="str">
        <x:v>2026-08-11</x:v>
      </x:c>
      <x:c r="J116" t="str"/>
    </x:row>
    <x:row r="117">
      <x:c r="A117" t="str">
        <x:v>WR</x:v>
      </x:c>
      <x:c r="B117" t="str">
        <x:v>Amon-Ra St. Brown</x:v>
      </x:c>
      <x:c r="C117" t="n">
        <x:v>93.26387249999999</x:v>
      </x:c>
      <x:c r="D117" s="109" t="n">
        <x:v>0</x:v>
      </x:c>
      <x:c r="E117" s="109" t="n">
        <x:v>0</x:v>
      </x:c>
      <x:c r="F117" s="109" t="n">
        <x:v>0</x:v>
      </x:c>
      <x:c r="G117" t="n">
        <x:f>SUM(D117:F117)</x:f>
        <x:v>0</x:v>
      </x:c>
      <x:c r="H117" t="str"/>
      <x:c r="I117" t="str">
        <x:v>2026-08-11</x:v>
      </x:c>
      <x:c r="J117" t="str"/>
    </x:row>
    <x:row r="118">
      <x:c r="A118" t="str">
        <x:v>WR</x:v>
      </x:c>
      <x:c r="B118" t="str">
        <x:v>A.J. Brown</x:v>
      </x:c>
      <x:c r="C118" t="n">
        <x:v>83.23567249999999</x:v>
      </x:c>
      <x:c r="D118" s="109" t="n">
        <x:v>0</x:v>
      </x:c>
      <x:c r="E118" s="109" t="n">
        <x:v>0</x:v>
      </x:c>
      <x:c r="F118" s="109" t="n">
        <x:v>0</x:v>
      </x:c>
      <x:c r="G118" t="n">
        <x:f>SUM(D118:F118)</x:f>
        <x:v>0</x:v>
      </x:c>
      <x:c r="H118" t="str"/>
      <x:c r="I118" t="str">
        <x:v>2026-08-11</x:v>
      </x:c>
      <x:c r="J118" t="str"/>
    </x:row>
    <x:row r="119">
      <x:c r="A119" t="str">
        <x:v>WR</x:v>
      </x:c>
      <x:c r="B119" t="str">
        <x:v>CeeDee Lamb</x:v>
      </x:c>
      <x:c r="C119" t="n">
        <x:v>85.742635</x:v>
      </x:c>
      <x:c r="D119" s="109" t="n">
        <x:v>0</x:v>
      </x:c>
      <x:c r="E119" s="109" t="n">
        <x:v>0</x:v>
      </x:c>
      <x:c r="F119" s="109" t="n">
        <x:v>0</x:v>
      </x:c>
      <x:c r="G119" t="n">
        <x:f>SUM(D119:F119)</x:f>
        <x:v>0</x:v>
      </x:c>
      <x:c r="H119" t="str"/>
      <x:c r="I119" t="str">
        <x:v>2026-08-11</x:v>
      </x:c>
      <x:c r="J119" t="str"/>
    </x:row>
    <x:row r="120">
      <x:c r="A120" t="str">
        <x:v>WR</x:v>
      </x:c>
      <x:c r="B120" t="str">
        <x:v>Justin Jefferson</x:v>
      </x:c>
      <x:c r="C120" t="n">
        <x:v>84.7935825</x:v>
      </x:c>
      <x:c r="D120" s="109" t="n">
        <x:v>0</x:v>
      </x:c>
      <x:c r="E120" s="109" t="n">
        <x:v>0</x:v>
      </x:c>
      <x:c r="F120" s="109" t="n">
        <x:v>0</x:v>
      </x:c>
      <x:c r="G120" t="n">
        <x:f>SUM(D120:F120)</x:f>
        <x:v>0</x:v>
      </x:c>
      <x:c r="H120" t="str"/>
      <x:c r="I120" t="str">
        <x:v>2026-08-11</x:v>
      </x:c>
      <x:c r="J120" t="str"/>
    </x:row>
    <x:row r="121">
      <x:c r="A121" t="str">
        <x:v>WR</x:v>
      </x:c>
      <x:c r="B121" t="str">
        <x:v>George Pickens</x:v>
      </x:c>
      <x:c r="C121" t="n">
        <x:v>81.8366075</x:v>
      </x:c>
      <x:c r="D121" s="109" t="n">
        <x:v>0</x:v>
      </x:c>
      <x:c r="E121" s="109" t="n">
        <x:v>0</x:v>
      </x:c>
      <x:c r="F121" s="109" t="n">
        <x:v>0</x:v>
      </x:c>
      <x:c r="G121" t="n">
        <x:f>SUM(D121:F121)</x:f>
        <x:v>0</x:v>
      </x:c>
      <x:c r="H121" t="str"/>
      <x:c r="I121" t="str">
        <x:v>2026-08-11</x:v>
      </x:c>
      <x:c r="J121" t="str"/>
    </x:row>
    <x:row r="122">
      <x:c r="A122" t="str">
        <x:v>WR</x:v>
      </x:c>
      <x:c r="B122" t="str">
        <x:v>Drake London</x:v>
      </x:c>
      <x:c r="C122" t="n">
        <x:v>87.5106325</x:v>
      </x:c>
      <x:c r="D122" s="109" t="n">
        <x:v>0</x:v>
      </x:c>
      <x:c r="E122" s="109" t="n">
        <x:v>0</x:v>
      </x:c>
      <x:c r="F122" s="109" t="n">
        <x:v>0</x:v>
      </x:c>
      <x:c r="G122" t="n">
        <x:f>SUM(D122:F122)</x:f>
        <x:v>0</x:v>
      </x:c>
      <x:c r="H122" t="str"/>
      <x:c r="I122" t="str">
        <x:v>2026-08-11</x:v>
      </x:c>
      <x:c r="J122" t="str"/>
    </x:row>
    <x:row r="123">
      <x:c r="A123" t="str">
        <x:v>WR</x:v>
      </x:c>
      <x:c r="B123" t="str">
        <x:v>Nico Collins</x:v>
      </x:c>
      <x:c r="C123" t="n">
        <x:v>91.4925</x:v>
      </x:c>
      <x:c r="D123" s="109" t="n">
        <x:v>0</x:v>
      </x:c>
      <x:c r="E123" s="109" t="n">
        <x:v>0</x:v>
      </x:c>
      <x:c r="F123" s="109" t="n">
        <x:v>0</x:v>
      </x:c>
      <x:c r="G123" t="n">
        <x:f>SUM(D123:F123)</x:f>
        <x:v>0</x:v>
      </x:c>
      <x:c r="H123" t="str"/>
      <x:c r="I123" t="str">
        <x:v>2026-08-11</x:v>
      </x:c>
      <x:c r="J123" t="str"/>
    </x:row>
    <x:row r="124">
      <x:c r="A124" t="str">
        <x:v>WR</x:v>
      </x:c>
      <x:c r="B124" t="str">
        <x:v>Rashee Rice</x:v>
      </x:c>
      <x:c r="C124" t="n">
        <x:v>84.09473</x:v>
      </x:c>
      <x:c r="D124" s="109" t="n">
        <x:v>0</x:v>
      </x:c>
      <x:c r="E124" s="109" t="n">
        <x:v>0</x:v>
      </x:c>
      <x:c r="F124" s="109" t="n">
        <x:v>0</x:v>
      </x:c>
      <x:c r="G124" t="n">
        <x:f>SUM(D124:F124)</x:f>
        <x:v>0</x:v>
      </x:c>
      <x:c r="H124" t="str"/>
      <x:c r="I124" t="str">
        <x:v>2026-08-11</x:v>
      </x:c>
      <x:c r="J124" t="str"/>
    </x:row>
    <x:row r="125">
      <x:c r="A125" t="str">
        <x:v>WR</x:v>
      </x:c>
      <x:c r="B125" t="str">
        <x:v>Chris Olave</x:v>
      </x:c>
      <x:c r="C125" t="n">
        <x:v>88.9075</x:v>
      </x:c>
      <x:c r="D125" s="109" t="n">
        <x:v>0</x:v>
      </x:c>
      <x:c r="E125" s="109" t="n">
        <x:v>0</x:v>
      </x:c>
      <x:c r="F125" s="109" t="n">
        <x:v>0</x:v>
      </x:c>
      <x:c r="G125" t="n">
        <x:f>SUM(D125:F125)</x:f>
        <x:v>0</x:v>
      </x:c>
      <x:c r="H125" t="str"/>
      <x:c r="I125" t="str">
        <x:v>2026-08-11</x:v>
      </x:c>
      <x:c r="J125" t="str"/>
    </x:row>
    <x:row r="126">
      <x:c r="A126" t="str">
        <x:v>WR</x:v>
      </x:c>
      <x:c r="B126" t="str">
        <x:v>Tetairoa McMillan</x:v>
      </x:c>
      <x:c r="C126" t="n">
        <x:v>85.74</x:v>
      </x:c>
      <x:c r="D126" s="109" t="n">
        <x:v>0</x:v>
      </x:c>
      <x:c r="E126" s="109" t="n">
        <x:v>0</x:v>
      </x:c>
      <x:c r="F126" s="109" t="n">
        <x:v>0</x:v>
      </x:c>
      <x:c r="G126" t="n">
        <x:f>SUM(D126:F126)</x:f>
        <x:v>0</x:v>
      </x:c>
      <x:c r="H126" t="str"/>
      <x:c r="I126" t="str">
        <x:v>2026-08-11</x:v>
      </x:c>
      <x:c r="J126" t="str"/>
    </x:row>
    <x:row r="127">
      <x:c r="A127" t="str">
        <x:v>WR</x:v>
      </x:c>
      <x:c r="B127" t="str">
        <x:v>Tee Higgins</x:v>
      </x:c>
      <x:c r="C127" t="n">
        <x:v>84.82249999999999</x:v>
      </x:c>
      <x:c r="D127" s="109" t="n">
        <x:v>0</x:v>
      </x:c>
      <x:c r="E127" s="109" t="n">
        <x:v>0</x:v>
      </x:c>
      <x:c r="F127" s="109" t="n">
        <x:v>0</x:v>
      </x:c>
      <x:c r="G127" t="n">
        <x:f>SUM(D127:F127)</x:f>
        <x:v>0</x:v>
      </x:c>
      <x:c r="H127" t="str"/>
      <x:c r="I127" t="str">
        <x:v>2026-08-11</x:v>
      </x:c>
      <x:c r="J127" t="str"/>
    </x:row>
    <x:row r="128">
      <x:c r="A128" t="str">
        <x:v>WR</x:v>
      </x:c>
      <x:c r="B128" t="str">
        <x:v>Garrett Wilson</x:v>
      </x:c>
      <x:c r="C128" t="n">
        <x:v>86.155</x:v>
      </x:c>
      <x:c r="D128" s="109" t="n">
        <x:v>0</x:v>
      </x:c>
      <x:c r="E128" s="109" t="n">
        <x:v>0</x:v>
      </x:c>
      <x:c r="F128" s="109" t="n">
        <x:v>0</x:v>
      </x:c>
      <x:c r="G128" t="n">
        <x:f>SUM(D128:F128)</x:f>
        <x:v>0</x:v>
      </x:c>
      <x:c r="H128" t="str"/>
      <x:c r="I128" t="str">
        <x:v>2026-08-11</x:v>
      </x:c>
      <x:c r="J128" t="str"/>
    </x:row>
    <x:row r="129">
      <x:c r="A129" t="str">
        <x:v>WR</x:v>
      </x:c>
      <x:c r="B129" t="str">
        <x:v>DeVonta Smith</x:v>
      </x:c>
      <x:c r="C129" t="n">
        <x:v>87.4875</x:v>
      </x:c>
      <x:c r="D129" s="109" t="n">
        <x:v>0</x:v>
      </x:c>
      <x:c r="E129" s="109" t="n">
        <x:v>0</x:v>
      </x:c>
      <x:c r="F129" s="109" t="n">
        <x:v>0</x:v>
      </x:c>
      <x:c r="G129" t="n">
        <x:f>SUM(D129:F129)</x:f>
        <x:v>0</x:v>
      </x:c>
      <x:c r="H129" t="str"/>
      <x:c r="I129" t="str">
        <x:v>2026-08-11</x:v>
      </x:c>
      <x:c r="J129" t="str"/>
    </x:row>
    <x:row r="130">
      <x:c r="A130" t="str">
        <x:v>WR</x:v>
      </x:c>
      <x:c r="B130" t="str">
        <x:v>Zay Flowers</x:v>
      </x:c>
      <x:c r="C130" t="n">
        <x:v>86.57</x:v>
      </x:c>
      <x:c r="D130" s="109" t="n">
        <x:v>0</x:v>
      </x:c>
      <x:c r="E130" s="109" t="n">
        <x:v>0</x:v>
      </x:c>
      <x:c r="F130" s="109" t="n">
        <x:v>0</x:v>
      </x:c>
      <x:c r="G130" t="n">
        <x:f>SUM(D130:F130)</x:f>
        <x:v>0</x:v>
      </x:c>
      <x:c r="H130" t="str"/>
      <x:c r="I130" t="str">
        <x:v>2026-08-11</x:v>
      </x:c>
      <x:c r="J130" t="str"/>
    </x:row>
    <x:row r="131">
      <x:c r="A131" t="str">
        <x:v>WR</x:v>
      </x:c>
      <x:c r="B131" t="str">
        <x:v>Malik Nabers</x:v>
      </x:c>
      <x:c r="C131" t="n">
        <x:v>81.1525</x:v>
      </x:c>
      <x:c r="D131" s="109" t="n">
        <x:v>0</x:v>
      </x:c>
      <x:c r="E131" s="109" t="n">
        <x:v>0</x:v>
      </x:c>
      <x:c r="F131" s="109" t="n">
        <x:v>0</x:v>
      </x:c>
      <x:c r="G131" t="n">
        <x:f>SUM(D131:F131)</x:f>
        <x:v>0</x:v>
      </x:c>
      <x:c r="H131" t="str"/>
      <x:c r="I131" t="str">
        <x:v>2026-08-11</x:v>
      </x:c>
      <x:c r="J131" t="str"/>
    </x:row>
    <x:row r="132">
      <x:c r="A132" t="str">
        <x:v>WR</x:v>
      </x:c>
      <x:c r="B132" t="str">
        <x:v>Emeka Egbuka</x:v>
      </x:c>
      <x:c r="C132" t="n">
        <x:v>81.735</x:v>
      </x:c>
      <x:c r="D132" s="109" t="n">
        <x:v>0</x:v>
      </x:c>
      <x:c r="E132" s="109" t="n">
        <x:v>0</x:v>
      </x:c>
      <x:c r="F132" s="109" t="n">
        <x:v>0</x:v>
      </x:c>
      <x:c r="G132" t="n">
        <x:f>SUM(D132:F132)</x:f>
        <x:v>0</x:v>
      </x:c>
      <x:c r="H132" t="str"/>
      <x:c r="I132" t="str">
        <x:v>2026-08-11</x:v>
      </x:c>
      <x:c r="J132" t="str"/>
    </x:row>
    <x:row r="133">
      <x:c r="A133" t="str">
        <x:v>WR</x:v>
      </x:c>
      <x:c r="B133" t="str">
        <x:v>Jaylen Waddle</x:v>
      </x:c>
      <x:c r="C133" t="n">
        <x:v>82.3175</x:v>
      </x:c>
      <x:c r="D133" s="109" t="n">
        <x:v>0</x:v>
      </x:c>
      <x:c r="E133" s="109" t="n">
        <x:v>0</x:v>
      </x:c>
      <x:c r="F133" s="109" t="n">
        <x:v>0</x:v>
      </x:c>
      <x:c r="G133" t="n">
        <x:f>SUM(D133:F133)</x:f>
        <x:v>0</x:v>
      </x:c>
      <x:c r="H133" t="str"/>
      <x:c r="I133" t="str">
        <x:v>2026-08-11</x:v>
      </x:c>
      <x:c r="J133" t="str"/>
    </x:row>
    <x:row r="134">
      <x:c r="A134" t="str">
        <x:v>WR</x:v>
      </x:c>
      <x:c r="B134" t="str">
        <x:v>Terry McLaurin</x:v>
      </x:c>
      <x:c r="C134" t="n">
        <x:v>79.9</x:v>
      </x:c>
      <x:c r="D134" s="109" t="n">
        <x:v>0</x:v>
      </x:c>
      <x:c r="E134" s="109" t="n">
        <x:v>0</x:v>
      </x:c>
      <x:c r="F134" s="109" t="n">
        <x:v>0</x:v>
      </x:c>
      <x:c r="G134" t="n">
        <x:f>SUM(D134:F134)</x:f>
        <x:v>0</x:v>
      </x:c>
      <x:c r="H134" t="str"/>
      <x:c r="I134" t="str">
        <x:v>2026-08-11</x:v>
      </x:c>
      <x:c r="J134" t="str"/>
    </x:row>
    <x:row r="135">
      <x:c r="A135" t="str">
        <x:v>WR</x:v>
      </x:c>
      <x:c r="B135" t="str">
        <x:v>Ladd McConkey</x:v>
      </x:c>
      <x:c r="C135" t="n">
        <x:v>82.7325</x:v>
      </x:c>
      <x:c r="D135" s="109" t="n">
        <x:v>0</x:v>
      </x:c>
      <x:c r="E135" s="109" t="n">
        <x:v>0</x:v>
      </x:c>
      <x:c r="F135" s="109" t="n">
        <x:v>0</x:v>
      </x:c>
      <x:c r="G135" t="n">
        <x:f>SUM(D135:F135)</x:f>
        <x:v>0</x:v>
      </x:c>
      <x:c r="H135" t="str"/>
      <x:c r="I135" t="str">
        <x:v>2026-08-11</x:v>
      </x:c>
      <x:c r="J135" t="str"/>
    </x:row>
    <x:row r="136">
      <x:c r="A136" t="str">
        <x:v>WR</x:v>
      </x:c>
      <x:c r="B136" t="str">
        <x:v>Davante Adams</x:v>
      </x:c>
      <x:c r="C136" t="n">
        <x:v>78.065</x:v>
      </x:c>
      <x:c r="D136" s="109" t="n">
        <x:v>0</x:v>
      </x:c>
      <x:c r="E136" s="109" t="n">
        <x:v>0</x:v>
      </x:c>
      <x:c r="F136" s="109" t="n">
        <x:v>0</x:v>
      </x:c>
      <x:c r="G136" t="n">
        <x:f>SUM(D136:F136)</x:f>
        <x:v>0</x:v>
      </x:c>
      <x:c r="H136" t="str"/>
      <x:c r="I136" t="str">
        <x:v>2026-08-11</x:v>
      </x:c>
      <x:c r="J136" t="str"/>
    </x:row>
    <x:row r="137">
      <x:c r="A137" t="str">
        <x:v>WR</x:v>
      </x:c>
      <x:c r="B137" t="str">
        <x:v>Luther Burden III</x:v>
      </x:c>
      <x:c r="C137" t="n">
        <x:v>78.64750000000001</x:v>
      </x:c>
      <x:c r="D137" s="109" t="n">
        <x:v>0</x:v>
      </x:c>
      <x:c r="E137" s="109" t="n">
        <x:v>0</x:v>
      </x:c>
      <x:c r="F137" s="109" t="n">
        <x:v>0</x:v>
      </x:c>
      <x:c r="G137" t="n">
        <x:f>SUM(D137:F137)</x:f>
        <x:v>0</x:v>
      </x:c>
      <x:c r="H137" t="str"/>
      <x:c r="I137" t="str">
        <x:v>2026-08-11</x:v>
      </x:c>
      <x:c r="J137" t="str"/>
    </x:row>
    <x:row r="138">
      <x:c r="A138" t="str">
        <x:v>WR</x:v>
      </x:c>
      <x:c r="B138" t="str">
        <x:v>DJ Moore</x:v>
      </x:c>
      <x:c r="C138" t="n">
        <x:v>75.48</x:v>
      </x:c>
      <x:c r="D138" s="109" t="n">
        <x:v>0</x:v>
      </x:c>
      <x:c r="E138" s="109" t="n">
        <x:v>0</x:v>
      </x:c>
      <x:c r="F138" s="109" t="n">
        <x:v>0</x:v>
      </x:c>
      <x:c r="G138" t="n">
        <x:f>SUM(D138:F138)</x:f>
        <x:v>0</x:v>
      </x:c>
      <x:c r="H138" t="str"/>
      <x:c r="I138" t="str">
        <x:v>2026-08-11</x:v>
      </x:c>
      <x:c r="J138" t="str"/>
    </x:row>
    <x:row r="139">
      <x:c r="A139" t="str">
        <x:v>WR</x:v>
      </x:c>
      <x:c r="B139" t="str">
        <x:v>Jameson Williams</x:v>
      </x:c>
      <x:c r="C139" t="n">
        <x:v>76.0625</x:v>
      </x:c>
      <x:c r="D139" s="109" t="n">
        <x:v>0</x:v>
      </x:c>
      <x:c r="E139" s="109" t="n">
        <x:v>0</x:v>
      </x:c>
      <x:c r="F139" s="109" t="n">
        <x:v>0</x:v>
      </x:c>
      <x:c r="G139" t="n">
        <x:f>SUM(D139:F139)</x:f>
        <x:v>0</x:v>
      </x:c>
      <x:c r="H139" t="str"/>
      <x:c r="I139" t="str">
        <x:v>2026-08-11</x:v>
      </x:c>
      <x:c r="J139" t="str"/>
    </x:row>
    <x:row r="140">
      <x:c r="A140" t="str">
        <x:v>WR</x:v>
      </x:c>
      <x:c r="B140" t="str">
        <x:v>Rome Odunze</x:v>
      </x:c>
      <x:c r="C140" t="n">
        <x:v>73.645</x:v>
      </x:c>
      <x:c r="D140" s="109" t="n">
        <x:v>0</x:v>
      </x:c>
      <x:c r="E140" s="109" t="n">
        <x:v>0</x:v>
      </x:c>
      <x:c r="F140" s="109" t="n">
        <x:v>0</x:v>
      </x:c>
      <x:c r="G140" t="n">
        <x:f>SUM(D140:F140)</x:f>
        <x:v>0</x:v>
      </x:c>
      <x:c r="H140" t="str"/>
      <x:c r="I140" t="str">
        <x:v>2026-08-11</x:v>
      </x:c>
      <x:c r="J140" t="str"/>
    </x:row>
    <x:row r="141">
      <x:c r="A141" t="str">
        <x:v>WR</x:v>
      </x:c>
      <x:c r="B141" t="str">
        <x:v>Mike Evans</x:v>
      </x:c>
      <x:c r="C141" t="n">
        <x:v>76.47749999999999</x:v>
      </x:c>
      <x:c r="D141" s="109" t="n">
        <x:v>0</x:v>
      </x:c>
      <x:c r="E141" s="109" t="n">
        <x:v>0</x:v>
      </x:c>
      <x:c r="F141" s="109" t="n">
        <x:v>0</x:v>
      </x:c>
      <x:c r="G141" t="n">
        <x:f>SUM(D141:F141)</x:f>
        <x:v>0</x:v>
      </x:c>
      <x:c r="H141" t="str"/>
      <x:c r="I141" t="str">
        <x:v>2026-08-11</x:v>
      </x:c>
      <x:c r="J141" t="str"/>
    </x:row>
    <x:row r="142">
      <x:c r="A142" t="str">
        <x:v>WR</x:v>
      </x:c>
      <x:c r="B142" t="str">
        <x:v>Marvin Harrison Jr.</x:v>
      </x:c>
      <x:c r="C142" t="n">
        <x:v>71.81</x:v>
      </x:c>
      <x:c r="D142" s="109" t="n">
        <x:v>0</x:v>
      </x:c>
      <x:c r="E142" s="109" t="n">
        <x:v>0</x:v>
      </x:c>
      <x:c r="F142" s="109" t="n">
        <x:v>0</x:v>
      </x:c>
      <x:c r="G142" t="n">
        <x:f>SUM(D142:F142)</x:f>
        <x:v>0</x:v>
      </x:c>
      <x:c r="H142" t="str"/>
      <x:c r="I142" t="str">
        <x:v>2026-08-11</x:v>
      </x:c>
      <x:c r="J142" t="str"/>
    </x:row>
    <x:row r="143">
      <x:c r="A143" t="str">
        <x:v>WR</x:v>
      </x:c>
      <x:c r="B143" t="str">
        <x:v>Christian Watson</x:v>
      </x:c>
      <x:c r="C143" t="n">
        <x:v>73.8925</x:v>
      </x:c>
      <x:c r="D143" s="109" t="n">
        <x:v>0</x:v>
      </x:c>
      <x:c r="E143" s="109" t="n">
        <x:v>0</x:v>
      </x:c>
      <x:c r="F143" s="109" t="n">
        <x:v>0</x:v>
      </x:c>
      <x:c r="G143" t="n">
        <x:f>SUM(D143:F143)</x:f>
        <x:v>0</x:v>
      </x:c>
      <x:c r="H143" t="str"/>
      <x:c r="I143" t="str">
        <x:v>2026-08-11</x:v>
      </x:c>
      <x:c r="J143" t="str"/>
    </x:row>
    <x:row r="144">
      <x:c r="A144" t="str">
        <x:v>WR</x:v>
      </x:c>
      <x:c r="B144" t="str">
        <x:v>Alec Pierce</x:v>
      </x:c>
      <x:c r="C144" t="n">
        <x:v>70.725</x:v>
      </x:c>
      <x:c r="D144" s="109" t="n">
        <x:v>0</x:v>
      </x:c>
      <x:c r="E144" s="109" t="n">
        <x:v>0</x:v>
      </x:c>
      <x:c r="F144" s="109" t="n">
        <x:v>0</x:v>
      </x:c>
      <x:c r="G144" t="n">
        <x:f>SUM(D144:F144)</x:f>
        <x:v>0</x:v>
      </x:c>
      <x:c r="H144" t="str"/>
      <x:c r="I144" t="str">
        <x:v>2026-08-11</x:v>
      </x:c>
      <x:c r="J144" t="str"/>
    </x:row>
    <x:row r="145">
      <x:c r="A145" t="str">
        <x:v>WR</x:v>
      </x:c>
      <x:c r="B145" t="str">
        <x:v>DK Metcalf</x:v>
      </x:c>
      <x:c r="C145" t="n">
        <x:v>69.8075</x:v>
      </x:c>
      <x:c r="D145" s="109" t="n">
        <x:v>0</x:v>
      </x:c>
      <x:c r="E145" s="109" t="n">
        <x:v>0</x:v>
      </x:c>
      <x:c r="F145" s="109" t="n">
        <x:v>0</x:v>
      </x:c>
      <x:c r="G145" t="n">
        <x:f>SUM(D145:F145)</x:f>
        <x:v>0</x:v>
      </x:c>
      <x:c r="H145" t="str"/>
      <x:c r="I145" t="str">
        <x:v>2026-08-11</x:v>
      </x:c>
      <x:c r="J145" t="str"/>
    </x:row>
    <x:row r="146">
      <x:c r="A146" t="str">
        <x:v>WR</x:v>
      </x:c>
      <x:c r="B146" t="str">
        <x:v>Carnell Tate</x:v>
      </x:c>
      <x:c r="C146" t="n">
        <x:v>71.89</x:v>
      </x:c>
      <x:c r="D146" s="109" t="n">
        <x:v>0</x:v>
      </x:c>
      <x:c r="E146" s="109" t="n">
        <x:v>0</x:v>
      </x:c>
      <x:c r="F146" s="109" t="n">
        <x:v>0</x:v>
      </x:c>
      <x:c r="G146" t="n">
        <x:f>SUM(D146:F146)</x:f>
        <x:v>0</x:v>
      </x:c>
      <x:c r="H146" t="str"/>
      <x:c r="I146" t="str">
        <x:v>2026-08-11</x:v>
      </x:c>
      <x:c r="J146" t="str"/>
    </x:row>
    <x:row r="147">
      <x:c r="A147" t="str">
        <x:v>WR</x:v>
      </x:c>
      <x:c r="B147" t="str">
        <x:v>Courtland Sutton</x:v>
      </x:c>
      <x:c r="C147" t="n">
        <x:v>68.7225</x:v>
      </x:c>
      <x:c r="D147" s="109" t="n">
        <x:v>0</x:v>
      </x:c>
      <x:c r="E147" s="109" t="n">
        <x:v>0</x:v>
      </x:c>
      <x:c r="F147" s="109" t="n">
        <x:v>0</x:v>
      </x:c>
      <x:c r="G147" t="n">
        <x:f>SUM(D147:F147)</x:f>
        <x:v>0</x:v>
      </x:c>
      <x:c r="H147" t="str"/>
      <x:c r="I147" t="str">
        <x:v>2026-08-11</x:v>
      </x:c>
      <x:c r="J147" t="str"/>
    </x:row>
    <x:row r="148">
      <x:c r="A148" t="str">
        <x:v>WR</x:v>
      </x:c>
      <x:c r="B148" t="str">
        <x:v>Jordyn Tyson</x:v>
      </x:c>
      <x:c r="C148" t="n">
        <x:v>76.22</x:v>
      </x:c>
      <x:c r="D148" s="109" t="n">
        <x:v>0</x:v>
      </x:c>
      <x:c r="E148" s="109" t="n">
        <x:v>0</x:v>
      </x:c>
      <x:c r="F148" s="109" t="n">
        <x:v>0</x:v>
      </x:c>
      <x:c r="G148" t="n">
        <x:f>SUM(D148:F148)</x:f>
        <x:v>0</x:v>
      </x:c>
      <x:c r="H148" t="str"/>
      <x:c r="I148" t="str">
        <x:v>2026-08-11</x:v>
      </x:c>
      <x:c r="J148" t="str"/>
    </x:row>
    <x:row r="149">
      <x:c r="A149" t="str">
        <x:v>WR</x:v>
      </x:c>
      <x:c r="B149" t="str">
        <x:v>Michael Pittman Jr.</x:v>
      </x:c>
      <x:c r="C149" t="n">
        <x:v>75.55</x:v>
      </x:c>
      <x:c r="D149" s="109" t="n">
        <x:v>0</x:v>
      </x:c>
      <x:c r="E149" s="109" t="n">
        <x:v>0</x:v>
      </x:c>
      <x:c r="F149" s="109" t="n">
        <x:v>0</x:v>
      </x:c>
      <x:c r="G149" t="n">
        <x:f>SUM(D149:F149)</x:f>
        <x:v>0</x:v>
      </x:c>
      <x:c r="H149" t="str"/>
      <x:c r="I149" t="str">
        <x:v>2026-08-11</x:v>
      </x:c>
      <x:c r="J149" t="str"/>
    </x:row>
    <x:row r="150">
      <x:c r="A150" t="str">
        <x:v>WR</x:v>
      </x:c>
      <x:c r="B150" t="str">
        <x:v>Jakobi Meyers</x:v>
      </x:c>
      <x:c r="C150" t="n">
        <x:v>74.88</x:v>
      </x:c>
      <x:c r="D150" s="109" t="n">
        <x:v>0</x:v>
      </x:c>
      <x:c r="E150" s="109" t="n">
        <x:v>0</x:v>
      </x:c>
      <x:c r="F150" s="109" t="n">
        <x:v>0</x:v>
      </x:c>
      <x:c r="G150" t="n">
        <x:f>SUM(D150:F150)</x:f>
        <x:v>0</x:v>
      </x:c>
      <x:c r="H150" t="str"/>
      <x:c r="I150" t="str">
        <x:v>2026-08-11</x:v>
      </x:c>
      <x:c r="J150" t="str"/>
    </x:row>
    <x:row r="151">
      <x:c r="A151" t="str">
        <x:v>WR</x:v>
      </x:c>
      <x:c r="B151" t="str">
        <x:v>Jordan Addison</x:v>
      </x:c>
      <x:c r="C151" t="n">
        <x:v>74.21</x:v>
      </x:c>
      <x:c r="D151" s="109" t="n">
        <x:v>0</x:v>
      </x:c>
      <x:c r="E151" s="109" t="n">
        <x:v>0</x:v>
      </x:c>
      <x:c r="F151" s="109" t="n">
        <x:v>0</x:v>
      </x:c>
      <x:c r="G151" t="n">
        <x:f>SUM(D151:F151)</x:f>
        <x:v>0</x:v>
      </x:c>
      <x:c r="H151" t="str"/>
      <x:c r="I151" t="str">
        <x:v>2026-08-11</x:v>
      </x:c>
      <x:c r="J151" t="str"/>
    </x:row>
    <x:row r="152">
      <x:c r="A152" t="str">
        <x:v>WR</x:v>
      </x:c>
      <x:c r="B152" t="str">
        <x:v>Wan'Dale Robinson</x:v>
      </x:c>
      <x:c r="C152" t="n">
        <x:v>73.53999999999999</x:v>
      </x:c>
      <x:c r="D152" s="109" t="n">
        <x:v>0</x:v>
      </x:c>
      <x:c r="E152" s="109" t="n">
        <x:v>0</x:v>
      </x:c>
      <x:c r="F152" s="109" t="n">
        <x:v>0</x:v>
      </x:c>
      <x:c r="G152" t="n">
        <x:f>SUM(D152:F152)</x:f>
        <x:v>0</x:v>
      </x:c>
      <x:c r="H152" t="str"/>
      <x:c r="I152" t="str">
        <x:v>2026-08-11</x:v>
      </x:c>
      <x:c r="J152" t="str"/>
    </x:row>
    <x:row r="153">
      <x:c r="A153" t="str">
        <x:v>WR</x:v>
      </x:c>
      <x:c r="B153" t="str">
        <x:v>Brian Thomas Jr.</x:v>
      </x:c>
      <x:c r="C153" t="n">
        <x:v>66.9675</x:v>
      </x:c>
      <x:c r="D153" s="109" t="n">
        <x:v>0</x:v>
      </x:c>
      <x:c r="E153" s="109" t="n">
        <x:v>0</x:v>
      </x:c>
      <x:c r="F153" s="109" t="n">
        <x:v>0</x:v>
      </x:c>
      <x:c r="G153" t="n">
        <x:f>SUM(D153:F153)</x:f>
        <x:v>0</x:v>
      </x:c>
      <x:c r="H153" t="str"/>
      <x:c r="I153" t="str">
        <x:v>2026-08-11</x:v>
      </x:c>
      <x:c r="J153" t="str"/>
    </x:row>
    <x:row r="154">
      <x:c r="A154" t="str">
        <x:v>WR</x:v>
      </x:c>
      <x:c r="B154" t="str">
        <x:v>Makai Lemon</x:v>
      </x:c>
      <x:c r="C154" t="n">
        <x:v>72.2</x:v>
      </x:c>
      <x:c r="D154" s="109" t="n">
        <x:v>-3</x:v>
      </x:c>
      <x:c r="E154" s="109" t="n">
        <x:v>0</x:v>
      </x:c>
      <x:c r="F154" s="109" t="n">
        <x:v>0</x:v>
      </x:c>
      <x:c r="G154" t="n">
        <x:f>SUM(D154:F154)</x:f>
        <x:v>-3</x:v>
      </x:c>
      <x:c r="H154" t="str">
        <x:v>Camp hamstring issue / missed practice time; temporary downgrade.</x:v>
      </x:c>
      <x:c r="I154" t="str">
        <x:v>2026-08-11</x:v>
      </x:c>
      <x:c r="J154" t="str">
        <x:v>https://www.bleedinggreennation.com/news/179073/eagles-news-its-fair-at-this-point-to-doubt-that-makai-lemon-will-start-at-least-early-in-the-season</x:v>
      </x:c>
    </x:row>
    <x:row r="155">
      <x:c r="A155" t="str">
        <x:v>WR</x:v>
      </x:c>
      <x:c r="B155" t="str">
        <x:v>Parker Washington</x:v>
      </x:c>
      <x:c r="C155" t="n">
        <x:v>71.53</x:v>
      </x:c>
      <x:c r="D155" s="109" t="n">
        <x:v>0</x:v>
      </x:c>
      <x:c r="E155" s="109" t="n">
        <x:v>0</x:v>
      </x:c>
      <x:c r="F155" s="109" t="n">
        <x:v>0</x:v>
      </x:c>
      <x:c r="G155" t="n">
        <x:f>SUM(D155:F155)</x:f>
        <x:v>0</x:v>
      </x:c>
      <x:c r="H155" t="str"/>
      <x:c r="I155" t="str">
        <x:v>2026-08-11</x:v>
      </x:c>
      <x:c r="J155" t="str"/>
    </x:row>
    <x:row r="156">
      <x:c r="A156" t="str">
        <x:v>WR</x:v>
      </x:c>
      <x:c r="B156" t="str">
        <x:v>Chris Godwin Jr.</x:v>
      </x:c>
      <x:c r="C156" t="n">
        <x:v>70.86</x:v>
      </x:c>
      <x:c r="D156" s="109" t="n">
        <x:v>0</x:v>
      </x:c>
      <x:c r="E156" s="109" t="n">
        <x:v>0</x:v>
      </x:c>
      <x:c r="F156" s="109" t="n">
        <x:v>0</x:v>
      </x:c>
      <x:c r="G156" t="n">
        <x:f>SUM(D156:F156)</x:f>
        <x:v>0</x:v>
      </x:c>
      <x:c r="H156" t="str"/>
      <x:c r="I156" t="str">
        <x:v>2026-08-11</x:v>
      </x:c>
      <x:c r="J156" t="str"/>
    </x:row>
    <x:row r="157">
      <x:c r="A157" t="str">
        <x:v>WR</x:v>
      </x:c>
      <x:c r="B157" t="str">
        <x:v>Quentin Johnston</x:v>
      </x:c>
      <x:c r="C157" t="n">
        <x:v>70.19</x:v>
      </x:c>
      <x:c r="D157" s="109" t="n">
        <x:v>0</x:v>
      </x:c>
      <x:c r="E157" s="109" t="n">
        <x:v>0</x:v>
      </x:c>
      <x:c r="F157" s="109" t="n">
        <x:v>0</x:v>
      </x:c>
      <x:c r="G157" t="n">
        <x:f>SUM(D157:F157)</x:f>
        <x:v>0</x:v>
      </x:c>
      <x:c r="H157" t="str"/>
      <x:c r="I157" t="str">
        <x:v>2026-08-11</x:v>
      </x:c>
      <x:c r="J157" t="str"/>
    </x:row>
    <x:row r="158">
      <x:c r="A158" t="str">
        <x:v>WR</x:v>
      </x:c>
      <x:c r="B158" t="str">
        <x:v>Ricky Pearsall</x:v>
      </x:c>
      <x:c r="C158" t="n">
        <x:v>69.52</x:v>
      </x:c>
      <x:c r="D158" s="109" t="n">
        <x:v>0</x:v>
      </x:c>
      <x:c r="E158" s="109" t="n">
        <x:v>0</x:v>
      </x:c>
      <x:c r="F158" s="109" t="n">
        <x:v>0</x:v>
      </x:c>
      <x:c r="G158" t="n">
        <x:f>SUM(D158:F158)</x:f>
        <x:v>0</x:v>
      </x:c>
      <x:c r="H158" t="str"/>
      <x:c r="I158" t="str">
        <x:v>2026-08-11</x:v>
      </x:c>
      <x:c r="J158" t="str"/>
    </x:row>
    <x:row r="159">
      <x:c r="A159" t="str">
        <x:v>WR</x:v>
      </x:c>
      <x:c r="B159" t="str">
        <x:v>Michael Wilson</x:v>
      </x:c>
      <x:c r="C159" t="n">
        <x:v>68.85</x:v>
      </x:c>
      <x:c r="D159" s="109" t="n">
        <x:v>0</x:v>
      </x:c>
      <x:c r="E159" s="109" t="n">
        <x:v>0</x:v>
      </x:c>
      <x:c r="F159" s="109" t="n">
        <x:v>0</x:v>
      </x:c>
      <x:c r="G159" t="n">
        <x:f>SUM(D159:F159)</x:f>
        <x:v>0</x:v>
      </x:c>
      <x:c r="H159" t="str"/>
      <x:c r="I159" t="str">
        <x:v>2026-08-11</x:v>
      </x:c>
      <x:c r="J159" t="str"/>
    </x:row>
    <x:row r="160">
      <x:c r="A160" t="str">
        <x:v>WR</x:v>
      </x:c>
      <x:c r="B160" t="str">
        <x:v>Xavier Worthy</x:v>
      </x:c>
      <x:c r="C160" t="n">
        <x:v>68.18</x:v>
      </x:c>
      <x:c r="D160" s="109" t="n">
        <x:v>0</x:v>
      </x:c>
      <x:c r="E160" s="109" t="n">
        <x:v>0</x:v>
      </x:c>
      <x:c r="F160" s="109" t="n">
        <x:v>0</x:v>
      </x:c>
      <x:c r="G160" t="n">
        <x:f>SUM(D160:F160)</x:f>
        <x:v>0</x:v>
      </x:c>
      <x:c r="H160" t="str"/>
      <x:c r="I160" t="str">
        <x:v>2026-08-11</x:v>
      </x:c>
      <x:c r="J160" t="str"/>
    </x:row>
    <x:row r="161">
      <x:c r="A161" t="str">
        <x:v>WR</x:v>
      </x:c>
      <x:c r="B161" t="str">
        <x:v>Matthew Golden</x:v>
      </x:c>
      <x:c r="C161" t="n">
        <x:v>67.50999999999999</x:v>
      </x:c>
      <x:c r="D161" s="109" t="n">
        <x:v>0</x:v>
      </x:c>
      <x:c r="E161" s="109" t="n">
        <x:v>0</x:v>
      </x:c>
      <x:c r="F161" s="109" t="n">
        <x:v>0</x:v>
      </x:c>
      <x:c r="G161" t="n">
        <x:f>SUM(D161:F161)</x:f>
        <x:v>0</x:v>
      </x:c>
      <x:c r="H161" t="str"/>
      <x:c r="I161" t="str">
        <x:v>2026-08-11</x:v>
      </x:c>
      <x:c r="J161" t="str"/>
    </x:row>
    <x:row r="162">
      <x:c r="A162" t="str">
        <x:v>WR</x:v>
      </x:c>
      <x:c r="B162" t="str">
        <x:v>Josh Downs</x:v>
      </x:c>
      <x:c r="C162" t="n">
        <x:v>66.84</x:v>
      </x:c>
      <x:c r="D162" s="109" t="n">
        <x:v>0</x:v>
      </x:c>
      <x:c r="E162" s="109" t="n">
        <x:v>0</x:v>
      </x:c>
      <x:c r="F162" s="109" t="n">
        <x:v>0</x:v>
      </x:c>
      <x:c r="G162" t="n">
        <x:f>SUM(D162:F162)</x:f>
        <x:v>0</x:v>
      </x:c>
      <x:c r="H162" t="str"/>
      <x:c r="I162" t="str">
        <x:v>2026-08-11</x:v>
      </x:c>
      <x:c r="J162" t="str"/>
    </x:row>
    <x:row r="163">
      <x:c r="A163" t="str">
        <x:v>WR</x:v>
      </x:c>
      <x:c r="B163" t="str">
        <x:v>Jayden Reed</x:v>
      </x:c>
      <x:c r="C163" t="n">
        <x:v>66.16999999999999</x:v>
      </x:c>
      <x:c r="D163" s="109" t="n">
        <x:v>0</x:v>
      </x:c>
      <x:c r="E163" s="109" t="n">
        <x:v>0</x:v>
      </x:c>
      <x:c r="F163" s="109" t="n">
        <x:v>0</x:v>
      </x:c>
      <x:c r="G163" t="n">
        <x:f>SUM(D163:F163)</x:f>
        <x:v>0</x:v>
      </x:c>
      <x:c r="H163" t="str"/>
      <x:c r="I163" t="str">
        <x:v>2026-08-11</x:v>
      </x:c>
      <x:c r="J163" t="str"/>
    </x:row>
    <x:row r="164">
      <x:c r="A164" t="str">
        <x:v>WR</x:v>
      </x:c>
      <x:c r="B164" t="str">
        <x:v>Khalil Shakir</x:v>
      </x:c>
      <x:c r="C164" t="n">
        <x:v>65.5</x:v>
      </x:c>
      <x:c r="D164" s="109" t="n">
        <x:v>0</x:v>
      </x:c>
      <x:c r="E164" s="109" t="n">
        <x:v>0</x:v>
      </x:c>
      <x:c r="F164" s="109" t="n">
        <x:v>0</x:v>
      </x:c>
      <x:c r="G164" t="n">
        <x:f>SUM(D164:F164)</x:f>
        <x:v>0</x:v>
      </x:c>
      <x:c r="H164" t="str"/>
      <x:c r="I164" t="str">
        <x:v>2026-08-11</x:v>
      </x:c>
      <x:c r="J164" t="str"/>
    </x:row>
    <x:row r="165">
      <x:c r="A165" t="str">
        <x:v>WR</x:v>
      </x:c>
      <x:c r="B165" t="str">
        <x:v>Jalin Hyatt</x:v>
      </x:c>
      <x:c r="C165" t="n">
        <x:v>64.83</x:v>
      </x:c>
      <x:c r="D165" s="109" t="n">
        <x:v>0</x:v>
      </x:c>
      <x:c r="E165" s="109" t="n">
        <x:v>0</x:v>
      </x:c>
      <x:c r="F165" s="109" t="n">
        <x:v>0</x:v>
      </x:c>
      <x:c r="G165" t="n">
        <x:f>SUM(D165:F165)</x:f>
        <x:v>0</x:v>
      </x:c>
      <x:c r="H165" t="str"/>
      <x:c r="I165" t="str">
        <x:v>2026-08-11</x:v>
      </x:c>
      <x:c r="J165" t="str"/>
    </x:row>
    <x:row r="166">
      <x:c r="A166" t="str">
        <x:v>WR</x:v>
      </x:c>
      <x:c r="B166" t="str">
        <x:v>Romeo Doubs</x:v>
      </x:c>
      <x:c r="C166" t="n">
        <x:v>64.16</x:v>
      </x:c>
      <x:c r="D166" s="109" t="n">
        <x:v>0</x:v>
      </x:c>
      <x:c r="E166" s="109" t="n">
        <x:v>0</x:v>
      </x:c>
      <x:c r="F166" s="109" t="n">
        <x:v>0</x:v>
      </x:c>
      <x:c r="G166" t="n">
        <x:f>SUM(D166:F166)</x:f>
        <x:v>0</x:v>
      </x:c>
      <x:c r="H166" t="str"/>
      <x:c r="I166" t="str">
        <x:v>2026-08-11</x:v>
      </x:c>
      <x:c r="J166" t="str"/>
    </x:row>
    <x:row r="167">
      <x:c r="A167" t="str">
        <x:v>WR</x:v>
      </x:c>
      <x:c r="B167" t="str">
        <x:v>Jalen Coker</x:v>
      </x:c>
      <x:c r="C167" t="n">
        <x:v>63.489999999999995</x:v>
      </x:c>
      <x:c r="D167" s="109" t="n">
        <x:v>0</x:v>
      </x:c>
      <x:c r="E167" s="109" t="n">
        <x:v>0</x:v>
      </x:c>
      <x:c r="F167" s="109" t="n">
        <x:v>0</x:v>
      </x:c>
      <x:c r="G167" t="n">
        <x:f>SUM(D167:F167)</x:f>
        <x:v>0</x:v>
      </x:c>
      <x:c r="H167" t="str"/>
      <x:c r="I167" t="str">
        <x:v>2026-08-11</x:v>
      </x:c>
      <x:c r="J167" t="str"/>
    </x:row>
    <x:row r="168">
      <x:c r="A168" t="str">
        <x:v>WR</x:v>
      </x:c>
      <x:c r="B168" t="str">
        <x:v>KC Concepcion</x:v>
      </x:c>
      <x:c r="C168" t="n">
        <x:v>62.82</x:v>
      </x:c>
      <x:c r="D168" s="109" t="n">
        <x:v>0</x:v>
      </x:c>
      <x:c r="E168" s="109" t="n">
        <x:v>0</x:v>
      </x:c>
      <x:c r="F168" s="109" t="n">
        <x:v>0</x:v>
      </x:c>
      <x:c r="G168" t="n">
        <x:f>SUM(D168:F168)</x:f>
        <x:v>0</x:v>
      </x:c>
      <x:c r="H168" t="str"/>
      <x:c r="I168" t="str">
        <x:v>2026-08-11</x:v>
      </x:c>
      <x:c r="J168" t="str"/>
    </x:row>
    <x:row r="169">
      <x:c r="A169" t="str">
        <x:v>WR</x:v>
      </x:c>
      <x:c r="B169" t="str">
        <x:v>Rashid Shaheed</x:v>
      </x:c>
      <x:c r="C169" t="n">
        <x:v>62.15</x:v>
      </x:c>
      <x:c r="D169" s="109" t="n">
        <x:v>0</x:v>
      </x:c>
      <x:c r="E169" s="109" t="n">
        <x:v>0</x:v>
      </x:c>
      <x:c r="F169" s="109" t="n">
        <x:v>0</x:v>
      </x:c>
      <x:c r="G169" t="n">
        <x:f>SUM(D169:F169)</x:f>
        <x:v>0</x:v>
      </x:c>
      <x:c r="H169" t="str"/>
      <x:c r="I169" t="str">
        <x:v>2026-08-11</x:v>
      </x:c>
      <x:c r="J169" t="str"/>
    </x:row>
    <x:row r="170">
      <x:c r="A170" t="str">
        <x:v>WR</x:v>
      </x:c>
      <x:c r="B170" t="str">
        <x:v>Calvin Ridley</x:v>
      </x:c>
      <x:c r="C170" t="n">
        <x:v>61.48</x:v>
      </x:c>
      <x:c r="D170" s="109" t="n">
        <x:v>0</x:v>
      </x:c>
      <x:c r="E170" s="109" t="n">
        <x:v>0</x:v>
      </x:c>
      <x:c r="F170" s="109" t="n">
        <x:v>0</x:v>
      </x:c>
      <x:c r="G170" t="n">
        <x:f>SUM(D170:F170)</x:f>
        <x:v>0</x:v>
      </x:c>
      <x:c r="H170" t="str"/>
      <x:c r="I170" t="str">
        <x:v>2026-08-11</x:v>
      </x:c>
      <x:c r="J170" t="str"/>
    </x:row>
    <x:row r="171">
      <x:c r="A171" t="str">
        <x:v>WR</x:v>
      </x:c>
      <x:c r="B171" t="str">
        <x:v>Omar Cooper Jr.</x:v>
      </x:c>
      <x:c r="C171" t="n">
        <x:v>60.809999999999995</x:v>
      </x:c>
      <x:c r="D171" s="109" t="n">
        <x:v>0</x:v>
      </x:c>
      <x:c r="E171" s="109" t="n">
        <x:v>0</x:v>
      </x:c>
      <x:c r="F171" s="109" t="n">
        <x:v>0</x:v>
      </x:c>
      <x:c r="G171" t="n">
        <x:f>SUM(D171:F171)</x:f>
        <x:v>0</x:v>
      </x:c>
      <x:c r="H171" t="str"/>
      <x:c r="I171" t="str">
        <x:v>2026-08-11</x:v>
      </x:c>
      <x:c r="J171" t="str"/>
    </x:row>
    <x:row r="172">
      <x:c r="A172" t="str">
        <x:v>WR</x:v>
      </x:c>
      <x:c r="B172" t="str">
        <x:v>Jerry Jeudy</x:v>
      </x:c>
      <x:c r="C172" t="n">
        <x:v>60.14</x:v>
      </x:c>
      <x:c r="D172" s="109" t="n">
        <x:v>0</x:v>
      </x:c>
      <x:c r="E172" s="109" t="n">
        <x:v>0</x:v>
      </x:c>
      <x:c r="F172" s="109" t="n">
        <x:v>0</x:v>
      </x:c>
      <x:c r="G172" t="n">
        <x:f>SUM(D172:F172)</x:f>
        <x:v>0</x:v>
      </x:c>
      <x:c r="H172" t="str"/>
      <x:c r="I172" t="str">
        <x:v>2026-08-11</x:v>
      </x:c>
      <x:c r="J172" t="str"/>
    </x:row>
    <x:row r="173">
      <x:c r="A173" t="str">
        <x:v>WR</x:v>
      </x:c>
      <x:c r="B173" t="str">
        <x:v>Jalen Nailor</x:v>
      </x:c>
      <x:c r="C173" t="n">
        <x:v>59.47</x:v>
      </x:c>
      <x:c r="D173" s="109" t="n">
        <x:v>0</x:v>
      </x:c>
      <x:c r="E173" s="109" t="n">
        <x:v>0</x:v>
      </x:c>
      <x:c r="F173" s="109" t="n">
        <x:v>0</x:v>
      </x:c>
      <x:c r="G173" t="n">
        <x:f>SUM(D173:F173)</x:f>
        <x:v>0</x:v>
      </x:c>
      <x:c r="H173" t="str"/>
      <x:c r="I173" t="str">
        <x:v>2026-08-11</x:v>
      </x:c>
      <x:c r="J173" t="str"/>
    </x:row>
    <x:row r="174">
      <x:c r="A174" t="str">
        <x:v>WR</x:v>
      </x:c>
      <x:c r="B174" t="str">
        <x:v>Jalen McMillan</x:v>
      </x:c>
      <x:c r="C174" t="n">
        <x:v>58.8</x:v>
      </x:c>
      <x:c r="D174" s="109" t="n">
        <x:v>0</x:v>
      </x:c>
      <x:c r="E174" s="109" t="n">
        <x:v>0</x:v>
      </x:c>
      <x:c r="F174" s="109" t="n">
        <x:v>0</x:v>
      </x:c>
      <x:c r="G174" t="n">
        <x:f>SUM(D174:F174)</x:f>
        <x:v>0</x:v>
      </x:c>
      <x:c r="H174" t="str"/>
      <x:c r="I174" t="str">
        <x:v>2026-08-11</x:v>
      </x:c>
      <x:c r="J174" t="str"/>
    </x:row>
    <x:row r="175">
      <x:c r="A175" t="str">
        <x:v>WR</x:v>
      </x:c>
      <x:c r="B175" t="str">
        <x:v>Adonai Mitchell</x:v>
      </x:c>
      <x:c r="C175" t="n">
        <x:v>58.129999999999995</x:v>
      </x:c>
      <x:c r="D175" s="109" t="n">
        <x:v>0</x:v>
      </x:c>
      <x:c r="E175" s="109" t="n">
        <x:v>0</x:v>
      </x:c>
      <x:c r="F175" s="109" t="n">
        <x:v>0</x:v>
      </x:c>
      <x:c r="G175" t="n">
        <x:f>SUM(D175:F175)</x:f>
        <x:v>0</x:v>
      </x:c>
      <x:c r="H175" t="str"/>
      <x:c r="I175" t="str">
        <x:v>2026-08-11</x:v>
      </x:c>
      <x:c r="J175" t="str"/>
    </x:row>
    <x:row r="176">
      <x:c r="A176" t="str">
        <x:v>WR</x:v>
      </x:c>
      <x:c r="B176" t="str">
        <x:v>Isaac TeSlaa</x:v>
      </x:c>
      <x:c r="C176" t="n">
        <x:v>57.46</x:v>
      </x:c>
      <x:c r="D176" s="109" t="n">
        <x:v>0</x:v>
      </x:c>
      <x:c r="E176" s="109" t="n">
        <x:v>0</x:v>
      </x:c>
      <x:c r="F176" s="109" t="n">
        <x:v>0</x:v>
      </x:c>
      <x:c r="G176" t="n">
        <x:f>SUM(D176:F176)</x:f>
        <x:v>0</x:v>
      </x:c>
      <x:c r="H176" t="str"/>
      <x:c r="I176" t="str">
        <x:v>2026-08-11</x:v>
      </x:c>
      <x:c r="J176" t="str"/>
    </x:row>
    <x:row r="177">
      <x:c r="A177" t="str">
        <x:v>WR</x:v>
      </x:c>
      <x:c r="B177" t="str">
        <x:v>Denzel Boston</x:v>
      </x:c>
      <x:c r="C177" t="n">
        <x:v>56.79</x:v>
      </x:c>
      <x:c r="D177" s="109" t="n">
        <x:v>0</x:v>
      </x:c>
      <x:c r="E177" s="109" t="n">
        <x:v>0</x:v>
      </x:c>
      <x:c r="F177" s="109" t="n">
        <x:v>0</x:v>
      </x:c>
      <x:c r="G177" t="n">
        <x:f>SUM(D177:F177)</x:f>
        <x:v>0</x:v>
      </x:c>
      <x:c r="H177" t="str"/>
      <x:c r="I177" t="str">
        <x:v>2026-08-11</x:v>
      </x:c>
      <x:c r="J177" t="str"/>
    </x:row>
    <x:row r="178">
      <x:c r="A178" t="str">
        <x:v>WR</x:v>
      </x:c>
      <x:c r="B178" t="str">
        <x:v>Tre Tucker</x:v>
      </x:c>
      <x:c r="C178" t="n">
        <x:v>56.12</x:v>
      </x:c>
      <x:c r="D178" s="109" t="n">
        <x:v>0</x:v>
      </x:c>
      <x:c r="E178" s="109" t="n">
        <x:v>0</x:v>
      </x:c>
      <x:c r="F178" s="109" t="n">
        <x:v>0</x:v>
      </x:c>
      <x:c r="G178" t="n">
        <x:f>SUM(D178:F178)</x:f>
        <x:v>0</x:v>
      </x:c>
      <x:c r="H178" t="str"/>
      <x:c r="I178" t="str">
        <x:v>2026-08-11</x:v>
      </x:c>
      <x:c r="J178" t="str"/>
    </x:row>
    <x:row r="179">
      <x:c r="A179" t="str">
        <x:v>WR</x:v>
      </x:c>
      <x:c r="B179" t="str">
        <x:v>Antonio Williams</x:v>
      </x:c>
      <x:c r="C179" t="n">
        <x:v>55.449999999999996</x:v>
      </x:c>
      <x:c r="D179" s="109" t="n">
        <x:v>0</x:v>
      </x:c>
      <x:c r="E179" s="109" t="n">
        <x:v>0</x:v>
      </x:c>
      <x:c r="F179" s="109" t="n">
        <x:v>0</x:v>
      </x:c>
      <x:c r="G179" t="n">
        <x:f>SUM(D179:F179)</x:f>
        <x:v>0</x:v>
      </x:c>
      <x:c r="H179" t="str"/>
      <x:c r="I179" t="str">
        <x:v>2026-08-11</x:v>
      </x:c>
      <x:c r="J179" t="str"/>
    </x:row>
    <x:row r="180">
      <x:c r="A180" t="str">
        <x:v>WR</x:v>
      </x:c>
      <x:c r="B180" t="str">
        <x:v>Travis Hunter</x:v>
      </x:c>
      <x:c r="C180" t="n">
        <x:v>54.779999999999994</x:v>
      </x:c>
      <x:c r="D180" s="109" t="n">
        <x:v>0</x:v>
      </x:c>
      <x:c r="E180" s="109" t="n">
        <x:v>0</x:v>
      </x:c>
      <x:c r="F180" s="109" t="n">
        <x:v>0</x:v>
      </x:c>
      <x:c r="G180" t="n">
        <x:f>SUM(D180:F180)</x:f>
        <x:v>0</x:v>
      </x:c>
      <x:c r="H180" t="str"/>
      <x:c r="I180" t="str">
        <x:v>2026-08-11</x:v>
      </x:c>
      <x:c r="J180" t="str"/>
    </x:row>
    <x:row r="181">
      <x:c r="A181" t="str">
        <x:v>WR</x:v>
      </x:c>
      <x:c r="B181" t="str">
        <x:v>Ryan Flournoy</x:v>
      </x:c>
      <x:c r="C181" t="n">
        <x:v>54.11</x:v>
      </x:c>
      <x:c r="D181" s="109" t="n">
        <x:v>0</x:v>
      </x:c>
      <x:c r="E181" s="109" t="n">
        <x:v>0</x:v>
      </x:c>
      <x:c r="F181" s="109" t="n">
        <x:v>0</x:v>
      </x:c>
      <x:c r="G181" t="n">
        <x:f>SUM(D181:F181)</x:f>
        <x:v>0</x:v>
      </x:c>
      <x:c r="H181" t="str"/>
      <x:c r="I181" t="str">
        <x:v>2026-08-11</x:v>
      </x:c>
      <x:c r="J181" t="str"/>
    </x:row>
    <x:row r="182">
      <x:c r="A182" t="str">
        <x:v>WR</x:v>
      </x:c>
      <x:c r="B182" t="str">
        <x:v>Jauan Jennings</x:v>
      </x:c>
      <x:c r="C182" t="n">
        <x:v>53.44</x:v>
      </x:c>
      <x:c r="D182" s="109" t="n">
        <x:v>0</x:v>
      </x:c>
      <x:c r="E182" s="109" t="n">
        <x:v>0</x:v>
      </x:c>
      <x:c r="F182" s="109" t="n">
        <x:v>0</x:v>
      </x:c>
      <x:c r="G182" t="n">
        <x:f>SUM(D182:F182)</x:f>
        <x:v>0</x:v>
      </x:c>
      <x:c r="H182" t="str"/>
      <x:c r="I182" t="str">
        <x:v>2026-08-11</x:v>
      </x:c>
      <x:c r="J182" t="str"/>
    </x:row>
    <x:row r="183">
      <x:c r="A183" t="str">
        <x:v>WR</x:v>
      </x:c>
      <x:c r="B183" t="str">
        <x:v>Darnell Mooney</x:v>
      </x:c>
      <x:c r="C183" t="n">
        <x:v>52.769999999999996</x:v>
      </x:c>
      <x:c r="D183" s="109" t="n">
        <x:v>0</x:v>
      </x:c>
      <x:c r="E183" s="109" t="n">
        <x:v>0</x:v>
      </x:c>
      <x:c r="F183" s="109" t="n">
        <x:v>0</x:v>
      </x:c>
      <x:c r="G183" t="n">
        <x:f>SUM(D183:F183)</x:f>
        <x:v>0</x:v>
      </x:c>
      <x:c r="H183" t="str"/>
      <x:c r="I183" t="str">
        <x:v>2026-08-11</x:v>
      </x:c>
      <x:c r="J183" t="str"/>
    </x:row>
    <x:row r="184">
      <x:c r="A184" t="str">
        <x:v>K</x:v>
      </x:c>
      <x:c r="B184" t="str">
        <x:v>Brandon Aubrey</x:v>
      </x:c>
      <x:c r="C184" t="n">
        <x:v>94</x:v>
      </x:c>
      <x:c r="D184" s="109" t="n">
        <x:v>0</x:v>
      </x:c>
      <x:c r="E184" s="109" t="n">
        <x:v>0</x:v>
      </x:c>
      <x:c r="F184" s="109" t="n">
        <x:v>0</x:v>
      </x:c>
      <x:c r="G184" t="n">
        <x:f>SUM(D184:F184)</x:f>
        <x:v>0</x:v>
      </x:c>
      <x:c r="H184" t="str"/>
      <x:c r="I184" t="str">
        <x:v>2026-08-11</x:v>
      </x:c>
      <x:c r="J184" t="str"/>
    </x:row>
    <x:row r="185">
      <x:c r="A185" t="str">
        <x:v>K</x:v>
      </x:c>
      <x:c r="B185" t="str">
        <x:v>Ka'imi Fairbairn</x:v>
      </x:c>
      <x:c r="C185" t="n">
        <x:v>91.8</x:v>
      </x:c>
      <x:c r="D185" s="109" t="n">
        <x:v>0</x:v>
      </x:c>
      <x:c r="E185" s="109" t="n">
        <x:v>0</x:v>
      </x:c>
      <x:c r="F185" s="109" t="n">
        <x:v>0</x:v>
      </x:c>
      <x:c r="G185" t="n">
        <x:f>SUM(D185:F185)</x:f>
        <x:v>0</x:v>
      </x:c>
      <x:c r="H185" t="str"/>
      <x:c r="I185" t="str">
        <x:v>2026-08-11</x:v>
      </x:c>
      <x:c r="J185" t="str"/>
    </x:row>
    <x:row r="186">
      <x:c r="A186" t="str">
        <x:v>K</x:v>
      </x:c>
      <x:c r="B186" t="str">
        <x:v>Cameron Dicker</x:v>
      </x:c>
      <x:c r="C186" t="n">
        <x:v>89.6</x:v>
      </x:c>
      <x:c r="D186" s="109" t="n">
        <x:v>0</x:v>
      </x:c>
      <x:c r="E186" s="109" t="n">
        <x:v>0</x:v>
      </x:c>
      <x:c r="F186" s="109" t="n">
        <x:v>0</x:v>
      </x:c>
      <x:c r="G186" t="n">
        <x:f>SUM(D186:F186)</x:f>
        <x:v>0</x:v>
      </x:c>
      <x:c r="H186" t="str"/>
      <x:c r="I186" t="str">
        <x:v>2026-08-11</x:v>
      </x:c>
      <x:c r="J186" t="str"/>
    </x:row>
    <x:row r="187">
      <x:c r="A187" t="str">
        <x:v>K</x:v>
      </x:c>
      <x:c r="B187" t="str">
        <x:v>Jason Myers</x:v>
      </x:c>
      <x:c r="C187" t="n">
        <x:v>87.4</x:v>
      </x:c>
      <x:c r="D187" s="109" t="n">
        <x:v>0</x:v>
      </x:c>
      <x:c r="E187" s="109" t="n">
        <x:v>0</x:v>
      </x:c>
      <x:c r="F187" s="109" t="n">
        <x:v>0</x:v>
      </x:c>
      <x:c r="G187" t="n">
        <x:f>SUM(D187:F187)</x:f>
        <x:v>0</x:v>
      </x:c>
      <x:c r="H187" t="str"/>
      <x:c r="I187" t="str">
        <x:v>2026-08-11</x:v>
      </x:c>
      <x:c r="J187" t="str"/>
    </x:row>
    <x:row r="188">
      <x:c r="A188" t="str">
        <x:v>K</x:v>
      </x:c>
      <x:c r="B188" t="str">
        <x:v>Cam Little</x:v>
      </x:c>
      <x:c r="C188" t="n">
        <x:v>85.2</x:v>
      </x:c>
      <x:c r="D188" s="109" t="n">
        <x:v>0</x:v>
      </x:c>
      <x:c r="E188" s="109" t="n">
        <x:v>0</x:v>
      </x:c>
      <x:c r="F188" s="109" t="n">
        <x:v>0</x:v>
      </x:c>
      <x:c r="G188" t="n">
        <x:f>SUM(D188:F188)</x:f>
        <x:v>0</x:v>
      </x:c>
      <x:c r="H188" t="str"/>
      <x:c r="I188" t="str">
        <x:v>2026-08-11</x:v>
      </x:c>
      <x:c r="J188" t="str"/>
    </x:row>
    <x:row r="189">
      <x:c r="A189" t="str">
        <x:v>K</x:v>
      </x:c>
      <x:c r="B189" t="str">
        <x:v>Eddy Pineiro</x:v>
      </x:c>
      <x:c r="C189" t="n">
        <x:v>83</x:v>
      </x:c>
      <x:c r="D189" s="109" t="n">
        <x:v>0</x:v>
      </x:c>
      <x:c r="E189" s="109" t="n">
        <x:v>0</x:v>
      </x:c>
      <x:c r="F189" s="109" t="n">
        <x:v>0</x:v>
      </x:c>
      <x:c r="G189" t="n">
        <x:f>SUM(D189:F189)</x:f>
        <x:v>0</x:v>
      </x:c>
      <x:c r="H189" t="str"/>
      <x:c r="I189" t="str">
        <x:v>2026-08-11</x:v>
      </x:c>
      <x:c r="J189" t="str"/>
    </x:row>
    <x:row r="190">
      <x:c r="A190" t="str">
        <x:v>K</x:v>
      </x:c>
      <x:c r="B190" t="str">
        <x:v>Tyler Loop</x:v>
      </x:c>
      <x:c r="C190" t="n">
        <x:v>80.8</x:v>
      </x:c>
      <x:c r="D190" s="109" t="n">
        <x:v>0</x:v>
      </x:c>
      <x:c r="E190" s="109" t="n">
        <x:v>0</x:v>
      </x:c>
      <x:c r="F190" s="109" t="n">
        <x:v>0</x:v>
      </x:c>
      <x:c r="G190" t="n">
        <x:f>SUM(D190:F190)</x:f>
        <x:v>0</x:v>
      </x:c>
      <x:c r="H190" t="str"/>
      <x:c r="I190" t="str">
        <x:v>2026-08-11</x:v>
      </x:c>
      <x:c r="J190" t="str"/>
    </x:row>
    <x:row r="191">
      <x:c r="A191" t="str">
        <x:v>K</x:v>
      </x:c>
      <x:c r="B191" t="str">
        <x:v>Harrison Mevis</x:v>
      </x:c>
      <x:c r="C191" t="n">
        <x:v>78.6</x:v>
      </x:c>
      <x:c r="D191" s="109" t="n">
        <x:v>0</x:v>
      </x:c>
      <x:c r="E191" s="109" t="n">
        <x:v>0</x:v>
      </x:c>
      <x:c r="F191" s="109" t="n">
        <x:v>0</x:v>
      </x:c>
      <x:c r="G191" t="n">
        <x:f>SUM(D191:F191)</x:f>
        <x:v>0</x:v>
      </x:c>
      <x:c r="H191" t="str"/>
      <x:c r="I191" t="str">
        <x:v>2026-08-11</x:v>
      </x:c>
      <x:c r="J191" t="str"/>
    </x:row>
    <x:row r="192">
      <x:c r="A192" t="str">
        <x:v>K</x:v>
      </x:c>
      <x:c r="B192" t="str">
        <x:v>Chase McLaughlin</x:v>
      </x:c>
      <x:c r="C192" t="n">
        <x:v>76.4</x:v>
      </x:c>
      <x:c r="D192" s="109" t="n">
        <x:v>0</x:v>
      </x:c>
      <x:c r="E192" s="109" t="n">
        <x:v>0</x:v>
      </x:c>
      <x:c r="F192" s="109" t="n">
        <x:v>0</x:v>
      </x:c>
      <x:c r="G192" t="n">
        <x:f>SUM(D192:F192)</x:f>
        <x:v>0</x:v>
      </x:c>
      <x:c r="H192" t="str"/>
      <x:c r="I192" t="str">
        <x:v>2026-08-11</x:v>
      </x:c>
      <x:c r="J192" t="str"/>
    </x:row>
    <x:row r="193">
      <x:c r="A193" t="str">
        <x:v>K</x:v>
      </x:c>
      <x:c r="B193" t="str">
        <x:v>Cairo Santos</x:v>
      </x:c>
      <x:c r="C193" t="n">
        <x:v>74.2</x:v>
      </x:c>
      <x:c r="D193" s="109" t="n">
        <x:v>0</x:v>
      </x:c>
      <x:c r="E193" s="109" t="n">
        <x:v>0</x:v>
      </x:c>
      <x:c r="F193" s="109" t="n">
        <x:v>0</x:v>
      </x:c>
      <x:c r="G193" t="n">
        <x:f>SUM(D193:F193)</x:f>
        <x:v>0</x:v>
      </x:c>
      <x:c r="H193" t="str"/>
      <x:c r="I193" t="str">
        <x:v>2026-08-11</x:v>
      </x:c>
      <x:c r="J193" t="str"/>
    </x:row>
    <x:row r="194">
      <x:c r="A194" t="str">
        <x:v>K</x:v>
      </x:c>
      <x:c r="B194" t="str">
        <x:v>Andy Borregales</x:v>
      </x:c>
      <x:c r="C194" t="n">
        <x:v>72</x:v>
      </x:c>
      <x:c r="D194" s="109" t="n">
        <x:v>0</x:v>
      </x:c>
      <x:c r="E194" s="109" t="n">
        <x:v>0</x:v>
      </x:c>
      <x:c r="F194" s="109" t="n">
        <x:v>0</x:v>
      </x:c>
      <x:c r="G194" t="n">
        <x:f>SUM(D194:F194)</x:f>
        <x:v>0</x:v>
      </x:c>
      <x:c r="H194" t="str"/>
      <x:c r="I194" t="str">
        <x:v>2026-08-11</x:v>
      </x:c>
      <x:c r="J194" t="str"/>
    </x:row>
    <x:row r="195">
      <x:c r="A195" t="str">
        <x:v>K</x:v>
      </x:c>
      <x:c r="B195" t="str">
        <x:v>Evan McPherson</x:v>
      </x:c>
      <x:c r="C195" t="n">
        <x:v>69.8</x:v>
      </x:c>
      <x:c r="D195" s="109" t="n">
        <x:v>0</x:v>
      </x:c>
      <x:c r="E195" s="109" t="n">
        <x:v>0</x:v>
      </x:c>
      <x:c r="F195" s="109" t="n">
        <x:v>0</x:v>
      </x:c>
      <x:c r="G195" t="n">
        <x:f>SUM(D195:F195)</x:f>
        <x:v>0</x:v>
      </x:c>
      <x:c r="H195" t="str"/>
      <x:c r="I195" t="str">
        <x:v>2026-08-11</x:v>
      </x:c>
      <x:c r="J195" t="str"/>
    </x:row>
    <x:row r="196">
      <x:c r="A196" t="str">
        <x:v>DST</x:v>
      </x:c>
      <x:c r="B196" t="str">
        <x:v>Houston Texans</x:v>
      </x:c>
      <x:c r="C196" t="n">
        <x:v>93</x:v>
      </x:c>
      <x:c r="D196" s="109" t="n">
        <x:v>0</x:v>
      </x:c>
      <x:c r="E196" s="109" t="n">
        <x:v>0</x:v>
      </x:c>
      <x:c r="F196" s="109" t="n">
        <x:v>0</x:v>
      </x:c>
      <x:c r="G196" t="n">
        <x:f>SUM(D196:F196)</x:f>
        <x:v>0</x:v>
      </x:c>
      <x:c r="H196" t="str"/>
      <x:c r="I196" t="str">
        <x:v>2026-08-11</x:v>
      </x:c>
      <x:c r="J196" t="str"/>
    </x:row>
    <x:row r="197">
      <x:c r="A197" t="str">
        <x:v>DST</x:v>
      </x:c>
      <x:c r="B197" t="str">
        <x:v>Denver Broncos</x:v>
      </x:c>
      <x:c r="C197" t="n">
        <x:v>91.9</x:v>
      </x:c>
      <x:c r="D197" s="109" t="n">
        <x:v>0</x:v>
      </x:c>
      <x:c r="E197" s="109" t="n">
        <x:v>0</x:v>
      </x:c>
      <x:c r="F197" s="109" t="n">
        <x:v>0</x:v>
      </x:c>
      <x:c r="G197" t="n">
        <x:f>SUM(D197:F197)</x:f>
        <x:v>0</x:v>
      </x:c>
      <x:c r="H197" t="str"/>
      <x:c r="I197" t="str">
        <x:v>2026-08-11</x:v>
      </x:c>
      <x:c r="J197" t="str"/>
    </x:row>
    <x:row r="198">
      <x:c r="A198" t="str">
        <x:v>DST</x:v>
      </x:c>
      <x:c r="B198" t="str">
        <x:v>Seattle Seahawks</x:v>
      </x:c>
      <x:c r="C198" t="n">
        <x:v>90.8</x:v>
      </x:c>
      <x:c r="D198" s="109" t="n">
        <x:v>0</x:v>
      </x:c>
      <x:c r="E198" s="109" t="n">
        <x:v>0</x:v>
      </x:c>
      <x:c r="F198" s="109" t="n">
        <x:v>0</x:v>
      </x:c>
      <x:c r="G198" t="n">
        <x:f>SUM(D198:F198)</x:f>
        <x:v>0</x:v>
      </x:c>
      <x:c r="H198" t="str"/>
      <x:c r="I198" t="str">
        <x:v>2026-08-11</x:v>
      </x:c>
      <x:c r="J198" t="str"/>
    </x:row>
    <x:row r="199">
      <x:c r="A199" t="str">
        <x:v>DST</x:v>
      </x:c>
      <x:c r="B199" t="str">
        <x:v>Los Angeles Rams</x:v>
      </x:c>
      <x:c r="C199" t="n">
        <x:v>89.7</x:v>
      </x:c>
      <x:c r="D199" s="109" t="n">
        <x:v>0</x:v>
      </x:c>
      <x:c r="E199" s="109" t="n">
        <x:v>0</x:v>
      </x:c>
      <x:c r="F199" s="109" t="n">
        <x:v>0</x:v>
      </x:c>
      <x:c r="G199" t="n">
        <x:f>SUM(D199:F199)</x:f>
        <x:v>0</x:v>
      </x:c>
      <x:c r="H199" t="str"/>
      <x:c r="I199" t="str">
        <x:v>2026-08-11</x:v>
      </x:c>
      <x:c r="J199" t="str"/>
    </x:row>
    <x:row r="200">
      <x:c r="A200" t="str">
        <x:v>DST</x:v>
      </x:c>
      <x:c r="B200" t="str">
        <x:v>Philadelphia Eagles</x:v>
      </x:c>
      <x:c r="C200" t="n">
        <x:v>88.6</x:v>
      </x:c>
      <x:c r="D200" s="109" t="n">
        <x:v>0</x:v>
      </x:c>
      <x:c r="E200" s="109" t="n">
        <x:v>0</x:v>
      </x:c>
      <x:c r="F200" s="109" t="n">
        <x:v>0</x:v>
      </x:c>
      <x:c r="G200" t="n">
        <x:f>SUM(D200:F200)</x:f>
        <x:v>0</x:v>
      </x:c>
      <x:c r="H200" t="str"/>
      <x:c r="I200" t="str">
        <x:v>2026-08-11</x:v>
      </x:c>
      <x:c r="J200" t="str"/>
    </x:row>
    <x:row r="201">
      <x:c r="A201" t="str">
        <x:v>DST</x:v>
      </x:c>
      <x:c r="B201" t="str">
        <x:v>Minnesota Vikings</x:v>
      </x:c>
      <x:c r="C201" t="n">
        <x:v>87.5</x:v>
      </x:c>
      <x:c r="D201" s="109" t="n">
        <x:v>0</x:v>
      </x:c>
      <x:c r="E201" s="109" t="n">
        <x:v>0</x:v>
      </x:c>
      <x:c r="F201" s="109" t="n">
        <x:v>0</x:v>
      </x:c>
      <x:c r="G201" t="n">
        <x:f>SUM(D201:F201)</x:f>
        <x:v>0</x:v>
      </x:c>
      <x:c r="H201" t="str"/>
      <x:c r="I201" t="str">
        <x:v>2026-08-11</x:v>
      </x:c>
      <x:c r="J201" t="str"/>
    </x:row>
    <x:row r="202">
      <x:c r="A202" t="str">
        <x:v>DST</x:v>
      </x:c>
      <x:c r="B202" t="str">
        <x:v>New England Patriots</x:v>
      </x:c>
      <x:c r="C202" t="n">
        <x:v>86.4</x:v>
      </x:c>
      <x:c r="D202" s="109" t="n">
        <x:v>0</x:v>
      </x:c>
      <x:c r="E202" s="109" t="n">
        <x:v>0</x:v>
      </x:c>
      <x:c r="F202" s="109" t="n">
        <x:v>0</x:v>
      </x:c>
      <x:c r="G202" t="n">
        <x:f>SUM(D202:F202)</x:f>
        <x:v>0</x:v>
      </x:c>
      <x:c r="H202" t="str"/>
      <x:c r="I202" t="str">
        <x:v>2026-08-11</x:v>
      </x:c>
      <x:c r="J202" t="str"/>
    </x:row>
    <x:row r="203">
      <x:c r="A203" t="str">
        <x:v>DST</x:v>
      </x:c>
      <x:c r="B203" t="str">
        <x:v>Jacksonville Jaguars</x:v>
      </x:c>
      <x:c r="C203" t="n">
        <x:v>85.3</x:v>
      </x:c>
      <x:c r="D203" s="109" t="n">
        <x:v>0</x:v>
      </x:c>
      <x:c r="E203" s="109" t="n">
        <x:v>0</x:v>
      </x:c>
      <x:c r="F203" s="109" t="n">
        <x:v>0</x:v>
      </x:c>
      <x:c r="G203" t="n">
        <x:f>SUM(D203:F203)</x:f>
        <x:v>0</x:v>
      </x:c>
      <x:c r="H203" t="str"/>
      <x:c r="I203" t="str">
        <x:v>2026-08-11</x:v>
      </x:c>
      <x:c r="J203" t="str"/>
    </x:row>
    <x:row r="204">
      <x:c r="A204" t="str">
        <x:v>DST</x:v>
      </x:c>
      <x:c r="B204" t="str">
        <x:v>Pittsburgh Steelers</x:v>
      </x:c>
      <x:c r="C204" t="n">
        <x:v>84.2</x:v>
      </x:c>
      <x:c r="D204" s="109" t="n">
        <x:v>0</x:v>
      </x:c>
      <x:c r="E204" s="109" t="n">
        <x:v>0</x:v>
      </x:c>
      <x:c r="F204" s="109" t="n">
        <x:v>0</x:v>
      </x:c>
      <x:c r="G204" t="n">
        <x:f>SUM(D204:F204)</x:f>
        <x:v>0</x:v>
      </x:c>
      <x:c r="H204" t="str"/>
      <x:c r="I204" t="str">
        <x:v>2026-08-11</x:v>
      </x:c>
      <x:c r="J204" t="str"/>
    </x:row>
    <x:row r="205">
      <x:c r="A205" t="str">
        <x:v>DST</x:v>
      </x:c>
      <x:c r="B205" t="str">
        <x:v>Los Angeles Chargers</x:v>
      </x:c>
      <x:c r="C205" t="n">
        <x:v>83.1</x:v>
      </x:c>
      <x:c r="D205" s="109" t="n">
        <x:v>0</x:v>
      </x:c>
      <x:c r="E205" s="109" t="n">
        <x:v>0</x:v>
      </x:c>
      <x:c r="F205" s="109" t="n">
        <x:v>0</x:v>
      </x:c>
      <x:c r="G205" t="n">
        <x:f>SUM(D205:F205)</x:f>
        <x:v>0</x:v>
      </x:c>
      <x:c r="H205" t="str"/>
      <x:c r="I205" t="str">
        <x:v>2026-08-11</x:v>
      </x:c>
      <x:c r="J205" t="str"/>
    </x:row>
    <x:row r="206">
      <x:c r="A206" t="str">
        <x:v>DST</x:v>
      </x:c>
      <x:c r="B206" t="str">
        <x:v>Baltimore Ravens</x:v>
      </x:c>
      <x:c r="C206" t="n">
        <x:v>82</x:v>
      </x:c>
      <x:c r="D206" s="109" t="n">
        <x:v>0</x:v>
      </x:c>
      <x:c r="E206" s="109" t="n">
        <x:v>0</x:v>
      </x:c>
      <x:c r="F206" s="109" t="n">
        <x:v>0</x:v>
      </x:c>
      <x:c r="G206" t="n">
        <x:f>SUM(D206:F206)</x:f>
        <x:v>0</x:v>
      </x:c>
      <x:c r="H206" t="str"/>
      <x:c r="I206" t="str">
        <x:v>2026-08-11</x:v>
      </x:c>
      <x:c r="J206" t="str"/>
    </x:row>
    <x:row r="207">
      <x:c r="A207" t="str">
        <x:v>DST</x:v>
      </x:c>
      <x:c r="B207" t="str">
        <x:v>Green Bay Packers</x:v>
      </x:c>
      <x:c r="C207" t="n">
        <x:v>80.9</x:v>
      </x:c>
      <x:c r="D207" s="109" t="n">
        <x:v>0</x:v>
      </x:c>
      <x:c r="E207" s="109" t="n">
        <x:v>0</x:v>
      </x:c>
      <x:c r="F207" s="109" t="n">
        <x:v>0</x:v>
      </x:c>
      <x:c r="G207" t="n">
        <x:f>SUM(D207:F207)</x:f>
        <x:v>0</x:v>
      </x:c>
      <x:c r="H207" t="str"/>
      <x:c r="I207" t="str">
        <x:v>2026-08-11</x:v>
      </x:c>
      <x:c r="J207" t="str"/>
    </x:row>
    <x:row r="208">
      <x:c r="A208" t="str">
        <x:v>DST</x:v>
      </x:c>
      <x:c r="B208" t="str">
        <x:v>Detroit Lions</x:v>
      </x:c>
      <x:c r="C208" t="n">
        <x:v>79.8</x:v>
      </x:c>
      <x:c r="D208" s="109" t="n">
        <x:v>0</x:v>
      </x:c>
      <x:c r="E208" s="109" t="n">
        <x:v>0</x:v>
      </x:c>
      <x:c r="F208" s="109" t="n">
        <x:v>0</x:v>
      </x:c>
      <x:c r="G208" t="n">
        <x:f>SUM(D208:F208)</x:f>
        <x:v>0</x:v>
      </x:c>
      <x:c r="H208" t="str"/>
      <x:c r="I208" t="str">
        <x:v>2026-08-11</x:v>
      </x:c>
      <x:c r="J208" t="str"/>
    </x:row>
    <x:row r="209">
      <x:c r="A209" t="str">
        <x:v>DST</x:v>
      </x:c>
      <x:c r="B209" t="str">
        <x:v>Buffalo Bills</x:v>
      </x:c>
      <x:c r="C209" t="n">
        <x:v>78.7</x:v>
      </x:c>
      <x:c r="D209" s="109" t="n">
        <x:v>0</x:v>
      </x:c>
      <x:c r="E209" s="109" t="n">
        <x:v>0</x:v>
      </x:c>
      <x:c r="F209" s="109" t="n">
        <x:v>0</x:v>
      </x:c>
      <x:c r="G209" t="n">
        <x:f>SUM(D209:F209)</x:f>
        <x:v>0</x:v>
      </x:c>
      <x:c r="H209" t="str"/>
      <x:c r="I209" t="str">
        <x:v>2026-08-11</x:v>
      </x:c>
      <x:c r="J209" t="str"/>
    </x:row>
    <x:row r="210">
      <x:c r="A210" t="str">
        <x:v>DST</x:v>
      </x:c>
      <x:c r="B210" t="str">
        <x:v>Kansas City Chiefs</x:v>
      </x:c>
      <x:c r="C210" t="n">
        <x:v>77.6</x:v>
      </x:c>
      <x:c r="D210" s="109" t="n">
        <x:v>0</x:v>
      </x:c>
      <x:c r="E210" s="109" t="n">
        <x:v>0</x:v>
      </x:c>
      <x:c r="F210" s="109" t="n">
        <x:v>0</x:v>
      </x:c>
      <x:c r="G210" t="n">
        <x:f>SUM(D210:F210)</x:f>
        <x:v>0</x:v>
      </x:c>
      <x:c r="H210" t="str"/>
      <x:c r="I210" t="str">
        <x:v>2026-08-11</x:v>
      </x:c>
      <x:c r="J210" t="str"/>
    </x:row>
    <x:row r="211">
      <x:c r="A211" t="str">
        <x:v>DST</x:v>
      </x:c>
      <x:c r="B211" t="str">
        <x:v>Cleveland Browns</x:v>
      </x:c>
      <x:c r="C211" t="n">
        <x:v>76.5</x:v>
      </x:c>
      <x:c r="D211" s="109" t="n">
        <x:v>0</x:v>
      </x:c>
      <x:c r="E211" s="109" t="n">
        <x:v>0</x:v>
      </x:c>
      <x:c r="F211" s="109" t="n">
        <x:v>0</x:v>
      </x:c>
      <x:c r="G211" t="n">
        <x:f>SUM(D211:F211)</x:f>
        <x:v>0</x:v>
      </x:c>
      <x:c r="H211" t="str"/>
      <x:c r="I211" t="str">
        <x:v>2026-08-11</x:v>
      </x:c>
      <x:c r="J211" t="str"/>
    </x:row>
    <x:row r="212">
      <x:c r="A212" t="str">
        <x:v>DST</x:v>
      </x:c>
      <x:c r="B212" t="str">
        <x:v>San Francisco 49ers</x:v>
      </x:c>
      <x:c r="C212" t="n">
        <x:v>75.4</x:v>
      </x:c>
      <x:c r="D212" s="109" t="n">
        <x:v>0</x:v>
      </x:c>
      <x:c r="E212" s="109" t="n">
        <x:v>0</x:v>
      </x:c>
      <x:c r="F212" s="109" t="n">
        <x:v>0</x:v>
      </x:c>
      <x:c r="G212" t="n">
        <x:f>SUM(D212:F212)</x:f>
        <x:v>0</x:v>
      </x:c>
      <x:c r="H212" t="str"/>
      <x:c r="I212" t="str">
        <x:v>2026-08-11</x:v>
      </x:c>
      <x:c r="J212" t="str"/>
    </x:row>
    <x:row r="213">
      <x:c r="A213" t="str">
        <x:v>DST</x:v>
      </x:c>
      <x:c r="B213" t="str">
        <x:v>New Orleans Saints</x:v>
      </x:c>
      <x:c r="C213" t="n">
        <x:v>74.3</x:v>
      </x:c>
      <x:c r="D213" s="109" t="n">
        <x:v>0</x:v>
      </x:c>
      <x:c r="E213" s="109" t="n">
        <x:v>0</x:v>
      </x:c>
      <x:c r="F213" s="109" t="n">
        <x:v>0</x:v>
      </x:c>
      <x:c r="G213" t="n">
        <x:f>SUM(D213:F213)</x:f>
        <x:v>0</x:v>
      </x:c>
      <x:c r="H213" t="str"/>
      <x:c r="I213" t="str">
        <x:v>2026-08-11</x:v>
      </x:c>
      <x:c r="J213" t="str"/>
    </x:row>
    <x:row r="214">
      <x:c r="A214" t="str">
        <x:v>DST</x:v>
      </x:c>
      <x:c r="B214" t="str">
        <x:v>Atlanta Falcons</x:v>
      </x:c>
      <x:c r="C214" t="n">
        <x:v>73.2</x:v>
      </x:c>
      <x:c r="D214" s="109" t="n">
        <x:v>0</x:v>
      </x:c>
      <x:c r="E214" s="109" t="n">
        <x:v>0</x:v>
      </x:c>
      <x:c r="F214" s="109" t="n">
        <x:v>0</x:v>
      </x:c>
      <x:c r="G214" t="n">
        <x:f>SUM(D214:F214)</x:f>
        <x:v>0</x:v>
      </x:c>
      <x:c r="H214" t="str"/>
      <x:c r="I214" t="str">
        <x:v>2026-08-11</x:v>
      </x:c>
      <x:c r="J214" t="str"/>
    </x:row>
    <x:row r="215">
      <x:c r="A215" t="str">
        <x:v>DST</x:v>
      </x:c>
      <x:c r="B215" t="str">
        <x:v>Chicago Bears</x:v>
      </x:c>
      <x:c r="C215" t="n">
        <x:v>72.1</x:v>
      </x:c>
      <x:c r="D215" s="109" t="n">
        <x:v>0</x:v>
      </x:c>
      <x:c r="E215" s="109" t="n">
        <x:v>0</x:v>
      </x:c>
      <x:c r="F215" s="109" t="n">
        <x:v>0</x:v>
      </x:c>
      <x:c r="G215" t="n">
        <x:f>SUM(D215:F215)</x:f>
        <x:v>0</x:v>
      </x:c>
      <x:c r="H215" t="str"/>
      <x:c r="I215" t="str">
        <x:v>2026-08-11</x:v>
      </x:c>
      <x:c r="J215" t="str"/>
    </x:row>
    <x:row r="216">
      <x:c r="A216" t="str">
        <x:v>DST</x:v>
      </x:c>
      <x:c r="B216" t="str">
        <x:v>Indianapolis Colts</x:v>
      </x:c>
      <x:c r="C216" t="n">
        <x:v>71</x:v>
      </x:c>
      <x:c r="D216" s="109" t="n">
        <x:v>0</x:v>
      </x:c>
      <x:c r="E216" s="109" t="n">
        <x:v>0</x:v>
      </x:c>
      <x:c r="F216" s="109" t="n">
        <x:v>0</x:v>
      </x:c>
      <x:c r="G216" t="n">
        <x:f>SUM(D216:F216)</x:f>
        <x:v>0</x:v>
      </x:c>
      <x:c r="H216" t="str"/>
      <x:c r="I216" t="str">
        <x:v>2026-08-11</x:v>
      </x:c>
      <x:c r="J216" t="str"/>
    </x:row>
    <x:row r="217">
      <x:c r="A217" t="str">
        <x:v>DST</x:v>
      </x:c>
      <x:c r="B217" t="str">
        <x:v>New York Giants</x:v>
      </x:c>
      <x:c r="C217" t="n">
        <x:v>69.9</x:v>
      </x:c>
      <x:c r="D217" s="109" t="n">
        <x:v>0</x:v>
      </x:c>
      <x:c r="E217" s="109" t="n">
        <x:v>0</x:v>
      </x:c>
      <x:c r="F217" s="109" t="n">
        <x:v>0</x:v>
      </x:c>
      <x:c r="G217" t="n">
        <x:f>SUM(D217:F217)</x:f>
        <x:v>0</x:v>
      </x:c>
      <x:c r="H217" t="str"/>
      <x:c r="I217" t="str">
        <x:v>2026-08-11</x:v>
      </x:c>
      <x:c r="J217" t="str"/>
    </x:row>
    <x:row r="218">
      <x:c r="A218" t="str">
        <x:v>DST</x:v>
      </x:c>
      <x:c r="B218" t="str">
        <x:v>Tampa Bay Buccaneers</x:v>
      </x:c>
      <x:c r="C218" t="n">
        <x:v>68.8</x:v>
      </x:c>
      <x:c r="D218" s="109" t="n">
        <x:v>0</x:v>
      </x:c>
      <x:c r="E218" s="109" t="n">
        <x:v>0</x:v>
      </x:c>
      <x:c r="F218" s="109" t="n">
        <x:v>0</x:v>
      </x:c>
      <x:c r="G218" t="n">
        <x:f>SUM(D218:F218)</x:f>
        <x:v>0</x:v>
      </x:c>
      <x:c r="H218" t="str"/>
      <x:c r="I218" t="str">
        <x:v>2026-08-11</x:v>
      </x:c>
      <x:c r="J218" t="str"/>
    </x:row>
    <x:row r="219">
      <x:c r="A219" t="str">
        <x:v>DST</x:v>
      </x:c>
      <x:c r="B219" t="str">
        <x:v>Dallas Cowboys</x:v>
      </x:c>
      <x:c r="C219" t="n">
        <x:v>67.7</x:v>
      </x:c>
      <x:c r="D219" s="109" t="n">
        <x:v>0</x:v>
      </x:c>
      <x:c r="E219" s="109" t="n">
        <x:v>0</x:v>
      </x:c>
      <x:c r="F219" s="109" t="n">
        <x:v>0</x:v>
      </x:c>
      <x:c r="G219" t="n">
        <x:f>SUM(D219:F219)</x:f>
        <x:v>0</x:v>
      </x:c>
      <x:c r="H219" t="str"/>
      <x:c r="I219" t="str">
        <x:v>2026-08-11</x:v>
      </x:c>
      <x:c r="J219" t="str"/>
    </x:row>
    <x:row r="220">
      <x:c r="A220" t="str">
        <x:v>DST</x:v>
      </x:c>
      <x:c r="B220" t="str">
        <x:v>Carolina Panthers</x:v>
      </x:c>
      <x:c r="C220" t="n">
        <x:v>66.6</x:v>
      </x:c>
      <x:c r="D220" s="109" t="n">
        <x:v>0</x:v>
      </x:c>
      <x:c r="E220" s="109" t="n">
        <x:v>0</x:v>
      </x:c>
      <x:c r="F220" s="109" t="n">
        <x:v>0</x:v>
      </x:c>
      <x:c r="G220" t="n">
        <x:f>SUM(D220:F220)</x:f>
        <x:v>0</x:v>
      </x:c>
      <x:c r="H220" t="str"/>
      <x:c r="I220" t="str">
        <x:v>2026-08-11</x:v>
      </x:c>
      <x:c r="J220" t="str"/>
    </x:row>
    <x:row r="221">
      <x:c r="A221" t="str">
        <x:v>DST</x:v>
      </x:c>
      <x:c r="B221" t="str">
        <x:v>Tennessee Titans</x:v>
      </x:c>
      <x:c r="C221" t="n">
        <x:v>65.5</x:v>
      </x:c>
      <x:c r="D221" s="109" t="n">
        <x:v>0</x:v>
      </x:c>
      <x:c r="E221" s="109" t="n">
        <x:v>0</x:v>
      </x:c>
      <x:c r="F221" s="109" t="n">
        <x:v>0</x:v>
      </x:c>
      <x:c r="G221" t="n">
        <x:f>SUM(D221:F221)</x:f>
        <x:v>0</x:v>
      </x:c>
      <x:c r="H221" t="str"/>
      <x:c r="I221" t="str">
        <x:v>2026-08-11</x:v>
      </x:c>
      <x:c r="J221" t="str"/>
    </x:row>
    <x:row r="222">
      <x:c r="A222" t="str">
        <x:v>DST</x:v>
      </x:c>
      <x:c r="B222" t="str">
        <x:v>Miami Dolphins</x:v>
      </x:c>
      <x:c r="C222" t="n">
        <x:v>64.4</x:v>
      </x:c>
      <x:c r="D222" s="109" t="n">
        <x:v>0</x:v>
      </x:c>
      <x:c r="E222" s="109" t="n">
        <x:v>0</x:v>
      </x:c>
      <x:c r="F222" s="109" t="n">
        <x:v>0</x:v>
      </x:c>
      <x:c r="G222" t="n">
        <x:f>SUM(D222:F222)</x:f>
        <x:v>0</x:v>
      </x:c>
      <x:c r="H222" t="str"/>
      <x:c r="I222" t="str">
        <x:v>2026-08-11</x:v>
      </x:c>
      <x:c r="J222" t="str"/>
    </x:row>
    <x:row r="223">
      <x:c r="A223" t="str">
        <x:v>DST</x:v>
      </x:c>
      <x:c r="B223" t="str">
        <x:v>Washington Commanders</x:v>
      </x:c>
      <x:c r="C223" t="n">
        <x:v>63.3</x:v>
      </x:c>
      <x:c r="D223" s="109" t="n">
        <x:v>0</x:v>
      </x:c>
      <x:c r="E223" s="109" t="n">
        <x:v>0</x:v>
      </x:c>
      <x:c r="F223" s="109" t="n">
        <x:v>0</x:v>
      </x:c>
      <x:c r="G223" t="n">
        <x:f>SUM(D223:F223)</x:f>
        <x:v>0</x:v>
      </x:c>
      <x:c r="H223" t="str"/>
      <x:c r="I223" t="str">
        <x:v>2026-08-11</x:v>
      </x:c>
      <x:c r="J223" t="str"/>
    </x:row>
    <x:row r="224">
      <x:c r="A224" t="str">
        <x:v>DST</x:v>
      </x:c>
      <x:c r="B224" t="str">
        <x:v>New York Jets</x:v>
      </x:c>
      <x:c r="C224" t="n">
        <x:v>62.199999999999996</x:v>
      </x:c>
      <x:c r="D224" s="109" t="n">
        <x:v>0</x:v>
      </x:c>
      <x:c r="E224" s="109" t="n">
        <x:v>0</x:v>
      </x:c>
      <x:c r="F224" s="109" t="n">
        <x:v>0</x:v>
      </x:c>
      <x:c r="G224" t="n">
        <x:f>SUM(D224:F224)</x:f>
        <x:v>0</x:v>
      </x:c>
      <x:c r="H224" t="str"/>
      <x:c r="I224" t="str">
        <x:v>2026-08-11</x:v>
      </x:c>
      <x:c r="J224" t="str"/>
    </x:row>
    <x:row r="225">
      <x:c r="A225" t="str">
        <x:v>DST</x:v>
      </x:c>
      <x:c r="B225" t="str">
        <x:v>Arizona Cardinals</x:v>
      </x:c>
      <x:c r="C225" t="n">
        <x:v>61.099999999999994</x:v>
      </x:c>
      <x:c r="D225" s="109" t="n">
        <x:v>0</x:v>
      </x:c>
      <x:c r="E225" s="109" t="n">
        <x:v>0</x:v>
      </x:c>
      <x:c r="F225" s="109" t="n">
        <x:v>0</x:v>
      </x:c>
      <x:c r="G225" t="n">
        <x:f>SUM(D225:F225)</x:f>
        <x:v>0</x:v>
      </x:c>
      <x:c r="H225" t="str"/>
      <x:c r="I225" t="str">
        <x:v>2026-08-11</x:v>
      </x:c>
      <x:c r="J225" t="str"/>
    </x:row>
    <x:row r="226">
      <x:c r="A226" t="str">
        <x:v>DST</x:v>
      </x:c>
      <x:c r="B226" t="str">
        <x:v>Cincinnati Bengals</x:v>
      </x:c>
      <x:c r="C226" t="n">
        <x:v>60</x:v>
      </x:c>
      <x:c r="D226" s="109" t="n">
        <x:v>0</x:v>
      </x:c>
      <x:c r="E226" s="109" t="n">
        <x:v>0</x:v>
      </x:c>
      <x:c r="F226" s="109" t="n">
        <x:v>0</x:v>
      </x:c>
      <x:c r="G226" t="n">
        <x:f>SUM(D226:F226)</x:f>
        <x:v>0</x:v>
      </x:c>
      <x:c r="H226" t="str"/>
      <x:c r="I226" t="str">
        <x:v>2026-08-11</x:v>
      </x:c>
      <x:c r="J226" t="str"/>
    </x:row>
    <x:row r="227">
      <x:c r="A227" t="str">
        <x:v>DST</x:v>
      </x:c>
      <x:c r="B227" t="str">
        <x:v>Las Vegas Raiders</x:v>
      </x:c>
      <x:c r="C227" t="n">
        <x:v>58.9</x:v>
      </x:c>
      <x:c r="D227" s="109" t="n">
        <x:v>0</x:v>
      </x:c>
      <x:c r="E227" s="109" t="n">
        <x:v>0</x:v>
      </x:c>
      <x:c r="F227" s="109" t="n">
        <x:v>0</x:v>
      </x:c>
      <x:c r="G227" t="n">
        <x:f>SUM(D227:F227)</x:f>
        <x:v>0</x:v>
      </x:c>
      <x:c r="H227" t="str"/>
      <x:c r="I227" t="str">
        <x:v>2026-08-11</x:v>
      </x:c>
      <x:c r="J227" t="str"/>
    </x:row>
  </x:sheetData>
  <x:mergeCells>
    <x:mergeCell ref="A1:J1"/>
    <x:mergeCell ref="A2:J2"/>
  </x:mergeCells>
  <x:conditionalFormatting sqref="G5:G22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.25" hidden="0" customWidth="1"/>
    <x:col min="3" max="3" width="16.5" hidden="0" customWidth="1"/>
    <x:col min="4" max="4" width="8.880000114440918" hidden="0" customWidth="1"/>
    <x:col min="5" max="5" width="7.75" hidden="0" customWidth="1"/>
    <x:col min="6" max="6" width="20.25" hidden="0" customWidth="1"/>
    <x:col min="7" max="7" width="9.130000114440918" hidden="0" customWidth="1"/>
    <x:col min="8" max="8" width="14.630000114440918" hidden="0" customWidth="1"/>
    <x:col min="9" max="9" width="15.380000114440918" hidden="0" customWidth="1"/>
    <x:col min="10" max="10" width="44" hidden="0" customWidth="1"/>
    <x:col min="11" max="11" width="5.75" hidden="0" customWidth="1"/>
    <x:col min="12" max="12" width="7.630000114440918" hidden="0" customWidth="1"/>
  </x:cols>
  <x:sheetData>
    <x:row r="1">
      <x:c r="A1" s="100" t="str">
        <x:v>Rookie College Analytics — Editable Refinement Layer</x:v>
      </x:c>
    </x:row>
    <x:row r="2">
      <x:c r="A2" s="103" t="str">
        <x:v>Editable 0–100 college sub-scores. Defaults equal the current Rookie Score so nothing is fabricated; verified college metrics can replace them later.</x:v>
      </x:c>
    </x:row>
    <x:row r="4">
      <x:c r="A4" s="108" t="str">
        <x:v>Player</x:v>
      </x:c>
      <x:c r="B4" s="108" t="str">
        <x:v>Pos</x:v>
      </x:c>
      <x:c r="C4" s="108" t="str">
        <x:v>Current Rookie Score</x:v>
      </x:c>
      <x:c r="D4" s="108" t="str">
        <x:v>Production</x:v>
      </x:c>
      <x:c r="E4" s="108" t="str">
        <x:v>Efficiency</x:v>
      </x:c>
      <x:c r="F4" s="108" t="str">
        <x:v>Receiving / Target Earning</x:v>
      </x:c>
      <x:c r="G4" s="108" t="str">
        <x:v>Athleticism</x:v>
      </x:c>
      <x:c r="H4" s="108" t="str">
        <x:v>College Composite</x:v>
      </x:c>
      <x:c r="I4" s="108" t="str">
        <x:v>College Adjustment</x:v>
      </x:c>
      <x:c r="J4" s="108" t="str">
        <x:v>Note</x:v>
      </x:c>
      <x:c r="K4" s="108" t="str">
        <x:v>Source</x:v>
      </x:c>
      <x:c r="L4" s="108" t="str">
        <x:v>Editable?</x:v>
      </x:c>
    </x:row>
    <x:row r="5">
      <x:c r="A5" t="str">
        <x:v>Jeremiyah Love</x:v>
      </x:c>
      <x:c r="B5" t="str">
        <x:v>RB</x:v>
      </x:c>
      <x:c r="C5" s="48" t="n">
        <x:v>98.03</x:v>
      </x:c>
      <x:c r="D5" s="110" t="n">
        <x:v>98.03</x:v>
      </x:c>
      <x:c r="E5" s="110" t="n">
        <x:v>98.03</x:v>
      </x:c>
      <x:c r="F5" s="110" t="n">
        <x:v>98.03</x:v>
      </x:c>
      <x:c r="G5" s="110" t="n">
        <x:v>98.03</x:v>
      </x:c>
      <x:c r="H5" s="48" t="n">
        <x:f>AVERAGE(D5:G5)</x:f>
        <x:v>98.03</x:v>
      </x:c>
      <x:c r="I5" s="48" t="n">
        <x:f>(H5-C5)*0.15</x:f>
        <x:v>0</x:v>
      </x:c>
      <x:c r="J5" t="str">
        <x:v>Replace defaults with verified college metrics.</x:v>
      </x:c>
      <x:c r="K5" t="str"/>
      <x:c r="L5" t="str">
        <x:v>YES</x:v>
      </x:c>
    </x:row>
    <x:row r="6">
      <x:c r="A6" t="str">
        <x:v>Carnell Tate</x:v>
      </x:c>
      <x:c r="B6" t="str">
        <x:v>WR</x:v>
      </x:c>
      <x:c r="C6" s="48" t="n">
        <x:v>95.05252905507832</x:v>
      </x:c>
      <x:c r="D6" s="110" t="n">
        <x:v>95.05252905507832</x:v>
      </x:c>
      <x:c r="E6" s="110" t="n">
        <x:v>95.05252905507832</x:v>
      </x:c>
      <x:c r="F6" s="110" t="n">
        <x:v>95.05252905507832</x:v>
      </x:c>
      <x:c r="G6" s="110" t="n">
        <x:v>95.05252905507832</x:v>
      </x:c>
      <x:c r="H6" s="48" t="n">
        <x:f>AVERAGE(D6:G6)</x:f>
        <x:v>95.05252905507832</x:v>
      </x:c>
      <x:c r="I6" s="48" t="n">
        <x:f>(H6-C6)*0.15</x:f>
        <x:v>0</x:v>
      </x:c>
      <x:c r="J6" t="str">
        <x:v>Replace defaults with verified college metrics.</x:v>
      </x:c>
      <x:c r="K6" t="str"/>
      <x:c r="L6" t="str">
        <x:v>YES</x:v>
      </x:c>
    </x:row>
    <x:row r="7">
      <x:c r="A7" t="str">
        <x:v>Jordyn Tyson</x:v>
      </x:c>
      <x:c r="B7" t="str">
        <x:v>WR</x:v>
      </x:c>
      <x:c r="C7" s="48" t="n">
        <x:v>92.3795224861041</x:v>
      </x:c>
      <x:c r="D7" s="110" t="n">
        <x:v>92.3795224861041</x:v>
      </x:c>
      <x:c r="E7" s="110" t="n">
        <x:v>92.3795224861041</x:v>
      </x:c>
      <x:c r="F7" s="110" t="n">
        <x:v>92.3795224861041</x:v>
      </x:c>
      <x:c r="G7" s="110" t="n">
        <x:v>92.3795224861041</x:v>
      </x:c>
      <x:c r="H7" s="48" t="n">
        <x:f>AVERAGE(D7:G7)</x:f>
        <x:v>92.3795224861041</x:v>
      </x:c>
      <x:c r="I7" s="48" t="n">
        <x:f>(H7-C7)*0.15</x:f>
        <x:v>0</x:v>
      </x:c>
      <x:c r="J7" t="str">
        <x:v>Replace defaults with verified college metrics.</x:v>
      </x:c>
      <x:c r="K7" t="str"/>
      <x:c r="L7" t="str">
        <x:v>YES</x:v>
      </x:c>
    </x:row>
    <x:row r="8">
      <x:c r="A8" t="str">
        <x:v>Makai Lemon</x:v>
      </x:c>
      <x:c r="B8" t="str">
        <x:v>WR</x:v>
      </x:c>
      <x:c r="C8" s="48" t="n">
        <x:v>89.1716902475998</x:v>
      </x:c>
      <x:c r="D8" s="110" t="n">
        <x:v>89.1716902475998</x:v>
      </x:c>
      <x:c r="E8" s="110" t="n">
        <x:v>89.1716902475998</x:v>
      </x:c>
      <x:c r="F8" s="110" t="n">
        <x:v>89.1716902475998</x:v>
      </x:c>
      <x:c r="G8" s="110" t="n">
        <x:v>89.1716902475998</x:v>
      </x:c>
      <x:c r="H8" s="48" t="n">
        <x:f>AVERAGE(D8:G8)</x:f>
        <x:v>89.1716902475998</x:v>
      </x:c>
      <x:c r="I8" s="48" t="n">
        <x:f>(H8-C8)*0.15</x:f>
        <x:v>0</x:v>
      </x:c>
      <x:c r="J8" t="str">
        <x:v>Replace defaults with verified college metrics.</x:v>
      </x:c>
      <x:c r="K8" t="str"/>
      <x:c r="L8" t="str">
        <x:v>YES</x:v>
      </x:c>
    </x:row>
    <x:row r="9">
      <x:c r="A9" t="str">
        <x:v>Jadarian Price</x:v>
      </x:c>
      <x:c r="B9" t="str">
        <x:v>RB</x:v>
      </x:c>
      <x:c r="C9" s="48" t="n">
        <x:v>85.5659954522486</x:v>
      </x:c>
      <x:c r="D9" s="110" t="n">
        <x:v>85.5659954522486</x:v>
      </x:c>
      <x:c r="E9" s="110" t="n">
        <x:v>85.5659954522486</x:v>
      </x:c>
      <x:c r="F9" s="110" t="n">
        <x:v>85.5659954522486</x:v>
      </x:c>
      <x:c r="G9" s="110" t="n">
        <x:v>85.5659954522486</x:v>
      </x:c>
      <x:c r="H9" s="48" t="n">
        <x:f>AVERAGE(D9:G9)</x:f>
        <x:v>85.5659954522486</x:v>
      </x:c>
      <x:c r="I9" s="48" t="n">
        <x:f>(H9-C9)*0.15</x:f>
        <x:v>0</x:v>
      </x:c>
      <x:c r="J9" t="str">
        <x:v>Replace defaults with verified college metrics.</x:v>
      </x:c>
      <x:c r="K9" t="str"/>
      <x:c r="L9" t="str">
        <x:v>YES</x:v>
      </x:c>
    </x:row>
    <x:row r="10">
      <x:c r="A10" t="str">
        <x:v>KC Concepcion</x:v>
      </x:c>
      <x:c r="B10" t="str">
        <x:v>WR</x:v>
      </x:c>
      <x:c r="C10" s="48" t="n">
        <x:v>85.30674835775645</x:v>
      </x:c>
      <x:c r="D10" s="110" t="n">
        <x:v>85.30674835775645</x:v>
      </x:c>
      <x:c r="E10" s="110" t="n">
        <x:v>85.30674835775645</x:v>
      </x:c>
      <x:c r="F10" s="110" t="n">
        <x:v>85.30674835775645</x:v>
      </x:c>
      <x:c r="G10" s="110" t="n">
        <x:v>85.30674835775645</x:v>
      </x:c>
      <x:c r="H10" s="48" t="n">
        <x:f>AVERAGE(D10:G10)</x:f>
        <x:v>85.30674835775645</x:v>
      </x:c>
      <x:c r="I10" s="48" t="n">
        <x:f>(H10-C10)*0.15</x:f>
        <x:v>0</x:v>
      </x:c>
      <x:c r="J10" t="str">
        <x:v>Replace defaults with verified college metrics.</x:v>
      </x:c>
      <x:c r="K10" t="str"/>
      <x:c r="L10" t="str">
        <x:v>YES</x:v>
      </x:c>
    </x:row>
    <x:row r="11">
      <x:c r="A11" t="str">
        <x:v>Kenyon Sadiq</x:v>
      </x:c>
      <x:c r="B11" t="str">
        <x:v>TE</x:v>
      </x:c>
      <x:c r="C11" s="48" t="n">
        <x:v>86.56531328954017</x:v>
      </x:c>
      <x:c r="D11" s="110" t="n">
        <x:v>86.56531328954017</x:v>
      </x:c>
      <x:c r="E11" s="110" t="n">
        <x:v>86.56531328954017</x:v>
      </x:c>
      <x:c r="F11" s="110" t="n">
        <x:v>86.56531328954017</x:v>
      </x:c>
      <x:c r="G11" s="110" t="n">
        <x:v>86.56531328954017</x:v>
      </x:c>
      <x:c r="H11" s="48" t="n">
        <x:f>AVERAGE(D11:G11)</x:f>
        <x:v>86.56531328954017</x:v>
      </x:c>
      <x:c r="I11" s="48" t="n">
        <x:f>(H11-C11)*0.15</x:f>
        <x:v>0</x:v>
      </x:c>
      <x:c r="J11" t="str">
        <x:v>Replace defaults with verified college metrics.</x:v>
      </x:c>
      <x:c r="K11" t="str"/>
      <x:c r="L11" t="str">
        <x:v>YES</x:v>
      </x:c>
    </x:row>
    <x:row r="12">
      <x:c r="A12" t="str">
        <x:v>Omar Cooper Jr.</x:v>
      </x:c>
      <x:c r="B12" t="str">
        <x:v>WR</x:v>
      </x:c>
      <x:c r="C12" s="48" t="n">
        <x:v>82.1428322385043</x:v>
      </x:c>
      <x:c r="D12" s="110" t="n">
        <x:v>82.1428322385043</x:v>
      </x:c>
      <x:c r="E12" s="110" t="n">
        <x:v>82.1428322385043</x:v>
      </x:c>
      <x:c r="F12" s="110" t="n">
        <x:v>82.1428322385043</x:v>
      </x:c>
      <x:c r="G12" s="110" t="n">
        <x:v>82.1428322385043</x:v>
      </x:c>
      <x:c r="H12" s="48" t="n">
        <x:f>AVERAGE(D12:G12)</x:f>
        <x:v>82.1428322385043</x:v>
      </x:c>
      <x:c r="I12" s="48" t="n">
        <x:f>(H12-C12)*0.15</x:f>
        <x:v>0</x:v>
      </x:c>
      <x:c r="J12" t="str">
        <x:v>Replace defaults with verified college metrics.</x:v>
      </x:c>
      <x:c r="K12" t="str"/>
      <x:c r="L12" t="str">
        <x:v>YES</x:v>
      </x:c>
    </x:row>
    <x:row r="13">
      <x:c r="A13" t="str">
        <x:v>Denzel Boston</x:v>
      </x:c>
      <x:c r="B13" t="str">
        <x:v>WR</x:v>
      </x:c>
      <x:c r="C13" s="48" t="n">
        <x:v>79.28</x:v>
      </x:c>
      <x:c r="D13" s="110" t="n">
        <x:v>79.28</x:v>
      </x:c>
      <x:c r="E13" s="110" t="n">
        <x:v>79.28</x:v>
      </x:c>
      <x:c r="F13" s="110" t="n">
        <x:v>79.28</x:v>
      </x:c>
      <x:c r="G13" s="110" t="n">
        <x:v>79.28</x:v>
      </x:c>
      <x:c r="H13" s="48" t="n">
        <x:f>AVERAGE(D13:G13)</x:f>
        <x:v>79.28</x:v>
      </x:c>
      <x:c r="I13" s="48" t="n">
        <x:f>(H13-C13)*0.15</x:f>
        <x:v>0</x:v>
      </x:c>
      <x:c r="J13" t="str">
        <x:v>Replace defaults with verified college metrics.</x:v>
      </x:c>
      <x:c r="K13" t="str"/>
      <x:c r="L13" t="str">
        <x:v>YES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1.5" hidden="0" customWidth="1"/>
    <x:col min="2" max="2" width="7.380000114440918" hidden="0" customWidth="1"/>
    <x:col min="3" max="3" width="25" hidden="0" customWidth="1"/>
    <x:col min="4" max="4" width="9.380000114440918" hidden="0" customWidth="1"/>
    <x:col min="5" max="5" width="9.380000114440918" hidden="0" customWidth="1"/>
    <x:col min="6" max="6" width="9.130000114440918" hidden="0" customWidth="1"/>
    <x:col min="7" max="7" width="12.630000114440918" hidden="0" customWidth="1"/>
    <x:col min="8" max="8" width="14.75" hidden="0" customWidth="1"/>
    <x:col min="9" max="9" width="15.75" hidden="0" customWidth="1"/>
    <x:col min="10" max="10" width="4.880000114440918" hidden="0" customWidth="1"/>
    <x:col min="11" max="11" width="9.380000114440918" hidden="0" customWidth="1"/>
    <x:col min="12" max="12" width="11" hidden="0" customWidth="1"/>
    <x:col min="13" max="13" width="10.5" hidden="0" customWidth="1"/>
    <x:col min="14" max="14" width="9" hidden="0" customWidth="1"/>
    <x:col min="15" max="15" width="13.630000114440918" hidden="0" customWidth="1"/>
    <x:col min="16" max="16" width="17.5" hidden="0" customWidth="1"/>
    <x:col min="17" max="17" width="8.380000114440918" hidden="0" customWidth="1"/>
    <x:col min="18" max="18" width="4.5" hidden="0" customWidth="1"/>
    <x:col min="19" max="19" width="6.380000114440918" hidden="0" customWidth="1"/>
    <x:col min="20" max="20" width="5.630000114440918" hidden="0" customWidth="1"/>
    <x:col min="21" max="21" width="9.130000114440918" hidden="0" customWidth="1"/>
    <x:col min="22" max="22" width="22" hidden="0" customWidth="1"/>
    <x:col min="23" max="23" width="9.25" hidden="0" customWidth="1"/>
    <x:col min="24" max="24" width="11.75" hidden="0" customWidth="1"/>
    <x:col min="25" max="25" width="70" hidden="0" customWidth="1"/>
    <x:col min="26" max="26" width="44" hidden="0" customWidth="1"/>
  </x:cols>
  <x:sheetData>
    <x:row r="1">
      <x:c r="A1" s="100" t="str">
        <x:v>2026 Fantasy Football Draft Engine — 10-Team Default / Fully Editable</x:v>
      </x:c>
      <x:c r="Y1"/>
    </x:row>
    <x:row r="2">
      <x:c r="A2" s="103" t="str">
        <x:v>Final live draft tool. Edit league settings, ADP, manual news adjustments or player status; the Summary column explains expectation, reasoning and risk.</x:v>
      </x:c>
      <x:c r="Y2"/>
    </x:row>
    <x:row r="3">
      <x:c r="Y3"/>
    </x:row>
    <x:row r="4">
      <x:c r="A4" s="108" t="str">
        <x:v>Pos</x:v>
      </x:c>
      <x:c r="B4" s="108" t="str">
        <x:v>Pos Rank</x:v>
      </x:c>
      <x:c r="C4" s="108" t="str">
        <x:v>Player</x:v>
      </x:c>
      <x:c r="D4" s="108" t="str">
        <x:v>Base Rating</x:v>
      </x:c>
      <x:c r="E4" s="108" t="str">
        <x:v>Manual Adj</x:v>
      </x:c>
      <x:c r="F4" s="108" t="str">
        <x:v>College Adj</x:v>
      </x:c>
      <x:c r="G4" s="108" t="str">
        <x:v>Adjusted Rating</x:v>
      </x:c>
      <x:c r="H4" s="108" t="str">
        <x:v>Replacement Rank</x:v>
      </x:c>
      <x:c r="I4" s="108" t="str">
        <x:v>Replacement Rating</x:v>
      </x:c>
      <x:c r="J4" s="108" t="str">
        <x:v>VORP</x:v>
      </x:c>
      <x:c r="K4" s="108" t="str">
        <x:v>VORP Score</x:v>
      </x:c>
      <x:c r="L4" s="108" t="str">
        <x:v>Scarcity Score</x:v>
      </x:c>
      <x:c r="M4" s="108" t="str">
        <x:v>Draft Penalty</x:v>
      </x:c>
      <x:c r="N4" s="108" t="str">
        <x:v>Draft Score</x:v>
      </x:c>
      <x:c r="O4" s="108" t="str">
        <x:v>Live Overall Rank</x:v>
      </x:c>
      <x:c r="P4" s="108" t="str">
        <x:v>Market ADP (Editable)</x:v>
      </x:c>
      <x:c r="Q4" s="108" t="str">
        <x:v>Draft Edge</x:v>
      </x:c>
      <x:c r="R4" s="108" t="str">
        <x:v>Floor</x:v>
      </x:c>
      <x:c r="S4" s="108" t="str">
        <x:v>Median</x:v>
      </x:c>
      <x:c r="T4" s="108" t="str">
        <x:v>Ceiling</x:v>
      </x:c>
      <x:c r="U4" s="108" t="str">
        <x:v>Confidence</x:v>
      </x:c>
      <x:c r="V4" s="108" t="str">
        <x:v>Model Path</x:v>
      </x:c>
      <x:c r="W4" s="108" t="str">
        <x:v>Status</x:v>
      </x:c>
      <x:c r="X4" s="108" t="str">
        <x:v>Available Rank</x:v>
      </x:c>
      <x:c r="Y4" s="108"/>
      <x:c r="Z4" s="108" t="str">
        <x:v>Source</x:v>
      </x:c>
    </x:row>
    <x:row r="5">
      <x:c r="A5" t="str">
        <x:v>QB</x:v>
      </x:c>
      <x:c r="B5" t="n">
        <x:v>1</x:v>
      </x:c>
      <x:c r="C5" t="str">
        <x:v>Josh Allen</x:v>
      </x:c>
      <x:c r="D5" s="48" t="n">
        <x:v>97.30987910633218</x:v>
      </x:c>
      <x:c r="E5" s="48" t="n">
        <x:f>SUMIFS('Manual Adjustments'!$G$5:$G$227,'Manual Adjustments'!$A$5:$A$227,A5,'Manual Adjustments'!$B$5:$B$227,C5)</x:f>
        <x:v>0</x:v>
      </x:c>
      <x:c r="F5" s="48" t="n">
        <x:f>IFERROR(SUMIFS('Rookie College Inputs'!$I$5:$I$13,'Rookie College Inputs'!$A$5:$A$13,C5),0)</x:f>
        <x:v>0</x:v>
      </x:c>
      <x:c r="G5" s="48" t="n">
        <x:f>MAX(40,MIN(100,D5+E5+F5))</x:f>
        <x:v>97.30987910633218</x:v>
      </x:c>
      <x:c r="H5" t="n">
        <x:f>IF(A5="QB",'League Config'!$H$5,IF(A5="RB",'League Config'!$H$6,IF(A5="WR",'League Config'!$H$7,IF(A5="TE",'League Config'!$H$8,IF(A5="K",'League Config'!$H$9,'League Config'!$H$10)))))</x:f>
        <x:v>13</x:v>
      </x:c>
      <x:c r="I5" s="48" t="n">
        <x:f>IF(A5="QB",'League Config'!$F$14,IF(A5="RB",'League Config'!$F$15,IF(A5="WR",'League Config'!$F$16,IF(A5="TE",'League Config'!$F$17,IF(A5="K",'League Config'!$F$18,'League Config'!$F$19)))))</x:f>
        <x:v>84.69210205685258</x:v>
      </x:c>
      <x:c r="J5" s="48" t="n">
        <x:f>G5-I5</x:f>
        <x:v>12.6177770494796</x:v>
      </x:c>
      <x:c r="K5" s="48" t="n">
        <x:f>MAX(0,MIN(100,50+J5*6))</x:f>
        <x:v>100</x:v>
      </x:c>
      <x:c r="L5" s="48" t="n">
        <x:f>MIN(100,MAX(0,MIN(100,(1-(B5-1)/(H5*1.5))*100))*IF(A5="QB",'League Config'!$G$14,IF(A5="RB",'League Config'!$G$15,IF(A5="WR",'League Config'!$G$16,IF(A5="TE",'League Config'!$G$17,IF(A5="K",'League Config'!$G$18,'League Config'!$G$19))))))</x:f>
        <x:v>100</x:v>
      </x:c>
      <x:c r="M5" t="n">
        <x:f>IF(A5="K",'League Config'!$B$15,IF(A5="DST",'League Config'!$B$16,IF(A5="QB",'League Config'!$B$17,0)))</x:f>
        <x:v>3</x:v>
      </x:c>
      <x:c r="N5" s="48" t="n">
        <x:f>MIN(100,MAX(0,0.55*G5+0.30*K5+0.15*L5-M5))</x:f>
        <x:v>95.52043350848271</x:v>
      </x:c>
      <x:c r="O5" t="n">
        <x:f>RANK.EQ(N5,$N$5:$N$227,0)</x:f>
        <x:v>10</x:v>
      </x:c>
      <x:c r="P5" s="110" t="n">
        <x:v>23</x:v>
      </x:c>
      <x:c r="Q5" s="48" t="n">
        <x:f>P5-O5</x:f>
        <x:v>13</x:v>
      </x:c>
      <x:c r="R5" s="48" t="n">
        <x:f>MAX(40,G5-IF(U5="A",6,IF(U5="B",9,12)))</x:f>
        <x:v>91.30987910633218</x:v>
      </x:c>
      <x:c r="S5" s="48" t="n">
        <x:f>G5</x:f>
        <x:v>97.30987910633218</x:v>
      </x:c>
      <x:c r="T5" s="48" t="n">
        <x:f>MIN(100,G5+IF(U5="A",6,IF(U5="B",9,12)))</x:f>
        <x:v>100</x:v>
      </x:c>
      <x:c r="U5" t="str">
        <x:v>A</x:v>
      </x:c>
      <x:c r="V5" t="str">
        <x:v>RATE-ADJUSTED VETERAN</x:v>
      </x:c>
      <x:c r="W5" s="109" t="str">
        <x:v>Available</x:v>
      </x:c>
      <x:c r="X5" t="n">
        <x:f>IF(W5&lt;&gt;"Available","",1+COUNTIFS($W$5:$W$227,"Available",$N$5:$N$227,"&gt;"&amp;N5))</x:f>
        <x:v>10</x:v>
      </x:c>
      <x:c r="Y5" s="98" t="str">
        <x:v>EXPECTATION: Elite QB1; weekly top-5 expectation with overall QB1 upside.  WHY: He produced 22.0 PPR/FP points per game across 17 games. The workload/efficiency profile gives the model a rate-based reason to keep him here. Market price is favorable around ADP 23 versus model overall rank 10.  RISK: Passing-TD efficiency, rushing volume and supporting-cast health are the main swing factors.</x:v>
      </x:c>
      <x:c r="Z5" t="str">
        <x:v>https://www.fantasypros.com/nfl/adp/ppr-overall.php</x:v>
      </x:c>
    </x:row>
    <x:row r="6">
      <x:c r="A6" t="str">
        <x:v>QB</x:v>
      </x:c>
      <x:c r="B6" t="n">
        <x:v>2</x:v>
      </x:c>
      <x:c r="C6" t="str">
        <x:v>Caleb Williams</x:v>
      </x:c>
      <x:c r="D6" s="48" t="n">
        <x:v>92.1926680327037</x:v>
      </x:c>
      <x:c r="E6" s="48" t="n">
        <x:f>SUMIFS('Manual Adjustments'!$G$5:$G$227,'Manual Adjustments'!$A$5:$A$227,A6,'Manual Adjustments'!$B$5:$B$227,C6)</x:f>
        <x:v>0</x:v>
      </x:c>
      <x:c r="F6" s="48" t="n">
        <x:f>IFERROR(SUMIFS('Rookie College Inputs'!$I$5:$I$13,'Rookie College Inputs'!$A$5:$A$13,C6),0)</x:f>
        <x:v>0</x:v>
      </x:c>
      <x:c r="G6" s="48" t="n">
        <x:f>MAX(40,MIN(100,D6+E6+F6))</x:f>
        <x:v>92.1926680327037</x:v>
      </x:c>
      <x:c r="H6" t="n">
        <x:f>IF(A6="QB",'League Config'!$H$5,IF(A6="RB",'League Config'!$H$6,IF(A6="WR",'League Config'!$H$7,IF(A6="TE",'League Config'!$H$8,IF(A6="K",'League Config'!$H$9,'League Config'!$H$10)))))</x:f>
        <x:v>13</x:v>
      </x:c>
      <x:c r="I6" s="48" t="n">
        <x:f>IF(A6="QB",'League Config'!$F$14,IF(A6="RB",'League Config'!$F$15,IF(A6="WR",'League Config'!$F$16,IF(A6="TE",'League Config'!$F$17,IF(A6="K",'League Config'!$F$18,'League Config'!$F$19)))))</x:f>
        <x:v>84.69210205685258</x:v>
      </x:c>
      <x:c r="J6" s="48" t="n">
        <x:f>G6-I6</x:f>
        <x:v>7.500565975851117</x:v>
      </x:c>
      <x:c r="K6" s="48" t="n">
        <x:f>MAX(0,MIN(100,50+J6*6))</x:f>
        <x:v>95.0033958551067</x:v>
      </x:c>
      <x:c r="L6" s="48" t="n">
        <x:f>MIN(100,MAX(0,MIN(100,(1-(B6-1)/(H6*1.5))*100))*IF(A6="QB",'League Config'!$G$14,IF(A6="RB",'League Config'!$G$15,IF(A6="WR",'League Config'!$G$16,IF(A6="TE",'League Config'!$G$17,IF(A6="K",'League Config'!$G$18,'League Config'!$G$19))))))</x:f>
        <x:v>94.87179487179486</x:v>
      </x:c>
      <x:c r="M6" t="n">
        <x:f>IF(A6="K",'League Config'!$B$15,IF(A6="DST",'League Config'!$B$16,IF(A6="QB",'League Config'!$B$17,0)))</x:f>
        <x:v>3</x:v>
      </x:c>
      <x:c r="N6" s="48" t="n">
        <x:f>MIN(100,MAX(0,0.55*G6+0.30*K6+0.15*L6-M6))</x:f>
        <x:v>90.43775540528827</x:v>
      </x:c>
      <x:c r="O6" t="n">
        <x:f>RANK.EQ(N6,$N$5:$N$227,0)</x:f>
        <x:v>27</x:v>
      </x:c>
      <x:c r="P6" s="110" t="n">
        <x:v>30</x:v>
      </x:c>
      <x:c r="Q6" s="48" t="n">
        <x:f>P6-O6</x:f>
        <x:v>3</x:v>
      </x:c>
      <x:c r="R6" s="48" t="n">
        <x:f>MAX(40,G6-IF(U6="A",6,IF(U6="B",9,12)))</x:f>
        <x:v>86.1926680327037</x:v>
      </x:c>
      <x:c r="S6" s="48" t="n">
        <x:f>G6</x:f>
        <x:v>92.1926680327037</x:v>
      </x:c>
      <x:c r="T6" s="48" t="n">
        <x:f>MIN(100,G6+IF(U6="A",6,IF(U6="B",9,12)))</x:f>
        <x:v>98.1926680327037</x:v>
      </x:c>
      <x:c r="U6" t="str">
        <x:v>A</x:v>
      </x:c>
      <x:c r="V6" t="str">
        <x:v>RATE-ADJUSTED VETERAN</x:v>
      </x:c>
      <x:c r="W6" s="109" t="str">
        <x:v>Available</x:v>
      </x:c>
      <x:c r="X6" t="n">
        <x:f>IF(W6&lt;&gt;"Available","",1+COUNTIFS($W$5:$W$227,"Available",$N$5:$N$227,"&gt;"&amp;N6))</x:f>
        <x:v>27</x:v>
      </x:c>
      <x:c r="Y6" s="98" t="str">
        <x:v>EXPECTATION: Elite QB1; weekly top-5 expectation with overall QB1 upside.  WHY: He produced 19.0 PPR/FP points per game across 17 games. The workload/efficiency profile gives the model a rate-based reason to keep him here.  RISK: Passing-TD efficiency, rushing volume and supporting-cast health are the main swing factors.</x:v>
      </x:c>
      <x:c r="Z6" t="str">
        <x:v>ADP proxy — editable; based on positional draft cost</x:v>
      </x:c>
    </x:row>
    <x:row r="7">
      <x:c r="A7" t="str">
        <x:v>QB</x:v>
      </x:c>
      <x:c r="B7" t="n">
        <x:v>3</x:v>
      </x:c>
      <x:c r="C7" t="str">
        <x:v>Drake Maye</x:v>
      </x:c>
      <x:c r="D7" s="48" t="n">
        <x:v>91.04298794920528</x:v>
      </x:c>
      <x:c r="E7" s="48" t="n">
        <x:f>SUMIFS('Manual Adjustments'!$G$5:$G$227,'Manual Adjustments'!$A$5:$A$227,A7,'Manual Adjustments'!$B$5:$B$227,C7)</x:f>
        <x:v>0</x:v>
      </x:c>
      <x:c r="F7" s="48" t="n">
        <x:f>IFERROR(SUMIFS('Rookie College Inputs'!$I$5:$I$13,'Rookie College Inputs'!$A$5:$A$13,C7),0)</x:f>
        <x:v>0</x:v>
      </x:c>
      <x:c r="G7" s="48" t="n">
        <x:f>MAX(40,MIN(100,D7+E7+F7))</x:f>
        <x:v>91.04298794920528</x:v>
      </x:c>
      <x:c r="H7" t="n">
        <x:f>IF(A7="QB",'League Config'!$H$5,IF(A7="RB",'League Config'!$H$6,IF(A7="WR",'League Config'!$H$7,IF(A7="TE",'League Config'!$H$8,IF(A7="K",'League Config'!$H$9,'League Config'!$H$10)))))</x:f>
        <x:v>13</x:v>
      </x:c>
      <x:c r="I7" s="48" t="n">
        <x:f>IF(A7="QB",'League Config'!$F$14,IF(A7="RB",'League Config'!$F$15,IF(A7="WR",'League Config'!$F$16,IF(A7="TE",'League Config'!$F$17,IF(A7="K",'League Config'!$F$18,'League Config'!$F$19)))))</x:f>
        <x:v>84.69210205685258</x:v>
      </x:c>
      <x:c r="J7" s="48" t="n">
        <x:f>G7-I7</x:f>
        <x:v>6.350885892352707</x:v>
      </x:c>
      <x:c r="K7" s="48" t="n">
        <x:f>MAX(0,MIN(100,50+J7*6))</x:f>
        <x:v>88.10531535411624</x:v>
      </x:c>
      <x:c r="L7" s="48" t="n">
        <x:f>MIN(100,MAX(0,MIN(100,(1-(B7-1)/(H7*1.5))*100))*IF(A7="QB",'League Config'!$G$14,IF(A7="RB",'League Config'!$G$15,IF(A7="WR",'League Config'!$G$16,IF(A7="TE",'League Config'!$G$17,IF(A7="K",'League Config'!$G$18,'League Config'!$G$19))))))</x:f>
        <x:v>89.74358974358975</x:v>
      </x:c>
      <x:c r="M7" t="n">
        <x:f>IF(A7="K",'League Config'!$B$15,IF(A7="DST",'League Config'!$B$16,IF(A7="QB",'League Config'!$B$17,0)))</x:f>
        <x:v>3</x:v>
      </x:c>
      <x:c r="N7" s="48" t="n">
        <x:f>MIN(100,MAX(0,0.55*G7+0.30*K7+0.15*L7-M7))</x:f>
        <x:v>86.96677643983625</x:v>
      </x:c>
      <x:c r="O7" t="n">
        <x:f>RANK.EQ(N7,$N$5:$N$227,0)</x:f>
        <x:v>41</x:v>
      </x:c>
      <x:c r="P7" s="110" t="n">
        <x:v>38</x:v>
      </x:c>
      <x:c r="Q7" s="48" t="n">
        <x:f>P7-O7</x:f>
        <x:v>-3</x:v>
      </x:c>
      <x:c r="R7" s="48" t="n">
        <x:f>MAX(40,G7-IF(U7="A",6,IF(U7="B",9,12)))</x:f>
        <x:v>85.04298794920528</x:v>
      </x:c>
      <x:c r="S7" s="48" t="n">
        <x:f>G7</x:f>
        <x:v>91.04298794920528</x:v>
      </x:c>
      <x:c r="T7" s="48" t="n">
        <x:f>MIN(100,G7+IF(U7="A",6,IF(U7="B",9,12)))</x:f>
        <x:v>97.04298794920528</x:v>
      </x:c>
      <x:c r="U7" t="str">
        <x:v>A</x:v>
      </x:c>
      <x:c r="V7" t="str">
        <x:v>RATE-ADJUSTED VETERAN</x:v>
      </x:c>
      <x:c r="W7" s="109" t="str">
        <x:v>Available</x:v>
      </x:c>
      <x:c r="X7" t="n">
        <x:f>IF(W7&lt;&gt;"Available","",1+COUNTIFS($W$5:$W$227,"Available",$N$5:$N$227,"&gt;"&amp;N7))</x:f>
        <x:v>41</x:v>
      </x:c>
      <x:c r="Y7" s="98" t="str">
        <x:v>EXPECTATION: Elite QB1; weekly top-5 expectation with overall QB1 upside.  WHY: He produced 21.1 PPR/FP points per game across 17 games. The workload/efficiency profile gives the model a rate-based reason to keep him here.  RISK: Passing-TD efficiency, rushing volume and supporting-cast health are the main swing factors.</x:v>
      </x:c>
      <x:c r="Z7" t="str">
        <x:v>ADP proxy — editable; based on positional draft cost</x:v>
      </x:c>
    </x:row>
    <x:row r="8">
      <x:c r="A8" t="str">
        <x:v>QB</x:v>
      </x:c>
      <x:c r="B8" t="n">
        <x:v>4</x:v>
      </x:c>
      <x:c r="C8" t="str">
        <x:v>Justin Herbert</x:v>
      </x:c>
      <x:c r="D8" s="48" t="n">
        <x:v>90.11691162251876</x:v>
      </x:c>
      <x:c r="E8" s="48" t="n">
        <x:f>SUMIFS('Manual Adjustments'!$G$5:$G$227,'Manual Adjustments'!$A$5:$A$227,A8,'Manual Adjustments'!$B$5:$B$227,C8)</x:f>
        <x:v>0</x:v>
      </x:c>
      <x:c r="F8" s="48" t="n">
        <x:f>IFERROR(SUMIFS('Rookie College Inputs'!$I$5:$I$13,'Rookie College Inputs'!$A$5:$A$13,C8),0)</x:f>
        <x:v>0</x:v>
      </x:c>
      <x:c r="G8" s="48" t="n">
        <x:f>MAX(40,MIN(100,D8+E8+F8))</x:f>
        <x:v>90.11691162251876</x:v>
      </x:c>
      <x:c r="H8" t="n">
        <x:f>IF(A8="QB",'League Config'!$H$5,IF(A8="RB",'League Config'!$H$6,IF(A8="WR",'League Config'!$H$7,IF(A8="TE",'League Config'!$H$8,IF(A8="K",'League Config'!$H$9,'League Config'!$H$10)))))</x:f>
        <x:v>13</x:v>
      </x:c>
      <x:c r="I8" s="48" t="n">
        <x:f>IF(A8="QB",'League Config'!$F$14,IF(A8="RB",'League Config'!$F$15,IF(A8="WR",'League Config'!$F$16,IF(A8="TE",'League Config'!$F$17,IF(A8="K",'League Config'!$F$18,'League Config'!$F$19)))))</x:f>
        <x:v>84.69210205685258</x:v>
      </x:c>
      <x:c r="J8" s="48" t="n">
        <x:f>G8-I8</x:f>
        <x:v>5.42480956566618</x:v>
      </x:c>
      <x:c r="K8" s="48" t="n">
        <x:f>MAX(0,MIN(100,50+J8*6))</x:f>
        <x:v>82.54885739399708</x:v>
      </x:c>
      <x:c r="L8" s="48" t="n">
        <x:f>MIN(100,MAX(0,MIN(100,(1-(B8-1)/(H8*1.5))*100))*IF(A8="QB",'League Config'!$G$14,IF(A8="RB",'League Config'!$G$15,IF(A8="WR",'League Config'!$G$16,IF(A8="TE",'League Config'!$G$17,IF(A8="K",'League Config'!$G$18,'League Config'!$G$19))))))</x:f>
        <x:v>84.61538461538461</x:v>
      </x:c>
      <x:c r="M8" t="n">
        <x:f>IF(A8="K",'League Config'!$B$15,IF(A8="DST",'League Config'!$B$16,IF(A8="QB",'League Config'!$B$17,0)))</x:f>
        <x:v>3</x:v>
      </x:c>
      <x:c r="N8" s="48" t="n">
        <x:f>MIN(100,MAX(0,0.55*G8+0.30*K8+0.15*L8-M8))</x:f>
        <x:v>84.02126630289213</x:v>
      </x:c>
      <x:c r="O8" t="n">
        <x:f>RANK.EQ(N8,$N$5:$N$227,0)</x:f>
        <x:v>48</x:v>
      </x:c>
      <x:c r="P8" s="110" t="n">
        <x:v>46</x:v>
      </x:c>
      <x:c r="Q8" s="48" t="n">
        <x:f>P8-O8</x:f>
        <x:v>-2</x:v>
      </x:c>
      <x:c r="R8" s="48" t="n">
        <x:f>MAX(40,G8-IF(U8="A",6,IF(U8="B",9,12)))</x:f>
        <x:v>84.11691162251876</x:v>
      </x:c>
      <x:c r="S8" s="48" t="n">
        <x:f>G8</x:f>
        <x:v>90.11691162251876</x:v>
      </x:c>
      <x:c r="T8" s="48" t="n">
        <x:f>MIN(100,G8+IF(U8="A",6,IF(U8="B",9,12)))</x:f>
        <x:v>96.11691162251876</x:v>
      </x:c>
      <x:c r="U8" t="str">
        <x:v>A</x:v>
      </x:c>
      <x:c r="V8" t="str">
        <x:v>RATE-ADJUSTED VETERAN</x:v>
      </x:c>
      <x:c r="W8" s="109" t="str">
        <x:v>Available</x:v>
      </x:c>
      <x:c r="X8" t="n">
        <x:f>IF(W8&lt;&gt;"Available","",1+COUNTIFS($W$5:$W$227,"Available",$N$5:$N$227,"&gt;"&amp;N8))</x:f>
        <x:v>48</x:v>
      </x:c>
      <x:c r="Y8" s="98" t="str">
        <x:v>EXPECTATION: Strong every-week QB1; frequent top-8 finishes expected.  WHY: He produced 18.7 PPR/FP points per game across 16 games. The workload/efficiency profile gives the model a rate-based reason to keep him here.  RISK: Passing-TD efficiency, rushing volume and supporting-cast health are the main swing factors.</x:v>
      </x:c>
      <x:c r="Z8" t="str">
        <x:v>ADP proxy — editable; based on positional draft cost</x:v>
      </x:c>
    </x:row>
    <x:row r="9">
      <x:c r="A9" t="str">
        <x:v>QB</x:v>
      </x:c>
      <x:c r="B9" t="n">
        <x:v>5</x:v>
      </x:c>
      <x:c r="C9" t="str">
        <x:v>Lamar Jackson</x:v>
      </x:c>
      <x:c r="D9" s="48" t="n">
        <x:v>88.71118360968082</x:v>
      </x:c>
      <x:c r="E9" s="48" t="n">
        <x:f>SUMIFS('Manual Adjustments'!$G$5:$G$227,'Manual Adjustments'!$A$5:$A$227,A9,'Manual Adjustments'!$B$5:$B$227,C9)</x:f>
        <x:v>0</x:v>
      </x:c>
      <x:c r="F9" s="48" t="n">
        <x:f>IFERROR(SUMIFS('Rookie College Inputs'!$I$5:$I$13,'Rookie College Inputs'!$A$5:$A$13,C9),0)</x:f>
        <x:v>0</x:v>
      </x:c>
      <x:c r="G9" s="48" t="n">
        <x:f>MAX(40,MIN(100,D9+E9+F9))</x:f>
        <x:v>88.71118360968082</x:v>
      </x:c>
      <x:c r="H9" t="n">
        <x:f>IF(A9="QB",'League Config'!$H$5,IF(A9="RB",'League Config'!$H$6,IF(A9="WR",'League Config'!$H$7,IF(A9="TE",'League Config'!$H$8,IF(A9="K",'League Config'!$H$9,'League Config'!$H$10)))))</x:f>
        <x:v>13</x:v>
      </x:c>
      <x:c r="I9" s="48" t="n">
        <x:f>IF(A9="QB",'League Config'!$F$14,IF(A9="RB",'League Config'!$F$15,IF(A9="WR",'League Config'!$F$16,IF(A9="TE",'League Config'!$F$17,IF(A9="K",'League Config'!$F$18,'League Config'!$F$19)))))</x:f>
        <x:v>84.69210205685258</x:v>
      </x:c>
      <x:c r="J9" s="48" t="n">
        <x:f>G9-I9</x:f>
        <x:v>4.01908155282824</x:v>
      </x:c>
      <x:c r="K9" s="48" t="n">
        <x:f>MAX(0,MIN(100,50+J9*6))</x:f>
        <x:v>74.11448931696944</x:v>
      </x:c>
      <x:c r="L9" s="48" t="n">
        <x:f>MIN(100,MAX(0,MIN(100,(1-(B9-1)/(H9*1.5))*100))*IF(A9="QB",'League Config'!$G$14,IF(A9="RB",'League Config'!$G$15,IF(A9="WR",'League Config'!$G$16,IF(A9="TE",'League Config'!$G$17,IF(A9="K",'League Config'!$G$18,'League Config'!$G$19))))))</x:f>
        <x:v>79.48717948717949</x:v>
      </x:c>
      <x:c r="M9" t="n">
        <x:f>IF(A9="K",'League Config'!$B$15,IF(A9="DST",'League Config'!$B$16,IF(A9="QB",'League Config'!$B$17,0)))</x:f>
        <x:v>3</x:v>
      </x:c>
      <x:c r="N9" s="48" t="n">
        <x:f>MIN(100,MAX(0,0.55*G9+0.30*K9+0.15*L9-M9))</x:f>
        <x:v>79.9485747034922</x:v>
      </x:c>
      <x:c r="O9" t="n">
        <x:f>RANK.EQ(N9,$N$5:$N$227,0)</x:f>
        <x:v>55</x:v>
      </x:c>
      <x:c r="P9" s="110" t="n">
        <x:v>54</x:v>
      </x:c>
      <x:c r="Q9" s="48" t="n">
        <x:f>P9-O9</x:f>
        <x:v>-1</x:v>
      </x:c>
      <x:c r="R9" s="48" t="n">
        <x:f>MAX(40,G9-IF(U9="A",6,IF(U9="B",9,12)))</x:f>
        <x:v>82.71118360968082</x:v>
      </x:c>
      <x:c r="S9" s="48" t="n">
        <x:f>G9</x:f>
        <x:v>88.71118360968082</x:v>
      </x:c>
      <x:c r="T9" s="48" t="n">
        <x:f>MIN(100,G9+IF(U9="A",6,IF(U9="B",9,12)))</x:f>
        <x:v>94.71118360968082</x:v>
      </x:c>
      <x:c r="U9" t="str">
        <x:v>A</x:v>
      </x:c>
      <x:c r="V9" t="str">
        <x:v>RATE-ADJUSTED VETERAN</x:v>
      </x:c>
      <x:c r="W9" s="109" t="str">
        <x:v>Available</x:v>
      </x:c>
      <x:c r="X9" t="n">
        <x:f>IF(W9&lt;&gt;"Available","",1+COUNTIFS($W$5:$W$227,"Available",$N$5:$N$227,"&gt;"&amp;N9))</x:f>
        <x:v>55</x:v>
      </x:c>
      <x:c r="Y9" s="98" t="str">
        <x:v>EXPECTATION: Strong every-week QB1; frequent top-8 finishes expected.  WHY: He produced 17.1 PPR/FP points per game across 13 games. The workload/efficiency profile gives the model a rate-based reason to keep him here.  RISK: Passing-TD efficiency, rushing volume and supporting-cast health are the main swing factors.</x:v>
      </x:c>
      <x:c r="Z9" t="str">
        <x:v>ADP proxy — editable; based on positional draft cost</x:v>
      </x:c>
    </x:row>
    <x:row r="10">
      <x:c r="A10" t="str">
        <x:v>QB</x:v>
      </x:c>
      <x:c r="B10" t="n">
        <x:v>6</x:v>
      </x:c>
      <x:c r="C10" t="str">
        <x:v>Jalen Hurts</x:v>
      </x:c>
      <x:c r="D10" s="48" t="n">
        <x:v>88.44992587495246</x:v>
      </x:c>
      <x:c r="E10" s="48" t="n">
        <x:f>SUMIFS('Manual Adjustments'!$G$5:$G$227,'Manual Adjustments'!$A$5:$A$227,A10,'Manual Adjustments'!$B$5:$B$227,C10)</x:f>
        <x:v>0</x:v>
      </x:c>
      <x:c r="F10" s="48" t="n">
        <x:f>IFERROR(SUMIFS('Rookie College Inputs'!$I$5:$I$13,'Rookie College Inputs'!$A$5:$A$13,C10),0)</x:f>
        <x:v>0</x:v>
      </x:c>
      <x:c r="G10" s="48" t="n">
        <x:f>MAX(40,MIN(100,D10+E10+F10))</x:f>
        <x:v>88.44992587495246</x:v>
      </x:c>
      <x:c r="H10" t="n">
        <x:f>IF(A10="QB",'League Config'!$H$5,IF(A10="RB",'League Config'!$H$6,IF(A10="WR",'League Config'!$H$7,IF(A10="TE",'League Config'!$H$8,IF(A10="K",'League Config'!$H$9,'League Config'!$H$10)))))</x:f>
        <x:v>13</x:v>
      </x:c>
      <x:c r="I10" s="48" t="n">
        <x:f>IF(A10="QB",'League Config'!$F$14,IF(A10="RB",'League Config'!$F$15,IF(A10="WR",'League Config'!$F$16,IF(A10="TE",'League Config'!$F$17,IF(A10="K",'League Config'!$F$18,'League Config'!$F$19)))))</x:f>
        <x:v>84.69210205685258</x:v>
      </x:c>
      <x:c r="J10" s="48" t="n">
        <x:f>G10-I10</x:f>
        <x:v>3.7578238180998795</x:v>
      </x:c>
      <x:c r="K10" s="48" t="n">
        <x:f>MAX(0,MIN(100,50+J10*6))</x:f>
        <x:v>72.54694290859928</x:v>
      </x:c>
      <x:c r="L10" s="48" t="n">
        <x:f>MIN(100,MAX(0,MIN(100,(1-(B10-1)/(H10*1.5))*100))*IF(A10="QB",'League Config'!$G$14,IF(A10="RB",'League Config'!$G$15,IF(A10="WR",'League Config'!$G$16,IF(A10="TE",'League Config'!$G$17,IF(A10="K",'League Config'!$G$18,'League Config'!$G$19))))))</x:f>
        <x:v>74.35897435897436</x:v>
      </x:c>
      <x:c r="M10" t="n">
        <x:f>IF(A10="K",'League Config'!$B$15,IF(A10="DST",'League Config'!$B$16,IF(A10="QB",'League Config'!$B$17,0)))</x:f>
        <x:v>3</x:v>
      </x:c>
      <x:c r="N10" s="48" t="n">
        <x:f>MIN(100,MAX(0,0.55*G10+0.30*K10+0.15*L10-M10))</x:f>
        <x:v>78.5653882576498</x:v>
      </x:c>
      <x:c r="O10" t="n">
        <x:f>RANK.EQ(N10,$N$5:$N$227,0)</x:f>
        <x:v>57</x:v>
      </x:c>
      <x:c r="P10" s="110" t="n">
        <x:v>62</x:v>
      </x:c>
      <x:c r="Q10" s="48" t="n">
        <x:f>P10-O10</x:f>
        <x:v>5</x:v>
      </x:c>
      <x:c r="R10" s="48" t="n">
        <x:f>MAX(40,G10-IF(U10="A",6,IF(U10="B",9,12)))</x:f>
        <x:v>82.44992587495246</x:v>
      </x:c>
      <x:c r="S10" s="48" t="n">
        <x:f>G10</x:f>
        <x:v>88.44992587495246</x:v>
      </x:c>
      <x:c r="T10" s="48" t="n">
        <x:f>MIN(100,G10+IF(U10="A",6,IF(U10="B",9,12)))</x:f>
        <x:v>94.44992587495246</x:v>
      </x:c>
      <x:c r="U10" t="str">
        <x:v>A</x:v>
      </x:c>
      <x:c r="V10" t="str">
        <x:v>RATE-ADJUSTED VETERAN</x:v>
      </x:c>
      <x:c r="W10" s="109" t="str">
        <x:v>Available</x:v>
      </x:c>
      <x:c r="X10" t="n">
        <x:f>IF(W10&lt;&gt;"Available","",1+COUNTIFS($W$5:$W$227,"Available",$N$5:$N$227,"&gt;"&amp;N10))</x:f>
        <x:v>57</x:v>
      </x:c>
      <x:c r="Y10" s="98" t="str">
        <x:v>EXPECTATION: Strong every-week QB1; frequent top-8 finishes expected.  WHY: He produced 19.1 PPR/FP points per game across 16 games. The workload/efficiency profile gives the model a rate-based reason to keep him here.  RISK: Passing-TD efficiency, rushing volume and supporting-cast health are the main swing factors.</x:v>
      </x:c>
      <x:c r="Z10" t="str">
        <x:v>ADP proxy — editable; based on positional draft cost</x:v>
      </x:c>
    </x:row>
    <x:row r="11">
      <x:c r="A11" t="str">
        <x:v>QB</x:v>
      </x:c>
      <x:c r="B11" t="n">
        <x:v>7</x:v>
      </x:c>
      <x:c r="C11" t="str">
        <x:v>Patrick Mahomes II</x:v>
      </x:c>
      <x:c r="D11" s="48" t="n">
        <x:v>87.00630420406199</x:v>
      </x:c>
      <x:c r="E11" s="48" t="n">
        <x:f>SUMIFS('Manual Adjustments'!$G$5:$G$227,'Manual Adjustments'!$A$5:$A$227,A11,'Manual Adjustments'!$B$5:$B$227,C11)</x:f>
        <x:v>0</x:v>
      </x:c>
      <x:c r="F11" s="48" t="n">
        <x:f>IFERROR(SUMIFS('Rookie College Inputs'!$I$5:$I$13,'Rookie College Inputs'!$A$5:$A$13,C11),0)</x:f>
        <x:v>0</x:v>
      </x:c>
      <x:c r="G11" s="48" t="n">
        <x:f>MAX(40,MIN(100,D11+E11+F11))</x:f>
        <x:v>87.00630420406199</x:v>
      </x:c>
      <x:c r="H11" t="n">
        <x:f>IF(A11="QB",'League Config'!$H$5,IF(A11="RB",'League Config'!$H$6,IF(A11="WR",'League Config'!$H$7,IF(A11="TE",'League Config'!$H$8,IF(A11="K",'League Config'!$H$9,'League Config'!$H$10)))))</x:f>
        <x:v>13</x:v>
      </x:c>
      <x:c r="I11" s="48" t="n">
        <x:f>IF(A11="QB",'League Config'!$F$14,IF(A11="RB",'League Config'!$F$15,IF(A11="WR",'League Config'!$F$16,IF(A11="TE",'League Config'!$F$17,IF(A11="K",'League Config'!$F$18,'League Config'!$F$19)))))</x:f>
        <x:v>84.69210205685258</x:v>
      </x:c>
      <x:c r="J11" s="48" t="n">
        <x:f>G11-I11</x:f>
        <x:v>2.3142021472094143</x:v>
      </x:c>
      <x:c r="K11" s="48" t="n">
        <x:f>MAX(0,MIN(100,50+J11*6))</x:f>
        <x:v>63.885212883256486</x:v>
      </x:c>
      <x:c r="L11" s="48" t="n">
        <x:f>MIN(100,MAX(0,MIN(100,(1-(B11-1)/(H11*1.5))*100))*IF(A11="QB",'League Config'!$G$14,IF(A11="RB",'League Config'!$G$15,IF(A11="WR",'League Config'!$G$16,IF(A11="TE",'League Config'!$G$17,IF(A11="K",'League Config'!$G$18,'League Config'!$G$19))))))</x:f>
        <x:v>69.23076923076923</x:v>
      </x:c>
      <x:c r="M11" t="n">
        <x:f>IF(A11="K",'League Config'!$B$15,IF(A11="DST",'League Config'!$B$16,IF(A11="QB",'League Config'!$B$17,0)))</x:f>
        <x:v>3</x:v>
      </x:c>
      <x:c r="N11" s="48" t="n">
        <x:f>MIN(100,MAX(0,0.55*G11+0.30*K11+0.15*L11-M11))</x:f>
        <x:v>74.40364656182643</x:v>
      </x:c>
      <x:c r="O11" t="n">
        <x:f>RANK.EQ(N11,$N$5:$N$227,0)</x:f>
        <x:v>64</x:v>
      </x:c>
      <x:c r="P11" s="110" t="n">
        <x:v>70</x:v>
      </x:c>
      <x:c r="Q11" s="48" t="n">
        <x:f>P11-O11</x:f>
        <x:v>6</x:v>
      </x:c>
      <x:c r="R11" s="48" t="n">
        <x:f>MAX(40,G11-IF(U11="A",6,IF(U11="B",9,12)))</x:f>
        <x:v>81.00630420406199</x:v>
      </x:c>
      <x:c r="S11" s="48" t="n">
        <x:f>G11</x:f>
        <x:v>87.00630420406199</x:v>
      </x:c>
      <x:c r="T11" s="48" t="n">
        <x:f>MIN(100,G11+IF(U11="A",6,IF(U11="B",9,12)))</x:f>
        <x:v>93.00630420406199</x:v>
      </x:c>
      <x:c r="U11" t="str">
        <x:v>A</x:v>
      </x:c>
      <x:c r="V11" t="str">
        <x:v>RATE-ADJUSTED VETERAN</x:v>
      </x:c>
      <x:c r="W11" s="109" t="str">
        <x:v>Available</x:v>
      </x:c>
      <x:c r="X11" t="n">
        <x:f>IF(W11&lt;&gt;"Available","",1+COUNTIFS($W$5:$W$227,"Available",$N$5:$N$227,"&gt;"&amp;N11))</x:f>
        <x:v>64</x:v>
      </x:c>
      <x:c r="Y11" s="98" t="str">
        <x:v>EXPECTATION: Strong every-week QB1; frequent top-8 finishes expected.  WHY: He produced 21.1 PPR/FP points per game across 14 games. The workload/efficiency profile gives the model a rate-based reason to keep him here.  RISK: Passing-TD efficiency, rushing volume and supporting-cast health are the main swing factors.</x:v>
      </x:c>
      <x:c r="Z11" t="str">
        <x:v>ADP proxy — editable; based on positional draft cost</x:v>
      </x:c>
    </x:row>
    <x:row r="12">
      <x:c r="A12" t="str">
        <x:v>QB</x:v>
      </x:c>
      <x:c r="B12" t="n">
        <x:v>8</x:v>
      </x:c>
      <x:c r="C12" t="str">
        <x:v>Jayden Daniels</x:v>
      </x:c>
      <x:c r="D12" s="48" t="n">
        <x:v>86.70031647962188</x:v>
      </x:c>
      <x:c r="E12" s="48" t="n">
        <x:f>SUMIFS('Manual Adjustments'!$G$5:$G$227,'Manual Adjustments'!$A$5:$A$227,A12,'Manual Adjustments'!$B$5:$B$227,C12)</x:f>
        <x:v>0</x:v>
      </x:c>
      <x:c r="F12" s="48" t="n">
        <x:f>IFERROR(SUMIFS('Rookie College Inputs'!$I$5:$I$13,'Rookie College Inputs'!$A$5:$A$13,C12),0)</x:f>
        <x:v>0</x:v>
      </x:c>
      <x:c r="G12" s="48" t="n">
        <x:f>MAX(40,MIN(100,D12+E12+F12))</x:f>
        <x:v>86.70031647962188</x:v>
      </x:c>
      <x:c r="H12" t="n">
        <x:f>IF(A12="QB",'League Config'!$H$5,IF(A12="RB",'League Config'!$H$6,IF(A12="WR",'League Config'!$H$7,IF(A12="TE",'League Config'!$H$8,IF(A12="K",'League Config'!$H$9,'League Config'!$H$10)))))</x:f>
        <x:v>13</x:v>
      </x:c>
      <x:c r="I12" s="48" t="n">
        <x:f>IF(A12="QB",'League Config'!$F$14,IF(A12="RB",'League Config'!$F$15,IF(A12="WR",'League Config'!$F$16,IF(A12="TE",'League Config'!$F$17,IF(A12="K",'League Config'!$F$18,'League Config'!$F$19)))))</x:f>
        <x:v>84.69210205685258</x:v>
      </x:c>
      <x:c r="J12" s="48" t="n">
        <x:f>G12-I12</x:f>
        <x:v>2.0082144227692993</x:v>
      </x:c>
      <x:c r="K12" s="48" t="n">
        <x:f>MAX(0,MIN(100,50+J12*6))</x:f>
        <x:v>62.049286536615796</x:v>
      </x:c>
      <x:c r="L12" s="48" t="n">
        <x:f>MIN(100,MAX(0,MIN(100,(1-(B12-1)/(H12*1.5))*100))*IF(A12="QB",'League Config'!$G$14,IF(A12="RB",'League Config'!$G$15,IF(A12="WR",'League Config'!$G$16,IF(A12="TE",'League Config'!$G$17,IF(A12="K",'League Config'!$G$18,'League Config'!$G$19))))))</x:f>
        <x:v>64.1025641025641</x:v>
      </x:c>
      <x:c r="M12" t="n">
        <x:f>IF(A12="K",'League Config'!$B$15,IF(A12="DST",'League Config'!$B$16,IF(A12="QB",'League Config'!$B$17,0)))</x:f>
        <x:v>3</x:v>
      </x:c>
      <x:c r="N12" s="48" t="n">
        <x:f>MIN(100,MAX(0,0.55*G12+0.30*K12+0.15*L12-M12))</x:f>
        <x:v>72.91534464016138</x:v>
      </x:c>
      <x:c r="O12" t="n">
        <x:f>RANK.EQ(N12,$N$5:$N$227,0)</x:f>
        <x:v>66</x:v>
      </x:c>
      <x:c r="P12" s="110" t="n">
        <x:v>78</x:v>
      </x:c>
      <x:c r="Q12" s="48" t="n">
        <x:f>P12-O12</x:f>
        <x:v>12</x:v>
      </x:c>
      <x:c r="R12" s="48" t="n">
        <x:f>MAX(40,G12-IF(U12="A",6,IF(U12="B",9,12)))</x:f>
        <x:v>77.70031647962188</x:v>
      </x:c>
      <x:c r="S12" s="48" t="n">
        <x:f>G12</x:f>
        <x:v>86.70031647962188</x:v>
      </x:c>
      <x:c r="T12" s="48" t="n">
        <x:f>MIN(100,G12+IF(U12="A",6,IF(U12="B",9,12)))</x:f>
        <x:v>95.70031647962188</x:v>
      </x:c>
      <x:c r="U12" t="str">
        <x:v>B</x:v>
      </x:c>
      <x:c r="V12" t="str">
        <x:v>RATE-ADJUSTED VETERAN</x:v>
      </x:c>
      <x:c r="W12" s="109" t="str">
        <x:v>Available</x:v>
      </x:c>
      <x:c r="X12" t="n">
        <x:f>IF(W12&lt;&gt;"Available","",1+COUNTIFS($W$5:$W$227,"Available",$N$5:$N$227,"&gt;"&amp;N12))</x:f>
        <x:v>66</x:v>
      </x:c>
      <x:c r="Y12" s="98" t="str">
        <x:v>EXPECTATION: Strong every-week QB1; frequent top-8 finishes expected.  WHY: He produced 16.7 PPR/FP points per game across 7 games. The workload/efficiency profile gives the model a rate-based reason to keep him here. Market price is favorable around ADP 78 versus model overall rank 64.  RISK: Availability/sample risk is elevated after only 7 games; talent is not being punished as heavily as durability.</x:v>
      </x:c>
      <x:c r="Z12" t="str">
        <x:v>ADP proxy — editable; based on positional draft cost</x:v>
      </x:c>
    </x:row>
    <x:row r="13">
      <x:c r="A13" t="str">
        <x:v>QB</x:v>
      </x:c>
      <x:c r="B13" t="n">
        <x:v>9</x:v>
      </x:c>
      <x:c r="C13" t="str">
        <x:v>Joe Burrow</x:v>
      </x:c>
      <x:c r="D13" s="48" t="n">
        <x:v>85.59126599193758</x:v>
      </x:c>
      <x:c r="E13" s="48" t="n">
        <x:f>SUMIFS('Manual Adjustments'!$G$5:$G$227,'Manual Adjustments'!$A$5:$A$227,A13,'Manual Adjustments'!$B$5:$B$227,C13)</x:f>
        <x:v>0</x:v>
      </x:c>
      <x:c r="F13" s="48" t="n">
        <x:f>IFERROR(SUMIFS('Rookie College Inputs'!$I$5:$I$13,'Rookie College Inputs'!$A$5:$A$13,C13),0)</x:f>
        <x:v>0</x:v>
      </x:c>
      <x:c r="G13" s="48" t="n">
        <x:f>MAX(40,MIN(100,D13+E13+F13))</x:f>
        <x:v>85.59126599193758</x:v>
      </x:c>
      <x:c r="H13" t="n">
        <x:f>IF(A13="QB",'League Config'!$H$5,IF(A13="RB",'League Config'!$H$6,IF(A13="WR",'League Config'!$H$7,IF(A13="TE",'League Config'!$H$8,IF(A13="K",'League Config'!$H$9,'League Config'!$H$10)))))</x:f>
        <x:v>13</x:v>
      </x:c>
      <x:c r="I13" s="48" t="n">
        <x:f>IF(A13="QB",'League Config'!$F$14,IF(A13="RB",'League Config'!$F$15,IF(A13="WR",'League Config'!$F$16,IF(A13="TE",'League Config'!$F$17,IF(A13="K",'League Config'!$F$18,'League Config'!$F$19)))))</x:f>
        <x:v>84.69210205685258</x:v>
      </x:c>
      <x:c r="J13" s="48" t="n">
        <x:f>G13-I13</x:f>
        <x:v>0.8991639350849994</x:v>
      </x:c>
      <x:c r="K13" s="48" t="n">
        <x:f>MAX(0,MIN(100,50+J13*6))</x:f>
        <x:v>55.394983610509996</x:v>
      </x:c>
      <x:c r="L13" s="48" t="n">
        <x:f>MIN(100,MAX(0,MIN(100,(1-(B13-1)/(H13*1.5))*100))*IF(A13="QB",'League Config'!$G$14,IF(A13="RB",'League Config'!$G$15,IF(A13="WR",'League Config'!$G$16,IF(A13="TE",'League Config'!$G$17,IF(A13="K",'League Config'!$G$18,'League Config'!$G$19))))))</x:f>
        <x:v>58.97435897435898</x:v>
      </x:c>
      <x:c r="M13" t="n">
        <x:f>IF(A13="K",'League Config'!$B$15,IF(A13="DST",'League Config'!$B$16,IF(A13="QB",'League Config'!$B$17,0)))</x:f>
        <x:v>3</x:v>
      </x:c>
      <x:c r="N13" s="48" t="n">
        <x:f>MIN(100,MAX(0,0.55*G13+0.30*K13+0.15*L13-M13))</x:f>
        <x:v>69.53984522487252</x:v>
      </x:c>
      <x:c r="O13" t="n">
        <x:f>RANK.EQ(N13,$N$5:$N$227,0)</x:f>
        <x:v>73</x:v>
      </x:c>
      <x:c r="P13" s="110" t="n">
        <x:v>86</x:v>
      </x:c>
      <x:c r="Q13" s="48" t="n">
        <x:f>P13-O13</x:f>
        <x:v>13</x:v>
      </x:c>
      <x:c r="R13" s="48" t="n">
        <x:f>MAX(40,G13-IF(U13="A",6,IF(U13="B",9,12)))</x:f>
        <x:v>76.59126599193758</x:v>
      </x:c>
      <x:c r="S13" s="48" t="n">
        <x:f>G13</x:f>
        <x:v>85.59126599193758</x:v>
      </x:c>
      <x:c r="T13" s="48" t="n">
        <x:f>MIN(100,G13+IF(U13="A",6,IF(U13="B",9,12)))</x:f>
        <x:v>94.59126599193758</x:v>
      </x:c>
      <x:c r="U13" t="str">
        <x:v>B</x:v>
      </x:c>
      <x:c r="V13" t="str">
        <x:v>RATE-ADJUSTED VETERAN</x:v>
      </x:c>
      <x:c r="W13" s="109" t="str">
        <x:v>Available</x:v>
      </x:c>
      <x:c r="X13" t="n">
        <x:f>IF(W13&lt;&gt;"Available","",1+COUNTIFS($W$5:$W$227,"Available",$N$5:$N$227,"&gt;"&amp;N13))</x:f>
        <x:v>73</x:v>
      </x:c>
      <x:c r="Y13" s="98" t="str">
        <x:v>EXPECTATION: Low-end QB1/high-end QB2 in a 10-team league; startable most weeks.  WHY: He produced 17.4 PPR/FP points per game across 8 games. The workload/efficiency profile gives the model a rate-based reason to keep him here. Market price is favorable around ADP 86 versus model overall rank 70.  RISK: Availability/sample risk is elevated after only 8 games; talent is not being punished as heavily as durability.</x:v>
      </x:c>
      <x:c r="Z13" t="str">
        <x:v>ADP proxy — editable; based on positional draft cost</x:v>
      </x:c>
    </x:row>
    <x:row r="14">
      <x:c r="A14" t="str">
        <x:v>QB</x:v>
      </x:c>
      <x:c r="B14" t="n">
        <x:v>10</x:v>
      </x:c>
      <x:c r="C14" t="str">
        <x:v>Matthew Stafford</x:v>
      </x:c>
      <x:c r="D14" s="48" t="n">
        <x:v>85.41970528201219</x:v>
      </x:c>
      <x:c r="E14" s="48" t="n">
        <x:f>SUMIFS('Manual Adjustments'!$G$5:$G$227,'Manual Adjustments'!$A$5:$A$227,A14,'Manual Adjustments'!$B$5:$B$227,C14)</x:f>
        <x:v>0</x:v>
      </x:c>
      <x:c r="F14" s="48" t="n">
        <x:f>IFERROR(SUMIFS('Rookie College Inputs'!$I$5:$I$13,'Rookie College Inputs'!$A$5:$A$13,C14),0)</x:f>
        <x:v>0</x:v>
      </x:c>
      <x:c r="G14" s="48" t="n">
        <x:f>MAX(40,MIN(100,D14+E14+F14))</x:f>
        <x:v>85.41970528201219</x:v>
      </x:c>
      <x:c r="H14" t="n">
        <x:f>IF(A14="QB",'League Config'!$H$5,IF(A14="RB",'League Config'!$H$6,IF(A14="WR",'League Config'!$H$7,IF(A14="TE",'League Config'!$H$8,IF(A14="K",'League Config'!$H$9,'League Config'!$H$10)))))</x:f>
        <x:v>13</x:v>
      </x:c>
      <x:c r="I14" s="48" t="n">
        <x:f>IF(A14="QB",'League Config'!$F$14,IF(A14="RB",'League Config'!$F$15,IF(A14="WR",'League Config'!$F$16,IF(A14="TE",'League Config'!$F$17,IF(A14="K",'League Config'!$F$18,'League Config'!$F$19)))))</x:f>
        <x:v>84.69210205685258</x:v>
      </x:c>
      <x:c r="J14" s="48" t="n">
        <x:f>G14-I14</x:f>
        <x:v>0.7276032251596121</x:v>
      </x:c>
      <x:c r="K14" s="48" t="n">
        <x:f>MAX(0,MIN(100,50+J14*6))</x:f>
        <x:v>54.36561935095767</x:v>
      </x:c>
      <x:c r="L14" s="48" t="n">
        <x:f>MIN(100,MAX(0,MIN(100,(1-(B14-1)/(H14*1.5))*100))*IF(A14="QB",'League Config'!$G$14,IF(A14="RB",'League Config'!$G$15,IF(A14="WR",'League Config'!$G$16,IF(A14="TE",'League Config'!$G$17,IF(A14="K",'League Config'!$G$18,'League Config'!$G$19))))))</x:f>
        <x:v>53.84615384615385</x:v>
      </x:c>
      <x:c r="M14" t="n">
        <x:f>IF(A14="K",'League Config'!$B$15,IF(A14="DST",'League Config'!$B$16,IF(A14="QB",'League Config'!$B$17,0)))</x:f>
        <x:v>3</x:v>
      </x:c>
      <x:c r="N14" s="48" t="n">
        <x:f>MIN(100,MAX(0,0.55*G14+0.30*K14+0.15*L14-M14))</x:f>
        <x:v>68.36744678731709</x:v>
      </x:c>
      <x:c r="O14" t="n">
        <x:f>RANK.EQ(N14,$N$5:$N$227,0)</x:f>
        <x:v>79</x:v>
      </x:c>
      <x:c r="P14" s="110" t="n">
        <x:v>94</x:v>
      </x:c>
      <x:c r="Q14" s="48" t="n">
        <x:f>P14-O14</x:f>
        <x:v>15</x:v>
      </x:c>
      <x:c r="R14" s="48" t="n">
        <x:f>MAX(40,G14-IF(U14="A",6,IF(U14="B",9,12)))</x:f>
        <x:v>79.41970528201219</x:v>
      </x:c>
      <x:c r="S14" s="48" t="n">
        <x:f>G14</x:f>
        <x:v>85.41970528201219</x:v>
      </x:c>
      <x:c r="T14" s="48" t="n">
        <x:f>MIN(100,G14+IF(U14="A",6,IF(U14="B",9,12)))</x:f>
        <x:v>91.41970528201219</x:v>
      </x:c>
      <x:c r="U14" t="str">
        <x:v>A</x:v>
      </x:c>
      <x:c r="V14" t="str">
        <x:v>RATE-ADJUSTED VETERAN</x:v>
      </x:c>
      <x:c r="W14" s="109" t="str">
        <x:v>Available</x:v>
      </x:c>
      <x:c r="X14" t="n">
        <x:f>IF(W14&lt;&gt;"Available","",1+COUNTIFS($W$5:$W$227,"Available",$N$5:$N$227,"&gt;"&amp;N14))</x:f>
        <x:v>79</x:v>
      </x:c>
      <x:c r="Y14" s="98" t="str">
        <x:v>EXPECTATION: Low-end QB1/high-end QB2 in a 10-team league; startable most weeks.  WHY: He produced 21.1 PPR/FP points per game across 17 games. The workload/efficiency profile gives the model a rate-based reason to keep him here. Market price is favorable around ADP 94 versus model overall rank 77.  RISK: Passing-TD efficiency, rushing volume and supporting-cast health are the main swing factors.</x:v>
      </x:c>
      <x:c r="Z14" t="str">
        <x:v>ADP proxy — editable; based on positional draft cost</x:v>
      </x:c>
    </x:row>
    <x:row r="15">
      <x:c r="A15" t="str">
        <x:v>QB</x:v>
      </x:c>
      <x:c r="B15" t="n">
        <x:v>11</x:v>
      </x:c>
      <x:c r="C15" t="str">
        <x:v>Bo Nix</x:v>
      </x:c>
      <x:c r="D15" s="48" t="n">
        <x:v>85.24848366137027</x:v>
      </x:c>
      <x:c r="E15" s="48" t="n">
        <x:f>SUMIFS('Manual Adjustments'!$G$5:$G$227,'Manual Adjustments'!$A$5:$A$227,A15,'Manual Adjustments'!$B$5:$B$227,C15)</x:f>
        <x:v>0</x:v>
      </x:c>
      <x:c r="F15" s="48" t="n">
        <x:f>IFERROR(SUMIFS('Rookie College Inputs'!$I$5:$I$13,'Rookie College Inputs'!$A$5:$A$13,C15),0)</x:f>
        <x:v>0</x:v>
      </x:c>
      <x:c r="G15" s="48" t="n">
        <x:f>MAX(40,MIN(100,D15+E15+F15))</x:f>
        <x:v>85.24848366137027</x:v>
      </x:c>
      <x:c r="H15" t="n">
        <x:f>IF(A15="QB",'League Config'!$H$5,IF(A15="RB",'League Config'!$H$6,IF(A15="WR",'League Config'!$H$7,IF(A15="TE",'League Config'!$H$8,IF(A15="K",'League Config'!$H$9,'League Config'!$H$10)))))</x:f>
        <x:v>13</x:v>
      </x:c>
      <x:c r="I15" s="48" t="n">
        <x:f>IF(A15="QB",'League Config'!$F$14,IF(A15="RB",'League Config'!$F$15,IF(A15="WR",'League Config'!$F$16,IF(A15="TE",'League Config'!$F$17,IF(A15="K",'League Config'!$F$18,'League Config'!$F$19)))))</x:f>
        <x:v>84.69210205685258</x:v>
      </x:c>
      <x:c r="J15" s="48" t="n">
        <x:f>G15-I15</x:f>
        <x:v>0.5563816045176964</x:v>
      </x:c>
      <x:c r="K15" s="48" t="n">
        <x:f>MAX(0,MIN(100,50+J15*6))</x:f>
        <x:v>53.33828962710618</x:v>
      </x:c>
      <x:c r="L15" s="48" t="n">
        <x:f>MIN(100,MAX(0,MIN(100,(1-(B15-1)/(H15*1.5))*100))*IF(A15="QB",'League Config'!$G$14,IF(A15="RB",'League Config'!$G$15,IF(A15="WR",'League Config'!$G$16,IF(A15="TE",'League Config'!$G$17,IF(A15="K",'League Config'!$G$18,'League Config'!$G$19))))))</x:f>
        <x:v>48.71794871794872</x:v>
      </x:c>
      <x:c r="M15" t="n">
        <x:f>IF(A15="K",'League Config'!$B$15,IF(A15="DST",'League Config'!$B$16,IF(A15="QB",'League Config'!$B$17,0)))</x:f>
        <x:v>3</x:v>
      </x:c>
      <x:c r="N15" s="48" t="n">
        <x:f>MIN(100,MAX(0,0.55*G15+0.30*K15+0.15*L15-M15))</x:f>
        <x:v>67.19584520957781</x:v>
      </x:c>
      <x:c r="O15" t="n">
        <x:f>RANK.EQ(N15,$N$5:$N$227,0)</x:f>
        <x:v>82</x:v>
      </x:c>
      <x:c r="P15" s="110" t="n">
        <x:v>102</x:v>
      </x:c>
      <x:c r="Q15" s="48" t="n">
        <x:f>P15-O15</x:f>
        <x:v>20</x:v>
      </x:c>
      <x:c r="R15" s="48" t="n">
        <x:f>MAX(40,G15-IF(U15="A",6,IF(U15="B",9,12)))</x:f>
        <x:v>79.24848366137027</x:v>
      </x:c>
      <x:c r="S15" s="48" t="n">
        <x:f>G15</x:f>
        <x:v>85.24848366137027</x:v>
      </x:c>
      <x:c r="T15" s="48" t="n">
        <x:f>MIN(100,G15+IF(U15="A",6,IF(U15="B",9,12)))</x:f>
        <x:v>91.24848366137027</x:v>
      </x:c>
      <x:c r="U15" t="str">
        <x:v>A</x:v>
      </x:c>
      <x:c r="V15" t="str">
        <x:v>RATE-ADJUSTED VETERAN</x:v>
      </x:c>
      <x:c r="W15" s="109" t="str">
        <x:v>Available</x:v>
      </x:c>
      <x:c r="X15" t="n">
        <x:f>IF(W15&lt;&gt;"Available","",1+COUNTIFS($W$5:$W$227,"Available",$N$5:$N$227,"&gt;"&amp;N15))</x:f>
        <x:v>82</x:v>
      </x:c>
      <x:c r="Y15" s="98" t="str">
        <x:v>EXPECTATION: Low-end QB1/high-end QB2 in a 10-team league; startable most weeks.  WHY: He produced 18.6 PPR/FP points per game across 17 games. The workload/efficiency profile gives the model a rate-based reason to keep him here. Market price is favorable around ADP 102 versus model overall rank 79.  RISK: Passing-TD efficiency, rushing volume and supporting-cast health are the main swing factors.</x:v>
      </x:c>
      <x:c r="Z15" t="str">
        <x:v>ADP proxy — editable; based on positional draft cost</x:v>
      </x:c>
    </x:row>
    <x:row r="16">
      <x:c r="A16" t="str">
        <x:v>QB</x:v>
      </x:c>
      <x:c r="B16" t="n">
        <x:v>12</x:v>
      </x:c>
      <x:c r="C16" t="str">
        <x:v>Dak Prescott</x:v>
      </x:c>
      <x:c r="D16" s="48" t="n">
        <x:v>85.11563022939153</x:v>
      </x:c>
      <x:c r="E16" s="48" t="n">
        <x:f>SUMIFS('Manual Adjustments'!$G$5:$G$227,'Manual Adjustments'!$A$5:$A$227,A16,'Manual Adjustments'!$B$5:$B$227,C16)</x:f>
        <x:v>0</x:v>
      </x:c>
      <x:c r="F16" s="48" t="n">
        <x:f>IFERROR(SUMIFS('Rookie College Inputs'!$I$5:$I$13,'Rookie College Inputs'!$A$5:$A$13,C16),0)</x:f>
        <x:v>0</x:v>
      </x:c>
      <x:c r="G16" s="48" t="n">
        <x:f>MAX(40,MIN(100,D16+E16+F16))</x:f>
        <x:v>85.11563022939153</x:v>
      </x:c>
      <x:c r="H16" t="n">
        <x:f>IF(A16="QB",'League Config'!$H$5,IF(A16="RB",'League Config'!$H$6,IF(A16="WR",'League Config'!$H$7,IF(A16="TE",'League Config'!$H$8,IF(A16="K",'League Config'!$H$9,'League Config'!$H$10)))))</x:f>
        <x:v>13</x:v>
      </x:c>
      <x:c r="I16" s="48" t="n">
        <x:f>IF(A16="QB",'League Config'!$F$14,IF(A16="RB",'League Config'!$F$15,IF(A16="WR",'League Config'!$F$16,IF(A16="TE",'League Config'!$F$17,IF(A16="K",'League Config'!$F$18,'League Config'!$F$19)))))</x:f>
        <x:v>84.69210205685258</x:v>
      </x:c>
      <x:c r="J16" s="48" t="n">
        <x:f>G16-I16</x:f>
        <x:v>0.42352817253895125</x:v>
      </x:c>
      <x:c r="K16" s="48" t="n">
        <x:f>MAX(0,MIN(100,50+J16*6))</x:f>
        <x:v>52.54116903523371</x:v>
      </x:c>
      <x:c r="L16" s="48" t="n">
        <x:f>MIN(100,MAX(0,MIN(100,(1-(B16-1)/(H16*1.5))*100))*IF(A16="QB",'League Config'!$G$14,IF(A16="RB",'League Config'!$G$15,IF(A16="WR",'League Config'!$G$16,IF(A16="TE",'League Config'!$G$17,IF(A16="K",'League Config'!$G$18,'League Config'!$G$19))))))</x:f>
        <x:v>43.58974358974359</x:v>
      </x:c>
      <x:c r="M16" t="n">
        <x:f>IF(A16="K",'League Config'!$B$15,IF(A16="DST",'League Config'!$B$16,IF(A16="QB",'League Config'!$B$17,0)))</x:f>
        <x:v>3</x:v>
      </x:c>
      <x:c r="N16" s="48" t="n">
        <x:f>MIN(100,MAX(0,0.55*G16+0.30*K16+0.15*L16-M16))</x:f>
        <x:v>66.11440887519699</x:v>
      </x:c>
      <x:c r="O16" t="n">
        <x:f>RANK.EQ(N16,$N$5:$N$227,0)</x:f>
        <x:v>86</x:v>
      </x:c>
      <x:c r="P16" s="110" t="n">
        <x:v>110</x:v>
      </x:c>
      <x:c r="Q16" s="48" t="n">
        <x:f>P16-O16</x:f>
        <x:v>24</x:v>
      </x:c>
      <x:c r="R16" s="48" t="n">
        <x:f>MAX(40,G16-IF(U16="A",6,IF(U16="B",9,12)))</x:f>
        <x:v>79.11563022939153</x:v>
      </x:c>
      <x:c r="S16" s="48" t="n">
        <x:f>G16</x:f>
        <x:v>85.11563022939153</x:v>
      </x:c>
      <x:c r="T16" s="48" t="n">
        <x:f>MIN(100,G16+IF(U16="A",6,IF(U16="B",9,12)))</x:f>
        <x:v>91.11563022939153</x:v>
      </x:c>
      <x:c r="U16" t="str">
        <x:v>A</x:v>
      </x:c>
      <x:c r="V16" t="str">
        <x:v>RATE-ADJUSTED VETERAN</x:v>
      </x:c>
      <x:c r="W16" s="109" t="str">
        <x:v>Available</x:v>
      </x:c>
      <x:c r="X16" t="n">
        <x:f>IF(W16&lt;&gt;"Available","",1+COUNTIFS($W$5:$W$227,"Available",$N$5:$N$227,"&gt;"&amp;N16))</x:f>
        <x:v>86</x:v>
      </x:c>
      <x:c r="Y16" s="98" t="str">
        <x:v>EXPECTATION: Low-end QB1/high-end QB2 in a 10-team league; startable most weeks.  WHY: He produced 19.0 PPR/FP points per game across 17 games. The workload/efficiency profile gives the model a rate-based reason to keep him here. Market price is favorable around ADP 110 versus model overall rank 82.  RISK: Passing-TD efficiency, rushing volume and supporting-cast health are the main swing factors.</x:v>
      </x:c>
      <x:c r="Z16" t="str">
        <x:v>ADP proxy — editable; based on positional draft cost</x:v>
      </x:c>
    </x:row>
    <x:row r="17">
      <x:c r="A17" t="str">
        <x:v>QB</x:v>
      </x:c>
      <x:c r="B17" t="n">
        <x:v>13</x:v>
      </x:c>
      <x:c r="C17" t="str">
        <x:v>Trevor Lawrence</x:v>
      </x:c>
      <x:c r="D17" s="48" t="n">
        <x:v>84.69210205685258</x:v>
      </x:c>
      <x:c r="E17" s="48" t="n">
        <x:f>SUMIFS('Manual Adjustments'!$G$5:$G$227,'Manual Adjustments'!$A$5:$A$227,A17,'Manual Adjustments'!$B$5:$B$227,C17)</x:f>
        <x:v>0</x:v>
      </x:c>
      <x:c r="F17" s="48" t="n">
        <x:f>IFERROR(SUMIFS('Rookie College Inputs'!$I$5:$I$13,'Rookie College Inputs'!$A$5:$A$13,C17),0)</x:f>
        <x:v>0</x:v>
      </x:c>
      <x:c r="G17" s="48" t="n">
        <x:f>MAX(40,MIN(100,D17+E17+F17))</x:f>
        <x:v>84.69210205685258</x:v>
      </x:c>
      <x:c r="H17" t="n">
        <x:f>IF(A17="QB",'League Config'!$H$5,IF(A17="RB",'League Config'!$H$6,IF(A17="WR",'League Config'!$H$7,IF(A17="TE",'League Config'!$H$8,IF(A17="K",'League Config'!$H$9,'League Config'!$H$10)))))</x:f>
        <x:v>13</x:v>
      </x:c>
      <x:c r="I17" s="48" t="n">
        <x:f>IF(A17="QB",'League Config'!$F$14,IF(A17="RB",'League Config'!$F$15,IF(A17="WR",'League Config'!$F$16,IF(A17="TE",'League Config'!$F$17,IF(A17="K",'League Config'!$F$18,'League Config'!$F$19)))))</x:f>
        <x:v>84.69210205685258</x:v>
      </x:c>
      <x:c r="J17" s="48" t="n">
        <x:f>G17-I17</x:f>
        <x:v>0</x:v>
      </x:c>
      <x:c r="K17" s="48" t="n">
        <x:f>MAX(0,MIN(100,50+J17*6))</x:f>
        <x:v>50</x:v>
      </x:c>
      <x:c r="L17" s="48" t="n">
        <x:f>MIN(100,MAX(0,MIN(100,(1-(B17-1)/(H17*1.5))*100))*IF(A17="QB",'League Config'!$G$14,IF(A17="RB",'League Config'!$G$15,IF(A17="WR",'League Config'!$G$16,IF(A17="TE",'League Config'!$G$17,IF(A17="K",'League Config'!$G$18,'League Config'!$G$19))))))</x:f>
        <x:v>38.46153846153846</x:v>
      </x:c>
      <x:c r="M17" t="n">
        <x:f>IF(A17="K",'League Config'!$B$15,IF(A17="DST",'League Config'!$B$16,IF(A17="QB",'League Config'!$B$17,0)))</x:f>
        <x:v>3</x:v>
      </x:c>
      <x:c r="N17" s="48" t="n">
        <x:f>MIN(100,MAX(0,0.55*G17+0.30*K17+0.15*L17-M17))</x:f>
        <x:v>64.3498869004997</x:v>
      </x:c>
      <x:c r="O17" t="n">
        <x:f>RANK.EQ(N17,$N$5:$N$227,0)</x:f>
        <x:v>92</x:v>
      </x:c>
      <x:c r="P17" s="110" t="n">
        <x:v>118</x:v>
      </x:c>
      <x:c r="Q17" s="48" t="n">
        <x:f>P17-O17</x:f>
        <x:v>26</x:v>
      </x:c>
      <x:c r="R17" s="48" t="n">
        <x:f>MAX(40,G17-IF(U17="A",6,IF(U17="B",9,12)))</x:f>
        <x:v>78.69210205685258</x:v>
      </x:c>
      <x:c r="S17" s="48" t="n">
        <x:f>G17</x:f>
        <x:v>84.69210205685258</x:v>
      </x:c>
      <x:c r="T17" s="48" t="n">
        <x:f>MIN(100,G17+IF(U17="A",6,IF(U17="B",9,12)))</x:f>
        <x:v>90.69210205685258</x:v>
      </x:c>
      <x:c r="U17" t="str">
        <x:v>A</x:v>
      </x:c>
      <x:c r="V17" t="str">
        <x:v>RATE-ADJUSTED VETERAN</x:v>
      </x:c>
      <x:c r="W17" s="109" t="str">
        <x:v>Available</x:v>
      </x:c>
      <x:c r="X17" t="n">
        <x:f>IF(W17&lt;&gt;"Available","",1+COUNTIFS($W$5:$W$227,"Available",$N$5:$N$227,"&gt;"&amp;N17))</x:f>
        <x:v>92</x:v>
      </x:c>
      <x:c r="Y17" s="98" t="str">
        <x:v>EXPECTATION: QB2/streaming tier; useful when matchup and supporting cast line up.  WHY: He produced 20.6 PPR/FP points per game across 17 games. The workload/efficiency profile gives the model a rate-based reason to keep him here. Market price is favorable around ADP 118 versus model overall rank 87.  RISK: Passing-TD efficiency, rushing volume and supporting-cast health are the main swing factors.</x:v>
      </x:c>
      <x:c r="Z17" t="str">
        <x:v>ADP proxy — editable; based on positional draft cost</x:v>
      </x:c>
    </x:row>
    <x:row r="18">
      <x:c r="A18" t="str">
        <x:v>QB</x:v>
      </x:c>
      <x:c r="B18" t="n">
        <x:v>14</x:v>
      </x:c>
      <x:c r="C18" t="str">
        <x:v>Brock Purdy</x:v>
      </x:c>
      <x:c r="D18" s="48" t="n">
        <x:v>83.83859812261841</x:v>
      </x:c>
      <x:c r="E18" s="48" t="n">
        <x:f>SUMIFS('Manual Adjustments'!$G$5:$G$227,'Manual Adjustments'!$A$5:$A$227,A18,'Manual Adjustments'!$B$5:$B$227,C18)</x:f>
        <x:v>0</x:v>
      </x:c>
      <x:c r="F18" s="48" t="n">
        <x:f>IFERROR(SUMIFS('Rookie College Inputs'!$I$5:$I$13,'Rookie College Inputs'!$A$5:$A$13,C18),0)</x:f>
        <x:v>0</x:v>
      </x:c>
      <x:c r="G18" s="48" t="n">
        <x:f>MAX(40,MIN(100,D18+E18+F18))</x:f>
        <x:v>83.83859812261841</x:v>
      </x:c>
      <x:c r="H18" t="n">
        <x:f>IF(A18="QB",'League Config'!$H$5,IF(A18="RB",'League Config'!$H$6,IF(A18="WR",'League Config'!$H$7,IF(A18="TE",'League Config'!$H$8,IF(A18="K",'League Config'!$H$9,'League Config'!$H$10)))))</x:f>
        <x:v>13</x:v>
      </x:c>
      <x:c r="I18" s="48" t="n">
        <x:f>IF(A18="QB",'League Config'!$F$14,IF(A18="RB",'League Config'!$F$15,IF(A18="WR",'League Config'!$F$16,IF(A18="TE",'League Config'!$F$17,IF(A18="K",'League Config'!$F$18,'League Config'!$F$19)))))</x:f>
        <x:v>84.69210205685258</x:v>
      </x:c>
      <x:c r="J18" s="48" t="n">
        <x:f>G18-I18</x:f>
        <x:v>-0.853503934234169</x:v>
      </x:c>
      <x:c r="K18" s="48" t="n">
        <x:f>MAX(0,MIN(100,50+J18*6))</x:f>
        <x:v>44.878976394594986</x:v>
      </x:c>
      <x:c r="L18" s="48" t="n">
        <x:f>MIN(100,MAX(0,MIN(100,(1-(B18-1)/(H18*1.5))*100))*IF(A18="QB",'League Config'!$G$14,IF(A18="RB",'League Config'!$G$15,IF(A18="WR",'League Config'!$G$16,IF(A18="TE",'League Config'!$G$17,IF(A18="K",'League Config'!$G$18,'League Config'!$G$19))))))</x:f>
        <x:v>33.333333333333336</x:v>
      </x:c>
      <x:c r="M18" t="n">
        <x:f>IF(A18="K",'League Config'!$B$15,IF(A18="DST",'League Config'!$B$16,IF(A18="QB",'League Config'!$B$17,0)))</x:f>
        <x:v>3</x:v>
      </x:c>
      <x:c r="N18" s="48" t="n">
        <x:f>MIN(100,MAX(0,0.55*G18+0.30*K18+0.15*L18-M18))</x:f>
        <x:v>61.574921885818625</x:v>
      </x:c>
      <x:c r="O18" t="n">
        <x:f>RANK.EQ(N18,$N$5:$N$227,0)</x:f>
        <x:v>100</x:v>
      </x:c>
      <x:c r="P18" s="110" t="n">
        <x:v>126</x:v>
      </x:c>
      <x:c r="Q18" s="48" t="n">
        <x:f>P18-O18</x:f>
        <x:v>26</x:v>
      </x:c>
      <x:c r="R18" s="48" t="n">
        <x:f>MAX(40,G18-IF(U18="A",6,IF(U18="B",9,12)))</x:f>
        <x:v>74.83859812261841</x:v>
      </x:c>
      <x:c r="S18" s="48" t="n">
        <x:f>G18</x:f>
        <x:v>83.83859812261841</x:v>
      </x:c>
      <x:c r="T18" s="48" t="n">
        <x:f>MIN(100,G18+IF(U18="A",6,IF(U18="B",9,12)))</x:f>
        <x:v>92.83859812261841</x:v>
      </x:c>
      <x:c r="U18" t="str">
        <x:v>B</x:v>
      </x:c>
      <x:c r="V18" t="str">
        <x:v>RATE-ADJUSTED VETERAN</x:v>
      </x:c>
      <x:c r="W18" s="109" t="str">
        <x:v>Available</x:v>
      </x:c>
      <x:c r="X18" t="n">
        <x:f>IF(W18&lt;&gt;"Available","",1+COUNTIFS($W$5:$W$227,"Available",$N$5:$N$227,"&gt;"&amp;N18))</x:f>
        <x:v>100</x:v>
      </x:c>
      <x:c r="Y18" s="98" t="str">
        <x:v>EXPECTATION: QB2/streaming tier; useful when matchup and supporting cast line up.  WHY: He produced 20.8 PPR/FP points per game across 9 games. The workload/efficiency profile gives the model a rate-based reason to keep him here. Market price is favorable around ADP 126 versus model overall rank 95.  RISK: Availability/sample risk is elevated after only 9 games; talent is not being punished as heavily as durability.</x:v>
      </x:c>
      <x:c r="Z18" t="str">
        <x:v>ADP proxy — editable; based on positional draft cost</x:v>
      </x:c>
    </x:row>
    <x:row r="19">
      <x:c r="A19" t="str">
        <x:v>QB</x:v>
      </x:c>
      <x:c r="B19" t="n">
        <x:v>15</x:v>
      </x:c>
      <x:c r="C19" t="str">
        <x:v>Jaxson Dart</x:v>
      </x:c>
      <x:c r="D19" s="48" t="n">
        <x:v>83.0606951237557</x:v>
      </x:c>
      <x:c r="E19" s="48" t="n">
        <x:f>SUMIFS('Manual Adjustments'!$G$5:$G$227,'Manual Adjustments'!$A$5:$A$227,A19,'Manual Adjustments'!$B$5:$B$227,C19)</x:f>
        <x:v>0</x:v>
      </x:c>
      <x:c r="F19" s="48" t="n">
        <x:f>IFERROR(SUMIFS('Rookie College Inputs'!$I$5:$I$13,'Rookie College Inputs'!$A$5:$A$13,C19),0)</x:f>
        <x:v>0</x:v>
      </x:c>
      <x:c r="G19" s="48" t="n">
        <x:f>MAX(40,MIN(100,D19+E19+F19))</x:f>
        <x:v>83.0606951237557</x:v>
      </x:c>
      <x:c r="H19" t="n">
        <x:f>IF(A19="QB",'League Config'!$H$5,IF(A19="RB",'League Config'!$H$6,IF(A19="WR",'League Config'!$H$7,IF(A19="TE",'League Config'!$H$8,IF(A19="K",'League Config'!$H$9,'League Config'!$H$10)))))</x:f>
        <x:v>13</x:v>
      </x:c>
      <x:c r="I19" s="48" t="n">
        <x:f>IF(A19="QB",'League Config'!$F$14,IF(A19="RB",'League Config'!$F$15,IF(A19="WR",'League Config'!$F$16,IF(A19="TE",'League Config'!$F$17,IF(A19="K",'League Config'!$F$18,'League Config'!$F$19)))))</x:f>
        <x:v>84.69210205685258</x:v>
      </x:c>
      <x:c r="J19" s="48" t="n">
        <x:f>G19-I19</x:f>
        <x:v>-1.6314069330968692</x:v>
      </x:c>
      <x:c r="K19" s="48" t="n">
        <x:f>MAX(0,MIN(100,50+J19*6))</x:f>
        <x:v>40.211558401418785</x:v>
      </x:c>
      <x:c r="L19" s="48" t="n">
        <x:f>MIN(100,MAX(0,MIN(100,(1-(B19-1)/(H19*1.5))*100))*IF(A19="QB",'League Config'!$G$14,IF(A19="RB",'League Config'!$G$15,IF(A19="WR",'League Config'!$G$16,IF(A19="TE",'League Config'!$G$17,IF(A19="K",'League Config'!$G$18,'League Config'!$G$19))))))</x:f>
        <x:v>28.205128205128204</x:v>
      </x:c>
      <x:c r="M19" t="n">
        <x:f>IF(A19="K",'League Config'!$B$15,IF(A19="DST",'League Config'!$B$16,IF(A19="QB",'League Config'!$B$17,0)))</x:f>
        <x:v>3</x:v>
      </x:c>
      <x:c r="N19" s="48" t="n">
        <x:f>MIN(100,MAX(0,0.55*G19+0.30*K19+0.15*L19-M19))</x:f>
        <x:v>58.977619069260506</x:v>
      </x:c>
      <x:c r="O19" t="n">
        <x:f>RANK.EQ(N19,$N$5:$N$227,0)</x:f>
        <x:v>107</x:v>
      </x:c>
      <x:c r="P19" s="110" t="n">
        <x:v>134</x:v>
      </x:c>
      <x:c r="Q19" s="48" t="n">
        <x:f>P19-O19</x:f>
        <x:v>27</x:v>
      </x:c>
      <x:c r="R19" s="48" t="n">
        <x:f>MAX(40,G19-IF(U19="A",6,IF(U19="B",9,12)))</x:f>
        <x:v>77.0606951237557</x:v>
      </x:c>
      <x:c r="S19" s="48" t="n">
        <x:f>G19</x:f>
        <x:v>83.0606951237557</x:v>
      </x:c>
      <x:c r="T19" s="48" t="n">
        <x:f>MIN(100,G19+IF(U19="A",6,IF(U19="B",9,12)))</x:f>
        <x:v>89.0606951237557</x:v>
      </x:c>
      <x:c r="U19" t="str">
        <x:v>A</x:v>
      </x:c>
      <x:c r="V19" t="str">
        <x:v>RATE-ADJUSTED VETERAN</x:v>
      </x:c>
      <x:c r="W19" s="109" t="str">
        <x:v>Available</x:v>
      </x:c>
      <x:c r="X19" t="n">
        <x:f>IF(W19&lt;&gt;"Available","",1+COUNTIFS($W$5:$W$227,"Available",$N$5:$N$227,"&gt;"&amp;N19))</x:f>
        <x:v>107</x:v>
      </x:c>
      <x:c r="Y19" s="98" t="str">
        <x:v>EXPECTATION: QB2/streaming tier; useful when matchup and supporting cast line up.  WHY: He produced 17.6 PPR/FP points per game across 14 games. The workload/efficiency profile gives the model a rate-based reason to keep him here. Market price is favorable around ADP 134 versus model overall rank 101.  RISK: Passing-TD efficiency, rushing volume and supporting-cast health are the main swing factors.</x:v>
      </x:c>
      <x:c r="Z19" t="str">
        <x:v>ADP proxy — editable; based on positional draft cost</x:v>
      </x:c>
    </x:row>
    <x:row r="20">
      <x:c r="A20" t="str">
        <x:v>QB</x:v>
      </x:c>
      <x:c r="B20" t="n">
        <x:v>16</x:v>
      </x:c>
      <x:c r="C20" t="str">
        <x:v>Jared Goff</x:v>
      </x:c>
      <x:c r="D20" s="48" t="n">
        <x:v>82.64253383916756</x:v>
      </x:c>
      <x:c r="E20" s="48" t="n">
        <x:f>SUMIFS('Manual Adjustments'!$G$5:$G$227,'Manual Adjustments'!$A$5:$A$227,A20,'Manual Adjustments'!$B$5:$B$227,C20)</x:f>
        <x:v>0</x:v>
      </x:c>
      <x:c r="F20" s="48" t="n">
        <x:f>IFERROR(SUMIFS('Rookie College Inputs'!$I$5:$I$13,'Rookie College Inputs'!$A$5:$A$13,C20),0)</x:f>
        <x:v>0</x:v>
      </x:c>
      <x:c r="G20" s="48" t="n">
        <x:f>MAX(40,MIN(100,D20+E20+F20))</x:f>
        <x:v>82.64253383916756</x:v>
      </x:c>
      <x:c r="H20" t="n">
        <x:f>IF(A20="QB",'League Config'!$H$5,IF(A20="RB",'League Config'!$H$6,IF(A20="WR",'League Config'!$H$7,IF(A20="TE",'League Config'!$H$8,IF(A20="K",'League Config'!$H$9,'League Config'!$H$10)))))</x:f>
        <x:v>13</x:v>
      </x:c>
      <x:c r="I20" s="48" t="n">
        <x:f>IF(A20="QB",'League Config'!$F$14,IF(A20="RB",'League Config'!$F$15,IF(A20="WR",'League Config'!$F$16,IF(A20="TE",'League Config'!$F$17,IF(A20="K",'League Config'!$F$18,'League Config'!$F$19)))))</x:f>
        <x:v>84.69210205685258</x:v>
      </x:c>
      <x:c r="J20" s="48" t="n">
        <x:f>G20-I20</x:f>
        <x:v>-2.049568217685021</x:v>
      </x:c>
      <x:c r="K20" s="48" t="n">
        <x:f>MAX(0,MIN(100,50+J20*6))</x:f>
        <x:v>37.702590693889874</x:v>
      </x:c>
      <x:c r="L20" s="48" t="n">
        <x:f>MIN(100,MAX(0,MIN(100,(1-(B20-1)/(H20*1.5))*100))*IF(A20="QB",'League Config'!$G$14,IF(A20="RB",'League Config'!$G$15,IF(A20="WR",'League Config'!$G$16,IF(A20="TE",'League Config'!$G$17,IF(A20="K",'League Config'!$G$18,'League Config'!$G$19))))))</x:f>
        <x:v>23.076923076923073</x:v>
      </x:c>
      <x:c r="M20" t="n">
        <x:f>IF(A20="K",'League Config'!$B$15,IF(A20="DST",'League Config'!$B$16,IF(A20="QB",'League Config'!$B$17,0)))</x:f>
        <x:v>3</x:v>
      </x:c>
      <x:c r="N20" s="48" t="n">
        <x:f>MIN(100,MAX(0,0.55*G20+0.30*K20+0.15*L20-M20))</x:f>
        <x:v>57.22570928124758</x:v>
      </x:c>
      <x:c r="O20" t="n">
        <x:f>RANK.EQ(N20,$N$5:$N$227,0)</x:f>
        <x:v>112</x:v>
      </x:c>
      <x:c r="P20" s="110" t="n">
        <x:v>142</x:v>
      </x:c>
      <x:c r="Q20" s="48" t="n">
        <x:f>P20-O20</x:f>
        <x:v>30</x:v>
      </x:c>
      <x:c r="R20" s="48" t="n">
        <x:f>MAX(40,G20-IF(U20="A",6,IF(U20="B",9,12)))</x:f>
        <x:v>76.64253383916756</x:v>
      </x:c>
      <x:c r="S20" s="48" t="n">
        <x:f>G20</x:f>
        <x:v>82.64253383916756</x:v>
      </x:c>
      <x:c r="T20" s="48" t="n">
        <x:f>MIN(100,G20+IF(U20="A",6,IF(U20="B",9,12)))</x:f>
        <x:v>88.64253383916756</x:v>
      </x:c>
      <x:c r="U20" t="str">
        <x:v>A</x:v>
      </x:c>
      <x:c r="V20" t="str">
        <x:v>RATE-ADJUSTED VETERAN</x:v>
      </x:c>
      <x:c r="W20" s="109" t="str">
        <x:v>Available</x:v>
      </x:c>
      <x:c r="X20" t="n">
        <x:f>IF(W20&lt;&gt;"Available","",1+COUNTIFS($W$5:$W$227,"Available",$N$5:$N$227,"&gt;"&amp;N20))</x:f>
        <x:v>112</x:v>
      </x:c>
      <x:c r="Y20" s="98" t="str">
        <x:v>EXPECTATION: QB2/streaming tier; useful when matchup and supporting cast line up.  WHY: He produced 17.9 PPR/FP points per game across 17 games. The workload/efficiency profile gives the model a rate-based reason to keep him here. Market price is favorable around ADP 142 versus model overall rank 106.  RISK: Passing-TD efficiency, rushing volume and supporting-cast health are the main swing factors.</x:v>
      </x:c>
      <x:c r="Z20" t="str">
        <x:v>ADP proxy — editable; based on positional draft cost</x:v>
      </x:c>
    </x:row>
    <x:row r="21">
      <x:c r="A21" t="str">
        <x:v>QB</x:v>
      </x:c>
      <x:c r="B21" t="n">
        <x:v>17</x:v>
      </x:c>
      <x:c r="C21" t="str">
        <x:v>Kyler Murray</x:v>
      </x:c>
      <x:c r="D21" s="48" t="n">
        <x:v>80.71009771989318</x:v>
      </x:c>
      <x:c r="E21" s="48" t="n">
        <x:f>SUMIFS('Manual Adjustments'!$G$5:$G$227,'Manual Adjustments'!$A$5:$A$227,A21,'Manual Adjustments'!$B$5:$B$227,C21)</x:f>
        <x:v>0</x:v>
      </x:c>
      <x:c r="F21" s="48" t="n">
        <x:f>IFERROR(SUMIFS('Rookie College Inputs'!$I$5:$I$13,'Rookie College Inputs'!$A$5:$A$13,C21),0)</x:f>
        <x:v>0</x:v>
      </x:c>
      <x:c r="G21" s="48" t="n">
        <x:f>MAX(40,MIN(100,D21+E21+F21))</x:f>
        <x:v>80.71009771989318</x:v>
      </x:c>
      <x:c r="H21" t="n">
        <x:f>IF(A21="QB",'League Config'!$H$5,IF(A21="RB",'League Config'!$H$6,IF(A21="WR",'League Config'!$H$7,IF(A21="TE",'League Config'!$H$8,IF(A21="K",'League Config'!$H$9,'League Config'!$H$10)))))</x:f>
        <x:v>13</x:v>
      </x:c>
      <x:c r="I21" s="48" t="n">
        <x:f>IF(A21="QB",'League Config'!$F$14,IF(A21="RB",'League Config'!$F$15,IF(A21="WR",'League Config'!$F$16,IF(A21="TE",'League Config'!$F$17,IF(A21="K",'League Config'!$F$18,'League Config'!$F$19)))))</x:f>
        <x:v>84.69210205685258</x:v>
      </x:c>
      <x:c r="J21" s="48" t="n">
        <x:f>G21-I21</x:f>
        <x:v>-3.982004336959392</x:v>
      </x:c>
      <x:c r="K21" s="48" t="n">
        <x:f>MAX(0,MIN(100,50+J21*6))</x:f>
        <x:v>26.10797397824365</x:v>
      </x:c>
      <x:c r="L21" s="48" t="n">
        <x:f>MIN(100,MAX(0,MIN(100,(1-(B21-1)/(H21*1.5))*100))*IF(A21="QB",'League Config'!$G$14,IF(A21="RB",'League Config'!$G$15,IF(A21="WR",'League Config'!$G$16,IF(A21="TE",'League Config'!$G$17,IF(A21="K",'League Config'!$G$18,'League Config'!$G$19))))))</x:f>
        <x:v>17.948717948717952</x:v>
      </x:c>
      <x:c r="M21" t="n">
        <x:f>IF(A21="K",'League Config'!$B$15,IF(A21="DST",'League Config'!$B$16,IF(A21="QB",'League Config'!$B$17,0)))</x:f>
        <x:v>3</x:v>
      </x:c>
      <x:c r="N21" s="48" t="n">
        <x:f>MIN(100,MAX(0,0.55*G21+0.30*K21+0.15*L21-M21))</x:f>
        <x:v>51.91525363172204</x:v>
      </x:c>
      <x:c r="O21" t="n">
        <x:f>RANK.EQ(N21,$N$5:$N$227,0)</x:f>
        <x:v>124</x:v>
      </x:c>
      <x:c r="P21" s="110" t="n">
        <x:v>150</x:v>
      </x:c>
      <x:c r="Q21" s="48" t="n">
        <x:f>P21-O21</x:f>
        <x:v>26</x:v>
      </x:c>
      <x:c r="R21" s="48" t="n">
        <x:f>MAX(40,G21-IF(U21="A",6,IF(U21="B",9,12)))</x:f>
        <x:v>71.71009771989318</x:v>
      </x:c>
      <x:c r="S21" s="48" t="n">
        <x:f>G21</x:f>
        <x:v>80.71009771989318</x:v>
      </x:c>
      <x:c r="T21" s="48" t="n">
        <x:f>MIN(100,G21+IF(U21="A",6,IF(U21="B",9,12)))</x:f>
        <x:v>89.71009771989318</x:v>
      </x:c>
      <x:c r="U21" t="str">
        <x:v>B</x:v>
      </x:c>
      <x:c r="V21" t="str">
        <x:v>RATE-ADJUSTED VETERAN</x:v>
      </x:c>
      <x:c r="W21" s="109" t="str">
        <x:v>Available</x:v>
      </x:c>
      <x:c r="X21" t="n">
        <x:f>IF(W21&lt;&gt;"Available","",1+COUNTIFS($W$5:$W$227,"Available",$N$5:$N$227,"&gt;"&amp;N21))</x:f>
        <x:v>124</x:v>
      </x:c>
      <x:c r="Y21" s="98" t="str">
        <x:v>EXPECTATION: QB2/streaming tier; useful when matchup and supporting cast line up.  WHY: He produced 16.2 PPR/FP points per game across 5 games. The workload/efficiency profile gives the model a rate-based reason to keep him here. Market price is favorable around ADP 150 versus model overall rank 119.  RISK: Availability/sample risk is elevated after only 5 games; talent is not being punished as heavily as durability.</x:v>
      </x:c>
      <x:c r="Z21" t="str">
        <x:v>ADP proxy — editable; based on positional draft cost</x:v>
      </x:c>
    </x:row>
    <x:row r="22">
      <x:c r="A22" t="str">
        <x:v>QB</x:v>
      </x:c>
      <x:c r="B22" t="n">
        <x:v>18</x:v>
      </x:c>
      <x:c r="C22" t="str">
        <x:v>Jordan Love</x:v>
      </x:c>
      <x:c r="D22" s="48" t="n">
        <x:v>80.04076246709151</x:v>
      </x:c>
      <x:c r="E22" s="48" t="n">
        <x:f>SUMIFS('Manual Adjustments'!$G$5:$G$227,'Manual Adjustments'!$A$5:$A$227,A22,'Manual Adjustments'!$B$5:$B$227,C22)</x:f>
        <x:v>0</x:v>
      </x:c>
      <x:c r="F22" s="48" t="n">
        <x:f>IFERROR(SUMIFS('Rookie College Inputs'!$I$5:$I$13,'Rookie College Inputs'!$A$5:$A$13,C22),0)</x:f>
        <x:v>0</x:v>
      </x:c>
      <x:c r="G22" s="48" t="n">
        <x:f>MAX(40,MIN(100,D22+E22+F22))</x:f>
        <x:v>80.04076246709151</x:v>
      </x:c>
      <x:c r="H22" t="n">
        <x:f>IF(A22="QB",'League Config'!$H$5,IF(A22="RB",'League Config'!$H$6,IF(A22="WR",'League Config'!$H$7,IF(A22="TE",'League Config'!$H$8,IF(A22="K",'League Config'!$H$9,'League Config'!$H$10)))))</x:f>
        <x:v>13</x:v>
      </x:c>
      <x:c r="I22" s="48" t="n">
        <x:f>IF(A22="QB",'League Config'!$F$14,IF(A22="RB",'League Config'!$F$15,IF(A22="WR",'League Config'!$F$16,IF(A22="TE",'League Config'!$F$17,IF(A22="K",'League Config'!$F$18,'League Config'!$F$19)))))</x:f>
        <x:v>84.69210205685258</x:v>
      </x:c>
      <x:c r="J22" s="48" t="n">
        <x:f>G22-I22</x:f>
        <x:v>-4.651339589761065</x:v>
      </x:c>
      <x:c r="K22" s="48" t="n">
        <x:f>MAX(0,MIN(100,50+J22*6))</x:f>
        <x:v>22.09196246143361</x:v>
      </x:c>
      <x:c r="L22" s="48" t="n">
        <x:f>MIN(100,MAX(0,MIN(100,(1-(B22-1)/(H22*1.5))*100))*IF(A22="QB",'League Config'!$G$14,IF(A22="RB",'League Config'!$G$15,IF(A22="WR",'League Config'!$G$16,IF(A22="TE",'League Config'!$G$17,IF(A22="K",'League Config'!$G$18,'League Config'!$G$19))))))</x:f>
        <x:v>12.82051282051282</x:v>
      </x:c>
      <x:c r="M22" t="n">
        <x:f>IF(A22="K",'League Config'!$B$15,IF(A22="DST",'League Config'!$B$16,IF(A22="QB",'League Config'!$B$17,0)))</x:f>
        <x:v>3</x:v>
      </x:c>
      <x:c r="N22" s="48" t="n">
        <x:f>MIN(100,MAX(0,0.55*G22+0.30*K22+0.15*L22-M22))</x:f>
        <x:v>49.57308501840734</x:v>
      </x:c>
      <x:c r="O22" t="n">
        <x:f>RANK.EQ(N22,$N$5:$N$227,0)</x:f>
        <x:v>130</x:v>
      </x:c>
      <x:c r="P22" s="110" t="n">
        <x:v>158</x:v>
      </x:c>
      <x:c r="Q22" s="48" t="n">
        <x:f>P22-O22</x:f>
        <x:v>28</x:v>
      </x:c>
      <x:c r="R22" s="48" t="n">
        <x:f>MAX(40,G22-IF(U22="A",6,IF(U22="B",9,12)))</x:f>
        <x:v>74.04076246709151</x:v>
      </x:c>
      <x:c r="S22" s="48" t="n">
        <x:f>G22</x:f>
        <x:v>80.04076246709151</x:v>
      </x:c>
      <x:c r="T22" s="48" t="n">
        <x:f>MIN(100,G22+IF(U22="A",6,IF(U22="B",9,12)))</x:f>
        <x:v>86.04076246709151</x:v>
      </x:c>
      <x:c r="U22" t="str">
        <x:v>A</x:v>
      </x:c>
      <x:c r="V22" t="str">
        <x:v>RATE-ADJUSTED VETERAN</x:v>
      </x:c>
      <x:c r="W22" s="109" t="str">
        <x:v>Available</x:v>
      </x:c>
      <x:c r="X22" t="n">
        <x:f>IF(W22&lt;&gt;"Available","",1+COUNTIFS($W$5:$W$227,"Available",$N$5:$N$227,"&gt;"&amp;N22))</x:f>
        <x:v>130</x:v>
      </x:c>
      <x:c r="Y22" s="98" t="str">
        <x:v>EXPECTATION: QB2/streaming tier; useful when matchup and supporting cast line up.  WHY: He produced 16.1 PPR/FP points per game across 15 games. The workload/efficiency profile gives the model a rate-based reason to keep him here. Market price is favorable around ADP 158 versus model overall rank 126.  RISK: Passing-TD efficiency, rushing volume and supporting-cast health are the main swing factors.</x:v>
      </x:c>
      <x:c r="Z22" t="str">
        <x:v>ADP proxy — editable; based on positional draft cost</x:v>
      </x:c>
    </x:row>
    <x:row r="23">
      <x:c r="A23" t="str">
        <x:v>QB</x:v>
      </x:c>
      <x:c r="B23" t="n">
        <x:v>19</x:v>
      </x:c>
      <x:c r="C23" t="str">
        <x:v>Baker Mayfield</x:v>
      </x:c>
      <x:c r="D23" s="48" t="n">
        <x:v>79.82600097102224</x:v>
      </x:c>
      <x:c r="E23" s="48" t="n">
        <x:f>SUMIFS('Manual Adjustments'!$G$5:$G$227,'Manual Adjustments'!$A$5:$A$227,A23,'Manual Adjustments'!$B$5:$B$227,C23)</x:f>
        <x:v>0</x:v>
      </x:c>
      <x:c r="F23" s="48" t="n">
        <x:f>IFERROR(SUMIFS('Rookie College Inputs'!$I$5:$I$13,'Rookie College Inputs'!$A$5:$A$13,C23),0)</x:f>
        <x:v>0</x:v>
      </x:c>
      <x:c r="G23" s="48" t="n">
        <x:f>MAX(40,MIN(100,D23+E23+F23))</x:f>
        <x:v>79.82600097102224</x:v>
      </x:c>
      <x:c r="H23" t="n">
        <x:f>IF(A23="QB",'League Config'!$H$5,IF(A23="RB",'League Config'!$H$6,IF(A23="WR",'League Config'!$H$7,IF(A23="TE",'League Config'!$H$8,IF(A23="K",'League Config'!$H$9,'League Config'!$H$10)))))</x:f>
        <x:v>13</x:v>
      </x:c>
      <x:c r="I23" s="48" t="n">
        <x:f>IF(A23="QB",'League Config'!$F$14,IF(A23="RB",'League Config'!$F$15,IF(A23="WR",'League Config'!$F$16,IF(A23="TE",'League Config'!$F$17,IF(A23="K",'League Config'!$F$18,'League Config'!$F$19)))))</x:f>
        <x:v>84.69210205685258</x:v>
      </x:c>
      <x:c r="J23" s="48" t="n">
        <x:f>G23-I23</x:f>
        <x:v>-4.866101085830337</x:v>
      </x:c>
      <x:c r="K23" s="48" t="n">
        <x:f>MAX(0,MIN(100,50+J23*6))</x:f>
        <x:v>20.803393485017978</x:v>
      </x:c>
      <x:c r="L23" s="48" t="n">
        <x:f>MIN(100,MAX(0,MIN(100,(1-(B23-1)/(H23*1.5))*100))*IF(A23="QB",'League Config'!$G$14,IF(A23="RB",'League Config'!$G$15,IF(A23="WR",'League Config'!$G$16,IF(A23="TE",'League Config'!$G$17,IF(A23="K",'League Config'!$G$18,'League Config'!$G$19))))))</x:f>
        <x:v>7.692307692307687</x:v>
      </x:c>
      <x:c r="M23" t="n">
        <x:f>IF(A23="K",'League Config'!$B$15,IF(A23="DST",'League Config'!$B$16,IF(A23="QB",'League Config'!$B$17,0)))</x:f>
        <x:v>3</x:v>
      </x:c>
      <x:c r="N23" s="48" t="n">
        <x:f>MIN(100,MAX(0,0.55*G23+0.30*K23+0.15*L23-M23))</x:f>
        <x:v>48.29916473341378</x:v>
      </x:c>
      <x:c r="O23" t="n">
        <x:f>RANK.EQ(N23,$N$5:$N$227,0)</x:f>
        <x:v>135</x:v>
      </x:c>
      <x:c r="P23" s="110" t="n">
        <x:v>166</x:v>
      </x:c>
      <x:c r="Q23" s="48" t="n">
        <x:f>P23-O23</x:f>
        <x:v>31</x:v>
      </x:c>
      <x:c r="R23" s="48" t="n">
        <x:f>MAX(40,G23-IF(U23="A",6,IF(U23="B",9,12)))</x:f>
        <x:v>73.82600097102224</x:v>
      </x:c>
      <x:c r="S23" s="48" t="n">
        <x:f>G23</x:f>
        <x:v>79.82600097102224</x:v>
      </x:c>
      <x:c r="T23" s="48" t="n">
        <x:f>MIN(100,G23+IF(U23="A",6,IF(U23="B",9,12)))</x:f>
        <x:v>85.82600097102224</x:v>
      </x:c>
      <x:c r="U23" t="str">
        <x:v>A</x:v>
      </x:c>
      <x:c r="V23" t="str">
        <x:v>RATE-ADJUSTED VETERAN</x:v>
      </x:c>
      <x:c r="W23" s="109" t="str">
        <x:v>Available</x:v>
      </x:c>
      <x:c r="X23" t="n">
        <x:f>IF(W23&lt;&gt;"Available","",1+COUNTIFS($W$5:$W$227,"Available",$N$5:$N$227,"&gt;"&amp;N23))</x:f>
        <x:v>135</x:v>
      </x:c>
      <x:c r="Y23" s="98" t="str">
        <x:v>EXPECTATION: Bench/streaming option; needs matchup, rushing or TD spike weeks.  WHY: He produced 16.6 PPR/FP points per game across 17 games. The workload/efficiency profile gives the model a rate-based reason to keep him here. Market price is favorable around ADP 166 versus model overall rank 130.  RISK: Passing-TD efficiency, rushing volume and supporting-cast health are the main swing factors.</x:v>
      </x:c>
      <x:c r="Z23" t="str">
        <x:v>ADP proxy — editable; based on positional draft cost</x:v>
      </x:c>
    </x:row>
    <x:row r="24">
      <x:c r="A24" t="str">
        <x:v>QB</x:v>
      </x:c>
      <x:c r="B24" t="n">
        <x:v>20</x:v>
      </x:c>
      <x:c r="C24" t="str">
        <x:v>Tyler Shough</x:v>
      </x:c>
      <x:c r="D24" s="48" t="n">
        <x:v>77.36561414654547</x:v>
      </x:c>
      <x:c r="E24" s="48" t="n">
        <x:f>SUMIFS('Manual Adjustments'!$G$5:$G$227,'Manual Adjustments'!$A$5:$A$227,A24,'Manual Adjustments'!$B$5:$B$227,C24)</x:f>
        <x:v>0</x:v>
      </x:c>
      <x:c r="F24" s="48" t="n">
        <x:f>IFERROR(SUMIFS('Rookie College Inputs'!$I$5:$I$13,'Rookie College Inputs'!$A$5:$A$13,C24),0)</x:f>
        <x:v>0</x:v>
      </x:c>
      <x:c r="G24" s="48" t="n">
        <x:f>MAX(40,MIN(100,D24+E24+F24))</x:f>
        <x:v>77.36561414654547</x:v>
      </x:c>
      <x:c r="H24" t="n">
        <x:f>IF(A24="QB",'League Config'!$H$5,IF(A24="RB",'League Config'!$H$6,IF(A24="WR",'League Config'!$H$7,IF(A24="TE",'League Config'!$H$8,IF(A24="K",'League Config'!$H$9,'League Config'!$H$10)))))</x:f>
        <x:v>13</x:v>
      </x:c>
      <x:c r="I24" s="48" t="n">
        <x:f>IF(A24="QB",'League Config'!$F$14,IF(A24="RB",'League Config'!$F$15,IF(A24="WR",'League Config'!$F$16,IF(A24="TE",'League Config'!$F$17,IF(A24="K",'League Config'!$F$18,'League Config'!$F$19)))))</x:f>
        <x:v>84.69210205685258</x:v>
      </x:c>
      <x:c r="J24" s="48" t="n">
        <x:f>G24-I24</x:f>
        <x:v>-7.326487910307108</x:v>
      </x:c>
      <x:c r="K24" s="48" t="n">
        <x:f>MAX(0,MIN(100,50+J24*6))</x:f>
        <x:v>6.041072538157351</x:v>
      </x:c>
      <x:c r="L24" s="48" t="n">
        <x:f>MIN(100,MAX(0,MIN(100,(1-(B24-1)/(H24*1.5))*100))*IF(A24="QB",'League Config'!$G$14,IF(A24="RB",'League Config'!$G$15,IF(A24="WR",'League Config'!$G$16,IF(A24="TE",'League Config'!$G$17,IF(A24="K",'League Config'!$G$18,'League Config'!$G$19))))))</x:f>
        <x:v>2.564102564102566</x:v>
      </x:c>
      <x:c r="M24" t="n">
        <x:f>IF(A24="K",'League Config'!$B$15,IF(A24="DST",'League Config'!$B$16,IF(A24="QB",'League Config'!$B$17,0)))</x:f>
        <x:v>3</x:v>
      </x:c>
      <x:c r="N24" s="48" t="n">
        <x:f>MIN(100,MAX(0,0.55*G24+0.30*K24+0.15*L24-M24))</x:f>
        <x:v>41.74802492666261</x:v>
      </x:c>
      <x:c r="O24" t="n">
        <x:f>RANK.EQ(N24,$N$5:$N$227,0)</x:f>
        <x:v>150</x:v>
      </x:c>
      <x:c r="P24" s="110" t="n">
        <x:v>174</x:v>
      </x:c>
      <x:c r="Q24" s="48" t="n">
        <x:f>P24-O24</x:f>
        <x:v>24</x:v>
      </x:c>
      <x:c r="R24" s="48" t="n">
        <x:f>MAX(40,G24-IF(U24="A",6,IF(U24="B",9,12)))</x:f>
        <x:v>68.36561414654547</x:v>
      </x:c>
      <x:c r="S24" s="48" t="n">
        <x:f>G24</x:f>
        <x:v>77.36561414654547</x:v>
      </x:c>
      <x:c r="T24" s="48" t="n">
        <x:f>MIN(100,G24+IF(U24="A",6,IF(U24="B",9,12)))</x:f>
        <x:v>86.36561414654547</x:v>
      </x:c>
      <x:c r="U24" t="str">
        <x:v>B</x:v>
      </x:c>
      <x:c r="V24" t="str">
        <x:v>RATE-ADJUSTED VETERAN</x:v>
      </x:c>
      <x:c r="W24" s="109" t="str">
        <x:v>Available</x:v>
      </x:c>
      <x:c r="X24" t="n">
        <x:f>IF(W24&lt;&gt;"Available","",1+COUNTIFS($W$5:$W$227,"Available",$N$5:$N$227,"&gt;"&amp;N24))</x:f>
        <x:v>150</x:v>
      </x:c>
      <x:c r="Y24" s="98" t="str">
        <x:v>EXPECTATION: Bench/streaming option; needs matchup, rushing or TD spike weeks.  WHY: He produced 14.9 PPR/FP points per game across 11 games. The workload/efficiency profile gives the model a rate-based reason to keep him here. Market price is favorable around ADP 174 versus model overall rank 144.  RISK: Passing-TD efficiency, rushing volume and supporting-cast health are the main swing factors.</x:v>
      </x:c>
      <x:c r="Z24" t="str">
        <x:v>ADP proxy — editable; based on positional draft cost</x:v>
      </x:c>
    </x:row>
    <x:row r="25">
      <x:c r="A25" t="str">
        <x:v>QB</x:v>
      </x:c>
      <x:c r="B25" t="n">
        <x:v>21</x:v>
      </x:c>
      <x:c r="C25" t="str">
        <x:v>C.J. Stroud</x:v>
      </x:c>
      <x:c r="D25" s="48" t="n">
        <x:v>75.76205455491312</x:v>
      </x:c>
      <x:c r="E25" s="48" t="n">
        <x:f>SUMIFS('Manual Adjustments'!$G$5:$G$227,'Manual Adjustments'!$A$5:$A$227,A25,'Manual Adjustments'!$B$5:$B$227,C25)</x:f>
        <x:v>0</x:v>
      </x:c>
      <x:c r="F25" s="48" t="n">
        <x:f>IFERROR(SUMIFS('Rookie College Inputs'!$I$5:$I$13,'Rookie College Inputs'!$A$5:$A$13,C25),0)</x:f>
        <x:v>0</x:v>
      </x:c>
      <x:c r="G25" s="48" t="n">
        <x:f>MAX(40,MIN(100,D25+E25+F25))</x:f>
        <x:v>75.76205455491312</x:v>
      </x:c>
      <x:c r="H25" t="n">
        <x:f>IF(A25="QB",'League Config'!$H$5,IF(A25="RB",'League Config'!$H$6,IF(A25="WR",'League Config'!$H$7,IF(A25="TE",'League Config'!$H$8,IF(A25="K",'League Config'!$H$9,'League Config'!$H$10)))))</x:f>
        <x:v>13</x:v>
      </x:c>
      <x:c r="I25" s="48" t="n">
        <x:f>IF(A25="QB",'League Config'!$F$14,IF(A25="RB",'League Config'!$F$15,IF(A25="WR",'League Config'!$F$16,IF(A25="TE",'League Config'!$F$17,IF(A25="K",'League Config'!$F$18,'League Config'!$F$19)))))</x:f>
        <x:v>84.69210205685258</x:v>
      </x:c>
      <x:c r="J25" s="48" t="n">
        <x:f>G25-I25</x:f>
        <x:v>-8.930047501939455</x:v>
      </x:c>
      <x:c r="K25" s="48" t="n">
        <x:f>MAX(0,MIN(100,50+J25*6))</x:f>
        <x:v>0</x:v>
      </x:c>
      <x:c r="L25" s="48" t="n">
        <x:f>MIN(100,MAX(0,MIN(100,(1-(B25-1)/(H25*1.5))*100))*IF(A25="QB",'League Config'!$G$14,IF(A25="RB",'League Config'!$G$15,IF(A25="WR",'League Config'!$G$16,IF(A25="TE",'League Config'!$G$17,IF(A25="K",'League Config'!$G$18,'League Config'!$G$19))))))</x:f>
        <x:v>0</x:v>
      </x:c>
      <x:c r="M25" t="n">
        <x:f>IF(A25="K",'League Config'!$B$15,IF(A25="DST",'League Config'!$B$16,IF(A25="QB",'League Config'!$B$17,0)))</x:f>
        <x:v>3</x:v>
      </x:c>
      <x:c r="N25" s="48" t="n">
        <x:f>MIN(100,MAX(0,0.55*G25+0.30*K25+0.15*L25-M25))</x:f>
        <x:v>38.66913000520222</x:v>
      </x:c>
      <x:c r="O25" t="n">
        <x:f>RANK.EQ(N25,$N$5:$N$227,0)</x:f>
        <x:v>157</x:v>
      </x:c>
      <x:c r="P25" s="110" t="n">
        <x:v>182</x:v>
      </x:c>
      <x:c r="Q25" s="48" t="n">
        <x:f>P25-O25</x:f>
        <x:v>25</x:v>
      </x:c>
      <x:c r="R25" s="48" t="n">
        <x:f>MAX(40,G25-IF(U25="A",6,IF(U25="B",9,12)))</x:f>
        <x:v>69.76205455491312</x:v>
      </x:c>
      <x:c r="S25" s="48" t="n">
        <x:f>G25</x:f>
        <x:v>75.76205455491312</x:v>
      </x:c>
      <x:c r="T25" s="48" t="n">
        <x:f>MIN(100,G25+IF(U25="A",6,IF(U25="B",9,12)))</x:f>
        <x:v>81.76205455491312</x:v>
      </x:c>
      <x:c r="U25" t="str">
        <x:v>A</x:v>
      </x:c>
      <x:c r="V25" t="str">
        <x:v>RATE-ADJUSTED VETERAN</x:v>
      </x:c>
      <x:c r="W25" s="109" t="str">
        <x:v>Available</x:v>
      </x:c>
      <x:c r="X25" t="n">
        <x:f>IF(W25&lt;&gt;"Available","",1+COUNTIFS($W$5:$W$227,"Available",$N$5:$N$227,"&gt;"&amp;N25))</x:f>
        <x:v>157</x:v>
      </x:c>
      <x:c r="Y25" s="98" t="str">
        <x:v>EXPECTATION: Bench/streaming option; needs matchup, rushing or TD spike weeks.  WHY: He produced 15.5 PPR/FP points per game across 14 games. The workload/efficiency profile gives the model a rate-based reason to keep him here. Market price is favorable around ADP 182 versus model overall rank 154.  RISK: Passing-TD efficiency, rushing volume and supporting-cast health are the main swing factors.</x:v>
      </x:c>
      <x:c r="Z25" t="str">
        <x:v>ADP proxy — editable; based on positional draft cost</x:v>
      </x:c>
    </x:row>
    <x:row r="26">
      <x:c r="A26" t="str">
        <x:v>QB</x:v>
      </x:c>
      <x:c r="B26" t="n">
        <x:v>22</x:v>
      </x:c>
      <x:c r="C26" t="str">
        <x:v>Sam Darnold</x:v>
      </x:c>
      <x:c r="D26" s="48" t="n">
        <x:v>75.55416867822036</x:v>
      </x:c>
      <x:c r="E26" s="48" t="n">
        <x:f>SUMIFS('Manual Adjustments'!$G$5:$G$227,'Manual Adjustments'!$A$5:$A$227,A26,'Manual Adjustments'!$B$5:$B$227,C26)</x:f>
        <x:v>0</x:v>
      </x:c>
      <x:c r="F26" s="48" t="n">
        <x:f>IFERROR(SUMIFS('Rookie College Inputs'!$I$5:$I$13,'Rookie College Inputs'!$A$5:$A$13,C26),0)</x:f>
        <x:v>0</x:v>
      </x:c>
      <x:c r="G26" s="48" t="n">
        <x:f>MAX(40,MIN(100,D26+E26+F26))</x:f>
        <x:v>75.55416867822036</x:v>
      </x:c>
      <x:c r="H26" t="n">
        <x:f>IF(A26="QB",'League Config'!$H$5,IF(A26="RB",'League Config'!$H$6,IF(A26="WR",'League Config'!$H$7,IF(A26="TE",'League Config'!$H$8,IF(A26="K",'League Config'!$H$9,'League Config'!$H$10)))))</x:f>
        <x:v>13</x:v>
      </x:c>
      <x:c r="I26" s="48" t="n">
        <x:f>IF(A26="QB",'League Config'!$F$14,IF(A26="RB",'League Config'!$F$15,IF(A26="WR",'League Config'!$F$16,IF(A26="TE",'League Config'!$F$17,IF(A26="K",'League Config'!$F$18,'League Config'!$F$19)))))</x:f>
        <x:v>84.69210205685258</x:v>
      </x:c>
      <x:c r="J26" s="48" t="n">
        <x:f>G26-I26</x:f>
        <x:v>-9.137933378632212</x:v>
      </x:c>
      <x:c r="K26" s="48" t="n">
        <x:f>MAX(0,MIN(100,50+J26*6))</x:f>
        <x:v>0</x:v>
      </x:c>
      <x:c r="L26" s="48" t="n">
        <x:f>MIN(100,MAX(0,MIN(100,(1-(B26-1)/(H26*1.5))*100))*IF(A26="QB",'League Config'!$G$14,IF(A26="RB",'League Config'!$G$15,IF(A26="WR",'League Config'!$G$16,IF(A26="TE",'League Config'!$G$17,IF(A26="K",'League Config'!$G$18,'League Config'!$G$19))))))</x:f>
        <x:v>0</x:v>
      </x:c>
      <x:c r="M26" t="n">
        <x:f>IF(A26="K",'League Config'!$B$15,IF(A26="DST",'League Config'!$B$16,IF(A26="QB",'League Config'!$B$17,0)))</x:f>
        <x:v>3</x:v>
      </x:c>
      <x:c r="N26" s="48" t="n">
        <x:f>MIN(100,MAX(0,0.55*G26+0.30*K26+0.15*L26-M26))</x:f>
        <x:v>38.554792773021205</x:v>
      </x:c>
      <x:c r="O26" t="n">
        <x:f>RANK.EQ(N26,$N$5:$N$227,0)</x:f>
        <x:v>159</x:v>
      </x:c>
      <x:c r="P26" s="110" t="n">
        <x:v>190</x:v>
      </x:c>
      <x:c r="Q26" s="48" t="n">
        <x:f>P26-O26</x:f>
        <x:v>31</x:v>
      </x:c>
      <x:c r="R26" s="48" t="n">
        <x:f>MAX(40,G26-IF(U26="A",6,IF(U26="B",9,12)))</x:f>
        <x:v>69.55416867822036</x:v>
      </x:c>
      <x:c r="S26" s="48" t="n">
        <x:f>G26</x:f>
        <x:v>75.55416867822036</x:v>
      </x:c>
      <x:c r="T26" s="48" t="n">
        <x:f>MIN(100,G26+IF(U26="A",6,IF(U26="B",9,12)))</x:f>
        <x:v>81.55416867822036</x:v>
      </x:c>
      <x:c r="U26" t="str">
        <x:v>A</x:v>
      </x:c>
      <x:c r="V26" t="str">
        <x:v>RATE-ADJUSTED VETERAN</x:v>
      </x:c>
      <x:c r="W26" s="109" t="str">
        <x:v>Available</x:v>
      </x:c>
      <x:c r="X26" t="n">
        <x:f>IF(W26&lt;&gt;"Available","",1+COUNTIFS($W$5:$W$227,"Available",$N$5:$N$227,"&gt;"&amp;N26))</x:f>
        <x:v>159</x:v>
      </x:c>
      <x:c r="Y26" s="98" t="str">
        <x:v>EXPECTATION: Bench/streaming option; needs matchup, rushing or TD spike weeks.  WHY: He produced 14.7 PPR/FP points per game across 17 games. The workload/efficiency profile gives the model a rate-based reason to keep him here. Market price is favorable around ADP 190 versus model overall rank 157.  RISK: Passing-TD efficiency, rushing volume and supporting-cast health are the main swing factors.</x:v>
      </x:c>
      <x:c r="Z26" t="str">
        <x:v>ADP proxy — editable; based on positional draft cost</x:v>
      </x:c>
    </x:row>
    <x:row r="27">
      <x:c r="A27" t="str">
        <x:v>QB</x:v>
      </x:c>
      <x:c r="B27" t="n">
        <x:v>23</x:v>
      </x:c>
      <x:c r="C27" t="str">
        <x:v>Daniel Jones</x:v>
      </x:c>
      <x:c r="D27" s="48" t="n">
        <x:v>74.79037310491178</x:v>
      </x:c>
      <x:c r="E27" s="48" t="n">
        <x:f>SUMIFS('Manual Adjustments'!$G$5:$G$227,'Manual Adjustments'!$A$5:$A$227,A27,'Manual Adjustments'!$B$5:$B$227,C27)</x:f>
        <x:v>0</x:v>
      </x:c>
      <x:c r="F27" s="48" t="n">
        <x:f>IFERROR(SUMIFS('Rookie College Inputs'!$I$5:$I$13,'Rookie College Inputs'!$A$5:$A$13,C27),0)</x:f>
        <x:v>0</x:v>
      </x:c>
      <x:c r="G27" s="48" t="n">
        <x:f>MAX(40,MIN(100,D27+E27+F27))</x:f>
        <x:v>74.79037310491178</x:v>
      </x:c>
      <x:c r="H27" t="n">
        <x:f>IF(A27="QB",'League Config'!$H$5,IF(A27="RB",'League Config'!$H$6,IF(A27="WR",'League Config'!$H$7,IF(A27="TE",'League Config'!$H$8,IF(A27="K",'League Config'!$H$9,'League Config'!$H$10)))))</x:f>
        <x:v>13</x:v>
      </x:c>
      <x:c r="I27" s="48" t="n">
        <x:f>IF(A27="QB",'League Config'!$F$14,IF(A27="RB",'League Config'!$F$15,IF(A27="WR",'League Config'!$F$16,IF(A27="TE",'League Config'!$F$17,IF(A27="K",'League Config'!$F$18,'League Config'!$F$19)))))</x:f>
        <x:v>84.69210205685258</x:v>
      </x:c>
      <x:c r="J27" s="48" t="n">
        <x:f>G27-I27</x:f>
        <x:v>-9.901728951940797</x:v>
      </x:c>
      <x:c r="K27" s="48" t="n">
        <x:f>MAX(0,MIN(100,50+J27*6))</x:f>
        <x:v>0</x:v>
      </x:c>
      <x:c r="L27" s="48" t="n">
        <x:f>MIN(100,MAX(0,MIN(100,(1-(B27-1)/(H27*1.5))*100))*IF(A27="QB",'League Config'!$G$14,IF(A27="RB",'League Config'!$G$15,IF(A27="WR",'League Config'!$G$16,IF(A27="TE",'League Config'!$G$17,IF(A27="K",'League Config'!$G$18,'League Config'!$G$19))))))</x:f>
        <x:v>0</x:v>
      </x:c>
      <x:c r="M27" t="n">
        <x:f>IF(A27="K",'League Config'!$B$15,IF(A27="DST",'League Config'!$B$16,IF(A27="QB",'League Config'!$B$17,0)))</x:f>
        <x:v>3</x:v>
      </x:c>
      <x:c r="N27" s="48" t="n">
        <x:f>MIN(100,MAX(0,0.55*G27+0.30*K27+0.15*L27-M27))</x:f>
        <x:v>38.13470520770148</x:v>
      </x:c>
      <x:c r="O27" t="n">
        <x:f>RANK.EQ(N27,$N$5:$N$227,0)</x:f>
        <x:v>160</x:v>
      </x:c>
      <x:c r="P27" s="110" t="n">
        <x:v>198</x:v>
      </x:c>
      <x:c r="Q27" s="48" t="n">
        <x:f>P27-O27</x:f>
        <x:v>38</x:v>
      </x:c>
      <x:c r="R27" s="48" t="n">
        <x:f>MAX(40,G27-IF(U27="A",6,IF(U27="B",9,12)))</x:f>
        <x:v>68.79037310491178</x:v>
      </x:c>
      <x:c r="S27" s="48" t="n">
        <x:f>G27</x:f>
        <x:v>74.79037310491178</x:v>
      </x:c>
      <x:c r="T27" s="48" t="n">
        <x:f>MIN(100,G27+IF(U27="A",6,IF(U27="B",9,12)))</x:f>
        <x:v>80.79037310491178</x:v>
      </x:c>
      <x:c r="U27" t="str">
        <x:v>A</x:v>
      </x:c>
      <x:c r="V27" t="str">
        <x:v>RATE-ADJUSTED VETERAN</x:v>
      </x:c>
      <x:c r="W27" s="109" t="str">
        <x:v>Available</x:v>
      </x:c>
      <x:c r="X27" t="n">
        <x:f>IF(W27&lt;&gt;"Available","",1+COUNTIFS($W$5:$W$227,"Available",$N$5:$N$227,"&gt;"&amp;N27))</x:f>
        <x:v>160</x:v>
      </x:c>
      <x:c r="Y27" s="98" t="str">
        <x:v>EXPECTATION: Bench/streaming option; needs matchup, rushing or TD spike weeks.  WHY: He produced 18.0 PPR/FP points per game across 13 games. The workload/efficiency profile gives the model a rate-based reason to keep him here. Market price is favorable around ADP 198 versus model overall rank 158.  RISK: Passing-TD efficiency, rushing volume and supporting-cast health are the main swing factors.</x:v>
      </x:c>
      <x:c r="Z27" t="str">
        <x:v>ADP proxy — editable; based on positional draft cost</x:v>
      </x:c>
    </x:row>
    <x:row r="28">
      <x:c r="A28" t="str">
        <x:v>QB</x:v>
      </x:c>
      <x:c r="B28" t="n">
        <x:v>24</x:v>
      </x:c>
      <x:c r="C28" t="str">
        <x:v>Malik Willis</x:v>
      </x:c>
      <x:c r="D28" s="48" t="n">
        <x:v>74.24027225755167</x:v>
      </x:c>
      <x:c r="E28" s="48" t="n">
        <x:f>SUMIFS('Manual Adjustments'!$G$5:$G$227,'Manual Adjustments'!$A$5:$A$227,A28,'Manual Adjustments'!$B$5:$B$227,C28)</x:f>
        <x:v>0</x:v>
      </x:c>
      <x:c r="F28" s="48" t="n">
        <x:f>IFERROR(SUMIFS('Rookie College Inputs'!$I$5:$I$13,'Rookie College Inputs'!$A$5:$A$13,C28),0)</x:f>
        <x:v>0</x:v>
      </x:c>
      <x:c r="G28" s="48" t="n">
        <x:f>MAX(40,MIN(100,D28+E28+F28))</x:f>
        <x:v>74.24027225755167</x:v>
      </x:c>
      <x:c r="H28" t="n">
        <x:f>IF(A28="QB",'League Config'!$H$5,IF(A28="RB",'League Config'!$H$6,IF(A28="WR",'League Config'!$H$7,IF(A28="TE",'League Config'!$H$8,IF(A28="K",'League Config'!$H$9,'League Config'!$H$10)))))</x:f>
        <x:v>13</x:v>
      </x:c>
      <x:c r="I28" s="48" t="n">
        <x:f>IF(A28="QB",'League Config'!$F$14,IF(A28="RB",'League Config'!$F$15,IF(A28="WR",'League Config'!$F$16,IF(A28="TE",'League Config'!$F$17,IF(A28="K",'League Config'!$F$18,'League Config'!$F$19)))))</x:f>
        <x:v>84.69210205685258</x:v>
      </x:c>
      <x:c r="J28" s="48" t="n">
        <x:f>G28-I28</x:f>
        <x:v>-10.45182979930091</x:v>
      </x:c>
      <x:c r="K28" s="48" t="n">
        <x:f>MAX(0,MIN(100,50+J28*6))</x:f>
        <x:v>0</x:v>
      </x:c>
      <x:c r="L28" s="48" t="n">
        <x:f>MIN(100,MAX(0,MIN(100,(1-(B28-1)/(H28*1.5))*100))*IF(A28="QB",'League Config'!$G$14,IF(A28="RB",'League Config'!$G$15,IF(A28="WR",'League Config'!$G$16,IF(A28="TE",'League Config'!$G$17,IF(A28="K",'League Config'!$G$18,'League Config'!$G$19))))))</x:f>
        <x:v>0</x:v>
      </x:c>
      <x:c r="M28" t="n">
        <x:f>IF(A28="K",'League Config'!$B$15,IF(A28="DST",'League Config'!$B$16,IF(A28="QB",'League Config'!$B$17,0)))</x:f>
        <x:v>3</x:v>
      </x:c>
      <x:c r="N28" s="48" t="n">
        <x:f>MIN(100,MAX(0,0.55*G28+0.30*K28+0.15*L28-M28))</x:f>
        <x:v>37.83214974165342</x:v>
      </x:c>
      <x:c r="O28" t="n">
        <x:f>RANK.EQ(N28,$N$5:$N$227,0)</x:f>
        <x:v>162</x:v>
      </x:c>
      <x:c r="P28" s="110" t="n">
        <x:v>206</x:v>
      </x:c>
      <x:c r="Q28" s="48" t="n">
        <x:f>P28-O28</x:f>
        <x:v>44</x:v>
      </x:c>
      <x:c r="R28" s="48" t="n">
        <x:f>MAX(40,G28-IF(U28="A",6,IF(U28="B",9,12)))</x:f>
        <x:v>65.24027225755167</x:v>
      </x:c>
      <x:c r="S28" s="48" t="n">
        <x:f>G28</x:f>
        <x:v>74.24027225755167</x:v>
      </x:c>
      <x:c r="T28" s="48" t="n">
        <x:f>MIN(100,G28+IF(U28="A",6,IF(U28="B",9,12)))</x:f>
        <x:v>83.24027225755167</x:v>
      </x:c>
      <x:c r="U28" t="str">
        <x:v>B</x:v>
      </x:c>
      <x:c r="V28" t="str">
        <x:v>RATE-ADJUSTED VETERAN</x:v>
      </x:c>
      <x:c r="W28" s="109" t="str">
        <x:v>Available</x:v>
      </x:c>
      <x:c r="X28" t="n">
        <x:f>IF(W28&lt;&gt;"Available","",1+COUNTIFS($W$5:$W$227,"Available",$N$5:$N$227,"&gt;"&amp;N28))</x:f>
        <x:v>162</x:v>
      </x:c>
      <x:c r="Y28" s="98" t="str">
        <x:v>EXPECTATION: Bench/streaming option; needs matchup, rushing or TD spike weeks.  WHY: He produced 12.8 PPR/FP points per game across 4 games. The workload/efficiency profile gives the model a rate-based reason to keep him here. Market price is favorable around ADP 206 versus model overall rank 160.  RISK: Availability/sample risk is elevated after only 4 games; talent is not being punished as heavily as durability.</x:v>
      </x:c>
      <x:c r="Z28" t="str">
        <x:v>ADP proxy — editable; based on positional draft cost</x:v>
      </x:c>
    </x:row>
    <x:row r="29">
      <x:c r="A29" t="str">
        <x:v>QB</x:v>
      </x:c>
      <x:c r="B29" t="n">
        <x:v>25</x:v>
      </x:c>
      <x:c r="C29" t="str">
        <x:v>Bryce Young</x:v>
      </x:c>
      <x:c r="D29" s="48" t="n">
        <x:v>72.79764579957634</x:v>
      </x:c>
      <x:c r="E29" s="48" t="n">
        <x:f>SUMIFS('Manual Adjustments'!$G$5:$G$227,'Manual Adjustments'!$A$5:$A$227,A29,'Manual Adjustments'!$B$5:$B$227,C29)</x:f>
        <x:v>0</x:v>
      </x:c>
      <x:c r="F29" s="48" t="n">
        <x:f>IFERROR(SUMIFS('Rookie College Inputs'!$I$5:$I$13,'Rookie College Inputs'!$A$5:$A$13,C29),0)</x:f>
        <x:v>0</x:v>
      </x:c>
      <x:c r="G29" s="48" t="n">
        <x:f>MAX(40,MIN(100,D29+E29+F29))</x:f>
        <x:v>72.79764579957634</x:v>
      </x:c>
      <x:c r="H29" t="n">
        <x:f>IF(A29="QB",'League Config'!$H$5,IF(A29="RB",'League Config'!$H$6,IF(A29="WR",'League Config'!$H$7,IF(A29="TE",'League Config'!$H$8,IF(A29="K",'League Config'!$H$9,'League Config'!$H$10)))))</x:f>
        <x:v>13</x:v>
      </x:c>
      <x:c r="I29" s="48" t="n">
        <x:f>IF(A29="QB",'League Config'!$F$14,IF(A29="RB",'League Config'!$F$15,IF(A29="WR",'League Config'!$F$16,IF(A29="TE",'League Config'!$F$17,IF(A29="K",'League Config'!$F$18,'League Config'!$F$19)))))</x:f>
        <x:v>84.69210205685258</x:v>
      </x:c>
      <x:c r="J29" s="48" t="n">
        <x:f>G29-I29</x:f>
        <x:v>-11.894456257276232</x:v>
      </x:c>
      <x:c r="K29" s="48" t="n">
        <x:f>MAX(0,MIN(100,50+J29*6))</x:f>
        <x:v>0</x:v>
      </x:c>
      <x:c r="L29" s="48" t="n">
        <x:f>MIN(100,MAX(0,MIN(100,(1-(B29-1)/(H29*1.5))*100))*IF(A29="QB",'League Config'!$G$14,IF(A29="RB",'League Config'!$G$15,IF(A29="WR",'League Config'!$G$16,IF(A29="TE",'League Config'!$G$17,IF(A29="K",'League Config'!$G$18,'League Config'!$G$19))))))</x:f>
        <x:v>0</x:v>
      </x:c>
      <x:c r="M29" t="n">
        <x:f>IF(A29="K",'League Config'!$B$15,IF(A29="DST",'League Config'!$B$16,IF(A29="QB",'League Config'!$B$17,0)))</x:f>
        <x:v>3</x:v>
      </x:c>
      <x:c r="N29" s="48" t="n">
        <x:f>MIN(100,MAX(0,0.55*G29+0.30*K29+0.15*L29-M29))</x:f>
        <x:v>37.03870518976699</x:v>
      </x:c>
      <x:c r="O29" t="n">
        <x:f>RANK.EQ(N29,$N$5:$N$227,0)</x:f>
        <x:v>164</x:v>
      </x:c>
      <x:c r="P29" s="110" t="n">
        <x:v>214</x:v>
      </x:c>
      <x:c r="Q29" s="48" t="n">
        <x:f>P29-O29</x:f>
        <x:v>50</x:v>
      </x:c>
      <x:c r="R29" s="48" t="n">
        <x:f>MAX(40,G29-IF(U29="A",6,IF(U29="B",9,12)))</x:f>
        <x:v>66.79764579957634</x:v>
      </x:c>
      <x:c r="S29" s="48" t="n">
        <x:f>G29</x:f>
        <x:v>72.79764579957634</x:v>
      </x:c>
      <x:c r="T29" s="48" t="n">
        <x:f>MIN(100,G29+IF(U29="A",6,IF(U29="B",9,12)))</x:f>
        <x:v>78.79764579957634</x:v>
      </x:c>
      <x:c r="U29" t="str">
        <x:v>A</x:v>
      </x:c>
      <x:c r="V29" t="str">
        <x:v>RATE-ADJUSTED VETERAN</x:v>
      </x:c>
      <x:c r="W29" s="109" t="str">
        <x:v>Available</x:v>
      </x:c>
      <x:c r="X29" t="n">
        <x:f>IF(W29&lt;&gt;"Available","",1+COUNTIFS($W$5:$W$227,"Available",$N$5:$N$227,"&gt;"&amp;N29))</x:f>
        <x:v>164</x:v>
      </x:c>
      <x:c r="Y29" s="98" t="str">
        <x:v>EXPECTATION: Deep QB2; waiver-level in a normal 10-team format.  WHY: He produced 14.3 PPR/FP points per game across 16 games. The workload/efficiency profile gives the model a rate-based reason to keep him here. Market price is favorable around ADP 214 versus model overall rank 163.  RISK: Passing-TD efficiency, rushing volume and supporting-cast health are the main swing factors.</x:v>
      </x:c>
      <x:c r="Z29" t="str">
        <x:v>ADP proxy — editable; based on positional draft cost</x:v>
      </x:c>
    </x:row>
    <x:row r="30">
      <x:c r="A30" t="str">
        <x:v>QB</x:v>
      </x:c>
      <x:c r="B30" t="n">
        <x:v>26</x:v>
      </x:c>
      <x:c r="C30" t="str">
        <x:v>Cam Ward</x:v>
      </x:c>
      <x:c r="D30" s="48" t="n">
        <x:v>72.66457683651541</x:v>
      </x:c>
      <x:c r="E30" s="48" t="n">
        <x:f>SUMIFS('Manual Adjustments'!$G$5:$G$227,'Manual Adjustments'!$A$5:$A$227,A30,'Manual Adjustments'!$B$5:$B$227,C30)</x:f>
        <x:v>0</x:v>
      </x:c>
      <x:c r="F30" s="48" t="n">
        <x:f>IFERROR(SUMIFS('Rookie College Inputs'!$I$5:$I$13,'Rookie College Inputs'!$A$5:$A$13,C30),0)</x:f>
        <x:v>0</x:v>
      </x:c>
      <x:c r="G30" s="48" t="n">
        <x:f>MAX(40,MIN(100,D30+E30+F30))</x:f>
        <x:v>72.66457683651541</x:v>
      </x:c>
      <x:c r="H30" t="n">
        <x:f>IF(A30="QB",'League Config'!$H$5,IF(A30="RB",'League Config'!$H$6,IF(A30="WR",'League Config'!$H$7,IF(A30="TE",'League Config'!$H$8,IF(A30="K",'League Config'!$H$9,'League Config'!$H$10)))))</x:f>
        <x:v>13</x:v>
      </x:c>
      <x:c r="I30" s="48" t="n">
        <x:f>IF(A30="QB",'League Config'!$F$14,IF(A30="RB",'League Config'!$F$15,IF(A30="WR",'League Config'!$F$16,IF(A30="TE",'League Config'!$F$17,IF(A30="K",'League Config'!$F$18,'League Config'!$F$19)))))</x:f>
        <x:v>84.69210205685258</x:v>
      </x:c>
      <x:c r="J30" s="48" t="n">
        <x:f>G30-I30</x:f>
        <x:v>-12.027525220337168</x:v>
      </x:c>
      <x:c r="K30" s="48" t="n">
        <x:f>MAX(0,MIN(100,50+J30*6))</x:f>
        <x:v>0</x:v>
      </x:c>
      <x:c r="L30" s="48" t="n">
        <x:f>MIN(100,MAX(0,MIN(100,(1-(B30-1)/(H30*1.5))*100))*IF(A30="QB",'League Config'!$G$14,IF(A30="RB",'League Config'!$G$15,IF(A30="WR",'League Config'!$G$16,IF(A30="TE",'League Config'!$G$17,IF(A30="K",'League Config'!$G$18,'League Config'!$G$19))))))</x:f>
        <x:v>0</x:v>
      </x:c>
      <x:c r="M30" t="n">
        <x:f>IF(A30="K",'League Config'!$B$15,IF(A30="DST",'League Config'!$B$16,IF(A30="QB",'League Config'!$B$17,0)))</x:f>
        <x:v>3</x:v>
      </x:c>
      <x:c r="N30" s="48" t="n">
        <x:f>MIN(100,MAX(0,0.55*G30+0.30*K30+0.15*L30-M30))</x:f>
        <x:v>36.96551726008348</x:v>
      </x:c>
      <x:c r="O30" t="n">
        <x:f>RANK.EQ(N30,$N$5:$N$227,0)</x:f>
        <x:v>165</x:v>
      </x:c>
      <x:c r="P30" s="110" t="n">
        <x:v>222</x:v>
      </x:c>
      <x:c r="Q30" s="48" t="n">
        <x:f>P30-O30</x:f>
        <x:v>57</x:v>
      </x:c>
      <x:c r="R30" s="48" t="n">
        <x:f>MAX(40,G30-IF(U30="A",6,IF(U30="B",9,12)))</x:f>
        <x:v>66.66457683651541</x:v>
      </x:c>
      <x:c r="S30" s="48" t="n">
        <x:f>G30</x:f>
        <x:v>72.66457683651541</x:v>
      </x:c>
      <x:c r="T30" s="48" t="n">
        <x:f>MIN(100,G30+IF(U30="A",6,IF(U30="B",9,12)))</x:f>
        <x:v>78.66457683651541</x:v>
      </x:c>
      <x:c r="U30" t="str">
        <x:v>A</x:v>
      </x:c>
      <x:c r="V30" t="str">
        <x:v>RATE-ADJUSTED VETERAN</x:v>
      </x:c>
      <x:c r="W30" s="109" t="str">
        <x:v>Available</x:v>
      </x:c>
      <x:c r="X30" t="n">
        <x:f>IF(W30&lt;&gt;"Available","",1+COUNTIFS($W$5:$W$227,"Available",$N$5:$N$227,"&gt;"&amp;N30))</x:f>
        <x:v>165</x:v>
      </x:c>
      <x:c r="Y30" s="98" t="str">
        <x:v>EXPECTATION: Deep QB2; waiver-level in a normal 10-team format.  WHY: He produced 11.4 PPR/FP points per game across 17 games. The workload/efficiency profile gives the model a rate-based reason to keep him here. Market price is favorable around ADP 222 versus model overall rank 164.  RISK: Passing-TD efficiency, rushing volume and supporting-cast health are the main swing factors.</x:v>
      </x:c>
      <x:c r="Z30" t="str">
        <x:v>ADP proxy — editable; based on positional draft cost</x:v>
      </x:c>
    </x:row>
    <x:row r="31">
      <x:c r="A31" t="str">
        <x:v>QB</x:v>
      </x:c>
      <x:c r="B31" t="n">
        <x:v>27</x:v>
      </x:c>
      <x:c r="C31" t="str">
        <x:v>Jacoby Brissett</x:v>
      </x:c>
      <x:c r="D31" s="48" t="n">
        <x:v>71.3334204764594</x:v>
      </x:c>
      <x:c r="E31" s="48" t="n">
        <x:f>SUMIFS('Manual Adjustments'!$G$5:$G$227,'Manual Adjustments'!$A$5:$A$227,A31,'Manual Adjustments'!$B$5:$B$227,C31)</x:f>
        <x:v>0</x:v>
      </x:c>
      <x:c r="F31" s="48" t="n">
        <x:f>IFERROR(SUMIFS('Rookie College Inputs'!$I$5:$I$13,'Rookie College Inputs'!$A$5:$A$13,C31),0)</x:f>
        <x:v>0</x:v>
      </x:c>
      <x:c r="G31" s="48" t="n">
        <x:f>MAX(40,MIN(100,D31+E31+F31))</x:f>
        <x:v>71.3334204764594</x:v>
      </x:c>
      <x:c r="H31" t="n">
        <x:f>IF(A31="QB",'League Config'!$H$5,IF(A31="RB",'League Config'!$H$6,IF(A31="WR",'League Config'!$H$7,IF(A31="TE",'League Config'!$H$8,IF(A31="K",'League Config'!$H$9,'League Config'!$H$10)))))</x:f>
        <x:v>13</x:v>
      </x:c>
      <x:c r="I31" s="48" t="n">
        <x:f>IF(A31="QB",'League Config'!$F$14,IF(A31="RB",'League Config'!$F$15,IF(A31="WR",'League Config'!$F$16,IF(A31="TE",'League Config'!$F$17,IF(A31="K",'League Config'!$F$18,'League Config'!$F$19)))))</x:f>
        <x:v>84.69210205685258</x:v>
      </x:c>
      <x:c r="J31" s="48" t="n">
        <x:f>G31-I31</x:f>
        <x:v>-13.358681580393181</x:v>
      </x:c>
      <x:c r="K31" s="48" t="n">
        <x:f>MAX(0,MIN(100,50+J31*6))</x:f>
        <x:v>0</x:v>
      </x:c>
      <x:c r="L31" s="48" t="n">
        <x:f>MIN(100,MAX(0,MIN(100,(1-(B31-1)/(H31*1.5))*100))*IF(A31="QB",'League Config'!$G$14,IF(A31="RB",'League Config'!$G$15,IF(A31="WR",'League Config'!$G$16,IF(A31="TE",'League Config'!$G$17,IF(A31="K",'League Config'!$G$18,'League Config'!$G$19))))))</x:f>
        <x:v>0</x:v>
      </x:c>
      <x:c r="M31" t="n">
        <x:f>IF(A31="K",'League Config'!$B$15,IF(A31="DST",'League Config'!$B$16,IF(A31="QB",'League Config'!$B$17,0)))</x:f>
        <x:v>3</x:v>
      </x:c>
      <x:c r="N31" s="48" t="n">
        <x:f>MIN(100,MAX(0,0.55*G31+0.30*K31+0.15*L31-M31))</x:f>
        <x:v>36.23338126205267</x:v>
      </x:c>
      <x:c r="O31" t="n">
        <x:f>RANK.EQ(N31,$N$5:$N$227,0)</x:f>
        <x:v>170</x:v>
      </x:c>
      <x:c r="P31" s="110" t="n">
        <x:v>230</x:v>
      </x:c>
      <x:c r="Q31" s="48" t="n">
        <x:f>P31-O31</x:f>
        <x:v>60</x:v>
      </x:c>
      <x:c r="R31" s="48" t="n">
        <x:f>MAX(40,G31-IF(U31="A",6,IF(U31="B",9,12)))</x:f>
        <x:v>65.3334204764594</x:v>
      </x:c>
      <x:c r="S31" s="48" t="n">
        <x:f>G31</x:f>
        <x:v>71.3334204764594</x:v>
      </x:c>
      <x:c r="T31" s="48" t="n">
        <x:f>MIN(100,G31+IF(U31="A",6,IF(U31="B",9,12)))</x:f>
        <x:v>77.3334204764594</x:v>
      </x:c>
      <x:c r="U31" t="str">
        <x:v>A</x:v>
      </x:c>
      <x:c r="V31" t="str">
        <x:v>RATE-ADJUSTED VETERAN</x:v>
      </x:c>
      <x:c r="W31" s="109" t="str">
        <x:v>Available</x:v>
      </x:c>
      <x:c r="X31" t="n">
        <x:f>IF(W31&lt;&gt;"Available","",1+COUNTIFS($W$5:$W$227,"Available",$N$5:$N$227,"&gt;"&amp;N31))</x:f>
        <x:v>170</x:v>
      </x:c>
      <x:c r="Y31" s="98" t="str">
        <x:v>EXPECTATION: Deep QB2; waiver-level in a normal 10-team format.  WHY: He produced 16.8 PPR/FP points per game across 14 games. The workload/efficiency profile gives the model a rate-based reason to keep him here. Market price is favorable around ADP 230 versus model overall rank 169.  RISK: Passing-TD efficiency, rushing volume and supporting-cast health are the main swing factors.</x:v>
      </x:c>
      <x:c r="Z31" t="str">
        <x:v>ADP proxy — editable; based on positional draft cost</x:v>
      </x:c>
    </x:row>
    <x:row r="32">
      <x:c r="A32" t="str">
        <x:v>QB</x:v>
      </x:c>
      <x:c r="B32" t="n">
        <x:v>28</x:v>
      </x:c>
      <x:c r="C32" t="str">
        <x:v>Geno Smith</x:v>
      </x:c>
      <x:c r="D32" s="48" t="n">
        <x:v>71.09857323143055</x:v>
      </x:c>
      <x:c r="E32" s="48" t="n">
        <x:f>SUMIFS('Manual Adjustments'!$G$5:$G$227,'Manual Adjustments'!$A$5:$A$227,A32,'Manual Adjustments'!$B$5:$B$227,C32)</x:f>
        <x:v>0</x:v>
      </x:c>
      <x:c r="F32" s="48" t="n">
        <x:f>IFERROR(SUMIFS('Rookie College Inputs'!$I$5:$I$13,'Rookie College Inputs'!$A$5:$A$13,C32),0)</x:f>
        <x:v>0</x:v>
      </x:c>
      <x:c r="G32" s="48" t="n">
        <x:f>MAX(40,MIN(100,D32+E32+F32))</x:f>
        <x:v>71.09857323143055</x:v>
      </x:c>
      <x:c r="H32" t="n">
        <x:f>IF(A32="QB",'League Config'!$H$5,IF(A32="RB",'League Config'!$H$6,IF(A32="WR",'League Config'!$H$7,IF(A32="TE",'League Config'!$H$8,IF(A32="K",'League Config'!$H$9,'League Config'!$H$10)))))</x:f>
        <x:v>13</x:v>
      </x:c>
      <x:c r="I32" s="48" t="n">
        <x:f>IF(A32="QB",'League Config'!$F$14,IF(A32="RB",'League Config'!$F$15,IF(A32="WR",'League Config'!$F$16,IF(A32="TE",'League Config'!$F$17,IF(A32="K",'League Config'!$F$18,'League Config'!$F$19)))))</x:f>
        <x:v>84.69210205685258</x:v>
      </x:c>
      <x:c r="J32" s="48" t="n">
        <x:f>G32-I32</x:f>
        <x:v>-13.593528825422027</x:v>
      </x:c>
      <x:c r="K32" s="48" t="n">
        <x:f>MAX(0,MIN(100,50+J32*6))</x:f>
        <x:v>0</x:v>
      </x:c>
      <x:c r="L32" s="48" t="n">
        <x:f>MIN(100,MAX(0,MIN(100,(1-(B32-1)/(H32*1.5))*100))*IF(A32="QB",'League Config'!$G$14,IF(A32="RB",'League Config'!$G$15,IF(A32="WR",'League Config'!$G$16,IF(A32="TE",'League Config'!$G$17,IF(A32="K",'League Config'!$G$18,'League Config'!$G$19))))))</x:f>
        <x:v>0</x:v>
      </x:c>
      <x:c r="M32" t="n">
        <x:f>IF(A32="K",'League Config'!$B$15,IF(A32="DST",'League Config'!$B$16,IF(A32="QB",'League Config'!$B$17,0)))</x:f>
        <x:v>3</x:v>
      </x:c>
      <x:c r="N32" s="48" t="n">
        <x:f>MIN(100,MAX(0,0.55*G32+0.30*K32+0.15*L32-M32))</x:f>
        <x:v>36.104215277286805</x:v>
      </x:c>
      <x:c r="O32" t="n">
        <x:f>RANK.EQ(N32,$N$5:$N$227,0)</x:f>
        <x:v>171</x:v>
      </x:c>
      <x:c r="P32" s="110" t="n">
        <x:v>238</x:v>
      </x:c>
      <x:c r="Q32" s="48" t="n">
        <x:f>P32-O32</x:f>
        <x:v>67</x:v>
      </x:c>
      <x:c r="R32" s="48" t="n">
        <x:f>MAX(40,G32-IF(U32="A",6,IF(U32="B",9,12)))</x:f>
        <x:v>65.09857323143055</x:v>
      </x:c>
      <x:c r="S32" s="48" t="n">
        <x:f>G32</x:f>
        <x:v>71.09857323143055</x:v>
      </x:c>
      <x:c r="T32" s="48" t="n">
        <x:f>MIN(100,G32+IF(U32="A",6,IF(U32="B",9,12)))</x:f>
        <x:v>77.09857323143055</x:v>
      </x:c>
      <x:c r="U32" t="str">
        <x:v>A</x:v>
      </x:c>
      <x:c r="V32" t="str">
        <x:v>RATE-ADJUSTED VETERAN</x:v>
      </x:c>
      <x:c r="W32" s="109" t="str">
        <x:v>Available</x:v>
      </x:c>
      <x:c r="X32" t="n">
        <x:f>IF(W32&lt;&gt;"Available","",1+COUNTIFS($W$5:$W$227,"Available",$N$5:$N$227,"&gt;"&amp;N32))</x:f>
        <x:v>171</x:v>
      </x:c>
      <x:c r="Y32" s="98" t="str">
        <x:v>EXPECTATION: Deep QB2; waiver-level in a normal 10-team format.  WHY: He produced 12.7 PPR/FP points per game across 15 games. The workload/efficiency profile gives the model a rate-based reason to keep him here. Market price is favorable around ADP 238 versus model overall rank 170.  RISK: Passing-TD efficiency, rushing volume and supporting-cast health are the main swing factors.</x:v>
      </x:c>
      <x:c r="Z32" t="str">
        <x:v>ADP proxy — editable; based on positional draft cost</x:v>
      </x:c>
    </x:row>
    <x:row r="33">
      <x:c r="A33" t="str">
        <x:v>QB</x:v>
      </x:c>
      <x:c r="B33" t="n">
        <x:v>29</x:v>
      </x:c>
      <x:c r="C33" t="str">
        <x:v>Aaron Rodgers</x:v>
      </x:c>
      <x:c r="D33" s="48" t="n">
        <x:v>70.88484375797985</x:v>
      </x:c>
      <x:c r="E33" s="48" t="n">
        <x:f>SUMIFS('Manual Adjustments'!$G$5:$G$227,'Manual Adjustments'!$A$5:$A$227,A33,'Manual Adjustments'!$B$5:$B$227,C33)</x:f>
        <x:v>0</x:v>
      </x:c>
      <x:c r="F33" s="48" t="n">
        <x:f>IFERROR(SUMIFS('Rookie College Inputs'!$I$5:$I$13,'Rookie College Inputs'!$A$5:$A$13,C33),0)</x:f>
        <x:v>0</x:v>
      </x:c>
      <x:c r="G33" s="48" t="n">
        <x:f>MAX(40,MIN(100,D33+E33+F33))</x:f>
        <x:v>70.88484375797985</x:v>
      </x:c>
      <x:c r="H33" t="n">
        <x:f>IF(A33="QB",'League Config'!$H$5,IF(A33="RB",'League Config'!$H$6,IF(A33="WR",'League Config'!$H$7,IF(A33="TE",'League Config'!$H$8,IF(A33="K",'League Config'!$H$9,'League Config'!$H$10)))))</x:f>
        <x:v>13</x:v>
      </x:c>
      <x:c r="I33" s="48" t="n">
        <x:f>IF(A33="QB",'League Config'!$F$14,IF(A33="RB",'League Config'!$F$15,IF(A33="WR",'League Config'!$F$16,IF(A33="TE",'League Config'!$F$17,IF(A33="K",'League Config'!$F$18,'League Config'!$F$19)))))</x:f>
        <x:v>84.69210205685258</x:v>
      </x:c>
      <x:c r="J33" s="48" t="n">
        <x:f>G33-I33</x:f>
        <x:v>-13.807258298872725</x:v>
      </x:c>
      <x:c r="K33" s="48" t="n">
        <x:f>MAX(0,MIN(100,50+J33*6))</x:f>
        <x:v>0</x:v>
      </x:c>
      <x:c r="L33" s="48" t="n">
        <x:f>MIN(100,MAX(0,MIN(100,(1-(B33-1)/(H33*1.5))*100))*IF(A33="QB",'League Config'!$G$14,IF(A33="RB",'League Config'!$G$15,IF(A33="WR",'League Config'!$G$16,IF(A33="TE",'League Config'!$G$17,IF(A33="K",'League Config'!$G$18,'League Config'!$G$19))))))</x:f>
        <x:v>0</x:v>
      </x:c>
      <x:c r="M33" t="n">
        <x:f>IF(A33="K",'League Config'!$B$15,IF(A33="DST",'League Config'!$B$16,IF(A33="QB",'League Config'!$B$17,0)))</x:f>
        <x:v>3</x:v>
      </x:c>
      <x:c r="N33" s="48" t="n">
        <x:f>MIN(100,MAX(0,0.55*G33+0.30*K33+0.15*L33-M33))</x:f>
        <x:v>35.98666406688892</x:v>
      </x:c>
      <x:c r="O33" t="n">
        <x:f>RANK.EQ(N33,$N$5:$N$227,0)</x:f>
        <x:v>172</x:v>
      </x:c>
      <x:c r="P33" s="110" t="n">
        <x:v>246</x:v>
      </x:c>
      <x:c r="Q33" s="48" t="n">
        <x:f>P33-O33</x:f>
        <x:v>74</x:v>
      </x:c>
      <x:c r="R33" s="48" t="n">
        <x:f>MAX(40,G33-IF(U33="A",6,IF(U33="B",9,12)))</x:f>
        <x:v>64.88484375797985</x:v>
      </x:c>
      <x:c r="S33" s="48" t="n">
        <x:f>G33</x:f>
        <x:v>70.88484375797985</x:v>
      </x:c>
      <x:c r="T33" s="48" t="n">
        <x:f>MIN(100,G33+IF(U33="A",6,IF(U33="B",9,12)))</x:f>
        <x:v>76.88484375797985</x:v>
      </x:c>
      <x:c r="U33" t="str">
        <x:v>A</x:v>
      </x:c>
      <x:c r="V33" t="str">
        <x:v>RATE-ADJUSTED VETERAN</x:v>
      </x:c>
      <x:c r="W33" s="109" t="str">
        <x:v>Available</x:v>
      </x:c>
      <x:c r="X33" t="n">
        <x:f>IF(W33&lt;&gt;"Available","",1+COUNTIFS($W$5:$W$227,"Available",$N$5:$N$227,"&gt;"&amp;N33))</x:f>
        <x:v>172</x:v>
      </x:c>
      <x:c r="Y33" s="98" t="str">
        <x:v>EXPECTATION: Deep QB2; waiver-level in a normal 10-team format.  WHY: He produced 14.6 PPR/FP points per game across 16 games. The workload/efficiency profile gives the model a rate-based reason to keep him here. Market price is favorable around ADP 246 versus model overall rank 172.  RISK: Passing-TD efficiency, rushing volume and supporting-cast health are the main swing factors.</x:v>
      </x:c>
      <x:c r="Z33" t="str">
        <x:v>ADP proxy — editable; based on positional draft cost</x:v>
      </x:c>
    </x:row>
    <x:row r="34">
      <x:c r="A34" t="str">
        <x:v>QB</x:v>
      </x:c>
      <x:c r="B34" t="n">
        <x:v>30</x:v>
      </x:c>
      <x:c r="C34" t="str">
        <x:v>Tua Tagovailoa</x:v>
      </x:c>
      <x:c r="D34" s="48" t="n">
        <x:v>67.85117431898288</x:v>
      </x:c>
      <x:c r="E34" s="48" t="n">
        <x:f>SUMIFS('Manual Adjustments'!$G$5:$G$227,'Manual Adjustments'!$A$5:$A$227,A34,'Manual Adjustments'!$B$5:$B$227,C34)</x:f>
        <x:v>0</x:v>
      </x:c>
      <x:c r="F34" s="48" t="n">
        <x:f>IFERROR(SUMIFS('Rookie College Inputs'!$I$5:$I$13,'Rookie College Inputs'!$A$5:$A$13,C34),0)</x:f>
        <x:v>0</x:v>
      </x:c>
      <x:c r="G34" s="48" t="n">
        <x:f>MAX(40,MIN(100,D34+E34+F34))</x:f>
        <x:v>67.85117431898288</x:v>
      </x:c>
      <x:c r="H34" t="n">
        <x:f>IF(A34="QB",'League Config'!$H$5,IF(A34="RB",'League Config'!$H$6,IF(A34="WR",'League Config'!$H$7,IF(A34="TE",'League Config'!$H$8,IF(A34="K",'League Config'!$H$9,'League Config'!$H$10)))))</x:f>
        <x:v>13</x:v>
      </x:c>
      <x:c r="I34" s="48" t="n">
        <x:f>IF(A34="QB",'League Config'!$F$14,IF(A34="RB",'League Config'!$F$15,IF(A34="WR",'League Config'!$F$16,IF(A34="TE",'League Config'!$F$17,IF(A34="K",'League Config'!$F$18,'League Config'!$F$19)))))</x:f>
        <x:v>84.69210205685258</x:v>
      </x:c>
      <x:c r="J34" s="48" t="n">
        <x:f>G34-I34</x:f>
        <x:v>-16.84092773786969</x:v>
      </x:c>
      <x:c r="K34" s="48" t="n">
        <x:f>MAX(0,MIN(100,50+J34*6))</x:f>
        <x:v>0</x:v>
      </x:c>
      <x:c r="L34" s="48" t="n">
        <x:f>MIN(100,MAX(0,MIN(100,(1-(B34-1)/(H34*1.5))*100))*IF(A34="QB",'League Config'!$G$14,IF(A34="RB",'League Config'!$G$15,IF(A34="WR",'League Config'!$G$16,IF(A34="TE",'League Config'!$G$17,IF(A34="K",'League Config'!$G$18,'League Config'!$G$19))))))</x:f>
        <x:v>0</x:v>
      </x:c>
      <x:c r="M34" t="n">
        <x:f>IF(A34="K",'League Config'!$B$15,IF(A34="DST",'League Config'!$B$16,IF(A34="QB",'League Config'!$B$17,0)))</x:f>
        <x:v>3</x:v>
      </x:c>
      <x:c r="N34" s="48" t="n">
        <x:f>MIN(100,MAX(0,0.55*G34+0.30*K34+0.15*L34-M34))</x:f>
        <x:v>34.31814587544059</x:v>
      </x:c>
      <x:c r="O34" t="n">
        <x:f>RANK.EQ(N34,$N$5:$N$227,0)</x:f>
        <x:v>183</x:v>
      </x:c>
      <x:c r="P34" s="110" t="n">
        <x:v>254</x:v>
      </x:c>
      <x:c r="Q34" s="48" t="n">
        <x:f>P34-O34</x:f>
        <x:v>71</x:v>
      </x:c>
      <x:c r="R34" s="48" t="n">
        <x:f>MAX(40,G34-IF(U34="A",6,IF(U34="B",9,12)))</x:f>
        <x:v>61.851174318982885</x:v>
      </x:c>
      <x:c r="S34" s="48" t="n">
        <x:f>G34</x:f>
        <x:v>67.85117431898288</x:v>
      </x:c>
      <x:c r="T34" s="48" t="n">
        <x:f>MIN(100,G34+IF(U34="A",6,IF(U34="B",9,12)))</x:f>
        <x:v>73.85117431898288</x:v>
      </x:c>
      <x:c r="U34" t="str">
        <x:v>A</x:v>
      </x:c>
      <x:c r="V34" t="str">
        <x:v>RATE-ADJUSTED VETERAN</x:v>
      </x:c>
      <x:c r="W34" s="109" t="str">
        <x:v>Available</x:v>
      </x:c>
      <x:c r="X34" t="n">
        <x:f>IF(W34&lt;&gt;"Available","",1+COUNTIFS($W$5:$W$227,"Available",$N$5:$N$227,"&gt;"&amp;N34))</x:f>
        <x:v>183</x:v>
      </x:c>
      <x:c r="Y34" s="98" t="str">
        <x:v>EXPECTATION: Deep QB2; waiver-level in a normal 10-team format.  WHY: He produced 12.5 PPR/FP points per game across 14 games. The workload/efficiency profile gives the model a rate-based reason to keep him here. Market price is favorable around ADP 254 versus model overall rank 183.  RISK: Passing-TD efficiency, rushing volume and supporting-cast health are the main swing factors.</x:v>
      </x:c>
      <x:c r="Z34" t="str">
        <x:v>ADP proxy — editable; based on positional draft cost</x:v>
      </x:c>
    </x:row>
    <x:row r="35">
      <x:c r="A35" t="str">
        <x:v>QB</x:v>
      </x:c>
      <x:c r="B35" t="n">
        <x:v>31</x:v>
      </x:c>
      <x:c r="C35" t="str">
        <x:v>Kirk Cousins</x:v>
      </x:c>
      <x:c r="D35" s="48" t="n">
        <x:v>65.79292388521264</x:v>
      </x:c>
      <x:c r="E35" s="48" t="n">
        <x:f>SUMIFS('Manual Adjustments'!$G$5:$G$227,'Manual Adjustments'!$A$5:$A$227,A35,'Manual Adjustments'!$B$5:$B$227,C35)</x:f>
        <x:v>0</x:v>
      </x:c>
      <x:c r="F35" s="48" t="n">
        <x:f>IFERROR(SUMIFS('Rookie College Inputs'!$I$5:$I$13,'Rookie College Inputs'!$A$5:$A$13,C35),0)</x:f>
        <x:v>0</x:v>
      </x:c>
      <x:c r="G35" s="48" t="n">
        <x:f>MAX(40,MIN(100,D35+E35+F35))</x:f>
        <x:v>65.79292388521264</x:v>
      </x:c>
      <x:c r="H35" t="n">
        <x:f>IF(A35="QB",'League Config'!$H$5,IF(A35="RB",'League Config'!$H$6,IF(A35="WR",'League Config'!$H$7,IF(A35="TE",'League Config'!$H$8,IF(A35="K",'League Config'!$H$9,'League Config'!$H$10)))))</x:f>
        <x:v>13</x:v>
      </x:c>
      <x:c r="I35" s="48" t="n">
        <x:f>IF(A35="QB",'League Config'!$F$14,IF(A35="RB",'League Config'!$F$15,IF(A35="WR",'League Config'!$F$16,IF(A35="TE",'League Config'!$F$17,IF(A35="K",'League Config'!$F$18,'League Config'!$F$19)))))</x:f>
        <x:v>84.69210205685258</x:v>
      </x:c>
      <x:c r="J35" s="48" t="n">
        <x:f>G35-I35</x:f>
        <x:v>-18.89917817163993</x:v>
      </x:c>
      <x:c r="K35" s="48" t="n">
        <x:f>MAX(0,MIN(100,50+J35*6))</x:f>
        <x:v>0</x:v>
      </x:c>
      <x:c r="L35" s="48" t="n">
        <x:f>MIN(100,MAX(0,MIN(100,(1-(B35-1)/(H35*1.5))*100))*IF(A35="QB",'League Config'!$G$14,IF(A35="RB",'League Config'!$G$15,IF(A35="WR",'League Config'!$G$16,IF(A35="TE",'League Config'!$G$17,IF(A35="K",'League Config'!$G$18,'League Config'!$G$19))))))</x:f>
        <x:v>0</x:v>
      </x:c>
      <x:c r="M35" t="n">
        <x:f>IF(A35="K",'League Config'!$B$15,IF(A35="DST",'League Config'!$B$16,IF(A35="QB",'League Config'!$B$17,0)))</x:f>
        <x:v>3</x:v>
      </x:c>
      <x:c r="N35" s="48" t="n">
        <x:f>MIN(100,MAX(0,0.55*G35+0.30*K35+0.15*L35-M35))</x:f>
        <x:v>33.186108136866956</x:v>
      </x:c>
      <x:c r="O35" t="n">
        <x:f>RANK.EQ(N35,$N$5:$N$227,0)</x:f>
        <x:v>188</x:v>
      </x:c>
      <x:c r="P35" s="110" t="n">
        <x:v>262</x:v>
      </x:c>
      <x:c r="Q35" s="48" t="n">
        <x:f>P35-O35</x:f>
        <x:v>74</x:v>
      </x:c>
      <x:c r="R35" s="48" t="n">
        <x:f>MAX(40,G35-IF(U35="A",6,IF(U35="B",9,12)))</x:f>
        <x:v>56.792923885212645</x:v>
      </x:c>
      <x:c r="S35" s="48" t="n">
        <x:f>G35</x:f>
        <x:v>65.79292388521264</x:v>
      </x:c>
      <x:c r="T35" s="48" t="n">
        <x:f>MIN(100,G35+IF(U35="A",6,IF(U35="B",9,12)))</x:f>
        <x:v>74.79292388521264</x:v>
      </x:c>
      <x:c r="U35" t="str">
        <x:v>B</x:v>
      </x:c>
      <x:c r="V35" t="str">
        <x:v>RATE-ADJUSTED VETERAN</x:v>
      </x:c>
      <x:c r="W35" s="109" t="str">
        <x:v>Available</x:v>
      </x:c>
      <x:c r="X35" t="n">
        <x:f>IF(W35&lt;&gt;"Available","",1+COUNTIFS($W$5:$W$227,"Available",$N$5:$N$227,"&gt;"&amp;N35))</x:f>
        <x:v>188</x:v>
      </x:c>
      <x:c r="Y35" s="98" t="str">
        <x:v>EXPECTATION: Deep QB2; waiver-level in a normal 10-team format.  WHY: He produced 10.9 PPR/FP points per game across 10 games. The workload/efficiency profile gives the model a rate-based reason to keep him here. Market price is favorable around ADP 262 versus model overall rank 188.  RISK: Passing-TD efficiency, rushing volume and supporting-cast health are the main swing factors.</x:v>
      </x:c>
      <x:c r="Z35" t="str">
        <x:v>ADP proxy — editable; based on positional draft cost</x:v>
      </x:c>
    </x:row>
    <x:row r="36">
      <x:c r="A36" t="str">
        <x:v>QB</x:v>
      </x:c>
      <x:c r="B36" t="n">
        <x:v>32</x:v>
      </x:c>
      <x:c r="C36" t="str">
        <x:v>Deshaun Watson</x:v>
      </x:c>
      <x:c r="D36" s="48" t="n">
        <x:v>60.25</x:v>
      </x:c>
      <x:c r="E36" s="48" t="n">
        <x:f>SUMIFS('Manual Adjustments'!$G$5:$G$227,'Manual Adjustments'!$A$5:$A$227,A36,'Manual Adjustments'!$B$5:$B$227,C36)</x:f>
        <x:v>0</x:v>
      </x:c>
      <x:c r="F36" s="48" t="n">
        <x:f>IFERROR(SUMIFS('Rookie College Inputs'!$I$5:$I$13,'Rookie College Inputs'!$A$5:$A$13,C36),0)</x:f>
        <x:v>0</x:v>
      </x:c>
      <x:c r="G36" s="48" t="n">
        <x:f>MAX(40,MIN(100,D36+E36+F36))</x:f>
        <x:v>60.25</x:v>
      </x:c>
      <x:c r="H36" t="n">
        <x:f>IF(A36="QB",'League Config'!$H$5,IF(A36="RB",'League Config'!$H$6,IF(A36="WR",'League Config'!$H$7,IF(A36="TE",'League Config'!$H$8,IF(A36="K",'League Config'!$H$9,'League Config'!$H$10)))))</x:f>
        <x:v>13</x:v>
      </x:c>
      <x:c r="I36" s="48" t="n">
        <x:f>IF(A36="QB",'League Config'!$F$14,IF(A36="RB",'League Config'!$F$15,IF(A36="WR",'League Config'!$F$16,IF(A36="TE",'League Config'!$F$17,IF(A36="K",'League Config'!$F$18,'League Config'!$F$19)))))</x:f>
        <x:v>84.69210205685258</x:v>
      </x:c>
      <x:c r="J36" s="48" t="n">
        <x:f>G36-I36</x:f>
        <x:v>-24.442102056852576</x:v>
      </x:c>
      <x:c r="K36" s="48" t="n">
        <x:f>MAX(0,MIN(100,50+J36*6))</x:f>
        <x:v>0</x:v>
      </x:c>
      <x:c r="L36" s="48" t="n">
        <x:f>MIN(100,MAX(0,MIN(100,(1-(B36-1)/(H36*1.5))*100))*IF(A36="QB",'League Config'!$G$14,IF(A36="RB",'League Config'!$G$15,IF(A36="WR",'League Config'!$G$16,IF(A36="TE",'League Config'!$G$17,IF(A36="K",'League Config'!$G$18,'League Config'!$G$19))))))</x:f>
        <x:v>0</x:v>
      </x:c>
      <x:c r="M36" t="n">
        <x:f>IF(A36="K",'League Config'!$B$15,IF(A36="DST",'League Config'!$B$16,IF(A36="QB",'League Config'!$B$17,0)))</x:f>
        <x:v>3</x:v>
      </x:c>
      <x:c r="N36" s="48" t="n">
        <x:f>MIN(100,MAX(0,0.55*G36+0.30*K36+0.15*L36-M36))</x:f>
        <x:v>30.137500000000003</x:v>
      </x:c>
      <x:c r="O36" t="n">
        <x:f>RANK.EQ(N36,$N$5:$N$227,0)</x:f>
        <x:v>200</x:v>
      </x:c>
      <x:c r="P36" s="110" t="n">
        <x:v>270</x:v>
      </x:c>
      <x:c r="Q36" s="48" t="n">
        <x:f>P36-O36</x:f>
        <x:v>70</x:v>
      </x:c>
      <x:c r="R36" s="48" t="n">
        <x:f>MAX(40,G36-IF(U36="A",6,IF(U36="B",9,12)))</x:f>
        <x:v>48.25</x:v>
      </x:c>
      <x:c r="S36" s="48" t="n">
        <x:f>G36</x:f>
        <x:v>60.25</x:v>
      </x:c>
      <x:c r="T36" s="48" t="n">
        <x:f>MIN(100,G36+IF(U36="A",6,IF(U36="B",9,12)))</x:f>
        <x:v>72.25</x:v>
      </x:c>
      <x:c r="U36" t="str">
        <x:v>C</x:v>
      </x:c>
      <x:c r="V36" t="str">
        <x:v>HISTORY FALLBACK</x:v>
      </x:c>
      <x:c r="W36" s="109" t="str">
        <x:v>Available</x:v>
      </x:c>
      <x:c r="X36" t="n">
        <x:f>IF(W36&lt;&gt;"Available","",1+COUNTIFS($W$5:$W$227,"Available",$N$5:$N$227,"&gt;"&amp;N36))</x:f>
        <x:v>200</x:v>
      </x:c>
      <x:c r="Y36" s="98" t="str">
        <x:v>EXPECTATION: Deep QB2; waiver-level in a normal 10-team format.  WHY: The 2026 opportunity and projection carry most of the grade because detailed 2025 rate data is incomplete. Market price is favorable around ADP 270 versus model overall rank 200.  RISK: Evidence is thinner than for established veterans, so camp, depth-chart and role news can move the grade materially.</x:v>
      </x:c>
      <x:c r="Z36" t="str">
        <x:v>ADP proxy — editable; based on positional draft cost</x:v>
      </x:c>
    </x:row>
    <x:row r="37">
      <x:c r="A37" t="str">
        <x:v>RB</x:v>
      </x:c>
      <x:c r="B37" t="n">
        <x:v>1</x:v>
      </x:c>
      <x:c r="C37" t="str">
        <x:v>Bijan Robinson</x:v>
      </x:c>
      <x:c r="D37" s="48" t="n">
        <x:v>97.36734220227106</x:v>
      </x:c>
      <x:c r="E37" s="48" t="n">
        <x:f>SUMIFS('Manual Adjustments'!$G$5:$G$227,'Manual Adjustments'!$A$5:$A$227,A37,'Manual Adjustments'!$B$5:$B$227,C37)</x:f>
        <x:v>0</x:v>
      </x:c>
      <x:c r="F37" s="48" t="n">
        <x:f>IFERROR(SUMIFS('Rookie College Inputs'!$I$5:$I$13,'Rookie College Inputs'!$A$5:$A$13,C37),0)</x:f>
        <x:v>0</x:v>
      </x:c>
      <x:c r="G37" s="48" t="n">
        <x:f>MAX(40,MIN(100,D37+E37+F37))</x:f>
        <x:v>97.36734220227106</x:v>
      </x:c>
      <x:c r="H37" t="n">
        <x:f>IF(A37="QB",'League Config'!$H$5,IF(A37="RB",'League Config'!$H$6,IF(A37="WR",'League Config'!$H$7,IF(A37="TE",'League Config'!$H$8,IF(A37="K",'League Config'!$H$9,'League Config'!$H$10)))))</x:f>
        <x:v>32</x:v>
      </x:c>
      <x:c r="I37" s="48" t="n">
        <x:f>IF(A37="QB",'League Config'!$F$14,IF(A37="RB",'League Config'!$F$15,IF(A37="WR",'League Config'!$F$16,IF(A37="TE",'League Config'!$F$17,IF(A37="K",'League Config'!$F$18,'League Config'!$F$19)))))</x:f>
        <x:v>73.56779045370797</x:v>
      </x:c>
      <x:c r="J37" s="48" t="n">
        <x:f>G37-I37</x:f>
        <x:v>23.79955174856309</x:v>
      </x:c>
      <x:c r="K37" s="48" t="n">
        <x:f>MAX(0,MIN(100,50+J37*6))</x:f>
        <x:v>100</x:v>
      </x:c>
      <x:c r="L37" s="48" t="n">
        <x:f>MIN(100,MAX(0,MIN(100,(1-(B37-1)/(H37*1.5))*100))*IF(A37="QB",'League Config'!$G$14,IF(A37="RB",'League Config'!$G$15,IF(A37="WR",'League Config'!$G$16,IF(A37="TE",'League Config'!$G$17,IF(A37="K",'League Config'!$G$18,'League Config'!$G$19))))))</x:f>
        <x:v>100</x:v>
      </x:c>
      <x:c r="M37" t="n">
        <x:f>IF(A37="K",'League Config'!$B$15,IF(A37="DST",'League Config'!$B$16,IF(A37="QB",'League Config'!$B$17,0)))</x:f>
        <x:v>0</x:v>
      </x:c>
      <x:c r="N37" s="48" t="n">
        <x:f>MIN(100,MAX(0,0.55*G37+0.30*K37+0.15*L37-M37))</x:f>
        <x:v>98.55203821124908</x:v>
      </x:c>
      <x:c r="O37" t="n">
        <x:f>RANK.EQ(N37,$N$5:$N$227,0)</x:f>
        <x:v>2</x:v>
      </x:c>
      <x:c r="P37" s="110" t="n">
        <x:v>1.8</x:v>
      </x:c>
      <x:c r="Q37" s="48" t="n">
        <x:f>P37-O37</x:f>
        <x:v>-0.19999999999999996</x:v>
      </x:c>
      <x:c r="R37" s="48" t="n">
        <x:f>MAX(40,G37-IF(U37="A",6,IF(U37="B",9,12)))</x:f>
        <x:v>91.36734220227106</x:v>
      </x:c>
      <x:c r="S37" s="48" t="n">
        <x:f>G37</x:f>
        <x:v>97.36734220227106</x:v>
      </x:c>
      <x:c r="T37" s="48" t="n">
        <x:f>MIN(100,G37+IF(U37="A",6,IF(U37="B",9,12)))</x:f>
        <x:v>100</x:v>
      </x:c>
      <x:c r="U37" t="str">
        <x:v>A</x:v>
      </x:c>
      <x:c r="V37" t="str">
        <x:v>RATE-ADJUSTED VETERAN</x:v>
      </x:c>
      <x:c r="W37" s="109" t="str">
        <x:v>Available</x:v>
      </x:c>
      <x:c r="X37" t="n">
        <x:f>IF(W37&lt;&gt;"Available","",1+COUNTIFS($W$5:$W$227,"Available",$N$5:$N$227,"&gt;"&amp;N37))</x:f>
        <x:v>2</x:v>
      </x:c>
      <x:c r="Y37" s="98" t="str">
        <x:v>EXPECTATION: Elite RB1 and first-round roster anchor with league-winning ceiling.  WHY: He produced 21.8 PPR/FP points per game across 17 games. The workload/efficiency profile gives the model a rate-based reason to keep him here.  RISK: Touchdown variance, receiving-role changes and backfield competition are the main downside paths.</x:v>
      </x:c>
      <x:c r="Z37" t="str">
        <x:v>https://www.fantasypros.com/nfl/adp/ppr-overall.php</x:v>
      </x:c>
    </x:row>
    <x:row r="38">
      <x:c r="A38" t="str">
        <x:v>RB</x:v>
      </x:c>
      <x:c r="B38" t="n">
        <x:v>2</x:v>
      </x:c>
      <x:c r="C38" t="str">
        <x:v>Jahmyr Gibbs</x:v>
      </x:c>
      <x:c r="D38" s="48" t="n">
        <x:v>96.33225593201456</x:v>
      </x:c>
      <x:c r="E38" s="48" t="n">
        <x:f>SUMIFS('Manual Adjustments'!$G$5:$G$227,'Manual Adjustments'!$A$5:$A$227,A38,'Manual Adjustments'!$B$5:$B$227,C38)</x:f>
        <x:v>0</x:v>
      </x:c>
      <x:c r="F38" s="48" t="n">
        <x:f>IFERROR(SUMIFS('Rookie College Inputs'!$I$5:$I$13,'Rookie College Inputs'!$A$5:$A$13,C38),0)</x:f>
        <x:v>0</x:v>
      </x:c>
      <x:c r="G38" s="48" t="n">
        <x:f>MAX(40,MIN(100,D38+E38+F38))</x:f>
        <x:v>96.33225593201456</x:v>
      </x:c>
      <x:c r="H38" t="n">
        <x:f>IF(A38="QB",'League Config'!$H$5,IF(A38="RB",'League Config'!$H$6,IF(A38="WR",'League Config'!$H$7,IF(A38="TE",'League Config'!$H$8,IF(A38="K",'League Config'!$H$9,'League Config'!$H$10)))))</x:f>
        <x:v>32</x:v>
      </x:c>
      <x:c r="I38" s="48" t="n">
        <x:f>IF(A38="QB",'League Config'!$F$14,IF(A38="RB",'League Config'!$F$15,IF(A38="WR",'League Config'!$F$16,IF(A38="TE",'League Config'!$F$17,IF(A38="K",'League Config'!$F$18,'League Config'!$F$19)))))</x:f>
        <x:v>73.56779045370797</x:v>
      </x:c>
      <x:c r="J38" s="48" t="n">
        <x:f>G38-I38</x:f>
        <x:v>22.76446547830659</x:v>
      </x:c>
      <x:c r="K38" s="48" t="n">
        <x:f>MAX(0,MIN(100,50+J38*6))</x:f>
        <x:v>100</x:v>
      </x:c>
      <x:c r="L38" s="48" t="n">
        <x:f>MIN(100,MAX(0,MIN(100,(1-(B38-1)/(H38*1.5))*100))*IF(A38="QB",'League Config'!$G$14,IF(A38="RB",'League Config'!$G$15,IF(A38="WR",'League Config'!$G$16,IF(A38="TE",'League Config'!$G$17,IF(A38="K",'League Config'!$G$18,'League Config'!$G$19))))))</x:f>
        <x:v>100</x:v>
      </x:c>
      <x:c r="M38" t="n">
        <x:f>IF(A38="K",'League Config'!$B$15,IF(A38="DST",'League Config'!$B$16,IF(A38="QB",'League Config'!$B$17,0)))</x:f>
        <x:v>0</x:v>
      </x:c>
      <x:c r="N38" s="48" t="n">
        <x:f>MIN(100,MAX(0,0.55*G38+0.30*K38+0.15*L38-M38))</x:f>
        <x:v>97.98274076260802</x:v>
      </x:c>
      <x:c r="O38" t="n">
        <x:f>RANK.EQ(N38,$N$5:$N$227,0)</x:f>
        <x:v>4</x:v>
      </x:c>
      <x:c r="P38" s="110" t="n">
        <x:v>1.2</x:v>
      </x:c>
      <x:c r="Q38" s="48" t="n">
        <x:f>P38-O38</x:f>
        <x:v>-2.8</x:v>
      </x:c>
      <x:c r="R38" s="48" t="n">
        <x:f>MAX(40,G38-IF(U38="A",6,IF(U38="B",9,12)))</x:f>
        <x:v>90.33225593201456</x:v>
      </x:c>
      <x:c r="S38" s="48" t="n">
        <x:f>G38</x:f>
        <x:v>96.33225593201456</x:v>
      </x:c>
      <x:c r="T38" s="48" t="n">
        <x:f>MIN(100,G38+IF(U38="A",6,IF(U38="B",9,12)))</x:f>
        <x:v>100</x:v>
      </x:c>
      <x:c r="U38" t="str">
        <x:v>A</x:v>
      </x:c>
      <x:c r="V38" t="str">
        <x:v>RATE-ADJUSTED VETERAN</x:v>
      </x:c>
      <x:c r="W38" s="109" t="str">
        <x:v>Available</x:v>
      </x:c>
      <x:c r="X38" t="n">
        <x:f>IF(W38&lt;&gt;"Available","",1+COUNTIFS($W$5:$W$227,"Available",$N$5:$N$227,"&gt;"&amp;N38))</x:f>
        <x:v>4</x:v>
      </x:c>
      <x:c r="Y38" s="98" t="str">
        <x:v>EXPECTATION: Elite RB1 and first-round roster anchor with league-winning ceiling.  WHY: He produced 21.6 PPR/FP points per game across 17 games. The workload/efficiency profile gives the model a rate-based reason to keep him here.  RISK: Touchdown variance, receiving-role changes and backfield competition are the main downside paths.</x:v>
      </x:c>
      <x:c r="Z38" t="str">
        <x:v>https://www.fantasypros.com/nfl/adp/ppr-overall.php</x:v>
      </x:c>
    </x:row>
    <x:row r="39">
      <x:c r="A39" t="str">
        <x:v>RB</x:v>
      </x:c>
      <x:c r="B39" t="n">
        <x:v>3</x:v>
      </x:c>
      <x:c r="C39" t="str">
        <x:v>Christian McCaffrey</x:v>
      </x:c>
      <x:c r="D39" s="48" t="n">
        <x:v>94.24472639320388</x:v>
      </x:c>
      <x:c r="E39" s="48" t="n">
        <x:f>SUMIFS('Manual Adjustments'!$G$5:$G$227,'Manual Adjustments'!$A$5:$A$227,A39,'Manual Adjustments'!$B$5:$B$227,C39)</x:f>
        <x:v>0</x:v>
      </x:c>
      <x:c r="F39" s="48" t="n">
        <x:f>IFERROR(SUMIFS('Rookie College Inputs'!$I$5:$I$13,'Rookie College Inputs'!$A$5:$A$13,C39),0)</x:f>
        <x:v>0</x:v>
      </x:c>
      <x:c r="G39" s="48" t="n">
        <x:f>MAX(40,MIN(100,D39+E39+F39))</x:f>
        <x:v>94.24472639320388</x:v>
      </x:c>
      <x:c r="H39" t="n">
        <x:f>IF(A39="QB",'League Config'!$H$5,IF(A39="RB",'League Config'!$H$6,IF(A39="WR",'League Config'!$H$7,IF(A39="TE",'League Config'!$H$8,IF(A39="K",'League Config'!$H$9,'League Config'!$H$10)))))</x:f>
        <x:v>32</x:v>
      </x:c>
      <x:c r="I39" s="48" t="n">
        <x:f>IF(A39="QB",'League Config'!$F$14,IF(A39="RB",'League Config'!$F$15,IF(A39="WR",'League Config'!$F$16,IF(A39="TE",'League Config'!$F$17,IF(A39="K",'League Config'!$F$18,'League Config'!$F$19)))))</x:f>
        <x:v>73.56779045370797</x:v>
      </x:c>
      <x:c r="J39" s="48" t="n">
        <x:f>G39-I39</x:f>
        <x:v>20.676935939495905</x:v>
      </x:c>
      <x:c r="K39" s="48" t="n">
        <x:f>MAX(0,MIN(100,50+J39*6))</x:f>
        <x:v>100</x:v>
      </x:c>
      <x:c r="L39" s="48" t="n">
        <x:f>MIN(100,MAX(0,MIN(100,(1-(B39-1)/(H39*1.5))*100))*IF(A39="QB",'League Config'!$G$14,IF(A39="RB",'League Config'!$G$15,IF(A39="WR",'League Config'!$G$16,IF(A39="TE",'League Config'!$G$17,IF(A39="K",'League Config'!$G$18,'League Config'!$G$19))))))</x:f>
        <x:v>100</x:v>
      </x:c>
      <x:c r="M39" t="n">
        <x:f>IF(A39="K",'League Config'!$B$15,IF(A39="DST",'League Config'!$B$16,IF(A39="QB",'League Config'!$B$17,0)))</x:f>
        <x:v>0</x:v>
      </x:c>
      <x:c r="N39" s="48" t="n">
        <x:f>MIN(100,MAX(0,0.55*G39+0.30*K39+0.15*L39-M39))</x:f>
        <x:v>96.83459951626213</x:v>
      </x:c>
      <x:c r="O39" t="n">
        <x:f>RANK.EQ(N39,$N$5:$N$227,0)</x:f>
        <x:v>6</x:v>
      </x:c>
      <x:c r="P39" s="110" t="n">
        <x:v>7</x:v>
      </x:c>
      <x:c r="Q39" s="48" t="n">
        <x:f>P39-O39</x:f>
        <x:v>1</x:v>
      </x:c>
      <x:c r="R39" s="48" t="n">
        <x:f>MAX(40,G39-IF(U39="A",6,IF(U39="B",9,12)))</x:f>
        <x:v>88.24472639320388</x:v>
      </x:c>
      <x:c r="S39" s="48" t="n">
        <x:f>G39</x:f>
        <x:v>94.24472639320388</x:v>
      </x:c>
      <x:c r="T39" s="48" t="n">
        <x:f>MIN(100,G39+IF(U39="A",6,IF(U39="B",9,12)))</x:f>
        <x:v>100</x:v>
      </x:c>
      <x:c r="U39" t="str">
        <x:v>A</x:v>
      </x:c>
      <x:c r="V39" t="str">
        <x:v>RATE-ADJUSTED VETERAN</x:v>
      </x:c>
      <x:c r="W39" s="109" t="str">
        <x:v>Available</x:v>
      </x:c>
      <x:c r="X39" t="n">
        <x:f>IF(W39&lt;&gt;"Available","",1+COUNTIFS($W$5:$W$227,"Available",$N$5:$N$227,"&gt;"&amp;N39))</x:f>
        <x:v>6</x:v>
      </x:c>
      <x:c r="Y39" s="98" t="str">
        <x:v>EXPECTATION: Elite RB1 and first-round roster anchor with league-winning ceiling.  WHY: He produced 24.5 PPR/FP points per game across 17 games. The workload/efficiency profile gives the model a rate-based reason to keep him here.  RISK: Touchdown variance, receiving-role changes and backfield competition are the main downside paths.</x:v>
      </x:c>
      <x:c r="Z39" t="str">
        <x:v>https://www.fantasypros.com/nfl/adp/ppr-overall.php</x:v>
      </x:c>
    </x:row>
    <x:row r="40">
      <x:c r="A40" t="str">
        <x:v>RB</x:v>
      </x:c>
      <x:c r="B40" t="n">
        <x:v>4</x:v>
      </x:c>
      <x:c r="C40" t="str">
        <x:v>Jonathan Taylor</x:v>
      </x:c>
      <x:c r="D40" s="48" t="n">
        <x:v>92.14700218120157</x:v>
      </x:c>
      <x:c r="E40" s="48" t="n">
        <x:f>SUMIFS('Manual Adjustments'!$G$5:$G$227,'Manual Adjustments'!$A$5:$A$227,A40,'Manual Adjustments'!$B$5:$B$227,C40)</x:f>
        <x:v>0</x:v>
      </x:c>
      <x:c r="F40" s="48" t="n">
        <x:f>IFERROR(SUMIFS('Rookie College Inputs'!$I$5:$I$13,'Rookie College Inputs'!$A$5:$A$13,C40),0)</x:f>
        <x:v>0</x:v>
      </x:c>
      <x:c r="G40" s="48" t="n">
        <x:f>MAX(40,MIN(100,D40+E40+F40))</x:f>
        <x:v>92.14700218120157</x:v>
      </x:c>
      <x:c r="H40" t="n">
        <x:f>IF(A40="QB",'League Config'!$H$5,IF(A40="RB",'League Config'!$H$6,IF(A40="WR",'League Config'!$H$7,IF(A40="TE",'League Config'!$H$8,IF(A40="K",'League Config'!$H$9,'League Config'!$H$10)))))</x:f>
        <x:v>32</x:v>
      </x:c>
      <x:c r="I40" s="48" t="n">
        <x:f>IF(A40="QB",'League Config'!$F$14,IF(A40="RB",'League Config'!$F$15,IF(A40="WR",'League Config'!$F$16,IF(A40="TE",'League Config'!$F$17,IF(A40="K",'League Config'!$F$18,'League Config'!$F$19)))))</x:f>
        <x:v>73.56779045370797</x:v>
      </x:c>
      <x:c r="J40" s="48" t="n">
        <x:f>G40-I40</x:f>
        <x:v>18.5792117274936</x:v>
      </x:c>
      <x:c r="K40" s="48" t="n">
        <x:f>MAX(0,MIN(100,50+J40*6))</x:f>
        <x:v>100</x:v>
      </x:c>
      <x:c r="L40" s="48" t="n">
        <x:f>MIN(100,MAX(0,MIN(100,(1-(B40-1)/(H40*1.5))*100))*IF(A40="QB",'League Config'!$G$14,IF(A40="RB",'League Config'!$G$15,IF(A40="WR",'League Config'!$G$16,IF(A40="TE",'League Config'!$G$17,IF(A40="K",'League Config'!$G$18,'League Config'!$G$19))))))</x:f>
        <x:v>100</x:v>
      </x:c>
      <x:c r="M40" t="n">
        <x:f>IF(A40="K",'League Config'!$B$15,IF(A40="DST",'League Config'!$B$16,IF(A40="QB",'League Config'!$B$17,0)))</x:f>
        <x:v>0</x:v>
      </x:c>
      <x:c r="N40" s="48" t="n">
        <x:f>MIN(100,MAX(0,0.55*G40+0.30*K40+0.15*L40-M40))</x:f>
        <x:v>95.68085119966088</x:v>
      </x:c>
      <x:c r="O40" t="n">
        <x:f>RANK.EQ(N40,$N$5:$N$227,0)</x:f>
        <x:v>9</x:v>
      </x:c>
      <x:c r="P40" s="110" t="n">
        <x:v>11</x:v>
      </x:c>
      <x:c r="Q40" s="48" t="n">
        <x:f>P40-O40</x:f>
        <x:v>2</x:v>
      </x:c>
      <x:c r="R40" s="48" t="n">
        <x:f>MAX(40,G40-IF(U40="A",6,IF(U40="B",9,12)))</x:f>
        <x:v>86.14700218120157</x:v>
      </x:c>
      <x:c r="S40" s="48" t="n">
        <x:f>G40</x:f>
        <x:v>92.14700218120157</x:v>
      </x:c>
      <x:c r="T40" s="48" t="n">
        <x:f>MIN(100,G40+IF(U40="A",6,IF(U40="B",9,12)))</x:f>
        <x:v>98.14700218120157</x:v>
      </x:c>
      <x:c r="U40" t="str">
        <x:v>A</x:v>
      </x:c>
      <x:c r="V40" t="str">
        <x:v>RATE-ADJUSTED VETERAN</x:v>
      </x:c>
      <x:c r="W40" s="109" t="str">
        <x:v>Available</x:v>
      </x:c>
      <x:c r="X40" t="n">
        <x:f>IF(W40&lt;&gt;"Available","",1+COUNTIFS($W$5:$W$227,"Available",$N$5:$N$227,"&gt;"&amp;N40))</x:f>
        <x:v>9</x:v>
      </x:c>
      <x:c r="Y40" s="98" t="str">
        <x:v>EXPECTATION: Elite RB1 and first-round roster anchor with league-winning ceiling.  WHY: He produced 21.3 PPR/FP points per game across 17 games. The workload/efficiency profile gives the model a rate-based reason to keep him here.  RISK: Touchdown variance, receiving-role changes and backfield competition are the main downside paths.</x:v>
      </x:c>
      <x:c r="Z40" t="str">
        <x:v>https://www.fantasypros.com/nfl/adp/ppr-overall.php</x:v>
      </x:c>
    </x:row>
    <x:row r="41">
      <x:c r="A41" t="str">
        <x:v>RB</x:v>
      </x:c>
      <x:c r="B41" t="n">
        <x:v>5</x:v>
      </x:c>
      <x:c r="C41" t="str">
        <x:v>Jeremiyah Love</x:v>
      </x:c>
      <x:c r="D41" s="48" t="n">
        <x:v>90.86590000000001</x:v>
      </x:c>
      <x:c r="E41" s="48" t="n">
        <x:f>SUMIFS('Manual Adjustments'!$G$5:$G$227,'Manual Adjustments'!$A$5:$A$227,A41,'Manual Adjustments'!$B$5:$B$227,C41)</x:f>
        <x:v>0</x:v>
      </x:c>
      <x:c r="F41" s="48" t="n">
        <x:f>IFERROR(SUMIFS('Rookie College Inputs'!$I$5:$I$13,'Rookie College Inputs'!$A$5:$A$13,C41),0)</x:f>
        <x:v>0</x:v>
      </x:c>
      <x:c r="G41" s="48" t="n">
        <x:f>MAX(40,MIN(100,D41+E41+F41))</x:f>
        <x:v>90.86590000000001</x:v>
      </x:c>
      <x:c r="H41" t="n">
        <x:f>IF(A41="QB",'League Config'!$H$5,IF(A41="RB",'League Config'!$H$6,IF(A41="WR",'League Config'!$H$7,IF(A41="TE",'League Config'!$H$8,IF(A41="K",'League Config'!$H$9,'League Config'!$H$10)))))</x:f>
        <x:v>32</x:v>
      </x:c>
      <x:c r="I41" s="48" t="n">
        <x:f>IF(A41="QB",'League Config'!$F$14,IF(A41="RB",'League Config'!$F$15,IF(A41="WR",'League Config'!$F$16,IF(A41="TE",'League Config'!$F$17,IF(A41="K",'League Config'!$F$18,'League Config'!$F$19)))))</x:f>
        <x:v>73.56779045370797</x:v>
      </x:c>
      <x:c r="J41" s="48" t="n">
        <x:f>G41-I41</x:f>
        <x:v>17.29810954629204</x:v>
      </x:c>
      <x:c r="K41" s="48" t="n">
        <x:f>MAX(0,MIN(100,50+J41*6))</x:f>
        <x:v>100</x:v>
      </x:c>
      <x:c r="L41" s="48" t="n">
        <x:f>MIN(100,MAX(0,MIN(100,(1-(B41-1)/(H41*1.5))*100))*IF(A41="QB",'League Config'!$G$14,IF(A41="RB",'League Config'!$G$15,IF(A41="WR",'League Config'!$G$16,IF(A41="TE",'League Config'!$G$17,IF(A41="K",'League Config'!$G$18,'League Config'!$G$19))))))</x:f>
        <x:v>100</x:v>
      </x:c>
      <x:c r="M41" t="n">
        <x:f>IF(A41="K",'League Config'!$B$15,IF(A41="DST",'League Config'!$B$16,IF(A41="QB",'League Config'!$B$17,0)))</x:f>
        <x:v>0</x:v>
      </x:c>
      <x:c r="N41" s="48" t="n">
        <x:f>MIN(100,MAX(0,0.55*G41+0.30*K41+0.15*L41-M41))</x:f>
        <x:v>94.976245</x:v>
      </x:c>
      <x:c r="O41" t="n">
        <x:f>RANK.EQ(N41,$N$5:$N$227,0)</x:f>
        <x:v>12</x:v>
      </x:c>
      <x:c r="P41" s="110" t="n">
        <x:v>18.8</x:v>
      </x:c>
      <x:c r="Q41" s="48" t="n">
        <x:f>P41-O41</x:f>
        <x:v>6.800000000000001</x:v>
      </x:c>
      <x:c r="R41" s="48" t="n">
        <x:f>MAX(40,G41-IF(U41="A",6,IF(U41="B",9,12)))</x:f>
        <x:v>81.86590000000001</x:v>
      </x:c>
      <x:c r="S41" s="48" t="n">
        <x:f>G41</x:f>
        <x:v>90.86590000000001</x:v>
      </x:c>
      <x:c r="T41" s="48" t="n">
        <x:f>MIN(100,G41+IF(U41="A",6,IF(U41="B",9,12)))</x:f>
        <x:v>99.86590000000001</x:v>
      </x:c>
      <x:c r="U41" t="str">
        <x:v>B</x:v>
      </x:c>
      <x:c r="V41" t="str">
        <x:v>ROOKIE ENGINE</x:v>
      </x:c>
      <x:c r="W41" s="109" t="str">
        <x:v>Available</x:v>
      </x:c>
      <x:c r="X41" t="n">
        <x:f>IF(W41&lt;&gt;"Available","",1+COUNTIFS($W$5:$W$227,"Available",$N$5:$N$227,"&gt;"&amp;N41))</x:f>
        <x:v>12</x:v>
      </x:c>
      <x:c r="Y41" s="98" t="str">
        <x:v>EXPECTATION: Elite RB1 and first-round roster anchor with league-winning ceiling.  WHY: Rookie score 98.0, backed by No. 3 draft capital and a 6.73 NFL prospect grade. The 2026 role projection is strong enough to replace missing NFL history.  RISK: NFL translation and exact weekly role are the main variables; preseason first-team usage can move this rating quickly.</x:v>
      </x:c>
      <x:c r="Z41" t="str">
        <x:v>ADP proxy — editable; based on positional draft cost</x:v>
      </x:c>
    </x:row>
    <x:row r="42">
      <x:c r="A42" t="str">
        <x:v>RB</x:v>
      </x:c>
      <x:c r="B42" t="n">
        <x:v>6</x:v>
      </x:c>
      <x:c r="C42" t="str">
        <x:v>Omarion Hampton</x:v>
      </x:c>
      <x:c r="D42" s="48" t="n">
        <x:v>88.64207068235326</x:v>
      </x:c>
      <x:c r="E42" s="48" t="n">
        <x:f>SUMIFS('Manual Adjustments'!$G$5:$G$227,'Manual Adjustments'!$A$5:$A$227,A42,'Manual Adjustments'!$B$5:$B$227,C42)</x:f>
        <x:v>0</x:v>
      </x:c>
      <x:c r="F42" s="48" t="n">
        <x:f>IFERROR(SUMIFS('Rookie College Inputs'!$I$5:$I$13,'Rookie College Inputs'!$A$5:$A$13,C42),0)</x:f>
        <x:v>0</x:v>
      </x:c>
      <x:c r="G42" s="48" t="n">
        <x:f>MAX(40,MIN(100,D42+E42+F42))</x:f>
        <x:v>88.64207068235326</x:v>
      </x:c>
      <x:c r="H42" t="n">
        <x:f>IF(A42="QB",'League Config'!$H$5,IF(A42="RB",'League Config'!$H$6,IF(A42="WR",'League Config'!$H$7,IF(A42="TE",'League Config'!$H$8,IF(A42="K",'League Config'!$H$9,'League Config'!$H$10)))))</x:f>
        <x:v>32</x:v>
      </x:c>
      <x:c r="I42" s="48" t="n">
        <x:f>IF(A42="QB",'League Config'!$F$14,IF(A42="RB",'League Config'!$F$15,IF(A42="WR",'League Config'!$F$16,IF(A42="TE",'League Config'!$F$17,IF(A42="K",'League Config'!$F$18,'League Config'!$F$19)))))</x:f>
        <x:v>73.56779045370797</x:v>
      </x:c>
      <x:c r="J42" s="48" t="n">
        <x:f>G42-I42</x:f>
        <x:v>15.074280228645293</x:v>
      </x:c>
      <x:c r="K42" s="48" t="n">
        <x:f>MAX(0,MIN(100,50+J42*6))</x:f>
        <x:v>100</x:v>
      </x:c>
      <x:c r="L42" s="48" t="n">
        <x:f>MIN(100,MAX(0,MIN(100,(1-(B42-1)/(H42*1.5))*100))*IF(A42="QB",'League Config'!$G$14,IF(A42="RB",'League Config'!$G$15,IF(A42="WR",'League Config'!$G$16,IF(A42="TE",'League Config'!$G$17,IF(A42="K",'League Config'!$G$18,'League Config'!$G$19))))))</x:f>
        <x:v>100</x:v>
      </x:c>
      <x:c r="M42" t="n">
        <x:f>IF(A42="K",'League Config'!$B$15,IF(A42="DST",'League Config'!$B$16,IF(A42="QB",'League Config'!$B$17,0)))</x:f>
        <x:v>0</x:v>
      </x:c>
      <x:c r="N42" s="48" t="n">
        <x:f>MIN(100,MAX(0,0.55*G42+0.30*K42+0.15*L42-M42))</x:f>
        <x:v>93.7531388752943</x:v>
      </x:c>
      <x:c r="O42" t="n">
        <x:f>RANK.EQ(N42,$N$5:$N$227,0)</x:f>
        <x:v>14</x:v>
      </x:c>
      <x:c r="P42" s="110" t="n">
        <x:v>23</x:v>
      </x:c>
      <x:c r="Q42" s="48" t="n">
        <x:f>P42-O42</x:f>
        <x:v>9</x:v>
      </x:c>
      <x:c r="R42" s="48" t="n">
        <x:f>MAX(40,G42-IF(U42="A",6,IF(U42="B",9,12)))</x:f>
        <x:v>79.64207068235326</x:v>
      </x:c>
      <x:c r="S42" s="48" t="n">
        <x:f>G42</x:f>
        <x:v>88.64207068235326</x:v>
      </x:c>
      <x:c r="T42" s="48" t="n">
        <x:f>MIN(100,G42+IF(U42="A",6,IF(U42="B",9,12)))</x:f>
        <x:v>97.64207068235326</x:v>
      </x:c>
      <x:c r="U42" t="str">
        <x:v>B</x:v>
      </x:c>
      <x:c r="V42" t="str">
        <x:v>RATE-ADJUSTED VETERAN</x:v>
      </x:c>
      <x:c r="W42" s="109" t="str">
        <x:v>Available</x:v>
      </x:c>
      <x:c r="X42" t="n">
        <x:f>IF(W42&lt;&gt;"Available","",1+COUNTIFS($W$5:$W$227,"Available",$N$5:$N$227,"&gt;"&amp;N42))</x:f>
        <x:v>14</x:v>
      </x:c>
      <x:c r="Y42" s="98" t="str">
        <x:v>EXPECTATION: Strong RB1; weekly top-12 expectation with multi-touchdown ceiling.  WHY: He produced 15.1 PPR/FP points per game across 9 games. The workload/efficiency profile gives the model a rate-based reason to keep him here.  RISK: Availability/sample risk is elevated after only 9 games; talent is not being punished as heavily as durability.</x:v>
      </x:c>
      <x:c r="Z42" t="str">
        <x:v>ADP proxy — editable; based on positional draft cost</x:v>
      </x:c>
    </x:row>
    <x:row r="43">
      <x:c r="A43" t="str">
        <x:v>RB</x:v>
      </x:c>
      <x:c r="B43" t="n">
        <x:v>7</x:v>
      </x:c>
      <x:c r="C43" t="str">
        <x:v>De'Von Achane</x:v>
      </x:c>
      <x:c r="D43" s="48" t="n">
        <x:v>87.94401204138569</x:v>
      </x:c>
      <x:c r="E43" s="48" t="n">
        <x:f>SUMIFS('Manual Adjustments'!$G$5:$G$227,'Manual Adjustments'!$A$5:$A$227,A43,'Manual Adjustments'!$B$5:$B$227,C43)</x:f>
        <x:v>0</x:v>
      </x:c>
      <x:c r="F43" s="48" t="n">
        <x:f>IFERROR(SUMIFS('Rookie College Inputs'!$I$5:$I$13,'Rookie College Inputs'!$A$5:$A$13,C43),0)</x:f>
        <x:v>0</x:v>
      </x:c>
      <x:c r="G43" s="48" t="n">
        <x:f>MAX(40,MIN(100,D43+E43+F43))</x:f>
        <x:v>87.94401204138569</x:v>
      </x:c>
      <x:c r="H43" t="n">
        <x:f>IF(A43="QB",'League Config'!$H$5,IF(A43="RB",'League Config'!$H$6,IF(A43="WR",'League Config'!$H$7,IF(A43="TE",'League Config'!$H$8,IF(A43="K",'League Config'!$H$9,'League Config'!$H$10)))))</x:f>
        <x:v>32</x:v>
      </x:c>
      <x:c r="I43" s="48" t="n">
        <x:f>IF(A43="QB",'League Config'!$F$14,IF(A43="RB",'League Config'!$F$15,IF(A43="WR",'League Config'!$F$16,IF(A43="TE",'League Config'!$F$17,IF(A43="K",'League Config'!$F$18,'League Config'!$F$19)))))</x:f>
        <x:v>73.56779045370797</x:v>
      </x:c>
      <x:c r="J43" s="48" t="n">
        <x:f>G43-I43</x:f>
        <x:v>14.376221587677719</x:v>
      </x:c>
      <x:c r="K43" s="48" t="n">
        <x:f>MAX(0,MIN(100,50+J43*6))</x:f>
        <x:v>100</x:v>
      </x:c>
      <x:c r="L43" s="48" t="n">
        <x:f>MIN(100,MAX(0,MIN(100,(1-(B43-1)/(H43*1.5))*100))*IF(A43="QB",'League Config'!$G$14,IF(A43="RB",'League Config'!$G$15,IF(A43="WR",'League Config'!$G$16,IF(A43="TE",'League Config'!$G$17,IF(A43="K",'League Config'!$G$18,'League Config'!$G$19))))))</x:f>
        <x:v>100</x:v>
      </x:c>
      <x:c r="M43" t="n">
        <x:f>IF(A43="K",'League Config'!$B$15,IF(A43="DST",'League Config'!$B$16,IF(A43="QB",'League Config'!$B$17,0)))</x:f>
        <x:v>0</x:v>
      </x:c>
      <x:c r="N43" s="48" t="n">
        <x:f>MIN(100,MAX(0,0.55*G43+0.30*K43+0.15*L43-M43))</x:f>
        <x:v>93.36920662276214</x:v>
      </x:c>
      <x:c r="O43" t="n">
        <x:f>RANK.EQ(N43,$N$5:$N$227,0)</x:f>
        <x:v>15</x:v>
      </x:c>
      <x:c r="P43" s="110" t="n">
        <x:v>18</x:v>
      </x:c>
      <x:c r="Q43" s="48" t="n">
        <x:f>P43-O43</x:f>
        <x:v>3</x:v>
      </x:c>
      <x:c r="R43" s="48" t="n">
        <x:f>MAX(40,G43-IF(U43="A",6,IF(U43="B",9,12)))</x:f>
        <x:v>81.94401204138569</x:v>
      </x:c>
      <x:c r="S43" s="48" t="n">
        <x:f>G43</x:f>
        <x:v>87.94401204138569</x:v>
      </x:c>
      <x:c r="T43" s="48" t="n">
        <x:f>MIN(100,G43+IF(U43="A",6,IF(U43="B",9,12)))</x:f>
        <x:v>93.94401204138569</x:v>
      </x:c>
      <x:c r="U43" t="str">
        <x:v>A</x:v>
      </x:c>
      <x:c r="V43" t="str">
        <x:v>RATE-ADJUSTED VETERAN</x:v>
      </x:c>
      <x:c r="W43" s="109" t="str">
        <x:v>Available</x:v>
      </x:c>
      <x:c r="X43" t="n">
        <x:f>IF(W43&lt;&gt;"Available","",1+COUNTIFS($W$5:$W$227,"Available",$N$5:$N$227,"&gt;"&amp;N43))</x:f>
        <x:v>15</x:v>
      </x:c>
      <x:c r="Y43" s="98" t="str">
        <x:v>EXPECTATION: Strong RB1; weekly top-12 expectation with multi-touchdown ceiling.  WHY: He produced 20.2 PPR/FP points per game across 16 games. The workload/efficiency profile gives the model a rate-based reason to keep him here.  RISK: Touchdown variance, receiving-role changes and backfield competition are the main downside paths.</x:v>
      </x:c>
      <x:c r="Z43" t="str">
        <x:v>https://www.fantasypros.com/nfl/adp/ppr-overall.php</x:v>
      </x:c>
    </x:row>
    <x:row r="44">
      <x:c r="A44" t="str">
        <x:v>RB</x:v>
      </x:c>
      <x:c r="B44" t="n">
        <x:v>8</x:v>
      </x:c>
      <x:c r="C44" t="str">
        <x:v>Kenneth Walker III</x:v>
      </x:c>
      <x:c r="D44" s="48" t="n">
        <x:v>87.29261371508893</x:v>
      </x:c>
      <x:c r="E44" s="48" t="n">
        <x:f>SUMIFS('Manual Adjustments'!$G$5:$G$227,'Manual Adjustments'!$A$5:$A$227,A44,'Manual Adjustments'!$B$5:$B$227,C44)</x:f>
        <x:v>0</x:v>
      </x:c>
      <x:c r="F44" s="48" t="n">
        <x:f>IFERROR(SUMIFS('Rookie College Inputs'!$I$5:$I$13,'Rookie College Inputs'!$A$5:$A$13,C44),0)</x:f>
        <x:v>0</x:v>
      </x:c>
      <x:c r="G44" s="48" t="n">
        <x:f>MAX(40,MIN(100,D44+E44+F44))</x:f>
        <x:v>87.29261371508893</x:v>
      </x:c>
      <x:c r="H44" t="n">
        <x:f>IF(A44="QB",'League Config'!$H$5,IF(A44="RB",'League Config'!$H$6,IF(A44="WR",'League Config'!$H$7,IF(A44="TE",'League Config'!$H$8,IF(A44="K",'League Config'!$H$9,'League Config'!$H$10)))))</x:f>
        <x:v>32</x:v>
      </x:c>
      <x:c r="I44" s="48" t="n">
        <x:f>IF(A44="QB",'League Config'!$F$14,IF(A44="RB",'League Config'!$F$15,IF(A44="WR",'League Config'!$F$16,IF(A44="TE",'League Config'!$F$17,IF(A44="K",'League Config'!$F$18,'League Config'!$F$19)))))</x:f>
        <x:v>73.56779045370797</x:v>
      </x:c>
      <x:c r="J44" s="48" t="n">
        <x:f>G44-I44</x:f>
        <x:v>13.724823261380962</x:v>
      </x:c>
      <x:c r="K44" s="48" t="n">
        <x:f>MAX(0,MIN(100,50+J44*6))</x:f>
        <x:v>100</x:v>
      </x:c>
      <x:c r="L44" s="48" t="n">
        <x:f>MIN(100,MAX(0,MIN(100,(1-(B44-1)/(H44*1.5))*100))*IF(A44="QB",'League Config'!$G$14,IF(A44="RB",'League Config'!$G$15,IF(A44="WR",'League Config'!$G$16,IF(A44="TE",'League Config'!$G$17,IF(A44="K",'League Config'!$G$18,'League Config'!$G$19))))))</x:f>
        <x:v>98.22916666666664</x:v>
      </x:c>
      <x:c r="M44" t="n">
        <x:f>IF(A44="K",'League Config'!$B$15,IF(A44="DST",'League Config'!$B$16,IF(A44="QB",'League Config'!$B$17,0)))</x:f>
        <x:v>0</x:v>
      </x:c>
      <x:c r="N44" s="48" t="n">
        <x:f>MIN(100,MAX(0,0.55*G44+0.30*K44+0.15*L44-M44))</x:f>
        <x:v>92.74531254329892</x:v>
      </x:c>
      <x:c r="O44" t="n">
        <x:f>RANK.EQ(N44,$N$5:$N$227,0)</x:f>
        <x:v>16</x:v>
      </x:c>
      <x:c r="P44" s="110" t="n">
        <x:v>31.400000000000002</x:v>
      </x:c>
      <x:c r="Q44" s="48" t="n">
        <x:f>P44-O44</x:f>
        <x:v>15.400000000000002</x:v>
      </x:c>
      <x:c r="R44" s="48" t="n">
        <x:f>MAX(40,G44-IF(U44="A",6,IF(U44="B",9,12)))</x:f>
        <x:v>81.29261371508893</x:v>
      </x:c>
      <x:c r="S44" s="48" t="n">
        <x:f>G44</x:f>
        <x:v>87.29261371508893</x:v>
      </x:c>
      <x:c r="T44" s="48" t="n">
        <x:f>MIN(100,G44+IF(U44="A",6,IF(U44="B",9,12)))</x:f>
        <x:v>93.29261371508893</x:v>
      </x:c>
      <x:c r="U44" t="str">
        <x:v>A</x:v>
      </x:c>
      <x:c r="V44" t="str">
        <x:v>RATE-ADJUSTED VETERAN</x:v>
      </x:c>
      <x:c r="W44" s="109" t="str">
        <x:v>Available</x:v>
      </x:c>
      <x:c r="X44" t="n">
        <x:f>IF(W44&lt;&gt;"Available","",1+COUNTIFS($W$5:$W$227,"Available",$N$5:$N$227,"&gt;"&amp;N44))</x:f>
        <x:v>16</x:v>
      </x:c>
      <x:c r="Y44" s="98" t="str">
        <x:v>EXPECTATION: Strong RB1; weekly top-12 expectation with multi-touchdown ceiling.  WHY: He produced 11.3 PPR/FP points per game across 17 games. The workload/efficiency profile gives the model a rate-based reason to keep him here. Market price is favorable around ADP 31 versus model overall rank 16.  RISK: Touchdown variance, receiving-role changes and backfield competition are the main downside paths.</x:v>
      </x:c>
      <x:c r="Z44" t="str">
        <x:v>ADP proxy — editable; based on positional draft cost</x:v>
      </x:c>
    </x:row>
    <x:row r="45">
      <x:c r="A45" t="str">
        <x:v>RB</x:v>
      </x:c>
      <x:c r="B45" t="n">
        <x:v>9</x:v>
      </x:c>
      <x:c r="C45" t="str">
        <x:v>James Cook III</x:v>
      </x:c>
      <x:c r="D45" s="48" t="n">
        <x:v>87.05801139512144</x:v>
      </x:c>
      <x:c r="E45" s="48" t="n">
        <x:f>SUMIFS('Manual Adjustments'!$G$5:$G$227,'Manual Adjustments'!$A$5:$A$227,A45,'Manual Adjustments'!$B$5:$B$227,C45)</x:f>
        <x:v>0</x:v>
      </x:c>
      <x:c r="F45" s="48" t="n">
        <x:f>IFERROR(SUMIFS('Rookie College Inputs'!$I$5:$I$13,'Rookie College Inputs'!$A$5:$A$13,C45),0)</x:f>
        <x:v>0</x:v>
      </x:c>
      <x:c r="G45" s="48" t="n">
        <x:f>MAX(40,MIN(100,D45+E45+F45))</x:f>
        <x:v>87.05801139512144</x:v>
      </x:c>
      <x:c r="H45" t="n">
        <x:f>IF(A45="QB",'League Config'!$H$5,IF(A45="RB",'League Config'!$H$6,IF(A45="WR",'League Config'!$H$7,IF(A45="TE",'League Config'!$H$8,IF(A45="K",'League Config'!$H$9,'League Config'!$H$10)))))</x:f>
        <x:v>32</x:v>
      </x:c>
      <x:c r="I45" s="48" t="n">
        <x:f>IF(A45="QB",'League Config'!$F$14,IF(A45="RB",'League Config'!$F$15,IF(A45="WR",'League Config'!$F$16,IF(A45="TE",'League Config'!$F$17,IF(A45="K",'League Config'!$F$18,'League Config'!$F$19)))))</x:f>
        <x:v>73.56779045370797</x:v>
      </x:c>
      <x:c r="J45" s="48" t="n">
        <x:f>G45-I45</x:f>
        <x:v>13.490220941413469</x:v>
      </x:c>
      <x:c r="K45" s="48" t="n">
        <x:f>MAX(0,MIN(100,50+J45*6))</x:f>
        <x:v>100</x:v>
      </x:c>
      <x:c r="L45" s="48" t="n">
        <x:f>MIN(100,MAX(0,MIN(100,(1-(B45-1)/(H45*1.5))*100))*IF(A45="QB",'League Config'!$G$14,IF(A45="RB",'League Config'!$G$15,IF(A45="WR",'League Config'!$G$16,IF(A45="TE",'League Config'!$G$17,IF(A45="K",'League Config'!$G$18,'League Config'!$G$19))))))</x:f>
        <x:v>95.83333333333334</x:v>
      </x:c>
      <x:c r="M45" t="n">
        <x:f>IF(A45="K",'League Config'!$B$15,IF(A45="DST",'League Config'!$B$16,IF(A45="QB",'League Config'!$B$17,0)))</x:f>
        <x:v>0</x:v>
      </x:c>
      <x:c r="N45" s="48" t="n">
        <x:f>MIN(100,MAX(0,0.55*G45+0.30*K45+0.15*L45-M45))</x:f>
        <x:v>92.2569062673168</x:v>
      </x:c>
      <x:c r="O45" t="n">
        <x:f>RANK.EQ(N45,$N$5:$N$227,0)</x:f>
        <x:v>17</x:v>
      </x:c>
      <x:c r="P45" s="110" t="n">
        <x:v>15</x:v>
      </x:c>
      <x:c r="Q45" s="48" t="n">
        <x:f>P45-O45</x:f>
        <x:v>-2</x:v>
      </x:c>
      <x:c r="R45" s="48" t="n">
        <x:f>MAX(40,G45-IF(U45="A",6,IF(U45="B",9,12)))</x:f>
        <x:v>81.05801139512144</x:v>
      </x:c>
      <x:c r="S45" s="48" t="n">
        <x:f>G45</x:f>
        <x:v>87.05801139512144</x:v>
      </x:c>
      <x:c r="T45" s="48" t="n">
        <x:f>MIN(100,G45+IF(U45="A",6,IF(U45="B",9,12)))</x:f>
        <x:v>93.05801139512144</x:v>
      </x:c>
      <x:c r="U45" t="str">
        <x:v>A</x:v>
      </x:c>
      <x:c r="V45" t="str">
        <x:v>RATE-ADJUSTED VETERAN</x:v>
      </x:c>
      <x:c r="W45" s="109" t="str">
        <x:v>Available</x:v>
      </x:c>
      <x:c r="X45" t="n">
        <x:f>IF(W45&lt;&gt;"Available","",1+COUNTIFS($W$5:$W$227,"Available",$N$5:$N$227,"&gt;"&amp;N45))</x:f>
        <x:v>17</x:v>
      </x:c>
      <x:c r="Y45" s="98" t="str">
        <x:v>EXPECTATION: Strong RB1; weekly top-12 expectation with multi-touchdown ceiling.  WHY: He produced 17.7 PPR/FP points per game across 17 games. The workload/efficiency profile gives the model a rate-based reason to keep him here.  RISK: Touchdown variance, receiving-role changes and backfield competition are the main downside paths.</x:v>
      </x:c>
      <x:c r="Z45" t="str">
        <x:v>https://www.fantasypros.com/nfl/adp/ppr-overall.php</x:v>
      </x:c>
    </x:row>
    <x:row r="46">
      <x:c r="A46" t="str">
        <x:v>RB</x:v>
      </x:c>
      <x:c r="B46" t="n">
        <x:v>10</x:v>
      </x:c>
      <x:c r="C46" t="str">
        <x:v>Kyren Williams</x:v>
      </x:c>
      <x:c r="D46" s="48" t="n">
        <x:v>85.94862618540519</x:v>
      </x:c>
      <x:c r="E46" s="48" t="n">
        <x:f>SUMIFS('Manual Adjustments'!$G$5:$G$227,'Manual Adjustments'!$A$5:$A$227,A46,'Manual Adjustments'!$B$5:$B$227,C46)</x:f>
        <x:v>0</x:v>
      </x:c>
      <x:c r="F46" s="48" t="n">
        <x:f>IFERROR(SUMIFS('Rookie College Inputs'!$I$5:$I$13,'Rookie College Inputs'!$A$5:$A$13,C46),0)</x:f>
        <x:v>0</x:v>
      </x:c>
      <x:c r="G46" s="48" t="n">
        <x:f>MAX(40,MIN(100,D46+E46+F46))</x:f>
        <x:v>85.94862618540519</x:v>
      </x:c>
      <x:c r="H46" t="n">
        <x:f>IF(A46="QB",'League Config'!$H$5,IF(A46="RB",'League Config'!$H$6,IF(A46="WR",'League Config'!$H$7,IF(A46="TE",'League Config'!$H$8,IF(A46="K",'League Config'!$H$9,'League Config'!$H$10)))))</x:f>
        <x:v>32</x:v>
      </x:c>
      <x:c r="I46" s="48" t="n">
        <x:f>IF(A46="QB",'League Config'!$F$14,IF(A46="RB",'League Config'!$F$15,IF(A46="WR",'League Config'!$F$16,IF(A46="TE",'League Config'!$F$17,IF(A46="K",'League Config'!$F$18,'League Config'!$F$19)))))</x:f>
        <x:v>73.56779045370797</x:v>
      </x:c>
      <x:c r="J46" s="48" t="n">
        <x:f>G46-I46</x:f>
        <x:v>12.380835731697218</x:v>
      </x:c>
      <x:c r="K46" s="48" t="n">
        <x:f>MAX(0,MIN(100,50+J46*6))</x:f>
        <x:v>100</x:v>
      </x:c>
      <x:c r="L46" s="48" t="n">
        <x:f>MIN(100,MAX(0,MIN(100,(1-(B46-1)/(H46*1.5))*100))*IF(A46="QB",'League Config'!$G$14,IF(A46="RB",'League Config'!$G$15,IF(A46="WR",'League Config'!$G$16,IF(A46="TE",'League Config'!$G$17,IF(A46="K",'League Config'!$G$18,'League Config'!$G$19))))))</x:f>
        <x:v>93.43749999999999</x:v>
      </x:c>
      <x:c r="M46" t="n">
        <x:f>IF(A46="K",'League Config'!$B$15,IF(A46="DST",'League Config'!$B$16,IF(A46="QB",'League Config'!$B$17,0)))</x:f>
        <x:v>0</x:v>
      </x:c>
      <x:c r="N46" s="48" t="n">
        <x:f>MIN(100,MAX(0,0.55*G46+0.30*K46+0.15*L46-M46))</x:f>
        <x:v>91.28736940197285</x:v>
      </x:c>
      <x:c r="O46" t="n">
        <x:f>RANK.EQ(N46,$N$5:$N$227,0)</x:f>
        <x:v>21</x:v>
      </x:c>
      <x:c r="P46" s="110" t="n">
        <x:v>39.800000000000004</x:v>
      </x:c>
      <x:c r="Q46" s="48" t="n">
        <x:f>P46-O46</x:f>
        <x:v>18.800000000000004</x:v>
      </x:c>
      <x:c r="R46" s="48" t="n">
        <x:f>MAX(40,G46-IF(U46="A",6,IF(U46="B",9,12)))</x:f>
        <x:v>79.94862618540519</x:v>
      </x:c>
      <x:c r="S46" s="48" t="n">
        <x:f>G46</x:f>
        <x:v>85.94862618540519</x:v>
      </x:c>
      <x:c r="T46" s="48" t="n">
        <x:f>MIN(100,G46+IF(U46="A",6,IF(U46="B",9,12)))</x:f>
        <x:v>91.94862618540519</x:v>
      </x:c>
      <x:c r="U46" t="str">
        <x:v>A</x:v>
      </x:c>
      <x:c r="V46" t="str">
        <x:v>RATE-ADJUSTED VETERAN</x:v>
      </x:c>
      <x:c r="W46" s="109" t="str">
        <x:v>Available</x:v>
      </x:c>
      <x:c r="X46" t="n">
        <x:f>IF(W46&lt;&gt;"Available","",1+COUNTIFS($W$5:$W$227,"Available",$N$5:$N$227,"&gt;"&amp;N46))</x:f>
        <x:v>21</x:v>
      </x:c>
      <x:c r="Y46" s="98" t="str">
        <x:v>EXPECTATION: Strong RB1; weekly top-12 expectation with multi-touchdown ceiling.  WHY: He produced 15.5 PPR/FP points per game across 17 games. The workload/efficiency profile gives the model a rate-based reason to keep him here. Market price is favorable around ADP 40 versus model overall rank 21.  RISK: Touchdown variance, receiving-role changes and backfield competition are the main downside paths.</x:v>
      </x:c>
      <x:c r="Z46" t="str">
        <x:v>ADP proxy — editable; based on positional draft cost</x:v>
      </x:c>
    </x:row>
    <x:row r="47">
      <x:c r="A47" t="str">
        <x:v>RB</x:v>
      </x:c>
      <x:c r="B47" t="n">
        <x:v>11</x:v>
      </x:c>
      <x:c r="C47" t="str">
        <x:v>Breece Hall</x:v>
      </x:c>
      <x:c r="D47" s="48" t="n">
        <x:v>85.89523439048523</x:v>
      </x:c>
      <x:c r="E47" s="48" t="n">
        <x:f>SUMIFS('Manual Adjustments'!$G$5:$G$227,'Manual Adjustments'!$A$5:$A$227,A47,'Manual Adjustments'!$B$5:$B$227,C47)</x:f>
        <x:v>0</x:v>
      </x:c>
      <x:c r="F47" s="48" t="n">
        <x:f>IFERROR(SUMIFS('Rookie College Inputs'!$I$5:$I$13,'Rookie College Inputs'!$A$5:$A$13,C47),0)</x:f>
        <x:v>0</x:v>
      </x:c>
      <x:c r="G47" s="48" t="n">
        <x:f>MAX(40,MIN(100,D47+E47+F47))</x:f>
        <x:v>85.89523439048523</x:v>
      </x:c>
      <x:c r="H47" t="n">
        <x:f>IF(A47="QB",'League Config'!$H$5,IF(A47="RB",'League Config'!$H$6,IF(A47="WR",'League Config'!$H$7,IF(A47="TE",'League Config'!$H$8,IF(A47="K",'League Config'!$H$9,'League Config'!$H$10)))))</x:f>
        <x:v>32</x:v>
      </x:c>
      <x:c r="I47" s="48" t="n">
        <x:f>IF(A47="QB",'League Config'!$F$14,IF(A47="RB",'League Config'!$F$15,IF(A47="WR",'League Config'!$F$16,IF(A47="TE",'League Config'!$F$17,IF(A47="K",'League Config'!$F$18,'League Config'!$F$19)))))</x:f>
        <x:v>73.56779045370797</x:v>
      </x:c>
      <x:c r="J47" s="48" t="n">
        <x:f>G47-I47</x:f>
        <x:v>12.327443936777257</x:v>
      </x:c>
      <x:c r="K47" s="48" t="n">
        <x:f>MAX(0,MIN(100,50+J47*6))</x:f>
        <x:v>100</x:v>
      </x:c>
      <x:c r="L47" s="48" t="n">
        <x:f>MIN(100,MAX(0,MIN(100,(1-(B47-1)/(H47*1.5))*100))*IF(A47="QB",'League Config'!$G$14,IF(A47="RB",'League Config'!$G$15,IF(A47="WR",'League Config'!$G$16,IF(A47="TE",'League Config'!$G$17,IF(A47="K",'League Config'!$G$18,'League Config'!$G$19))))))</x:f>
        <x:v>91.04166666666664</x:v>
      </x:c>
      <x:c r="M47" t="n">
        <x:f>IF(A47="K",'League Config'!$B$15,IF(A47="DST",'League Config'!$B$16,IF(A47="QB",'League Config'!$B$17,0)))</x:f>
        <x:v>0</x:v>
      </x:c>
      <x:c r="N47" s="48" t="n">
        <x:f>MIN(100,MAX(0,0.55*G47+0.30*K47+0.15*L47-M47))</x:f>
        <x:v>90.89862891476687</x:v>
      </x:c>
      <x:c r="O47" t="n">
        <x:f>RANK.EQ(N47,$N$5:$N$227,0)</x:f>
        <x:v>24</x:v>
      </x:c>
      <x:c r="P47" s="110" t="n">
        <x:v>44</x:v>
      </x:c>
      <x:c r="Q47" s="48" t="n">
        <x:f>P47-O47</x:f>
        <x:v>20</x:v>
      </x:c>
      <x:c r="R47" s="48" t="n">
        <x:f>MAX(40,G47-IF(U47="A",6,IF(U47="B",9,12)))</x:f>
        <x:v>79.89523439048523</x:v>
      </x:c>
      <x:c r="S47" s="48" t="n">
        <x:f>G47</x:f>
        <x:v>85.89523439048523</x:v>
      </x:c>
      <x:c r="T47" s="48" t="n">
        <x:f>MIN(100,G47+IF(U47="A",6,IF(U47="B",9,12)))</x:f>
        <x:v>91.89523439048523</x:v>
      </x:c>
      <x:c r="U47" t="str">
        <x:v>A</x:v>
      </x:c>
      <x:c r="V47" t="str">
        <x:v>RATE-ADJUSTED VETERAN</x:v>
      </x:c>
      <x:c r="W47" s="109" t="str">
        <x:v>Available</x:v>
      </x:c>
      <x:c r="X47" t="n">
        <x:f>IF(W47&lt;&gt;"Available","",1+COUNTIFS($W$5:$W$227,"Available",$N$5:$N$227,"&gt;"&amp;N47))</x:f>
        <x:v>24</x:v>
      </x:c>
      <x:c r="Y47" s="98" t="str">
        <x:v>EXPECTATION: Strong RB1; weekly top-12 expectation with multi-touchdown ceiling.  WHY: He produced 12.9 PPR/FP points per game across 16 games. The workload/efficiency profile gives the model a rate-based reason to keep him here. Market price is favorable around ADP 44 versus model overall rank 23.  RISK: Touchdown variance, receiving-role changes and backfield competition are the main downside paths.</x:v>
      </x:c>
      <x:c r="Z47" t="str">
        <x:v>ADP proxy — editable; based on positional draft cost</x:v>
      </x:c>
    </x:row>
    <x:row r="48">
      <x:c r="A48" t="str">
        <x:v>RB</x:v>
      </x:c>
      <x:c r="B48" t="n">
        <x:v>12</x:v>
      </x:c>
      <x:c r="C48" t="str">
        <x:v>Ashton Jeanty</x:v>
      </x:c>
      <x:c r="D48" s="48" t="n">
        <x:v>85.84326054048074</x:v>
      </x:c>
      <x:c r="E48" s="48" t="n">
        <x:f>SUMIFS('Manual Adjustments'!$G$5:$G$227,'Manual Adjustments'!$A$5:$A$227,A48,'Manual Adjustments'!$B$5:$B$227,C48)</x:f>
        <x:v>0</x:v>
      </x:c>
      <x:c r="F48" s="48" t="n">
        <x:f>IFERROR(SUMIFS('Rookie College Inputs'!$I$5:$I$13,'Rookie College Inputs'!$A$5:$A$13,C48),0)</x:f>
        <x:v>0</x:v>
      </x:c>
      <x:c r="G48" s="48" t="n">
        <x:f>MAX(40,MIN(100,D48+E48+F48))</x:f>
        <x:v>85.84326054048074</x:v>
      </x:c>
      <x:c r="H48" t="n">
        <x:f>IF(A48="QB",'League Config'!$H$5,IF(A48="RB",'League Config'!$H$6,IF(A48="WR",'League Config'!$H$7,IF(A48="TE",'League Config'!$H$8,IF(A48="K",'League Config'!$H$9,'League Config'!$H$10)))))</x:f>
        <x:v>32</x:v>
      </x:c>
      <x:c r="I48" s="48" t="n">
        <x:f>IF(A48="QB",'League Config'!$F$14,IF(A48="RB",'League Config'!$F$15,IF(A48="WR",'League Config'!$F$16,IF(A48="TE",'League Config'!$F$17,IF(A48="K",'League Config'!$F$18,'League Config'!$F$19)))))</x:f>
        <x:v>73.56779045370797</x:v>
      </x:c>
      <x:c r="J48" s="48" t="n">
        <x:f>G48-I48</x:f>
        <x:v>12.27547008677277</x:v>
      </x:c>
      <x:c r="K48" s="48" t="n">
        <x:f>MAX(0,MIN(100,50+J48*6))</x:f>
        <x:v>100</x:v>
      </x:c>
      <x:c r="L48" s="48" t="n">
        <x:f>MIN(100,MAX(0,MIN(100,(1-(B48-1)/(H48*1.5))*100))*IF(A48="QB",'League Config'!$G$14,IF(A48="RB",'League Config'!$G$15,IF(A48="WR",'League Config'!$G$16,IF(A48="TE",'League Config'!$G$17,IF(A48="K",'League Config'!$G$18,'League Config'!$G$19))))))</x:f>
        <x:v>88.64583333333334</x:v>
      </x:c>
      <x:c r="M48" t="n">
        <x:f>IF(A48="K",'League Config'!$B$15,IF(A48="DST",'League Config'!$B$16,IF(A48="QB",'League Config'!$B$17,0)))</x:f>
        <x:v>0</x:v>
      </x:c>
      <x:c r="N48" s="48" t="n">
        <x:f>MIN(100,MAX(0,0.55*G48+0.30*K48+0.15*L48-M48))</x:f>
        <x:v>90.5106682972644</x:v>
      </x:c>
      <x:c r="O48" t="n">
        <x:f>RANK.EQ(N48,$N$5:$N$227,0)</x:f>
        <x:v>26</x:v>
      </x:c>
      <x:c r="P48" s="110" t="n">
        <x:v>13</x:v>
      </x:c>
      <x:c r="Q48" s="48" t="n">
        <x:f>P48-O48</x:f>
        <x:v>-13</x:v>
      </x:c>
      <x:c r="R48" s="48" t="n">
        <x:f>MAX(40,G48-IF(U48="A",6,IF(U48="B",9,12)))</x:f>
        <x:v>79.84326054048074</x:v>
      </x:c>
      <x:c r="S48" s="48" t="n">
        <x:f>G48</x:f>
        <x:v>85.84326054048074</x:v>
      </x:c>
      <x:c r="T48" s="48" t="n">
        <x:f>MIN(100,G48+IF(U48="A",6,IF(U48="B",9,12)))</x:f>
        <x:v>91.84326054048074</x:v>
      </x:c>
      <x:c r="U48" t="str">
        <x:v>A</x:v>
      </x:c>
      <x:c r="V48" t="str">
        <x:v>RATE-ADJUSTED VETERAN</x:v>
      </x:c>
      <x:c r="W48" s="109" t="str">
        <x:v>Available</x:v>
      </x:c>
      <x:c r="X48" t="n">
        <x:f>IF(W48&lt;&gt;"Available","",1+COUNTIFS($W$5:$W$227,"Available",$N$5:$N$227,"&gt;"&amp;N48))</x:f>
        <x:v>26</x:v>
      </x:c>
      <x:c r="Y48" s="98" t="str">
        <x:v>EXPECTATION: Strong RB1; weekly top-12 expectation with multi-touchdown ceiling.  WHY: He produced 14.4 PPR/FP points per game across 17 games. The workload/efficiency profile gives the model a rate-based reason to keep him here. The market is more aggressive at ADP 13 versus model overall rank 24, so price matters.  RISK: Price is the biggest risk: the market currently asks you to draft him earlier than the model prefers.</x:v>
      </x:c>
      <x:c r="Z48" t="str">
        <x:v>https://www.fantasypros.com/nfl/adp/ppr-overall.php</x:v>
      </x:c>
    </x:row>
    <x:row r="49">
      <x:c r="A49" t="str">
        <x:v>RB</x:v>
      </x:c>
      <x:c r="B49" t="n">
        <x:v>13</x:v>
      </x:c>
      <x:c r="C49" t="str">
        <x:v>Derrick Henry</x:v>
      </x:c>
      <x:c r="D49" s="48" t="n">
        <x:v>85.66739845204964</x:v>
      </x:c>
      <x:c r="E49" s="48" t="n">
        <x:f>SUMIFS('Manual Adjustments'!$G$5:$G$227,'Manual Adjustments'!$A$5:$A$227,A49,'Manual Adjustments'!$B$5:$B$227,C49)</x:f>
        <x:v>0</x:v>
      </x:c>
      <x:c r="F49" s="48" t="n">
        <x:f>IFERROR(SUMIFS('Rookie College Inputs'!$I$5:$I$13,'Rookie College Inputs'!$A$5:$A$13,C49),0)</x:f>
        <x:v>0</x:v>
      </x:c>
      <x:c r="G49" s="48" t="n">
        <x:f>MAX(40,MIN(100,D49+E49+F49))</x:f>
        <x:v>85.66739845204964</x:v>
      </x:c>
      <x:c r="H49" t="n">
        <x:f>IF(A49="QB",'League Config'!$H$5,IF(A49="RB",'League Config'!$H$6,IF(A49="WR",'League Config'!$H$7,IF(A49="TE",'League Config'!$H$8,IF(A49="K",'League Config'!$H$9,'League Config'!$H$10)))))</x:f>
        <x:v>32</x:v>
      </x:c>
      <x:c r="I49" s="48" t="n">
        <x:f>IF(A49="QB",'League Config'!$F$14,IF(A49="RB",'League Config'!$F$15,IF(A49="WR",'League Config'!$F$16,IF(A49="TE",'League Config'!$F$17,IF(A49="K",'League Config'!$F$18,'League Config'!$F$19)))))</x:f>
        <x:v>73.56779045370797</x:v>
      </x:c>
      <x:c r="J49" s="48" t="n">
        <x:f>G49-I49</x:f>
        <x:v>12.099607998341668</x:v>
      </x:c>
      <x:c r="K49" s="48" t="n">
        <x:f>MAX(0,MIN(100,50+J49*6))</x:f>
        <x:v>100</x:v>
      </x:c>
      <x:c r="L49" s="48" t="n">
        <x:f>MIN(100,MAX(0,MIN(100,(1-(B49-1)/(H49*1.5))*100))*IF(A49="QB",'League Config'!$G$14,IF(A49="RB",'League Config'!$G$15,IF(A49="WR",'League Config'!$G$16,IF(A49="TE",'League Config'!$G$17,IF(A49="K",'League Config'!$G$18,'League Config'!$G$19))))))</x:f>
        <x:v>86.25</x:v>
      </x:c>
      <x:c r="M49" t="n">
        <x:f>IF(A49="K",'League Config'!$B$15,IF(A49="DST",'League Config'!$B$16,IF(A49="QB",'League Config'!$B$17,0)))</x:f>
        <x:v>0</x:v>
      </x:c>
      <x:c r="N49" s="48" t="n">
        <x:f>MIN(100,MAX(0,0.55*G49+0.30*K49+0.15*L49-M49))</x:f>
        <x:v>90.05456914862731</x:v>
      </x:c>
      <x:c r="O49" t="n">
        <x:f>RANK.EQ(N49,$N$5:$N$227,0)</x:f>
        <x:v>28</x:v>
      </x:c>
      <x:c r="P49" s="110" t="n">
        <x:v>52.400000000000006</x:v>
      </x:c>
      <x:c r="Q49" s="48" t="n">
        <x:f>P49-O49</x:f>
        <x:v>24.400000000000006</x:v>
      </x:c>
      <x:c r="R49" s="48" t="n">
        <x:f>MAX(40,G49-IF(U49="A",6,IF(U49="B",9,12)))</x:f>
        <x:v>79.66739845204964</x:v>
      </x:c>
      <x:c r="S49" s="48" t="n">
        <x:f>G49</x:f>
        <x:v>85.66739845204964</x:v>
      </x:c>
      <x:c r="T49" s="48" t="n">
        <x:f>MIN(100,G49+IF(U49="A",6,IF(U49="B",9,12)))</x:f>
        <x:v>91.66739845204964</x:v>
      </x:c>
      <x:c r="U49" t="str">
        <x:v>A</x:v>
      </x:c>
      <x:c r="V49" t="str">
        <x:v>RATE-ADJUSTED VETERAN</x:v>
      </x:c>
      <x:c r="W49" s="109" t="str">
        <x:v>Available</x:v>
      </x:c>
      <x:c r="X49" t="n">
        <x:f>IF(W49&lt;&gt;"Available","",1+COUNTIFS($W$5:$W$227,"Available",$N$5:$N$227,"&gt;"&amp;N49))</x:f>
        <x:v>28</x:v>
      </x:c>
      <x:c r="Y49" s="98" t="str">
        <x:v>EXPECTATION: RB2 with RB1 weeks; should be a regular starter.  WHY: He produced 16.5 PPR/FP points per game across 17 games. The workload/efficiency profile gives the model a rate-based reason to keep him here. Market price is favorable around ADP 52 versus model overall rank 26.  RISK: Touchdown variance, receiving-role changes and backfield competition are the main downside paths.</x:v>
      </x:c>
      <x:c r="Z49" t="str">
        <x:v>ADP proxy — editable; based on positional draft cost</x:v>
      </x:c>
    </x:row>
    <x:row r="50">
      <x:c r="A50" t="str">
        <x:v>RB</x:v>
      </x:c>
      <x:c r="B50" t="n">
        <x:v>14</x:v>
      </x:c>
      <x:c r="C50" t="str">
        <x:v>Chase Brown</x:v>
      </x:c>
      <x:c r="D50" s="48" t="n">
        <x:v>85.66441832712566</x:v>
      </x:c>
      <x:c r="E50" s="48" t="n">
        <x:f>SUMIFS('Manual Adjustments'!$G$5:$G$227,'Manual Adjustments'!$A$5:$A$227,A50,'Manual Adjustments'!$B$5:$B$227,C50)</x:f>
        <x:v>0</x:v>
      </x:c>
      <x:c r="F50" s="48" t="n">
        <x:f>IFERROR(SUMIFS('Rookie College Inputs'!$I$5:$I$13,'Rookie College Inputs'!$A$5:$A$13,C50),0)</x:f>
        <x:v>0</x:v>
      </x:c>
      <x:c r="G50" s="48" t="n">
        <x:f>MAX(40,MIN(100,D50+E50+F50))</x:f>
        <x:v>85.66441832712566</x:v>
      </x:c>
      <x:c r="H50" t="n">
        <x:f>IF(A50="QB",'League Config'!$H$5,IF(A50="RB",'League Config'!$H$6,IF(A50="WR",'League Config'!$H$7,IF(A50="TE",'League Config'!$H$8,IF(A50="K",'League Config'!$H$9,'League Config'!$H$10)))))</x:f>
        <x:v>32</x:v>
      </x:c>
      <x:c r="I50" s="48" t="n">
        <x:f>IF(A50="QB",'League Config'!$F$14,IF(A50="RB",'League Config'!$F$15,IF(A50="WR",'League Config'!$F$16,IF(A50="TE",'League Config'!$F$17,IF(A50="K",'League Config'!$F$18,'League Config'!$F$19)))))</x:f>
        <x:v>73.56779045370797</x:v>
      </x:c>
      <x:c r="J50" s="48" t="n">
        <x:f>G50-I50</x:f>
        <x:v>12.096627873417688</x:v>
      </x:c>
      <x:c r="K50" s="48" t="n">
        <x:f>MAX(0,MIN(100,50+J50*6))</x:f>
        <x:v>100</x:v>
      </x:c>
      <x:c r="L50" s="48" t="n">
        <x:f>MIN(100,MAX(0,MIN(100,(1-(B50-1)/(H50*1.5))*100))*IF(A50="QB",'League Config'!$G$14,IF(A50="RB",'League Config'!$G$15,IF(A50="WR",'League Config'!$G$16,IF(A50="TE",'League Config'!$G$17,IF(A50="K",'League Config'!$G$18,'League Config'!$G$19))))))</x:f>
        <x:v>83.85416666666667</x:v>
      </x:c>
      <x:c r="M50" t="n">
        <x:f>IF(A50="K",'League Config'!$B$15,IF(A50="DST",'League Config'!$B$16,IF(A50="QB",'League Config'!$B$17,0)))</x:f>
        <x:v>0</x:v>
      </x:c>
      <x:c r="N50" s="48" t="n">
        <x:f>MIN(100,MAX(0,0.55*G50+0.30*K50+0.15*L50-M50))</x:f>
        <x:v>89.69355507991912</x:v>
      </x:c>
      <x:c r="O50" t="n">
        <x:f>RANK.EQ(N50,$N$5:$N$227,0)</x:f>
        <x:v>29</x:v>
      </x:c>
      <x:c r="P50" s="110" t="n">
        <x:v>21</x:v>
      </x:c>
      <x:c r="Q50" s="48" t="n">
        <x:f>P50-O50</x:f>
        <x:v>-8</x:v>
      </x:c>
      <x:c r="R50" s="48" t="n">
        <x:f>MAX(40,G50-IF(U50="A",6,IF(U50="B",9,12)))</x:f>
        <x:v>79.66441832712566</x:v>
      </x:c>
      <x:c r="S50" s="48" t="n">
        <x:f>G50</x:f>
        <x:v>85.66441832712566</x:v>
      </x:c>
      <x:c r="T50" s="48" t="n">
        <x:f>MIN(100,G50+IF(U50="A",6,IF(U50="B",9,12)))</x:f>
        <x:v>91.66441832712566</x:v>
      </x:c>
      <x:c r="U50" t="str">
        <x:v>A</x:v>
      </x:c>
      <x:c r="V50" t="str">
        <x:v>RATE-ADJUSTED VETERAN</x:v>
      </x:c>
      <x:c r="W50" s="109" t="str">
        <x:v>Available</x:v>
      </x:c>
      <x:c r="X50" t="n">
        <x:f>IF(W50&lt;&gt;"Available","",1+COUNTIFS($W$5:$W$227,"Available",$N$5:$N$227,"&gt;"&amp;N50))</x:f>
        <x:v>29</x:v>
      </x:c>
      <x:c r="Y50" s="98" t="str">
        <x:v>EXPECTATION: RB2 with RB1 weeks; should be a regular starter.  WHY: He produced 16.7 PPR/FP points per game across 17 games. The workload/efficiency profile gives the model a rate-based reason to keep him here.  RISK: Touchdown variance, receiving-role changes and backfield competition are the main downside paths.</x:v>
      </x:c>
      <x:c r="Z50" t="str">
        <x:v>https://www.fantasypros.com/nfl/adp/ppr-overall.php</x:v>
      </x:c>
    </x:row>
    <x:row r="51">
      <x:c r="A51" t="str">
        <x:v>RB</x:v>
      </x:c>
      <x:c r="B51" t="n">
        <x:v>15</x:v>
      </x:c>
      <x:c r="C51" t="str">
        <x:v>Josh Jacobs</x:v>
      </x:c>
      <x:c r="D51" s="48" t="n">
        <x:v>84.42639357709083</x:v>
      </x:c>
      <x:c r="E51" s="48" t="n">
        <x:f>SUMIFS('Manual Adjustments'!$G$5:$G$227,'Manual Adjustments'!$A$5:$A$227,A51,'Manual Adjustments'!$B$5:$B$227,C51)</x:f>
        <x:v>0</x:v>
      </x:c>
      <x:c r="F51" s="48" t="n">
        <x:f>IFERROR(SUMIFS('Rookie College Inputs'!$I$5:$I$13,'Rookie College Inputs'!$A$5:$A$13,C51),0)</x:f>
        <x:v>0</x:v>
      </x:c>
      <x:c r="G51" s="48" t="n">
        <x:f>MAX(40,MIN(100,D51+E51+F51))</x:f>
        <x:v>84.42639357709083</x:v>
      </x:c>
      <x:c r="H51" t="n">
        <x:f>IF(A51="QB",'League Config'!$H$5,IF(A51="RB",'League Config'!$H$6,IF(A51="WR",'League Config'!$H$7,IF(A51="TE",'League Config'!$H$8,IF(A51="K",'League Config'!$H$9,'League Config'!$H$10)))))</x:f>
        <x:v>32</x:v>
      </x:c>
      <x:c r="I51" s="48" t="n">
        <x:f>IF(A51="QB",'League Config'!$F$14,IF(A51="RB",'League Config'!$F$15,IF(A51="WR",'League Config'!$F$16,IF(A51="TE",'League Config'!$F$17,IF(A51="K",'League Config'!$F$18,'League Config'!$F$19)))))</x:f>
        <x:v>73.56779045370797</x:v>
      </x:c>
      <x:c r="J51" s="48" t="n">
        <x:f>G51-I51</x:f>
        <x:v>10.858603123382863</x:v>
      </x:c>
      <x:c r="K51" s="48" t="n">
        <x:f>MAX(0,MIN(100,50+J51*6))</x:f>
        <x:v>100</x:v>
      </x:c>
      <x:c r="L51" s="48" t="n">
        <x:f>MIN(100,MAX(0,MIN(100,(1-(B51-1)/(H51*1.5))*100))*IF(A51="QB",'League Config'!$G$14,IF(A51="RB",'League Config'!$G$15,IF(A51="WR",'League Config'!$G$16,IF(A51="TE",'League Config'!$G$17,IF(A51="K",'League Config'!$G$18,'League Config'!$G$19))))))</x:f>
        <x:v>81.45833333333333</x:v>
      </x:c>
      <x:c r="M51" t="n">
        <x:f>IF(A51="K",'League Config'!$B$15,IF(A51="DST",'League Config'!$B$16,IF(A51="QB",'League Config'!$B$17,0)))</x:f>
        <x:v>0</x:v>
      </x:c>
      <x:c r="N51" s="48" t="n">
        <x:f>MIN(100,MAX(0,0.55*G51+0.30*K51+0.15*L51-M51))</x:f>
        <x:v>88.65326646739996</x:v>
      </x:c>
      <x:c r="O51" t="n">
        <x:f>RANK.EQ(N51,$N$5:$N$227,0)</x:f>
        <x:v>37</x:v>
      </x:c>
      <x:c r="P51" s="110" t="n">
        <x:v>60.800000000000004</x:v>
      </x:c>
      <x:c r="Q51" s="48" t="n">
        <x:f>P51-O51</x:f>
        <x:v>23.800000000000004</x:v>
      </x:c>
      <x:c r="R51" s="48" t="n">
        <x:f>MAX(40,G51-IF(U51="A",6,IF(U51="B",9,12)))</x:f>
        <x:v>78.42639357709083</x:v>
      </x:c>
      <x:c r="S51" s="48" t="n">
        <x:f>G51</x:f>
        <x:v>84.42639357709083</x:v>
      </x:c>
      <x:c r="T51" s="48" t="n">
        <x:f>MIN(100,G51+IF(U51="A",6,IF(U51="B",9,12)))</x:f>
        <x:v>90.42639357709083</x:v>
      </x:c>
      <x:c r="U51" t="str">
        <x:v>A</x:v>
      </x:c>
      <x:c r="V51" t="str">
        <x:v>RATE-ADJUSTED VETERAN</x:v>
      </x:c>
      <x:c r="W51" s="109" t="str">
        <x:v>Available</x:v>
      </x:c>
      <x:c r="X51" t="n">
        <x:f>IF(W51&lt;&gt;"Available","",1+COUNTIFS($W$5:$W$227,"Available",$N$5:$N$227,"&gt;"&amp;N51))</x:f>
        <x:v>37</x:v>
      </x:c>
      <x:c r="Y51" s="98" t="str">
        <x:v>EXPECTATION: RB2 with RB1 weeks; should be a regular starter.  WHY: He produced 15.8 PPR/FP points per game across 15 games. The workload/efficiency profile gives the model a rate-based reason to keep him here. Market price is favorable around ADP 61 versus model overall rank 33.  RISK: Touchdown variance, receiving-role changes and backfield competition are the main downside paths.</x:v>
      </x:c>
      <x:c r="Z51" t="str">
        <x:v>ADP proxy — editable; based on positional draft cost</x:v>
      </x:c>
    </x:row>
    <x:row r="52">
      <x:c r="A52" t="str">
        <x:v>RB</x:v>
      </x:c>
      <x:c r="B52" t="n">
        <x:v>16</x:v>
      </x:c>
      <x:c r="C52" t="str">
        <x:v>Saquon Barkley</x:v>
      </x:c>
      <x:c r="D52" s="48" t="n">
        <x:v>84.03395323879701</x:v>
      </x:c>
      <x:c r="E52" s="48" t="n">
        <x:f>SUMIFS('Manual Adjustments'!$G$5:$G$227,'Manual Adjustments'!$A$5:$A$227,A52,'Manual Adjustments'!$B$5:$B$227,C52)</x:f>
        <x:v>0</x:v>
      </x:c>
      <x:c r="F52" s="48" t="n">
        <x:f>IFERROR(SUMIFS('Rookie College Inputs'!$I$5:$I$13,'Rookie College Inputs'!$A$5:$A$13,C52),0)</x:f>
        <x:v>0</x:v>
      </x:c>
      <x:c r="G52" s="48" t="n">
        <x:f>MAX(40,MIN(100,D52+E52+F52))</x:f>
        <x:v>84.03395323879701</x:v>
      </x:c>
      <x:c r="H52" t="n">
        <x:f>IF(A52="QB",'League Config'!$H$5,IF(A52="RB",'League Config'!$H$6,IF(A52="WR",'League Config'!$H$7,IF(A52="TE",'League Config'!$H$8,IF(A52="K",'League Config'!$H$9,'League Config'!$H$10)))))</x:f>
        <x:v>32</x:v>
      </x:c>
      <x:c r="I52" s="48" t="n">
        <x:f>IF(A52="QB",'League Config'!$F$14,IF(A52="RB",'League Config'!$F$15,IF(A52="WR",'League Config'!$F$16,IF(A52="TE",'League Config'!$F$17,IF(A52="K",'League Config'!$F$18,'League Config'!$F$19)))))</x:f>
        <x:v>73.56779045370797</x:v>
      </x:c>
      <x:c r="J52" s="48" t="n">
        <x:f>G52-I52</x:f>
        <x:v>10.46616278508904</x:v>
      </x:c>
      <x:c r="K52" s="48" t="n">
        <x:f>MAX(0,MIN(100,50+J52*6))</x:f>
        <x:v>100</x:v>
      </x:c>
      <x:c r="L52" s="48" t="n">
        <x:f>MIN(100,MAX(0,MIN(100,(1-(B52-1)/(H52*1.5))*100))*IF(A52="QB",'League Config'!$G$14,IF(A52="RB",'League Config'!$G$15,IF(A52="WR",'League Config'!$G$16,IF(A52="TE",'League Config'!$G$17,IF(A52="K",'League Config'!$G$18,'League Config'!$G$19))))))</x:f>
        <x:v>79.0625</x:v>
      </x:c>
      <x:c r="M52" t="n">
        <x:f>IF(A52="K",'League Config'!$B$15,IF(A52="DST",'League Config'!$B$16,IF(A52="QB",'League Config'!$B$17,0)))</x:f>
        <x:v>0</x:v>
      </x:c>
      <x:c r="N52" s="48" t="n">
        <x:f>MIN(100,MAX(0,0.55*G52+0.30*K52+0.15*L52-M52))</x:f>
        <x:v>88.07804928133837</x:v>
      </x:c>
      <x:c r="O52" t="n">
        <x:f>RANK.EQ(N52,$N$5:$N$227,0)</x:f>
        <x:v>38</x:v>
      </x:c>
      <x:c r="P52" s="110" t="n">
        <x:v>65</x:v>
      </x:c>
      <x:c r="Q52" s="48" t="n">
        <x:f>P52-O52</x:f>
        <x:v>27</x:v>
      </x:c>
      <x:c r="R52" s="48" t="n">
        <x:f>MAX(40,G52-IF(U52="A",6,IF(U52="B",9,12)))</x:f>
        <x:v>78.03395323879701</x:v>
      </x:c>
      <x:c r="S52" s="48" t="n">
        <x:f>G52</x:f>
        <x:v>84.03395323879701</x:v>
      </x:c>
      <x:c r="T52" s="48" t="n">
        <x:f>MIN(100,G52+IF(U52="A",6,IF(U52="B",9,12)))</x:f>
        <x:v>90.03395323879701</x:v>
      </x:c>
      <x:c r="U52" t="str">
        <x:v>A</x:v>
      </x:c>
      <x:c r="V52" t="str">
        <x:v>RATE-ADJUSTED VETERAN</x:v>
      </x:c>
      <x:c r="W52" s="109" t="str">
        <x:v>Available</x:v>
      </x:c>
      <x:c r="X52" t="n">
        <x:f>IF(W52&lt;&gt;"Available","",1+COUNTIFS($W$5:$W$227,"Available",$N$5:$N$227,"&gt;"&amp;N52))</x:f>
        <x:v>38</x:v>
      </x:c>
      <x:c r="Y52" s="98" t="str">
        <x:v>EXPECTATION: RB2 with RB1 weeks; should be a regular starter.  WHY: He produced 14.5 PPR/FP points per game across 16 games. The workload/efficiency profile gives the model a rate-based reason to keep him here. Market price is favorable around ADP 65 versus model overall rank 34.  RISK: Touchdown variance, receiving-role changes and backfield competition are the main downside paths.</x:v>
      </x:c>
      <x:c r="Z52" t="str">
        <x:v>ADP proxy — editable; based on positional draft cost</x:v>
      </x:c>
    </x:row>
    <x:row r="53">
      <x:c r="A53" t="str">
        <x:v>RB</x:v>
      </x:c>
      <x:c r="B53" t="n">
        <x:v>17</x:v>
      </x:c>
      <x:c r="C53" t="str">
        <x:v>Javonte Williams</x:v>
      </x:c>
      <x:c r="D53" s="48" t="n">
        <x:v>83.80323538924502</x:v>
      </x:c>
      <x:c r="E53" s="48" t="n">
        <x:f>SUMIFS('Manual Adjustments'!$G$5:$G$227,'Manual Adjustments'!$A$5:$A$227,A53,'Manual Adjustments'!$B$5:$B$227,C53)</x:f>
        <x:v>0</x:v>
      </x:c>
      <x:c r="F53" s="48" t="n">
        <x:f>IFERROR(SUMIFS('Rookie College Inputs'!$I$5:$I$13,'Rookie College Inputs'!$A$5:$A$13,C53),0)</x:f>
        <x:v>0</x:v>
      </x:c>
      <x:c r="G53" s="48" t="n">
        <x:f>MAX(40,MIN(100,D53+E53+F53))</x:f>
        <x:v>83.80323538924502</x:v>
      </x:c>
      <x:c r="H53" t="n">
        <x:f>IF(A53="QB",'League Config'!$H$5,IF(A53="RB",'League Config'!$H$6,IF(A53="WR",'League Config'!$H$7,IF(A53="TE",'League Config'!$H$8,IF(A53="K",'League Config'!$H$9,'League Config'!$H$10)))))</x:f>
        <x:v>32</x:v>
      </x:c>
      <x:c r="I53" s="48" t="n">
        <x:f>IF(A53="QB",'League Config'!$F$14,IF(A53="RB",'League Config'!$F$15,IF(A53="WR",'League Config'!$F$16,IF(A53="TE",'League Config'!$F$17,IF(A53="K",'League Config'!$F$18,'League Config'!$F$19)))))</x:f>
        <x:v>73.56779045370797</x:v>
      </x:c>
      <x:c r="J53" s="48" t="n">
        <x:f>G53-I53</x:f>
        <x:v>10.235444935537046</x:v>
      </x:c>
      <x:c r="K53" s="48" t="n">
        <x:f>MAX(0,MIN(100,50+J53*6))</x:f>
        <x:v>100</x:v>
      </x:c>
      <x:c r="L53" s="48" t="n">
        <x:f>MIN(100,MAX(0,MIN(100,(1-(B53-1)/(H53*1.5))*100))*IF(A53="QB",'League Config'!$G$14,IF(A53="RB",'League Config'!$G$15,IF(A53="WR",'League Config'!$G$16,IF(A53="TE",'League Config'!$G$17,IF(A53="K",'League Config'!$G$18,'League Config'!$G$19))))))</x:f>
        <x:v>76.66666666666667</x:v>
      </x:c>
      <x:c r="M53" t="n">
        <x:f>IF(A53="K",'League Config'!$B$15,IF(A53="DST",'League Config'!$B$16,IF(A53="QB",'League Config'!$B$17,0)))</x:f>
        <x:v>0</x:v>
      </x:c>
      <x:c r="N53" s="48" t="n">
        <x:f>MIN(100,MAX(0,0.55*G53+0.30*K53+0.15*L53-M53))</x:f>
        <x:v>87.59177946408477</x:v>
      </x:c>
      <x:c r="O53" t="n">
        <x:f>RANK.EQ(N53,$N$5:$N$227,0)</x:f>
        <x:v>39</x:v>
      </x:c>
      <x:c r="P53" s="110" t="n">
        <x:v>69.2</x:v>
      </x:c>
      <x:c r="Q53" s="48" t="n">
        <x:f>P53-O53</x:f>
        <x:v>30.200000000000003</x:v>
      </x:c>
      <x:c r="R53" s="48" t="n">
        <x:f>MAX(40,G53-IF(U53="A",6,IF(U53="B",9,12)))</x:f>
        <x:v>77.80323538924502</x:v>
      </x:c>
      <x:c r="S53" s="48" t="n">
        <x:f>G53</x:f>
        <x:v>83.80323538924502</x:v>
      </x:c>
      <x:c r="T53" s="48" t="n">
        <x:f>MIN(100,G53+IF(U53="A",6,IF(U53="B",9,12)))</x:f>
        <x:v>89.80323538924502</x:v>
      </x:c>
      <x:c r="U53" t="str">
        <x:v>A</x:v>
      </x:c>
      <x:c r="V53" t="str">
        <x:v>RATE-ADJUSTED VETERAN</x:v>
      </x:c>
      <x:c r="W53" s="109" t="str">
        <x:v>Available</x:v>
      </x:c>
      <x:c r="X53" t="n">
        <x:f>IF(W53&lt;&gt;"Available","",1+COUNTIFS($W$5:$W$227,"Available",$N$5:$N$227,"&gt;"&amp;N53))</x:f>
        <x:v>39</x:v>
      </x:c>
      <x:c r="Y53" s="98" t="str">
        <x:v>EXPECTATION: RB2 with RB1 weeks; should be a regular starter.  WHY: He produced 15.2 PPR/FP points per game across 16 games. The workload/efficiency profile gives the model a rate-based reason to keep him here. Market price is favorable around ADP 69 versus model overall rank 35.  RISK: Touchdown variance, receiving-role changes and backfield competition are the main downside paths.</x:v>
      </x:c>
      <x:c r="Z53" t="str">
        <x:v>ADP proxy — editable; based on positional draft cost</x:v>
      </x:c>
    </x:row>
    <x:row r="54">
      <x:c r="A54" t="str">
        <x:v>RB</x:v>
      </x:c>
      <x:c r="B54" t="n">
        <x:v>18</x:v>
      </x:c>
      <x:c r="C54" t="str">
        <x:v>Travis Etienne Jr.</x:v>
      </x:c>
      <x:c r="D54" s="48" t="n">
        <x:v>83.04362987072798</x:v>
      </x:c>
      <x:c r="E54" s="48" t="n">
        <x:f>SUMIFS('Manual Adjustments'!$G$5:$G$227,'Manual Adjustments'!$A$5:$A$227,A54,'Manual Adjustments'!$B$5:$B$227,C54)</x:f>
        <x:v>0</x:v>
      </x:c>
      <x:c r="F54" s="48" t="n">
        <x:f>IFERROR(SUMIFS('Rookie College Inputs'!$I$5:$I$13,'Rookie College Inputs'!$A$5:$A$13,C54),0)</x:f>
        <x:v>0</x:v>
      </x:c>
      <x:c r="G54" s="48" t="n">
        <x:f>MAX(40,MIN(100,D54+E54+F54))</x:f>
        <x:v>83.04362987072798</x:v>
      </x:c>
      <x:c r="H54" t="n">
        <x:f>IF(A54="QB",'League Config'!$H$5,IF(A54="RB",'League Config'!$H$6,IF(A54="WR",'League Config'!$H$7,IF(A54="TE",'League Config'!$H$8,IF(A54="K",'League Config'!$H$9,'League Config'!$H$10)))))</x:f>
        <x:v>32</x:v>
      </x:c>
      <x:c r="I54" s="48" t="n">
        <x:f>IF(A54="QB",'League Config'!$F$14,IF(A54="RB",'League Config'!$F$15,IF(A54="WR",'League Config'!$F$16,IF(A54="TE",'League Config'!$F$17,IF(A54="K",'League Config'!$F$18,'League Config'!$F$19)))))</x:f>
        <x:v>73.56779045370797</x:v>
      </x:c>
      <x:c r="J54" s="48" t="n">
        <x:f>G54-I54</x:f>
        <x:v>9.475839417020012</x:v>
      </x:c>
      <x:c r="K54" s="48" t="n">
        <x:f>MAX(0,MIN(100,50+J54*6))</x:f>
        <x:v>100</x:v>
      </x:c>
      <x:c r="L54" s="48" t="n">
        <x:f>MIN(100,MAX(0,MIN(100,(1-(B54-1)/(H54*1.5))*100))*IF(A54="QB",'League Config'!$G$14,IF(A54="RB",'League Config'!$G$15,IF(A54="WR",'League Config'!$G$16,IF(A54="TE",'League Config'!$G$17,IF(A54="K",'League Config'!$G$18,'League Config'!$G$19))))))</x:f>
        <x:v>74.27083333333333</x:v>
      </x:c>
      <x:c r="M54" t="n">
        <x:f>IF(A54="K",'League Config'!$B$15,IF(A54="DST",'League Config'!$B$16,IF(A54="QB",'League Config'!$B$17,0)))</x:f>
        <x:v>0</x:v>
      </x:c>
      <x:c r="N54" s="48" t="n">
        <x:f>MIN(100,MAX(0,0.55*G54+0.30*K54+0.15*L54-M54))</x:f>
        <x:v>86.8146214289004</x:v>
      </x:c>
      <x:c r="O54" t="n">
        <x:f>RANK.EQ(N54,$N$5:$N$227,0)</x:f>
        <x:v>42</x:v>
      </x:c>
      <x:c r="P54" s="110" t="n">
        <x:v>73.4</x:v>
      </x:c>
      <x:c r="Q54" s="48" t="n">
        <x:f>P54-O54</x:f>
        <x:v>31.400000000000006</x:v>
      </x:c>
      <x:c r="R54" s="48" t="n">
        <x:f>MAX(40,G54-IF(U54="A",6,IF(U54="B",9,12)))</x:f>
        <x:v>77.04362987072798</x:v>
      </x:c>
      <x:c r="S54" s="48" t="n">
        <x:f>G54</x:f>
        <x:v>83.04362987072798</x:v>
      </x:c>
      <x:c r="T54" s="48" t="n">
        <x:f>MIN(100,G54+IF(U54="A",6,IF(U54="B",9,12)))</x:f>
        <x:v>89.04362987072798</x:v>
      </x:c>
      <x:c r="U54" t="str">
        <x:v>A</x:v>
      </x:c>
      <x:c r="V54" t="str">
        <x:v>RATE-ADJUSTED VETERAN</x:v>
      </x:c>
      <x:c r="W54" s="109" t="str">
        <x:v>Available</x:v>
      </x:c>
      <x:c r="X54" t="n">
        <x:f>IF(W54&lt;&gt;"Available","",1+COUNTIFS($W$5:$W$227,"Available",$N$5:$N$227,"&gt;"&amp;N54))</x:f>
        <x:v>42</x:v>
      </x:c>
      <x:c r="Y54" s="98" t="str">
        <x:v>EXPECTATION: RB2 with RB1 weeks; should be a regular starter.  WHY: He produced 14.9 PPR/FP points per game across 17 games. The workload/efficiency profile gives the model a rate-based reason to keep him here. Market price is favorable around ADP 73 versus model overall rank 39.  RISK: Touchdown variance, receiving-role changes and backfield competition are the main downside paths.</x:v>
      </x:c>
      <x:c r="Z54" t="str">
        <x:v>ADP proxy — editable; based on positional draft cost</x:v>
      </x:c>
    </x:row>
    <x:row r="55">
      <x:c r="A55" t="str">
        <x:v>RB</x:v>
      </x:c>
      <x:c r="B55" t="n">
        <x:v>19</x:v>
      </x:c>
      <x:c r="C55" t="str">
        <x:v>Cam Skattebo</x:v>
      </x:c>
      <x:c r="D55" s="48" t="n">
        <x:v>81.88843624288153</x:v>
      </x:c>
      <x:c r="E55" s="48" t="n">
        <x:f>SUMIFS('Manual Adjustments'!$G$5:$G$227,'Manual Adjustments'!$A$5:$A$227,A55,'Manual Adjustments'!$B$5:$B$227,C55)</x:f>
        <x:v>0</x:v>
      </x:c>
      <x:c r="F55" s="48" t="n">
        <x:f>IFERROR(SUMIFS('Rookie College Inputs'!$I$5:$I$13,'Rookie College Inputs'!$A$5:$A$13,C55),0)</x:f>
        <x:v>0</x:v>
      </x:c>
      <x:c r="G55" s="48" t="n">
        <x:f>MAX(40,MIN(100,D55+E55+F55))</x:f>
        <x:v>81.88843624288153</x:v>
      </x:c>
      <x:c r="H55" t="n">
        <x:f>IF(A55="QB",'League Config'!$H$5,IF(A55="RB",'League Config'!$H$6,IF(A55="WR",'League Config'!$H$7,IF(A55="TE",'League Config'!$H$8,IF(A55="K",'League Config'!$H$9,'League Config'!$H$10)))))</x:f>
        <x:v>32</x:v>
      </x:c>
      <x:c r="I55" s="48" t="n">
        <x:f>IF(A55="QB",'League Config'!$F$14,IF(A55="RB",'League Config'!$F$15,IF(A55="WR",'League Config'!$F$16,IF(A55="TE",'League Config'!$F$17,IF(A55="K",'League Config'!$F$18,'League Config'!$F$19)))))</x:f>
        <x:v>73.56779045370797</x:v>
      </x:c>
      <x:c r="J55" s="48" t="n">
        <x:f>G55-I55</x:f>
        <x:v>8.320645789173554</x:v>
      </x:c>
      <x:c r="K55" s="48" t="n">
        <x:f>MAX(0,MIN(100,50+J55*6))</x:f>
        <x:v>99.92387473504132</x:v>
      </x:c>
      <x:c r="L55" s="48" t="n">
        <x:f>MIN(100,MAX(0,MIN(100,(1-(B55-1)/(H55*1.5))*100))*IF(A55="QB",'League Config'!$G$14,IF(A55="RB",'League Config'!$G$15,IF(A55="WR",'League Config'!$G$16,IF(A55="TE",'League Config'!$G$17,IF(A55="K",'League Config'!$G$18,'League Config'!$G$19))))))</x:f>
        <x:v>71.875</x:v>
      </x:c>
      <x:c r="M55" t="n">
        <x:f>IF(A55="K",'League Config'!$B$15,IF(A55="DST",'League Config'!$B$16,IF(A55="QB",'League Config'!$B$17,0)))</x:f>
        <x:v>0</x:v>
      </x:c>
      <x:c r="N55" s="48" t="n">
        <x:f>MIN(100,MAX(0,0.55*G55+0.30*K55+0.15*L55-M55))</x:f>
        <x:v>85.79705235409723</x:v>
      </x:c>
      <x:c r="O55" t="n">
        <x:f>RANK.EQ(N55,$N$5:$N$227,0)</x:f>
        <x:v>43</x:v>
      </x:c>
      <x:c r="P55" s="110" t="n">
        <x:v>77.60000000000001</x:v>
      </x:c>
      <x:c r="Q55" s="48" t="n">
        <x:f>P55-O55</x:f>
        <x:v>34.60000000000001</x:v>
      </x:c>
      <x:c r="R55" s="48" t="n">
        <x:f>MAX(40,G55-IF(U55="A",6,IF(U55="B",9,12)))</x:f>
        <x:v>72.88843624288153</x:v>
      </x:c>
      <x:c r="S55" s="48" t="n">
        <x:f>G55</x:f>
        <x:v>81.88843624288153</x:v>
      </x:c>
      <x:c r="T55" s="48" t="n">
        <x:f>MIN(100,G55+IF(U55="A",6,IF(U55="B",9,12)))</x:f>
        <x:v>90.88843624288153</x:v>
      </x:c>
      <x:c r="U55" t="str">
        <x:v>B</x:v>
      </x:c>
      <x:c r="V55" t="str">
        <x:v>RATE-ADJUSTED VETERAN</x:v>
      </x:c>
      <x:c r="W55" s="109" t="str">
        <x:v>Available</x:v>
      </x:c>
      <x:c r="X55" t="n">
        <x:f>IF(W55&lt;&gt;"Available","",1+COUNTIFS($W$5:$W$227,"Available",$N$5:$N$227,"&gt;"&amp;N55))</x:f>
        <x:v>43</x:v>
      </x:c>
      <x:c r="Y55" s="98" t="str">
        <x:v>EXPECTATION: RB2 with RB1 weeks; should be a regular starter.  WHY: He produced 16.0 PPR/FP points per game across 8 games. The workload/efficiency profile gives the model a rate-based reason to keep him here. Market price is favorable around ADP 78 versus model overall rank 42.  RISK: Availability/sample risk is elevated after only 8 games; talent is not being punished as heavily as durability.</x:v>
      </x:c>
      <x:c r="Z55" t="str">
        <x:v>ADP proxy — editable; based on positional draft cost</x:v>
      </x:c>
    </x:row>
    <x:row r="56">
      <x:c r="A56" t="str">
        <x:v>RB</x:v>
      </x:c>
      <x:c r="B56" t="n">
        <x:v>20</x:v>
      </x:c>
      <x:c r="C56" t="str">
        <x:v>D'Andre Swift</x:v>
      </x:c>
      <x:c r="D56" s="48" t="n">
        <x:v>79.98556548600793</x:v>
      </x:c>
      <x:c r="E56" s="48" t="n">
        <x:f>SUMIFS('Manual Adjustments'!$G$5:$G$227,'Manual Adjustments'!$A$5:$A$227,A56,'Manual Adjustments'!$B$5:$B$227,C56)</x:f>
        <x:v>0</x:v>
      </x:c>
      <x:c r="F56" s="48" t="n">
        <x:f>IFERROR(SUMIFS('Rookie College Inputs'!$I$5:$I$13,'Rookie College Inputs'!$A$5:$A$13,C56),0)</x:f>
        <x:v>0</x:v>
      </x:c>
      <x:c r="G56" s="48" t="n">
        <x:f>MAX(40,MIN(100,D56+E56+F56))</x:f>
        <x:v>79.98556548600793</x:v>
      </x:c>
      <x:c r="H56" t="n">
        <x:f>IF(A56="QB",'League Config'!$H$5,IF(A56="RB",'League Config'!$H$6,IF(A56="WR",'League Config'!$H$7,IF(A56="TE",'League Config'!$H$8,IF(A56="K",'League Config'!$H$9,'League Config'!$H$10)))))</x:f>
        <x:v>32</x:v>
      </x:c>
      <x:c r="I56" s="48" t="n">
        <x:f>IF(A56="QB",'League Config'!$F$14,IF(A56="RB",'League Config'!$F$15,IF(A56="WR",'League Config'!$F$16,IF(A56="TE",'League Config'!$F$17,IF(A56="K",'League Config'!$F$18,'League Config'!$F$19)))))</x:f>
        <x:v>73.56779045370797</x:v>
      </x:c>
      <x:c r="J56" s="48" t="n">
        <x:f>G56-I56</x:f>
        <x:v>6.417775032299957</x:v>
      </x:c>
      <x:c r="K56" s="48" t="n">
        <x:f>MAX(0,MIN(100,50+J56*6))</x:f>
        <x:v>88.50665019379974</x:v>
      </x:c>
      <x:c r="L56" s="48" t="n">
        <x:f>MIN(100,MAX(0,MIN(100,(1-(B56-1)/(H56*1.5))*100))*IF(A56="QB",'League Config'!$G$14,IF(A56="RB",'League Config'!$G$15,IF(A56="WR",'League Config'!$G$16,IF(A56="TE",'League Config'!$G$17,IF(A56="K",'League Config'!$G$18,'League Config'!$G$19))))))</x:f>
        <x:v>69.47916666666667</x:v>
      </x:c>
      <x:c r="M56" t="n">
        <x:f>IF(A56="K",'League Config'!$B$15,IF(A56="DST",'League Config'!$B$16,IF(A56="QB",'League Config'!$B$17,0)))</x:f>
        <x:v>0</x:v>
      </x:c>
      <x:c r="N56" s="48" t="n">
        <x:f>MIN(100,MAX(0,0.55*G56+0.30*K56+0.15*L56-M56))</x:f>
        <x:v>80.96593107544429</x:v>
      </x:c>
      <x:c r="O56" t="n">
        <x:f>RANK.EQ(N56,$N$5:$N$227,0)</x:f>
        <x:v>51</x:v>
      </x:c>
      <x:c r="P56" s="110" t="n">
        <x:v>81.8</x:v>
      </x:c>
      <x:c r="Q56" s="48" t="n">
        <x:f>P56-O56</x:f>
        <x:v>30.799999999999997</x:v>
      </x:c>
      <x:c r="R56" s="48" t="n">
        <x:f>MAX(40,G56-IF(U56="A",6,IF(U56="B",9,12)))</x:f>
        <x:v>73.98556548600793</x:v>
      </x:c>
      <x:c r="S56" s="48" t="n">
        <x:f>G56</x:f>
        <x:v>79.98556548600793</x:v>
      </x:c>
      <x:c r="T56" s="48" t="n">
        <x:f>MIN(100,G56+IF(U56="A",6,IF(U56="B",9,12)))</x:f>
        <x:v>85.98556548600793</x:v>
      </x:c>
      <x:c r="U56" t="str">
        <x:v>A</x:v>
      </x:c>
      <x:c r="V56" t="str">
        <x:v>RATE-ADJUSTED VETERAN</x:v>
      </x:c>
      <x:c r="W56" s="109" t="str">
        <x:v>Available</x:v>
      </x:c>
      <x:c r="X56" t="n">
        <x:f>IF(W56&lt;&gt;"Available","",1+COUNTIFS($W$5:$W$227,"Available",$N$5:$N$227,"&gt;"&amp;N56))</x:f>
        <x:v>51</x:v>
      </x:c>
      <x:c r="Y56" s="98" t="str">
        <x:v>EXPECTATION: RB2 with RB1 weeks; should be a regular starter.  WHY: He produced 14.3 PPR/FP points per game across 16 games. The workload/efficiency profile gives the model a rate-based reason to keep him here. Market price is favorable around ADP 82 versus model overall rank 47.  RISK: Touchdown variance, receiving-role changes and backfield competition are the main downside paths.</x:v>
      </x:c>
      <x:c r="Z56" t="str">
        <x:v>ADP proxy — editable; based on positional draft cost</x:v>
      </x:c>
    </x:row>
    <x:row r="57">
      <x:c r="A57" t="str">
        <x:v>RB</x:v>
      </x:c>
      <x:c r="B57" t="n">
        <x:v>21</x:v>
      </x:c>
      <x:c r="C57" t="str">
        <x:v>Bucky Irving</x:v>
      </x:c>
      <x:c r="D57" s="48" t="n">
        <x:v>79.93547988785315</x:v>
      </x:c>
      <x:c r="E57" s="48" t="n">
        <x:f>SUMIFS('Manual Adjustments'!$G$5:$G$227,'Manual Adjustments'!$A$5:$A$227,A57,'Manual Adjustments'!$B$5:$B$227,C57)</x:f>
        <x:v>0</x:v>
      </x:c>
      <x:c r="F57" s="48" t="n">
        <x:f>IFERROR(SUMIFS('Rookie College Inputs'!$I$5:$I$13,'Rookie College Inputs'!$A$5:$A$13,C57),0)</x:f>
        <x:v>0</x:v>
      </x:c>
      <x:c r="G57" s="48" t="n">
        <x:f>MAX(40,MIN(100,D57+E57+F57))</x:f>
        <x:v>79.93547988785315</x:v>
      </x:c>
      <x:c r="H57" t="n">
        <x:f>IF(A57="QB",'League Config'!$H$5,IF(A57="RB",'League Config'!$H$6,IF(A57="WR",'League Config'!$H$7,IF(A57="TE",'League Config'!$H$8,IF(A57="K",'League Config'!$H$9,'League Config'!$H$10)))))</x:f>
        <x:v>32</x:v>
      </x:c>
      <x:c r="I57" s="48" t="n">
        <x:f>IF(A57="QB",'League Config'!$F$14,IF(A57="RB",'League Config'!$F$15,IF(A57="WR",'League Config'!$F$16,IF(A57="TE",'League Config'!$F$17,IF(A57="K",'League Config'!$F$18,'League Config'!$F$19)))))</x:f>
        <x:v>73.56779045370797</x:v>
      </x:c>
      <x:c r="J57" s="48" t="n">
        <x:f>G57-I57</x:f>
        <x:v>6.367689434145177</x:v>
      </x:c>
      <x:c r="K57" s="48" t="n">
        <x:f>MAX(0,MIN(100,50+J57*6))</x:f>
        <x:v>88.20613660487106</x:v>
      </x:c>
      <x:c r="L57" s="48" t="n">
        <x:f>MIN(100,MAX(0,MIN(100,(1-(B57-1)/(H57*1.5))*100))*IF(A57="QB",'League Config'!$G$14,IF(A57="RB",'League Config'!$G$15,IF(A57="WR",'League Config'!$G$16,IF(A57="TE",'League Config'!$G$17,IF(A57="K",'League Config'!$G$18,'League Config'!$G$19))))))</x:f>
        <x:v>67.08333333333333</x:v>
      </x:c>
      <x:c r="M57" t="n">
        <x:f>IF(A57="K",'League Config'!$B$15,IF(A57="DST",'League Config'!$B$16,IF(A57="QB",'League Config'!$B$17,0)))</x:f>
        <x:v>0</x:v>
      </x:c>
      <x:c r="N57" s="48" t="n">
        <x:f>MIN(100,MAX(0,0.55*G57+0.30*K57+0.15*L57-M57))</x:f>
        <x:v>80.48885491978055</x:v>
      </x:c>
      <x:c r="O57" t="n">
        <x:f>RANK.EQ(N57,$N$5:$N$227,0)</x:f>
        <x:v>52</x:v>
      </x:c>
      <x:c r="P57" s="110" t="n">
        <x:v>86</x:v>
      </x:c>
      <x:c r="Q57" s="48" t="n">
        <x:f>P57-O57</x:f>
        <x:v>34</x:v>
      </x:c>
      <x:c r="R57" s="48" t="n">
        <x:f>MAX(40,G57-IF(U57="A",6,IF(U57="B",9,12)))</x:f>
        <x:v>70.93547988785315</x:v>
      </x:c>
      <x:c r="S57" s="48" t="n">
        <x:f>G57</x:f>
        <x:v>79.93547988785315</x:v>
      </x:c>
      <x:c r="T57" s="48" t="n">
        <x:f>MIN(100,G57+IF(U57="A",6,IF(U57="B",9,12)))</x:f>
        <x:v>88.93547988785315</x:v>
      </x:c>
      <x:c r="U57" t="str">
        <x:v>B</x:v>
      </x:c>
      <x:c r="V57" t="str">
        <x:v>RATE-ADJUSTED VETERAN</x:v>
      </x:c>
      <x:c r="W57" s="109" t="str">
        <x:v>Available</x:v>
      </x:c>
      <x:c r="X57" t="n">
        <x:f>IF(W57&lt;&gt;"Available","",1+COUNTIFS($W$5:$W$227,"Available",$N$5:$N$227,"&gt;"&amp;N57))</x:f>
        <x:v>52</x:v>
      </x:c>
      <x:c r="Y57" s="98" t="str">
        <x:v>EXPECTATION: RB2/FLEX; useful weekly but role and receiving volume matter.  WHY: He produced 13.8 PPR/FP points per game across 10 games. The workload/efficiency profile gives the model a rate-based reason to keep him here. Market price is favorable around ADP 86 versus model overall rank 48.  RISK: Touchdown variance, receiving-role changes and backfield competition are the main downside paths.</x:v>
      </x:c>
      <x:c r="Z57" t="str">
        <x:v>ADP proxy — editable; based on positional draft cost</x:v>
      </x:c>
    </x:row>
    <x:row r="58">
      <x:c r="A58" t="str">
        <x:v>RB</x:v>
      </x:c>
      <x:c r="B58" t="n">
        <x:v>22</x:v>
      </x:c>
      <x:c r="C58" t="str">
        <x:v>Quinshon Judkins</x:v>
      </x:c>
      <x:c r="D58" s="48" t="n">
        <x:v>79.930324528899</x:v>
      </x:c>
      <x:c r="E58" s="48" t="n">
        <x:f>SUMIFS('Manual Adjustments'!$G$5:$G$227,'Manual Adjustments'!$A$5:$A$227,A58,'Manual Adjustments'!$B$5:$B$227,C58)</x:f>
        <x:v>0</x:v>
      </x:c>
      <x:c r="F58" s="48" t="n">
        <x:f>IFERROR(SUMIFS('Rookie College Inputs'!$I$5:$I$13,'Rookie College Inputs'!$A$5:$A$13,C58),0)</x:f>
        <x:v>0</x:v>
      </x:c>
      <x:c r="G58" s="48" t="n">
        <x:f>MAX(40,MIN(100,D58+E58+F58))</x:f>
        <x:v>79.930324528899</x:v>
      </x:c>
      <x:c r="H58" t="n">
        <x:f>IF(A58="QB",'League Config'!$H$5,IF(A58="RB",'League Config'!$H$6,IF(A58="WR",'League Config'!$H$7,IF(A58="TE",'League Config'!$H$8,IF(A58="K",'League Config'!$H$9,'League Config'!$H$10)))))</x:f>
        <x:v>32</x:v>
      </x:c>
      <x:c r="I58" s="48" t="n">
        <x:f>IF(A58="QB",'League Config'!$F$14,IF(A58="RB",'League Config'!$F$15,IF(A58="WR",'League Config'!$F$16,IF(A58="TE",'League Config'!$F$17,IF(A58="K",'League Config'!$F$18,'League Config'!$F$19)))))</x:f>
        <x:v>73.56779045370797</x:v>
      </x:c>
      <x:c r="J58" s="48" t="n">
        <x:f>G58-I58</x:f>
        <x:v>6.362534075191036</x:v>
      </x:c>
      <x:c r="K58" s="48" t="n">
        <x:f>MAX(0,MIN(100,50+J58*6))</x:f>
        <x:v>88.17520445114621</x:v>
      </x:c>
      <x:c r="L58" s="48" t="n">
        <x:f>MIN(100,MAX(0,MIN(100,(1-(B58-1)/(H58*1.5))*100))*IF(A58="QB",'League Config'!$G$14,IF(A58="RB",'League Config'!$G$15,IF(A58="WR",'League Config'!$G$16,IF(A58="TE",'League Config'!$G$17,IF(A58="K",'League Config'!$G$18,'League Config'!$G$19))))))</x:f>
        <x:v>64.6875</x:v>
      </x:c>
      <x:c r="M58" t="n">
        <x:f>IF(A58="K",'League Config'!$B$15,IF(A58="DST",'League Config'!$B$16,IF(A58="QB",'League Config'!$B$17,0)))</x:f>
        <x:v>0</x:v>
      </x:c>
      <x:c r="N58" s="48" t="n">
        <x:f>MIN(100,MAX(0,0.55*G58+0.30*K58+0.15*L58-M58))</x:f>
        <x:v>80.11736482623832</x:v>
      </x:c>
      <x:c r="O58" t="n">
        <x:f>RANK.EQ(N58,$N$5:$N$227,0)</x:f>
        <x:v>53</x:v>
      </x:c>
      <x:c r="P58" s="110" t="n">
        <x:v>90.2</x:v>
      </x:c>
      <x:c r="Q58" s="48" t="n">
        <x:f>P58-O58</x:f>
        <x:v>37.2</x:v>
      </x:c>
      <x:c r="R58" s="48" t="n">
        <x:f>MAX(40,G58-IF(U58="A",6,IF(U58="B",9,12)))</x:f>
        <x:v>73.930324528899</x:v>
      </x:c>
      <x:c r="S58" s="48" t="n">
        <x:f>G58</x:f>
        <x:v>79.930324528899</x:v>
      </x:c>
      <x:c r="T58" s="48" t="n">
        <x:f>MIN(100,G58+IF(U58="A",6,IF(U58="B",9,12)))</x:f>
        <x:v>85.930324528899</x:v>
      </x:c>
      <x:c r="U58" t="str">
        <x:v>A</x:v>
      </x:c>
      <x:c r="V58" t="str">
        <x:v>RATE-ADJUSTED VETERAN</x:v>
      </x:c>
      <x:c r="W58" s="109" t="str">
        <x:v>Available</x:v>
      </x:c>
      <x:c r="X58" t="n">
        <x:f>IF(W58&lt;&gt;"Available","",1+COUNTIFS($W$5:$W$227,"Available",$N$5:$N$227,"&gt;"&amp;N58))</x:f>
        <x:v>53</x:v>
      </x:c>
      <x:c r="Y58" s="98" t="str">
        <x:v>EXPECTATION: RB2/FLEX; useful weekly but role and receiving volume matter.  WHY: He produced 12.2 PPR/FP points per game across 14 games. The workload/efficiency profile gives the model a rate-based reason to keep him here. Market price is favorable around ADP 90 versus model overall rank 49.  RISK: Touchdown variance, receiving-role changes and backfield competition are the main downside paths.</x:v>
      </x:c>
      <x:c r="Z58" t="str">
        <x:v>ADP proxy — editable; based on positional draft cost</x:v>
      </x:c>
    </x:row>
    <x:row r="59">
      <x:c r="A59" t="str">
        <x:v>RB</x:v>
      </x:c>
      <x:c r="B59" t="n">
        <x:v>23</x:v>
      </x:c>
      <x:c r="C59" t="str">
        <x:v>David Montgomery</x:v>
      </x:c>
      <x:c r="D59" s="48" t="n">
        <x:v>77.91019458711787</x:v>
      </x:c>
      <x:c r="E59" s="48" t="n">
        <x:f>SUMIFS('Manual Adjustments'!$G$5:$G$227,'Manual Adjustments'!$A$5:$A$227,A59,'Manual Adjustments'!$B$5:$B$227,C59)</x:f>
        <x:v>0</x:v>
      </x:c>
      <x:c r="F59" s="48" t="n">
        <x:f>IFERROR(SUMIFS('Rookie College Inputs'!$I$5:$I$13,'Rookie College Inputs'!$A$5:$A$13,C59),0)</x:f>
        <x:v>0</x:v>
      </x:c>
      <x:c r="G59" s="48" t="n">
        <x:f>MAX(40,MIN(100,D59+E59+F59))</x:f>
        <x:v>77.91019458711787</x:v>
      </x:c>
      <x:c r="H59" t="n">
        <x:f>IF(A59="QB",'League Config'!$H$5,IF(A59="RB",'League Config'!$H$6,IF(A59="WR",'League Config'!$H$7,IF(A59="TE",'League Config'!$H$8,IF(A59="K",'League Config'!$H$9,'League Config'!$H$10)))))</x:f>
        <x:v>32</x:v>
      </x:c>
      <x:c r="I59" s="48" t="n">
        <x:f>IF(A59="QB",'League Config'!$F$14,IF(A59="RB",'League Config'!$F$15,IF(A59="WR",'League Config'!$F$16,IF(A59="TE",'League Config'!$F$17,IF(A59="K",'League Config'!$F$18,'League Config'!$F$19)))))</x:f>
        <x:v>73.56779045370797</x:v>
      </x:c>
      <x:c r="J59" s="48" t="n">
        <x:f>G59-I59</x:f>
        <x:v>4.3424041334099</x:v>
      </x:c>
      <x:c r="K59" s="48" t="n">
        <x:f>MAX(0,MIN(100,50+J59*6))</x:f>
        <x:v>76.0544248004594</x:v>
      </x:c>
      <x:c r="L59" s="48" t="n">
        <x:f>MIN(100,MAX(0,MIN(100,(1-(B59-1)/(H59*1.5))*100))*IF(A59="QB",'League Config'!$G$14,IF(A59="RB",'League Config'!$G$15,IF(A59="WR",'League Config'!$G$16,IF(A59="TE",'League Config'!$G$17,IF(A59="K",'League Config'!$G$18,'League Config'!$G$19))))))</x:f>
        <x:v>62.291666666666664</x:v>
      </x:c>
      <x:c r="M59" t="n">
        <x:f>IF(A59="K",'League Config'!$B$15,IF(A59="DST",'League Config'!$B$16,IF(A59="QB",'League Config'!$B$17,0)))</x:f>
        <x:v>0</x:v>
      </x:c>
      <x:c r="N59" s="48" t="n">
        <x:f>MIN(100,MAX(0,0.55*G59+0.30*K59+0.15*L59-M59))</x:f>
        <x:v>75.01068446305266</x:v>
      </x:c>
      <x:c r="O59" t="n">
        <x:f>RANK.EQ(N59,$N$5:$N$227,0)</x:f>
        <x:v>62</x:v>
      </x:c>
      <x:c r="P59" s="110" t="n">
        <x:v>94.4</x:v>
      </x:c>
      <x:c r="Q59" s="48" t="n">
        <x:f>P59-O59</x:f>
        <x:v>32.400000000000006</x:v>
      </x:c>
      <x:c r="R59" s="48" t="n">
        <x:f>MAX(40,G59-IF(U59="A",6,IF(U59="B",9,12)))</x:f>
        <x:v>71.91019458711787</x:v>
      </x:c>
      <x:c r="S59" s="48" t="n">
        <x:f>G59</x:f>
        <x:v>77.91019458711787</x:v>
      </x:c>
      <x:c r="T59" s="48" t="n">
        <x:f>MIN(100,G59+IF(U59="A",6,IF(U59="B",9,12)))</x:f>
        <x:v>83.91019458711787</x:v>
      </x:c>
      <x:c r="U59" t="str">
        <x:v>A</x:v>
      </x:c>
      <x:c r="V59" t="str">
        <x:v>RATE-ADJUSTED VETERAN</x:v>
      </x:c>
      <x:c r="W59" s="109" t="str">
        <x:v>Available</x:v>
      </x:c>
      <x:c r="X59" t="n">
        <x:f>IF(W59&lt;&gt;"Available","",1+COUNTIFS($W$5:$W$227,"Available",$N$5:$N$227,"&gt;"&amp;N59))</x:f>
        <x:v>62</x:v>
      </x:c>
      <x:c r="Y59" s="98" t="str">
        <x:v>EXPECTATION: RB2/FLEX; useful weekly but role and receiving volume matter.  WHY: He produced 9.8 PPR/FP points per game across 17 games. The workload/efficiency profile gives the model a rate-based reason to keep him here. Market price is favorable around ADP 94 versus model overall rank 59.  RISK: Touchdown variance, receiving-role changes and backfield competition are the main downside paths.</x:v>
      </x:c>
      <x:c r="Z59" t="str">
        <x:v>ADP proxy — editable; based on positional draft cost</x:v>
      </x:c>
    </x:row>
    <x:row r="60">
      <x:c r="A60" t="str">
        <x:v>RB</x:v>
      </x:c>
      <x:c r="B60" t="n">
        <x:v>24</x:v>
      </x:c>
      <x:c r="C60" t="str">
        <x:v>TreVeyon Henderson</x:v>
      </x:c>
      <x:c r="D60" s="48" t="n">
        <x:v>77.83249669656783</x:v>
      </x:c>
      <x:c r="E60" s="48" t="n">
        <x:f>SUMIFS('Manual Adjustments'!$G$5:$G$227,'Manual Adjustments'!$A$5:$A$227,A60,'Manual Adjustments'!$B$5:$B$227,C60)</x:f>
        <x:v>0</x:v>
      </x:c>
      <x:c r="F60" s="48" t="n">
        <x:f>IFERROR(SUMIFS('Rookie College Inputs'!$I$5:$I$13,'Rookie College Inputs'!$A$5:$A$13,C60),0)</x:f>
        <x:v>0</x:v>
      </x:c>
      <x:c r="G60" s="48" t="n">
        <x:f>MAX(40,MIN(100,D60+E60+F60))</x:f>
        <x:v>77.83249669656783</x:v>
      </x:c>
      <x:c r="H60" t="n">
        <x:f>IF(A60="QB",'League Config'!$H$5,IF(A60="RB",'League Config'!$H$6,IF(A60="WR",'League Config'!$H$7,IF(A60="TE",'League Config'!$H$8,IF(A60="K",'League Config'!$H$9,'League Config'!$H$10)))))</x:f>
        <x:v>32</x:v>
      </x:c>
      <x:c r="I60" s="48" t="n">
        <x:f>IF(A60="QB",'League Config'!$F$14,IF(A60="RB",'League Config'!$F$15,IF(A60="WR",'League Config'!$F$16,IF(A60="TE",'League Config'!$F$17,IF(A60="K",'League Config'!$F$18,'League Config'!$F$19)))))</x:f>
        <x:v>73.56779045370797</x:v>
      </x:c>
      <x:c r="J60" s="48" t="n">
        <x:f>G60-I60</x:f>
        <x:v>4.264706242859859</x:v>
      </x:c>
      <x:c r="K60" s="48" t="n">
        <x:f>MAX(0,MIN(100,50+J60*6))</x:f>
        <x:v>75.58823745715915</x:v>
      </x:c>
      <x:c r="L60" s="48" t="n">
        <x:f>MIN(100,MAX(0,MIN(100,(1-(B60-1)/(H60*1.5))*100))*IF(A60="QB",'League Config'!$G$14,IF(A60="RB",'League Config'!$G$15,IF(A60="WR",'League Config'!$G$16,IF(A60="TE",'League Config'!$G$17,IF(A60="K",'League Config'!$G$18,'League Config'!$G$19))))))</x:f>
        <x:v>59.89583333333332</x:v>
      </x:c>
      <x:c r="M60" t="n">
        <x:f>IF(A60="K",'League Config'!$B$15,IF(A60="DST",'League Config'!$B$16,IF(A60="QB",'League Config'!$B$17,0)))</x:f>
        <x:v>0</x:v>
      </x:c>
      <x:c r="N60" s="48" t="n">
        <x:f>MIN(100,MAX(0,0.55*G60+0.30*K60+0.15*L60-M60))</x:f>
        <x:v>74.46871942026004</x:v>
      </x:c>
      <x:c r="O60" t="n">
        <x:f>RANK.EQ(N60,$N$5:$N$227,0)</x:f>
        <x:v>63</x:v>
      </x:c>
      <x:c r="P60" s="110" t="n">
        <x:v>98.60000000000001</x:v>
      </x:c>
      <x:c r="Q60" s="48" t="n">
        <x:f>P60-O60</x:f>
        <x:v>35.60000000000001</x:v>
      </x:c>
      <x:c r="R60" s="48" t="n">
        <x:f>MAX(40,G60-IF(U60="A",6,IF(U60="B",9,12)))</x:f>
        <x:v>71.83249669656783</x:v>
      </x:c>
      <x:c r="S60" s="48" t="n">
        <x:f>G60</x:f>
        <x:v>77.83249669656783</x:v>
      </x:c>
      <x:c r="T60" s="48" t="n">
        <x:f>MIN(100,G60+IF(U60="A",6,IF(U60="B",9,12)))</x:f>
        <x:v>83.83249669656783</x:v>
      </x:c>
      <x:c r="U60" t="str">
        <x:v>A</x:v>
      </x:c>
      <x:c r="V60" t="str">
        <x:v>RATE-ADJUSTED VETERAN</x:v>
      </x:c>
      <x:c r="W60" s="109" t="str">
        <x:v>Available</x:v>
      </x:c>
      <x:c r="X60" t="n">
        <x:f>IF(W60&lt;&gt;"Available","",1+COUNTIFS($W$5:$W$227,"Available",$N$5:$N$227,"&gt;"&amp;N60))</x:f>
        <x:v>63</x:v>
      </x:c>
      <x:c r="Y60" s="98" t="str">
        <x:v>EXPECTATION: RB2/FLEX; useful weekly but role and receiving volume matter.  WHY: He produced 12.2 PPR/FP points per game across 17 games. The workload/efficiency profile gives the model a rate-based reason to keep him here. Market price is favorable around ADP 99 versus model overall rank 60.  RISK: Touchdown variance, receiving-role changes and backfield competition are the main downside paths.</x:v>
      </x:c>
      <x:c r="Z60" t="str">
        <x:v>ADP proxy — editable; based on positional draft cost</x:v>
      </x:c>
    </x:row>
    <x:row r="61">
      <x:c r="A61" t="str">
        <x:v>RB</x:v>
      </x:c>
      <x:c r="B61" t="n">
        <x:v>25</x:v>
      </x:c>
      <x:c r="C61" t="str">
        <x:v>Jadarian Price</x:v>
      </x:c>
      <x:c r="D61" s="48" t="n">
        <x:v>76.66217827185447</x:v>
      </x:c>
      <x:c r="E61" s="48" t="n">
        <x:f>SUMIFS('Manual Adjustments'!$G$5:$G$227,'Manual Adjustments'!$A$5:$A$227,A61,'Manual Adjustments'!$B$5:$B$227,C61)</x:f>
        <x:v>0</x:v>
      </x:c>
      <x:c r="F61" s="48" t="n">
        <x:f>IFERROR(SUMIFS('Rookie College Inputs'!$I$5:$I$13,'Rookie College Inputs'!$A$5:$A$13,C61),0)</x:f>
        <x:v>0</x:v>
      </x:c>
      <x:c r="G61" s="48" t="n">
        <x:f>MAX(40,MIN(100,D61+E61+F61))</x:f>
        <x:v>76.66217827185447</x:v>
      </x:c>
      <x:c r="H61" t="n">
        <x:f>IF(A61="QB",'League Config'!$H$5,IF(A61="RB",'League Config'!$H$6,IF(A61="WR",'League Config'!$H$7,IF(A61="TE",'League Config'!$H$8,IF(A61="K",'League Config'!$H$9,'League Config'!$H$10)))))</x:f>
        <x:v>32</x:v>
      </x:c>
      <x:c r="I61" s="48" t="n">
        <x:f>IF(A61="QB",'League Config'!$F$14,IF(A61="RB",'League Config'!$F$15,IF(A61="WR",'League Config'!$F$16,IF(A61="TE",'League Config'!$F$17,IF(A61="K",'League Config'!$F$18,'League Config'!$F$19)))))</x:f>
        <x:v>73.56779045370797</x:v>
      </x:c>
      <x:c r="J61" s="48" t="n">
        <x:f>G61-I61</x:f>
        <x:v>3.094387818146501</x:v>
      </x:c>
      <x:c r="K61" s="48" t="n">
        <x:f>MAX(0,MIN(100,50+J61*6))</x:f>
        <x:v>68.566326908879</x:v>
      </x:c>
      <x:c r="L61" s="48" t="n">
        <x:f>MIN(100,MAX(0,MIN(100,(1-(B61-1)/(H61*1.5))*100))*IF(A61="QB",'League Config'!$G$14,IF(A61="RB",'League Config'!$G$15,IF(A61="WR",'League Config'!$G$16,IF(A61="TE",'League Config'!$G$17,IF(A61="K",'League Config'!$G$18,'League Config'!$G$19))))))</x:f>
        <x:v>57.49999999999999</x:v>
      </x:c>
      <x:c r="M61" t="n">
        <x:f>IF(A61="K",'League Config'!$B$15,IF(A61="DST",'League Config'!$B$16,IF(A61="QB",'League Config'!$B$17,0)))</x:f>
        <x:v>0</x:v>
      </x:c>
      <x:c r="N61" s="48" t="n">
        <x:f>MIN(100,MAX(0,0.55*G61+0.30*K61+0.15*L61-M61))</x:f>
        <x:v>71.35909612218366</x:v>
      </x:c>
      <x:c r="O61" t="n">
        <x:f>RANK.EQ(N61,$N$5:$N$227,0)</x:f>
        <x:v>68</x:v>
      </x:c>
      <x:c r="P61" s="110" t="n">
        <x:v>102.80000000000001</x:v>
      </x:c>
      <x:c r="Q61" s="48" t="n">
        <x:f>P61-O61</x:f>
        <x:v>34.80000000000001</x:v>
      </x:c>
      <x:c r="R61" s="48" t="n">
        <x:f>MAX(40,G61-IF(U61="A",6,IF(U61="B",9,12)))</x:f>
        <x:v>67.66217827185447</x:v>
      </x:c>
      <x:c r="S61" s="48" t="n">
        <x:f>G61</x:f>
        <x:v>76.66217827185447</x:v>
      </x:c>
      <x:c r="T61" s="48" t="n">
        <x:f>MIN(100,G61+IF(U61="A",6,IF(U61="B",9,12)))</x:f>
        <x:v>85.66217827185447</x:v>
      </x:c>
      <x:c r="U61" t="str">
        <x:v>B</x:v>
      </x:c>
      <x:c r="V61" t="str">
        <x:v>ROOKIE ENGINE</x:v>
      </x:c>
      <x:c r="W61" s="109" t="str">
        <x:v>Available</x:v>
      </x:c>
      <x:c r="X61" t="n">
        <x:f>IF(W61&lt;&gt;"Available","",1+COUNTIFS($W$5:$W$227,"Available",$N$5:$N$227,"&gt;"&amp;N61))</x:f>
        <x:v>68</x:v>
      </x:c>
      <x:c r="Y61" s="98" t="str">
        <x:v>EXPECTATION: RB2/FLEX; useful weekly but role and receiving volume matter.  WHY: Rookie score 85.6, backed by No. 32 draft capital and a 6.38 NFL prospect grade. The 2026 role projection is strong enough to replace missing NFL history. Market price is favorable around ADP 103 versus model overall rank 66.  RISK: NFL translation and exact weekly role are the main variables; preseason first-team usage can move this rating quickly.</x:v>
      </x:c>
      <x:c r="Z61" t="str">
        <x:v>ADP proxy — editable; based on positional draft cost</x:v>
      </x:c>
    </x:row>
    <x:row r="62">
      <x:c r="A62" t="str">
        <x:v>RB</x:v>
      </x:c>
      <x:c r="B62" t="n">
        <x:v>26</x:v>
      </x:c>
      <x:c r="C62" t="str">
        <x:v>Jaylen Warren</x:v>
      </x:c>
      <x:c r="D62" s="48" t="n">
        <x:v>76.09178759711432</x:v>
      </x:c>
      <x:c r="E62" s="48" t="n">
        <x:f>SUMIFS('Manual Adjustments'!$G$5:$G$227,'Manual Adjustments'!$A$5:$A$227,A62,'Manual Adjustments'!$B$5:$B$227,C62)</x:f>
        <x:v>0</x:v>
      </x:c>
      <x:c r="F62" s="48" t="n">
        <x:f>IFERROR(SUMIFS('Rookie College Inputs'!$I$5:$I$13,'Rookie College Inputs'!$A$5:$A$13,C62),0)</x:f>
        <x:v>0</x:v>
      </x:c>
      <x:c r="G62" s="48" t="n">
        <x:f>MAX(40,MIN(100,D62+E62+F62))</x:f>
        <x:v>76.09178759711432</x:v>
      </x:c>
      <x:c r="H62" t="n">
        <x:f>IF(A62="QB",'League Config'!$H$5,IF(A62="RB",'League Config'!$H$6,IF(A62="WR",'League Config'!$H$7,IF(A62="TE",'League Config'!$H$8,IF(A62="K",'League Config'!$H$9,'League Config'!$H$10)))))</x:f>
        <x:v>32</x:v>
      </x:c>
      <x:c r="I62" s="48" t="n">
        <x:f>IF(A62="QB",'League Config'!$F$14,IF(A62="RB",'League Config'!$F$15,IF(A62="WR",'League Config'!$F$16,IF(A62="TE",'League Config'!$F$17,IF(A62="K",'League Config'!$F$18,'League Config'!$F$19)))))</x:f>
        <x:v>73.56779045370797</x:v>
      </x:c>
      <x:c r="J62" s="48" t="n">
        <x:f>G62-I62</x:f>
        <x:v>2.5239971434063477</x:v>
      </x:c>
      <x:c r="K62" s="48" t="n">
        <x:f>MAX(0,MIN(100,50+J62*6))</x:f>
        <x:v>65.14398286043809</x:v>
      </x:c>
      <x:c r="L62" s="48" t="n">
        <x:f>MIN(100,MAX(0,MIN(100,(1-(B62-1)/(H62*1.5))*100))*IF(A62="QB",'League Config'!$G$14,IF(A62="RB",'League Config'!$G$15,IF(A62="WR",'League Config'!$G$16,IF(A62="TE",'League Config'!$G$17,IF(A62="K",'League Config'!$G$18,'League Config'!$G$19))))))</x:f>
        <x:v>55.10416666666666</x:v>
      </x:c>
      <x:c r="M62" t="n">
        <x:f>IF(A62="K",'League Config'!$B$15,IF(A62="DST",'League Config'!$B$16,IF(A62="QB",'League Config'!$B$17,0)))</x:f>
        <x:v>0</x:v>
      </x:c>
      <x:c r="N62" s="48" t="n">
        <x:f>MIN(100,MAX(0,0.55*G62+0.30*K62+0.15*L62-M62))</x:f>
        <x:v>69.6593030365443</x:v>
      </x:c>
      <x:c r="O62" t="n">
        <x:f>RANK.EQ(N62,$N$5:$N$227,0)</x:f>
        <x:v>72</x:v>
      </x:c>
      <x:c r="P62" s="110" t="n">
        <x:v>107</x:v>
      </x:c>
      <x:c r="Q62" s="48" t="n">
        <x:f>P62-O62</x:f>
        <x:v>35</x:v>
      </x:c>
      <x:c r="R62" s="48" t="n">
        <x:f>MAX(40,G62-IF(U62="A",6,IF(U62="B",9,12)))</x:f>
        <x:v>70.09178759711432</x:v>
      </x:c>
      <x:c r="S62" s="48" t="n">
        <x:f>G62</x:f>
        <x:v>76.09178759711432</x:v>
      </x:c>
      <x:c r="T62" s="48" t="n">
        <x:f>MIN(100,G62+IF(U62="A",6,IF(U62="B",9,12)))</x:f>
        <x:v>82.09178759711432</x:v>
      </x:c>
      <x:c r="U62" t="str">
        <x:v>A</x:v>
      </x:c>
      <x:c r="V62" t="str">
        <x:v>RATE-ADJUSTED VETERAN</x:v>
      </x:c>
      <x:c r="W62" s="109" t="str">
        <x:v>Available</x:v>
      </x:c>
      <x:c r="X62" t="n">
        <x:f>IF(W62&lt;&gt;"Available","",1+COUNTIFS($W$5:$W$227,"Available",$N$5:$N$227,"&gt;"&amp;N62))</x:f>
        <x:v>72</x:v>
      </x:c>
      <x:c r="Y62" s="98" t="str">
        <x:v>EXPECTATION: RB2/FLEX; useful weekly but role and receiving volume matter.  WHY: He produced 13.6 PPR/FP points per game across 16 games. The workload/efficiency profile gives the model a rate-based reason to keep him here. Market price is favorable around ADP 107 versus model overall rank 69.  RISK: Touchdown variance, receiving-role changes and backfield competition are the main downside paths.</x:v>
      </x:c>
      <x:c r="Z62" t="str">
        <x:v>ADP proxy — editable; based on positional draft cost</x:v>
      </x:c>
    </x:row>
    <x:row r="63">
      <x:c r="A63" t="str">
        <x:v>RB</x:v>
      </x:c>
      <x:c r="B63" t="n">
        <x:v>27</x:v>
      </x:c>
      <x:c r="C63" t="str">
        <x:v>Rico Dowdle</x:v>
      </x:c>
      <x:c r="D63" s="48" t="n">
        <x:v>75.78578939506124</x:v>
      </x:c>
      <x:c r="E63" s="48" t="n">
        <x:f>SUMIFS('Manual Adjustments'!$G$5:$G$227,'Manual Adjustments'!$A$5:$A$227,A63,'Manual Adjustments'!$B$5:$B$227,C63)</x:f>
        <x:v>0</x:v>
      </x:c>
      <x:c r="F63" s="48" t="n">
        <x:f>IFERROR(SUMIFS('Rookie College Inputs'!$I$5:$I$13,'Rookie College Inputs'!$A$5:$A$13,C63),0)</x:f>
        <x:v>0</x:v>
      </x:c>
      <x:c r="G63" s="48" t="n">
        <x:f>MAX(40,MIN(100,D63+E63+F63))</x:f>
        <x:v>75.78578939506124</x:v>
      </x:c>
      <x:c r="H63" t="n">
        <x:f>IF(A63="QB",'League Config'!$H$5,IF(A63="RB",'League Config'!$H$6,IF(A63="WR",'League Config'!$H$7,IF(A63="TE",'League Config'!$H$8,IF(A63="K",'League Config'!$H$9,'League Config'!$H$10)))))</x:f>
        <x:v>32</x:v>
      </x:c>
      <x:c r="I63" s="48" t="n">
        <x:f>IF(A63="QB",'League Config'!$F$14,IF(A63="RB",'League Config'!$F$15,IF(A63="WR",'League Config'!$F$16,IF(A63="TE",'League Config'!$F$17,IF(A63="K",'League Config'!$F$18,'League Config'!$F$19)))))</x:f>
        <x:v>73.56779045370797</x:v>
      </x:c>
      <x:c r="J63" s="48" t="n">
        <x:f>G63-I63</x:f>
        <x:v>2.2179989413532724</x:v>
      </x:c>
      <x:c r="K63" s="48" t="n">
        <x:f>MAX(0,MIN(100,50+J63*6))</x:f>
        <x:v>63.307993648119634</x:v>
      </x:c>
      <x:c r="L63" s="48" t="n">
        <x:f>MIN(100,MAX(0,MIN(100,(1-(B63-1)/(H63*1.5))*100))*IF(A63="QB",'League Config'!$G$14,IF(A63="RB",'League Config'!$G$15,IF(A63="WR",'League Config'!$G$16,IF(A63="TE",'League Config'!$G$17,IF(A63="K",'League Config'!$G$18,'League Config'!$G$19))))))</x:f>
        <x:v>52.70833333333333</x:v>
      </x:c>
      <x:c r="M63" t="n">
        <x:f>IF(A63="K",'League Config'!$B$15,IF(A63="DST",'League Config'!$B$16,IF(A63="QB",'League Config'!$B$17,0)))</x:f>
        <x:v>0</x:v>
      </x:c>
      <x:c r="N63" s="48" t="n">
        <x:f>MIN(100,MAX(0,0.55*G63+0.30*K63+0.15*L63-M63))</x:f>
        <x:v>68.58083226171958</x:v>
      </x:c>
      <x:c r="O63" t="n">
        <x:f>RANK.EQ(N63,$N$5:$N$227,0)</x:f>
        <x:v>77</x:v>
      </x:c>
      <x:c r="P63" s="110" t="n">
        <x:v>111.2</x:v>
      </x:c>
      <x:c r="Q63" s="48" t="n">
        <x:f>P63-O63</x:f>
        <x:v>34.2</x:v>
      </x:c>
      <x:c r="R63" s="48" t="n">
        <x:f>MAX(40,G63-IF(U63="A",6,IF(U63="B",9,12)))</x:f>
        <x:v>69.78578939506124</x:v>
      </x:c>
      <x:c r="S63" s="48" t="n">
        <x:f>G63</x:f>
        <x:v>75.78578939506124</x:v>
      </x:c>
      <x:c r="T63" s="48" t="n">
        <x:f>MIN(100,G63+IF(U63="A",6,IF(U63="B",9,12)))</x:f>
        <x:v>81.78578939506124</x:v>
      </x:c>
      <x:c r="U63" t="str">
        <x:v>A</x:v>
      </x:c>
      <x:c r="V63" t="str">
        <x:v>RATE-ADJUSTED VETERAN</x:v>
      </x:c>
      <x:c r="W63" s="109" t="str">
        <x:v>Available</x:v>
      </x:c>
      <x:c r="X63" t="n">
        <x:f>IF(W63&lt;&gt;"Available","",1+COUNTIFS($W$5:$W$227,"Available",$N$5:$N$227,"&gt;"&amp;N63))</x:f>
        <x:v>77</x:v>
      </x:c>
      <x:c r="Y63" s="98" t="str">
        <x:v>EXPECTATION: RB2/FLEX; useful weekly but role and receiving volume matter.  WHY: He produced 12.7 PPR/FP points per game across 17 games. The workload/efficiency profile gives the model a rate-based reason to keep him here. Market price is favorable around ADP 111 versus model overall rank 74.  RISK: Touchdown variance, receiving-role changes and backfield competition are the main downside paths.</x:v>
      </x:c>
      <x:c r="Z63" t="str">
        <x:v>ADP proxy — editable; based on positional draft cost</x:v>
      </x:c>
    </x:row>
    <x:row r="64">
      <x:c r="A64" t="str">
        <x:v>RB</x:v>
      </x:c>
      <x:c r="B64" t="n">
        <x:v>28</x:v>
      </x:c>
      <x:c r="C64" t="str">
        <x:v>Tony Pollard</x:v>
      </x:c>
      <x:c r="D64" s="48" t="n">
        <x:v>75.0986337752362</x:v>
      </x:c>
      <x:c r="E64" s="48" t="n">
        <x:f>SUMIFS('Manual Adjustments'!$G$5:$G$227,'Manual Adjustments'!$A$5:$A$227,A64,'Manual Adjustments'!$B$5:$B$227,C64)</x:f>
        <x:v>0</x:v>
      </x:c>
      <x:c r="F64" s="48" t="n">
        <x:f>IFERROR(SUMIFS('Rookie College Inputs'!$I$5:$I$13,'Rookie College Inputs'!$A$5:$A$13,C64),0)</x:f>
        <x:v>0</x:v>
      </x:c>
      <x:c r="G64" s="48" t="n">
        <x:f>MAX(40,MIN(100,D64+E64+F64))</x:f>
        <x:v>75.0986337752362</x:v>
      </x:c>
      <x:c r="H64" t="n">
        <x:f>IF(A64="QB",'League Config'!$H$5,IF(A64="RB",'League Config'!$H$6,IF(A64="WR",'League Config'!$H$7,IF(A64="TE",'League Config'!$H$8,IF(A64="K",'League Config'!$H$9,'League Config'!$H$10)))))</x:f>
        <x:v>32</x:v>
      </x:c>
      <x:c r="I64" s="48" t="n">
        <x:f>IF(A64="QB",'League Config'!$F$14,IF(A64="RB",'League Config'!$F$15,IF(A64="WR",'League Config'!$F$16,IF(A64="TE",'League Config'!$F$17,IF(A64="K",'League Config'!$F$18,'League Config'!$F$19)))))</x:f>
        <x:v>73.56779045370797</x:v>
      </x:c>
      <x:c r="J64" s="48" t="n">
        <x:f>G64-I64</x:f>
        <x:v>1.5308433215282236</x:v>
      </x:c>
      <x:c r="K64" s="48" t="n">
        <x:f>MAX(0,MIN(100,50+J64*6))</x:f>
        <x:v>59.18505992916934</x:v>
      </x:c>
      <x:c r="L64" s="48" t="n">
        <x:f>MIN(100,MAX(0,MIN(100,(1-(B64-1)/(H64*1.5))*100))*IF(A64="QB",'League Config'!$G$14,IF(A64="RB",'League Config'!$G$15,IF(A64="WR",'League Config'!$G$16,IF(A64="TE",'League Config'!$G$17,IF(A64="K",'League Config'!$G$18,'League Config'!$G$19))))))</x:f>
        <x:v>50.31249999999999</x:v>
      </x:c>
      <x:c r="M64" t="n">
        <x:f>IF(A64="K",'League Config'!$B$15,IF(A64="DST",'League Config'!$B$16,IF(A64="QB",'League Config'!$B$17,0)))</x:f>
        <x:v>0</x:v>
      </x:c>
      <x:c r="N64" s="48" t="n">
        <x:f>MIN(100,MAX(0,0.55*G64+0.30*K64+0.15*L64-M64))</x:f>
        <x:v>66.60664155513071</x:v>
      </x:c>
      <x:c r="O64" t="n">
        <x:f>RANK.EQ(N64,$N$5:$N$227,0)</x:f>
        <x:v>85</x:v>
      </x:c>
      <x:c r="P64" s="110" t="n">
        <x:v>115.4</x:v>
      </x:c>
      <x:c r="Q64" s="48" t="n">
        <x:f>P64-O64</x:f>
        <x:v>30.400000000000006</x:v>
      </x:c>
      <x:c r="R64" s="48" t="n">
        <x:f>MAX(40,G64-IF(U64="A",6,IF(U64="B",9,12)))</x:f>
        <x:v>69.0986337752362</x:v>
      </x:c>
      <x:c r="S64" s="48" t="n">
        <x:f>G64</x:f>
        <x:v>75.0986337752362</x:v>
      </x:c>
      <x:c r="T64" s="48" t="n">
        <x:f>MIN(100,G64+IF(U64="A",6,IF(U64="B",9,12)))</x:f>
        <x:v>81.0986337752362</x:v>
      </x:c>
      <x:c r="U64" t="str">
        <x:v>A</x:v>
      </x:c>
      <x:c r="V64" t="str">
        <x:v>RATE-ADJUSTED VETERAN</x:v>
      </x:c>
      <x:c r="W64" s="109" t="str">
        <x:v>Available</x:v>
      </x:c>
      <x:c r="X64" t="n">
        <x:f>IF(W64&lt;&gt;"Available","",1+COUNTIFS($W$5:$W$227,"Available",$N$5:$N$227,"&gt;"&amp;N64))</x:f>
        <x:v>85</x:v>
      </x:c>
      <x:c r="Y64" s="98" t="str">
        <x:v>EXPECTATION: RB2/FLEX; useful weekly but role and receiving volume matter.  WHY: He produced 10.9 PPR/FP points per game across 17 games. The workload/efficiency profile gives the model a rate-based reason to keep him here. Market price is favorable around ADP 115 versus model overall rank 81.  RISK: Touchdown variance, receiving-role changes and backfield competition are the main downside paths.</x:v>
      </x:c>
      <x:c r="Z64" t="str">
        <x:v>ADP proxy — editable; based on positional draft cost</x:v>
      </x:c>
    </x:row>
    <x:row r="65">
      <x:c r="A65" t="str">
        <x:v>RB</x:v>
      </x:c>
      <x:c r="B65" t="n">
        <x:v>29</x:v>
      </x:c>
      <x:c r="C65" t="str">
        <x:v>Rhamondre Stevenson</x:v>
      </x:c>
      <x:c r="D65" s="48" t="n">
        <x:v>74.58812104950168</x:v>
      </x:c>
      <x:c r="E65" s="48" t="n">
        <x:f>SUMIFS('Manual Adjustments'!$G$5:$G$227,'Manual Adjustments'!$A$5:$A$227,A65,'Manual Adjustments'!$B$5:$B$227,C65)</x:f>
        <x:v>0</x:v>
      </x:c>
      <x:c r="F65" s="48" t="n">
        <x:f>IFERROR(SUMIFS('Rookie College Inputs'!$I$5:$I$13,'Rookie College Inputs'!$A$5:$A$13,C65),0)</x:f>
        <x:v>0</x:v>
      </x:c>
      <x:c r="G65" s="48" t="n">
        <x:f>MAX(40,MIN(100,D65+E65+F65))</x:f>
        <x:v>74.58812104950168</x:v>
      </x:c>
      <x:c r="H65" t="n">
        <x:f>IF(A65="QB",'League Config'!$H$5,IF(A65="RB",'League Config'!$H$6,IF(A65="WR",'League Config'!$H$7,IF(A65="TE",'League Config'!$H$8,IF(A65="K",'League Config'!$H$9,'League Config'!$H$10)))))</x:f>
        <x:v>32</x:v>
      </x:c>
      <x:c r="I65" s="48" t="n">
        <x:f>IF(A65="QB",'League Config'!$F$14,IF(A65="RB",'League Config'!$F$15,IF(A65="WR",'League Config'!$F$16,IF(A65="TE",'League Config'!$F$17,IF(A65="K",'League Config'!$F$18,'League Config'!$F$19)))))</x:f>
        <x:v>73.56779045370797</x:v>
      </x:c>
      <x:c r="J65" s="48" t="n">
        <x:f>G65-I65</x:f>
        <x:v>1.020330595793709</x:v>
      </x:c>
      <x:c r="K65" s="48" t="n">
        <x:f>MAX(0,MIN(100,50+J65*6))</x:f>
        <x:v>56.121983574762254</x:v>
      </x:c>
      <x:c r="L65" s="48" t="n">
        <x:f>MIN(100,MAX(0,MIN(100,(1-(B65-1)/(H65*1.5))*100))*IF(A65="QB",'League Config'!$G$14,IF(A65="RB",'League Config'!$G$15,IF(A65="WR",'League Config'!$G$16,IF(A65="TE",'League Config'!$G$17,IF(A65="K",'League Config'!$G$18,'League Config'!$G$19))))))</x:f>
        <x:v>47.91666666666666</x:v>
      </x:c>
      <x:c r="M65" t="n">
        <x:f>IF(A65="K",'League Config'!$B$15,IF(A65="DST",'League Config'!$B$16,IF(A65="QB",'League Config'!$B$17,0)))</x:f>
        <x:v>0</x:v>
      </x:c>
      <x:c r="N65" s="48" t="n">
        <x:f>MIN(100,MAX(0,0.55*G65+0.30*K65+0.15*L65-M65))</x:f>
        <x:v>65.0475616496546</x:v>
      </x:c>
      <x:c r="O65" t="n">
        <x:f>RANK.EQ(N65,$N$5:$N$227,0)</x:f>
        <x:v>88</x:v>
      </x:c>
      <x:c r="P65" s="110" t="n">
        <x:v>119.60000000000001</x:v>
      </x:c>
      <x:c r="Q65" s="48" t="n">
        <x:f>P65-O65</x:f>
        <x:v>31.60000000000001</x:v>
      </x:c>
      <x:c r="R65" s="48" t="n">
        <x:f>MAX(40,G65-IF(U65="A",6,IF(U65="B",9,12)))</x:f>
        <x:v>68.58812104950168</x:v>
      </x:c>
      <x:c r="S65" s="48" t="n">
        <x:f>G65</x:f>
        <x:v>74.58812104950168</x:v>
      </x:c>
      <x:c r="T65" s="48" t="n">
        <x:f>MIN(100,G65+IF(U65="A",6,IF(U65="B",9,12)))</x:f>
        <x:v>80.58812104950168</x:v>
      </x:c>
      <x:c r="U65" t="str">
        <x:v>A</x:v>
      </x:c>
      <x:c r="V65" t="str">
        <x:v>RATE-ADJUSTED VETERAN</x:v>
      </x:c>
      <x:c r="W65" s="109" t="str">
        <x:v>Available</x:v>
      </x:c>
      <x:c r="X65" t="n">
        <x:f>IF(W65&lt;&gt;"Available","",1+COUNTIFS($W$5:$W$227,"Available",$N$5:$N$227,"&gt;"&amp;N65))</x:f>
        <x:v>88</x:v>
      </x:c>
      <x:c r="Y65" s="98" t="str">
        <x:v>EXPECTATION: RB2/FLEX; useful weekly but role and receiving volume matter.  WHY: He produced 12.8 PPR/FP points per game across 14 games. The workload/efficiency profile gives the model a rate-based reason to keep him here. Market price is favorable around ADP 120 versus model overall rank 84.  RISK: Touchdown variance, receiving-role changes and backfield competition are the main downside paths.</x:v>
      </x:c>
      <x:c r="Z65" t="str">
        <x:v>ADP proxy — editable; based on positional draft cost</x:v>
      </x:c>
    </x:row>
    <x:row r="66">
      <x:c r="A66" t="str">
        <x:v>RB</x:v>
      </x:c>
      <x:c r="B66" t="n">
        <x:v>30</x:v>
      </x:c>
      <x:c r="C66" t="str">
        <x:v>Kenneth Gainwell</x:v>
      </x:c>
      <x:c r="D66" s="48" t="n">
        <x:v>74.50491919835545</x:v>
      </x:c>
      <x:c r="E66" s="48" t="n">
        <x:f>SUMIFS('Manual Adjustments'!$G$5:$G$227,'Manual Adjustments'!$A$5:$A$227,A66,'Manual Adjustments'!$B$5:$B$227,C66)</x:f>
        <x:v>0</x:v>
      </x:c>
      <x:c r="F66" s="48" t="n">
        <x:f>IFERROR(SUMIFS('Rookie College Inputs'!$I$5:$I$13,'Rookie College Inputs'!$A$5:$A$13,C66),0)</x:f>
        <x:v>0</x:v>
      </x:c>
      <x:c r="G66" s="48" t="n">
        <x:f>MAX(40,MIN(100,D66+E66+F66))</x:f>
        <x:v>74.50491919835545</x:v>
      </x:c>
      <x:c r="H66" t="n">
        <x:f>IF(A66="QB",'League Config'!$H$5,IF(A66="RB",'League Config'!$H$6,IF(A66="WR",'League Config'!$H$7,IF(A66="TE",'League Config'!$H$8,IF(A66="K",'League Config'!$H$9,'League Config'!$H$10)))))</x:f>
        <x:v>32</x:v>
      </x:c>
      <x:c r="I66" s="48" t="n">
        <x:f>IF(A66="QB",'League Config'!$F$14,IF(A66="RB",'League Config'!$F$15,IF(A66="WR",'League Config'!$F$16,IF(A66="TE",'League Config'!$F$17,IF(A66="K",'League Config'!$F$18,'League Config'!$F$19)))))</x:f>
        <x:v>73.56779045370797</x:v>
      </x:c>
      <x:c r="J66" s="48" t="n">
        <x:f>G66-I66</x:f>
        <x:v>0.937128744647481</x:v>
      </x:c>
      <x:c r="K66" s="48" t="n">
        <x:f>MAX(0,MIN(100,50+J66*6))</x:f>
        <x:v>55.622772467884886</x:v>
      </x:c>
      <x:c r="L66" s="48" t="n">
        <x:f>MIN(100,MAX(0,MIN(100,(1-(B66-1)/(H66*1.5))*100))*IF(A66="QB",'League Config'!$G$14,IF(A66="RB",'League Config'!$G$15,IF(A66="WR",'League Config'!$G$16,IF(A66="TE",'League Config'!$G$17,IF(A66="K",'League Config'!$G$18,'League Config'!$G$19))))))</x:f>
        <x:v>45.520833333333336</x:v>
      </x:c>
      <x:c r="M66" t="n">
        <x:f>IF(A66="K",'League Config'!$B$15,IF(A66="DST",'League Config'!$B$16,IF(A66="QB",'League Config'!$B$17,0)))</x:f>
        <x:v>0</x:v>
      </x:c>
      <x:c r="N66" s="48" t="n">
        <x:f>MIN(100,MAX(0,0.55*G66+0.30*K66+0.15*L66-M66))</x:f>
        <x:v>64.49266229946097</x:v>
      </x:c>
      <x:c r="O66" t="n">
        <x:f>RANK.EQ(N66,$N$5:$N$227,0)</x:f>
        <x:v>91</x:v>
      </x:c>
      <x:c r="P66" s="110" t="n">
        <x:v>123.80000000000001</x:v>
      </x:c>
      <x:c r="Q66" s="48" t="n">
        <x:f>P66-O66</x:f>
        <x:v>32.80000000000001</x:v>
      </x:c>
      <x:c r="R66" s="48" t="n">
        <x:f>MAX(40,G66-IF(U66="A",6,IF(U66="B",9,12)))</x:f>
        <x:v>68.50491919835545</x:v>
      </x:c>
      <x:c r="S66" s="48" t="n">
        <x:f>G66</x:f>
        <x:v>74.50491919835545</x:v>
      </x:c>
      <x:c r="T66" s="48" t="n">
        <x:f>MIN(100,G66+IF(U66="A",6,IF(U66="B",9,12)))</x:f>
        <x:v>80.50491919835545</x:v>
      </x:c>
      <x:c r="U66" t="str">
        <x:v>A</x:v>
      </x:c>
      <x:c r="V66" t="str">
        <x:v>RATE-ADJUSTED VETERAN</x:v>
      </x:c>
      <x:c r="W66" s="109" t="str">
        <x:v>Available</x:v>
      </x:c>
      <x:c r="X66" t="n">
        <x:f>IF(W66&lt;&gt;"Available","",1+COUNTIFS($W$5:$W$227,"Available",$N$5:$N$227,"&gt;"&amp;N66))</x:f>
        <x:v>91</x:v>
      </x:c>
      <x:c r="Y66" s="98" t="str">
        <x:v>EXPECTATION: RB2/FLEX; useful weekly but role and receiving volume matter.  WHY: He produced 13.0 PPR/FP points per game across 17 games. The workload/efficiency profile gives the model a rate-based reason to keep him here. Market price is favorable around ADP 124 versus model overall rank 86.  RISK: Touchdown variance, receiving-role changes and backfield competition are the main downside paths.</x:v>
      </x:c>
      <x:c r="Z66" t="str">
        <x:v>ADP proxy — editable; based on positional draft cost</x:v>
      </x:c>
    </x:row>
    <x:row r="67">
      <x:c r="A67" t="str">
        <x:v>RB</x:v>
      </x:c>
      <x:c r="B67" t="n">
        <x:v>31</x:v>
      </x:c>
      <x:c r="C67" t="str">
        <x:v>Bhayshul Tuten</x:v>
      </x:c>
      <x:c r="D67" s="48" t="n">
        <x:v>74.46766975676302</x:v>
      </x:c>
      <x:c r="E67" s="48" t="n">
        <x:f>SUMIFS('Manual Adjustments'!$G$5:$G$227,'Manual Adjustments'!$A$5:$A$227,A67,'Manual Adjustments'!$B$5:$B$227,C67)</x:f>
        <x:v>0</x:v>
      </x:c>
      <x:c r="F67" s="48" t="n">
        <x:f>IFERROR(SUMIFS('Rookie College Inputs'!$I$5:$I$13,'Rookie College Inputs'!$A$5:$A$13,C67),0)</x:f>
        <x:v>0</x:v>
      </x:c>
      <x:c r="G67" s="48" t="n">
        <x:f>MAX(40,MIN(100,D67+E67+F67))</x:f>
        <x:v>74.46766975676302</x:v>
      </x:c>
      <x:c r="H67" t="n">
        <x:f>IF(A67="QB",'League Config'!$H$5,IF(A67="RB",'League Config'!$H$6,IF(A67="WR",'League Config'!$H$7,IF(A67="TE",'League Config'!$H$8,IF(A67="K",'League Config'!$H$9,'League Config'!$H$10)))))</x:f>
        <x:v>32</x:v>
      </x:c>
      <x:c r="I67" s="48" t="n">
        <x:f>IF(A67="QB",'League Config'!$F$14,IF(A67="RB",'League Config'!$F$15,IF(A67="WR",'League Config'!$F$16,IF(A67="TE",'League Config'!$F$17,IF(A67="K",'League Config'!$F$18,'League Config'!$F$19)))))</x:f>
        <x:v>73.56779045370797</x:v>
      </x:c>
      <x:c r="J67" s="48" t="n">
        <x:f>G67-I67</x:f>
        <x:v>0.8998793030550445</x:v>
      </x:c>
      <x:c r="K67" s="48" t="n">
        <x:f>MAX(0,MIN(100,50+J67*6))</x:f>
        <x:v>55.39927581833027</x:v>
      </x:c>
      <x:c r="L67" s="48" t="n">
        <x:f>MIN(100,MAX(0,MIN(100,(1-(B67-1)/(H67*1.5))*100))*IF(A67="QB",'League Config'!$G$14,IF(A67="RB",'League Config'!$G$15,IF(A67="WR",'League Config'!$G$16,IF(A67="TE",'League Config'!$G$17,IF(A67="K",'League Config'!$G$18,'League Config'!$G$19))))))</x:f>
        <x:v>43.125</x:v>
      </x:c>
      <x:c r="M67" t="n">
        <x:f>IF(A67="K",'League Config'!$B$15,IF(A67="DST",'League Config'!$B$16,IF(A67="QB",'League Config'!$B$17,0)))</x:f>
        <x:v>0</x:v>
      </x:c>
      <x:c r="N67" s="48" t="n">
        <x:f>MIN(100,MAX(0,0.55*G67+0.30*K67+0.15*L67-M67))</x:f>
        <x:v>64.04575111171874</x:v>
      </x:c>
      <x:c r="O67" t="n">
        <x:f>RANK.EQ(N67,$N$5:$N$227,0)</x:f>
        <x:v>94</x:v>
      </x:c>
      <x:c r="P67" s="110" t="n">
        <x:v>128</x:v>
      </x:c>
      <x:c r="Q67" s="48" t="n">
        <x:f>P67-O67</x:f>
        <x:v>34</x:v>
      </x:c>
      <x:c r="R67" s="48" t="n">
        <x:f>MAX(40,G67-IF(U67="A",6,IF(U67="B",9,12)))</x:f>
        <x:v>68.46766975676302</x:v>
      </x:c>
      <x:c r="S67" s="48" t="n">
        <x:f>G67</x:f>
        <x:v>74.46766975676302</x:v>
      </x:c>
      <x:c r="T67" s="48" t="n">
        <x:f>MIN(100,G67+IF(U67="A",6,IF(U67="B",9,12)))</x:f>
        <x:v>80.46766975676302</x:v>
      </x:c>
      <x:c r="U67" t="str">
        <x:v>A</x:v>
      </x:c>
      <x:c r="V67" t="str">
        <x:v>RATE-ADJUSTED VETERAN</x:v>
      </x:c>
      <x:c r="W67" s="109" t="str">
        <x:v>Available</x:v>
      </x:c>
      <x:c r="X67" t="n">
        <x:f>IF(W67&lt;&gt;"Available","",1+COUNTIFS($W$5:$W$227,"Available",$N$5:$N$227,"&gt;"&amp;N67))</x:f>
        <x:v>94</x:v>
      </x:c>
      <x:c r="Y67" s="98" t="str">
        <x:v>EXPECTATION: FLEX/bench depth with upside if workload grows.  WHY: He produced 5.9 PPR/FP points per game across 15 games. The workload/efficiency profile gives the model a rate-based reason to keep him here. Market price is favorable around ADP 128 versus model overall rank 89.  RISK: Touchdown variance, receiving-role changes and backfield competition are the main downside paths.</x:v>
      </x:c>
      <x:c r="Z67" t="str">
        <x:v>ADP proxy — editable; based on positional draft cost</x:v>
      </x:c>
    </x:row>
    <x:row r="68">
      <x:c r="A68" t="str">
        <x:v>RB</x:v>
      </x:c>
      <x:c r="B68" t="n">
        <x:v>32</x:v>
      </x:c>
      <x:c r="C68" t="str">
        <x:v>RJ Harvey</x:v>
      </x:c>
      <x:c r="D68" s="48" t="n">
        <x:v>73.56779045370797</x:v>
      </x:c>
      <x:c r="E68" s="48" t="n">
        <x:f>SUMIFS('Manual Adjustments'!$G$5:$G$227,'Manual Adjustments'!$A$5:$A$227,A68,'Manual Adjustments'!$B$5:$B$227,C68)</x:f>
        <x:v>0</x:v>
      </x:c>
      <x:c r="F68" s="48" t="n">
        <x:f>IFERROR(SUMIFS('Rookie College Inputs'!$I$5:$I$13,'Rookie College Inputs'!$A$5:$A$13,C68),0)</x:f>
        <x:v>0</x:v>
      </x:c>
      <x:c r="G68" s="48" t="n">
        <x:f>MAX(40,MIN(100,D68+E68+F68))</x:f>
        <x:v>73.56779045370797</x:v>
      </x:c>
      <x:c r="H68" t="n">
        <x:f>IF(A68="QB",'League Config'!$H$5,IF(A68="RB",'League Config'!$H$6,IF(A68="WR",'League Config'!$H$7,IF(A68="TE",'League Config'!$H$8,IF(A68="K",'League Config'!$H$9,'League Config'!$H$10)))))</x:f>
        <x:v>32</x:v>
      </x:c>
      <x:c r="I68" s="48" t="n">
        <x:f>IF(A68="QB",'League Config'!$F$14,IF(A68="RB",'League Config'!$F$15,IF(A68="WR",'League Config'!$F$16,IF(A68="TE",'League Config'!$F$17,IF(A68="K",'League Config'!$F$18,'League Config'!$F$19)))))</x:f>
        <x:v>73.56779045370797</x:v>
      </x:c>
      <x:c r="J68" s="48" t="n">
        <x:f>G68-I68</x:f>
        <x:v>0</x:v>
      </x:c>
      <x:c r="K68" s="48" t="n">
        <x:f>MAX(0,MIN(100,50+J68*6))</x:f>
        <x:v>50</x:v>
      </x:c>
      <x:c r="L68" s="48" t="n">
        <x:f>MIN(100,MAX(0,MIN(100,(1-(B68-1)/(H68*1.5))*100))*IF(A68="QB",'League Config'!$G$14,IF(A68="RB",'League Config'!$G$15,IF(A68="WR",'League Config'!$G$16,IF(A68="TE",'League Config'!$G$17,IF(A68="K",'League Config'!$G$18,'League Config'!$G$19))))))</x:f>
        <x:v>40.729166666666664</x:v>
      </x:c>
      <x:c r="M68" t="n">
        <x:f>IF(A68="K",'League Config'!$B$15,IF(A68="DST",'League Config'!$B$16,IF(A68="QB",'League Config'!$B$17,0)))</x:f>
        <x:v>0</x:v>
      </x:c>
      <x:c r="N68" s="48" t="n">
        <x:f>MIN(100,MAX(0,0.55*G68+0.30*K68+0.15*L68-M68))</x:f>
        <x:v>61.571659749539386</x:v>
      </x:c>
      <x:c r="O68" t="n">
        <x:f>RANK.EQ(N68,$N$5:$N$227,0)</x:f>
        <x:v>101</x:v>
      </x:c>
      <x:c r="P68" s="110" t="n">
        <x:v>132.20000000000002</x:v>
      </x:c>
      <x:c r="Q68" s="48" t="n">
        <x:f>P68-O68</x:f>
        <x:v>31.200000000000017</x:v>
      </x:c>
      <x:c r="R68" s="48" t="n">
        <x:f>MAX(40,G68-IF(U68="A",6,IF(U68="B",9,12)))</x:f>
        <x:v>67.56779045370797</x:v>
      </x:c>
      <x:c r="S68" s="48" t="n">
        <x:f>G68</x:f>
        <x:v>73.56779045370797</x:v>
      </x:c>
      <x:c r="T68" s="48" t="n">
        <x:f>MIN(100,G68+IF(U68="A",6,IF(U68="B",9,12)))</x:f>
        <x:v>79.56779045370797</x:v>
      </x:c>
      <x:c r="U68" t="str">
        <x:v>A</x:v>
      </x:c>
      <x:c r="V68" t="str">
        <x:v>RATE-ADJUSTED VETERAN</x:v>
      </x:c>
      <x:c r="W68" s="109" t="str">
        <x:v>Available</x:v>
      </x:c>
      <x:c r="X68" t="n">
        <x:f>IF(W68&lt;&gt;"Available","",1+COUNTIFS($W$5:$W$227,"Available",$N$5:$N$227,"&gt;"&amp;N68))</x:f>
        <x:v>101</x:v>
      </x:c>
      <x:c r="Y68" s="98" t="str">
        <x:v>EXPECTATION: FLEX/bench depth with upside if workload grows.  WHY: He produced 12.2 PPR/FP points per game across 17 games. The workload/efficiency profile gives the model a rate-based reason to keep him here. Market price is favorable around ADP 132 versus model overall rank 96.  RISK: Touchdown variance, receiving-role changes and backfield competition are the main downside paths.</x:v>
      </x:c>
      <x:c r="Z68" t="str">
        <x:v>ADP proxy — editable; based on positional draft cost</x:v>
      </x:c>
    </x:row>
    <x:row r="69">
      <x:c r="A69" t="str">
        <x:v>RB</x:v>
      </x:c>
      <x:c r="B69" t="n">
        <x:v>33</x:v>
      </x:c>
      <x:c r="C69" t="str">
        <x:v>Kyle Monangai</x:v>
      </x:c>
      <x:c r="D69" s="48" t="n">
        <x:v>72.61019893136515</x:v>
      </x:c>
      <x:c r="E69" s="48" t="n">
        <x:f>SUMIFS('Manual Adjustments'!$G$5:$G$227,'Manual Adjustments'!$A$5:$A$227,A69,'Manual Adjustments'!$B$5:$B$227,C69)</x:f>
        <x:v>0</x:v>
      </x:c>
      <x:c r="F69" s="48" t="n">
        <x:f>IFERROR(SUMIFS('Rookie College Inputs'!$I$5:$I$13,'Rookie College Inputs'!$A$5:$A$13,C69),0)</x:f>
        <x:v>0</x:v>
      </x:c>
      <x:c r="G69" s="48" t="n">
        <x:f>MAX(40,MIN(100,D69+E69+F69))</x:f>
        <x:v>72.61019893136515</x:v>
      </x:c>
      <x:c r="H69" t="n">
        <x:f>IF(A69="QB",'League Config'!$H$5,IF(A69="RB",'League Config'!$H$6,IF(A69="WR",'League Config'!$H$7,IF(A69="TE",'League Config'!$H$8,IF(A69="K",'League Config'!$H$9,'League Config'!$H$10)))))</x:f>
        <x:v>32</x:v>
      </x:c>
      <x:c r="I69" s="48" t="n">
        <x:f>IF(A69="QB",'League Config'!$F$14,IF(A69="RB",'League Config'!$F$15,IF(A69="WR",'League Config'!$F$16,IF(A69="TE",'League Config'!$F$17,IF(A69="K",'League Config'!$F$18,'League Config'!$F$19)))))</x:f>
        <x:v>73.56779045370797</x:v>
      </x:c>
      <x:c r="J69" s="48" t="n">
        <x:f>G69-I69</x:f>
        <x:v>-0.957591522342824</x:v>
      </x:c>
      <x:c r="K69" s="48" t="n">
        <x:f>MAX(0,MIN(100,50+J69*6))</x:f>
        <x:v>44.254450865943056</x:v>
      </x:c>
      <x:c r="L69" s="48" t="n">
        <x:f>MIN(100,MAX(0,MIN(100,(1-(B69-1)/(H69*1.5))*100))*IF(A69="QB",'League Config'!$G$14,IF(A69="RB",'League Config'!$G$15,IF(A69="WR",'League Config'!$G$16,IF(A69="TE",'League Config'!$G$17,IF(A69="K",'League Config'!$G$18,'League Config'!$G$19))))))</x:f>
        <x:v>38.333333333333336</x:v>
      </x:c>
      <x:c r="M69" t="n">
        <x:f>IF(A69="K",'League Config'!$B$15,IF(A69="DST",'League Config'!$B$16,IF(A69="QB",'League Config'!$B$17,0)))</x:f>
        <x:v>0</x:v>
      </x:c>
      <x:c r="N69" s="48" t="n">
        <x:f>MIN(100,MAX(0,0.55*G69+0.30*K69+0.15*L69-M69))</x:f>
        <x:v>58.96194467203375</x:v>
      </x:c>
      <x:c r="O69" t="n">
        <x:f>RANK.EQ(N69,$N$5:$N$227,0)</x:f>
        <x:v>108</x:v>
      </x:c>
      <x:c r="P69" s="110" t="n">
        <x:v>136.4</x:v>
      </x:c>
      <x:c r="Q69" s="48" t="n">
        <x:f>P69-O69</x:f>
        <x:v>28.400000000000006</x:v>
      </x:c>
      <x:c r="R69" s="48" t="n">
        <x:f>MAX(40,G69-IF(U69="A",6,IF(U69="B",9,12)))</x:f>
        <x:v>66.61019893136515</x:v>
      </x:c>
      <x:c r="S69" s="48" t="n">
        <x:f>G69</x:f>
        <x:v>72.61019893136515</x:v>
      </x:c>
      <x:c r="T69" s="48" t="n">
        <x:f>MIN(100,G69+IF(U69="A",6,IF(U69="B",9,12)))</x:f>
        <x:v>78.61019893136515</x:v>
      </x:c>
      <x:c r="U69" t="str">
        <x:v>A</x:v>
      </x:c>
      <x:c r="V69" t="str">
        <x:v>RATE-ADJUSTED VETERAN</x:v>
      </x:c>
      <x:c r="W69" s="109" t="str">
        <x:v>Available</x:v>
      </x:c>
      <x:c r="X69" t="n">
        <x:f>IF(W69&lt;&gt;"Available","",1+COUNTIFS($W$5:$W$227,"Available",$N$5:$N$227,"&gt;"&amp;N69))</x:f>
        <x:v>108</x:v>
      </x:c>
      <x:c r="Y69" s="98" t="str">
        <x:v>EXPECTATION: FLEX/bench depth with upside if workload grows.  WHY: He produced 8.7 PPR/FP points per game across 17 games. The workload/efficiency profile gives the model a rate-based reason to keep him here. Market price is favorable around ADP 136 versus model overall rank 102.  RISK: Touchdown variance, receiving-role changes and backfield competition are the main downside paths.</x:v>
      </x:c>
      <x:c r="Z69" t="str">
        <x:v>ADP proxy — editable; based on positional draft cost</x:v>
      </x:c>
    </x:row>
    <x:row r="70">
      <x:c r="A70" t="str">
        <x:v>RB</x:v>
      </x:c>
      <x:c r="B70" t="n">
        <x:v>34</x:v>
      </x:c>
      <x:c r="C70" t="str">
        <x:v>Chuba Hubbard</x:v>
      </x:c>
      <x:c r="D70" s="48" t="n">
        <x:v>71.86665989322354</x:v>
      </x:c>
      <x:c r="E70" s="48" t="n">
        <x:f>SUMIFS('Manual Adjustments'!$G$5:$G$227,'Manual Adjustments'!$A$5:$A$227,A70,'Manual Adjustments'!$B$5:$B$227,C70)</x:f>
        <x:v>0</x:v>
      </x:c>
      <x:c r="F70" s="48" t="n">
        <x:f>IFERROR(SUMIFS('Rookie College Inputs'!$I$5:$I$13,'Rookie College Inputs'!$A$5:$A$13,C70),0)</x:f>
        <x:v>0</x:v>
      </x:c>
      <x:c r="G70" s="48" t="n">
        <x:f>MAX(40,MIN(100,D70+E70+F70))</x:f>
        <x:v>71.86665989322354</x:v>
      </x:c>
      <x:c r="H70" t="n">
        <x:f>IF(A70="QB",'League Config'!$H$5,IF(A70="RB",'League Config'!$H$6,IF(A70="WR",'League Config'!$H$7,IF(A70="TE",'League Config'!$H$8,IF(A70="K",'League Config'!$H$9,'League Config'!$H$10)))))</x:f>
        <x:v>32</x:v>
      </x:c>
      <x:c r="I70" s="48" t="n">
        <x:f>IF(A70="QB",'League Config'!$F$14,IF(A70="RB",'League Config'!$F$15,IF(A70="WR",'League Config'!$F$16,IF(A70="TE",'League Config'!$F$17,IF(A70="K",'League Config'!$F$18,'League Config'!$F$19)))))</x:f>
        <x:v>73.56779045370797</x:v>
      </x:c>
      <x:c r="J70" s="48" t="n">
        <x:f>G70-I70</x:f>
        <x:v>-1.7011305604844296</x:v>
      </x:c>
      <x:c r="K70" s="48" t="n">
        <x:f>MAX(0,MIN(100,50+J70*6))</x:f>
        <x:v>39.79321663709342</x:v>
      </x:c>
      <x:c r="L70" s="48" t="n">
        <x:f>MIN(100,MAX(0,MIN(100,(1-(B70-1)/(H70*1.5))*100))*IF(A70="QB",'League Config'!$G$14,IF(A70="RB",'League Config'!$G$15,IF(A70="WR",'League Config'!$G$16,IF(A70="TE",'League Config'!$G$17,IF(A70="K",'League Config'!$G$18,'League Config'!$G$19))))))</x:f>
        <x:v>35.9375</x:v>
      </x:c>
      <x:c r="M70" t="n">
        <x:f>IF(A70="K",'League Config'!$B$15,IF(A70="DST",'League Config'!$B$16,IF(A70="QB",'League Config'!$B$17,0)))</x:f>
        <x:v>0</x:v>
      </x:c>
      <x:c r="N70" s="48" t="n">
        <x:f>MIN(100,MAX(0,0.55*G70+0.30*K70+0.15*L70-M70))</x:f>
        <x:v>56.85525293240098</x:v>
      </x:c>
      <x:c r="O70" t="n">
        <x:f>RANK.EQ(N70,$N$5:$N$227,0)</x:f>
        <x:v>114</x:v>
      </x:c>
      <x:c r="P70" s="110" t="n">
        <x:v>140.6</x:v>
      </x:c>
      <x:c r="Q70" s="48" t="n">
        <x:f>P70-O70</x:f>
        <x:v>26.599999999999994</x:v>
      </x:c>
      <x:c r="R70" s="48" t="n">
        <x:f>MAX(40,G70-IF(U70="A",6,IF(U70="B",9,12)))</x:f>
        <x:v>65.86665989322354</x:v>
      </x:c>
      <x:c r="S70" s="48" t="n">
        <x:f>G70</x:f>
        <x:v>71.86665989322354</x:v>
      </x:c>
      <x:c r="T70" s="48" t="n">
        <x:f>MIN(100,G70+IF(U70="A",6,IF(U70="B",9,12)))</x:f>
        <x:v>77.86665989322354</x:v>
      </x:c>
      <x:c r="U70" t="str">
        <x:v>A</x:v>
      </x:c>
      <x:c r="V70" t="str">
        <x:v>RATE-ADJUSTED VETERAN</x:v>
      </x:c>
      <x:c r="W70" s="109" t="str">
        <x:v>Available</x:v>
      </x:c>
      <x:c r="X70" t="n">
        <x:f>IF(W70&lt;&gt;"Available","",1+COUNTIFS($W$5:$W$227,"Available",$N$5:$N$227,"&gt;"&amp;N70))</x:f>
        <x:v>114</x:v>
      </x:c>
      <x:c r="Y70" s="98" t="str">
        <x:v>EXPECTATION: FLEX/bench depth with upside if workload grows.  WHY: He produced 8.4 PPR/FP points per game across 15 games. The workload/efficiency profile gives the model a rate-based reason to keep him here. Market price is favorable around ADP 141 versus model overall rank 107.  RISK: Touchdown variance, receiving-role changes and backfield competition are the main downside paths.</x:v>
      </x:c>
      <x:c r="Z70" t="str">
        <x:v>ADP proxy — editable; based on positional draft cost</x:v>
      </x:c>
    </x:row>
    <x:row r="71">
      <x:c r="A71" t="str">
        <x:v>RB</x:v>
      </x:c>
      <x:c r="B71" t="n">
        <x:v>35</x:v>
      </x:c>
      <x:c r="C71" t="str">
        <x:v>Aaron Jones Sr.</x:v>
      </x:c>
      <x:c r="D71" s="48" t="n">
        <x:v>71.6976534059668</x:v>
      </x:c>
      <x:c r="E71" s="48" t="n">
        <x:f>SUMIFS('Manual Adjustments'!$G$5:$G$227,'Manual Adjustments'!$A$5:$A$227,A71,'Manual Adjustments'!$B$5:$B$227,C71)</x:f>
        <x:v>0</x:v>
      </x:c>
      <x:c r="F71" s="48" t="n">
        <x:f>IFERROR(SUMIFS('Rookie College Inputs'!$I$5:$I$13,'Rookie College Inputs'!$A$5:$A$13,C71),0)</x:f>
        <x:v>0</x:v>
      </x:c>
      <x:c r="G71" s="48" t="n">
        <x:f>MAX(40,MIN(100,D71+E71+F71))</x:f>
        <x:v>71.6976534059668</x:v>
      </x:c>
      <x:c r="H71" t="n">
        <x:f>IF(A71="QB",'League Config'!$H$5,IF(A71="RB",'League Config'!$H$6,IF(A71="WR",'League Config'!$H$7,IF(A71="TE",'League Config'!$H$8,IF(A71="K",'League Config'!$H$9,'League Config'!$H$10)))))</x:f>
        <x:v>32</x:v>
      </x:c>
      <x:c r="I71" s="48" t="n">
        <x:f>IF(A71="QB",'League Config'!$F$14,IF(A71="RB",'League Config'!$F$15,IF(A71="WR",'League Config'!$F$16,IF(A71="TE",'League Config'!$F$17,IF(A71="K",'League Config'!$F$18,'League Config'!$F$19)))))</x:f>
        <x:v>73.56779045370797</x:v>
      </x:c>
      <x:c r="J71" s="48" t="n">
        <x:f>G71-I71</x:f>
        <x:v>-1.8701370477411672</x:v>
      </x:c>
      <x:c r="K71" s="48" t="n">
        <x:f>MAX(0,MIN(100,50+J71*6))</x:f>
        <x:v>38.779177713553</x:v>
      </x:c>
      <x:c r="L71" s="48" t="n">
        <x:f>MIN(100,MAX(0,MIN(100,(1-(B71-1)/(H71*1.5))*100))*IF(A71="QB",'League Config'!$G$14,IF(A71="RB",'League Config'!$G$15,IF(A71="WR",'League Config'!$G$16,IF(A71="TE",'League Config'!$G$17,IF(A71="K",'League Config'!$G$18,'League Config'!$G$19))))))</x:f>
        <x:v>33.541666666666664</x:v>
      </x:c>
      <x:c r="M71" t="n">
        <x:f>IF(A71="K",'League Config'!$B$15,IF(A71="DST",'League Config'!$B$16,IF(A71="QB",'League Config'!$B$17,0)))</x:f>
        <x:v>0</x:v>
      </x:c>
      <x:c r="N71" s="48" t="n">
        <x:f>MIN(100,MAX(0,0.55*G71+0.30*K71+0.15*L71-M71))</x:f>
        <x:v>56.09871268734764</x:v>
      </x:c>
      <x:c r="O71" t="n">
        <x:f>RANK.EQ(N71,$N$5:$N$227,0)</x:f>
        <x:v>115</x:v>
      </x:c>
      <x:c r="P71" s="110" t="n">
        <x:v>144.8</x:v>
      </x:c>
      <x:c r="Q71" s="48" t="n">
        <x:f>P71-O71</x:f>
        <x:v>29.80000000000001</x:v>
      </x:c>
      <x:c r="R71" s="48" t="n">
        <x:f>MAX(40,G71-IF(U71="A",6,IF(U71="B",9,12)))</x:f>
        <x:v>65.6976534059668</x:v>
      </x:c>
      <x:c r="S71" s="48" t="n">
        <x:f>G71</x:f>
        <x:v>71.6976534059668</x:v>
      </x:c>
      <x:c r="T71" s="48" t="n">
        <x:f>MIN(100,G71+IF(U71="A",6,IF(U71="B",9,12)))</x:f>
        <x:v>77.6976534059668</x:v>
      </x:c>
      <x:c r="U71" t="str">
        <x:v>A</x:v>
      </x:c>
      <x:c r="V71" t="str">
        <x:v>RATE-ADJUSTED VETERAN</x:v>
      </x:c>
      <x:c r="W71" s="109" t="str">
        <x:v>Available</x:v>
      </x:c>
      <x:c r="X71" t="n">
        <x:f>IF(W71&lt;&gt;"Available","",1+COUNTIFS($W$5:$W$227,"Available",$N$5:$N$227,"&gt;"&amp;N71))</x:f>
        <x:v>115</x:v>
      </x:c>
      <x:c r="Y71" s="98" t="str">
        <x:v>EXPECTATION: FLEX/bench depth with upside if workload grows.  WHY: He produced 9.9 PPR/FP points per game across 12 games. The workload/efficiency profile gives the model a rate-based reason to keep him here. Market price is favorable around ADP 145 versus model overall rank 111.  RISK: Touchdown variance, receiving-role changes and backfield competition are the main downside paths.</x:v>
      </x:c>
      <x:c r="Z71" t="str">
        <x:v>ADP proxy — editable; based on positional draft cost</x:v>
      </x:c>
    </x:row>
    <x:row r="72">
      <x:c r="A72" t="str">
        <x:v>RB</x:v>
      </x:c>
      <x:c r="B72" t="n">
        <x:v>36</x:v>
      </x:c>
      <x:c r="C72" t="str">
        <x:v>J.K. Dobbins</x:v>
      </x:c>
      <x:c r="D72" s="48" t="n">
        <x:v>71.16661350850421</x:v>
      </x:c>
      <x:c r="E72" s="48" t="n">
        <x:f>SUMIFS('Manual Adjustments'!$G$5:$G$227,'Manual Adjustments'!$A$5:$A$227,A72,'Manual Adjustments'!$B$5:$B$227,C72)</x:f>
        <x:v>0</x:v>
      </x:c>
      <x:c r="F72" s="48" t="n">
        <x:f>IFERROR(SUMIFS('Rookie College Inputs'!$I$5:$I$13,'Rookie College Inputs'!$A$5:$A$13,C72),0)</x:f>
        <x:v>0</x:v>
      </x:c>
      <x:c r="G72" s="48" t="n">
        <x:f>MAX(40,MIN(100,D72+E72+F72))</x:f>
        <x:v>71.16661350850421</x:v>
      </x:c>
      <x:c r="H72" t="n">
        <x:f>IF(A72="QB",'League Config'!$H$5,IF(A72="RB",'League Config'!$H$6,IF(A72="WR",'League Config'!$H$7,IF(A72="TE",'League Config'!$H$8,IF(A72="K",'League Config'!$H$9,'League Config'!$H$10)))))</x:f>
        <x:v>32</x:v>
      </x:c>
      <x:c r="I72" s="48" t="n">
        <x:f>IF(A72="QB",'League Config'!$F$14,IF(A72="RB",'League Config'!$F$15,IF(A72="WR",'League Config'!$F$16,IF(A72="TE",'League Config'!$F$17,IF(A72="K",'League Config'!$F$18,'League Config'!$F$19)))))</x:f>
        <x:v>73.56779045370797</x:v>
      </x:c>
      <x:c r="J72" s="48" t="n">
        <x:f>G72-I72</x:f>
        <x:v>-2.4011769452037584</x:v>
      </x:c>
      <x:c r="K72" s="48" t="n">
        <x:f>MAX(0,MIN(100,50+J72*6))</x:f>
        <x:v>35.59293832877745</x:v>
      </x:c>
      <x:c r="L72" s="48" t="n">
        <x:f>MIN(100,MAX(0,MIN(100,(1-(B72-1)/(H72*1.5))*100))*IF(A72="QB",'League Config'!$G$14,IF(A72="RB",'League Config'!$G$15,IF(A72="WR",'League Config'!$G$16,IF(A72="TE",'League Config'!$G$17,IF(A72="K",'League Config'!$G$18,'League Config'!$G$19))))))</x:f>
        <x:v>31.145833333333332</x:v>
      </x:c>
      <x:c r="M72" t="n">
        <x:f>IF(A72="K",'League Config'!$B$15,IF(A72="DST",'League Config'!$B$16,IF(A72="QB",'League Config'!$B$17,0)))</x:f>
        <x:v>0</x:v>
      </x:c>
      <x:c r="N72" s="48" t="n">
        <x:f>MIN(100,MAX(0,0.55*G72+0.30*K72+0.15*L72-M72))</x:f>
        <x:v>54.49139392831055</x:v>
      </x:c>
      <x:c r="O72" t="n">
        <x:f>RANK.EQ(N72,$N$5:$N$227,0)</x:f>
        <x:v>118</x:v>
      </x:c>
      <x:c r="P72" s="110" t="n">
        <x:v>149</x:v>
      </x:c>
      <x:c r="Q72" s="48" t="n">
        <x:f>P72-O72</x:f>
        <x:v>31</x:v>
      </x:c>
      <x:c r="R72" s="48" t="n">
        <x:f>MAX(40,G72-IF(U72="A",6,IF(U72="B",9,12)))</x:f>
        <x:v>62.16661350850421</x:v>
      </x:c>
      <x:c r="S72" s="48" t="n">
        <x:f>G72</x:f>
        <x:v>71.16661350850421</x:v>
      </x:c>
      <x:c r="T72" s="48" t="n">
        <x:f>MIN(100,G72+IF(U72="A",6,IF(U72="B",9,12)))</x:f>
        <x:v>80.16661350850421</x:v>
      </x:c>
      <x:c r="U72" t="str">
        <x:v>B</x:v>
      </x:c>
      <x:c r="V72" t="str">
        <x:v>RATE-ADJUSTED VETERAN</x:v>
      </x:c>
      <x:c r="W72" s="109" t="str">
        <x:v>Available</x:v>
      </x:c>
      <x:c r="X72" t="n">
        <x:f>IF(W72&lt;&gt;"Available","",1+COUNTIFS($W$5:$W$227,"Available",$N$5:$N$227,"&gt;"&amp;N72))</x:f>
        <x:v>118</x:v>
      </x:c>
      <x:c r="Y72" s="98" t="str">
        <x:v>EXPECTATION: FLEX/bench depth with upside if workload grows.  WHY: He produced 11.6 PPR/FP points per game across 10 games. The workload/efficiency profile gives the model a rate-based reason to keep him here. Market price is favorable around ADP 149 versus model overall rank 113.  RISK: Touchdown variance, receiving-role changes and backfield competition are the main downside paths.</x:v>
      </x:c>
      <x:c r="Z72" t="str">
        <x:v>ADP proxy — editable; based on positional draft cost</x:v>
      </x:c>
    </x:row>
    <x:row r="73">
      <x:c r="A73" t="str">
        <x:v>RB</x:v>
      </x:c>
      <x:c r="B73" t="n">
        <x:v>37</x:v>
      </x:c>
      <x:c r="C73" t="str">
        <x:v>Blake Corum</x:v>
      </x:c>
      <x:c r="D73" s="48" t="n">
        <x:v>69.51960871574394</x:v>
      </x:c>
      <x:c r="E73" s="48" t="n">
        <x:f>SUMIFS('Manual Adjustments'!$G$5:$G$227,'Manual Adjustments'!$A$5:$A$227,A73,'Manual Adjustments'!$B$5:$B$227,C73)</x:f>
        <x:v>0</x:v>
      </x:c>
      <x:c r="F73" s="48" t="n">
        <x:f>IFERROR(SUMIFS('Rookie College Inputs'!$I$5:$I$13,'Rookie College Inputs'!$A$5:$A$13,C73),0)</x:f>
        <x:v>0</x:v>
      </x:c>
      <x:c r="G73" s="48" t="n">
        <x:f>MAX(40,MIN(100,D73+E73+F73))</x:f>
        <x:v>69.51960871574394</x:v>
      </x:c>
      <x:c r="H73" t="n">
        <x:f>IF(A73="QB",'League Config'!$H$5,IF(A73="RB",'League Config'!$H$6,IF(A73="WR",'League Config'!$H$7,IF(A73="TE",'League Config'!$H$8,IF(A73="K",'League Config'!$H$9,'League Config'!$H$10)))))</x:f>
        <x:v>32</x:v>
      </x:c>
      <x:c r="I73" s="48" t="n">
        <x:f>IF(A73="QB",'League Config'!$F$14,IF(A73="RB",'League Config'!$F$15,IF(A73="WR",'League Config'!$F$16,IF(A73="TE",'League Config'!$F$17,IF(A73="K",'League Config'!$F$18,'League Config'!$F$19)))))</x:f>
        <x:v>73.56779045370797</x:v>
      </x:c>
      <x:c r="J73" s="48" t="n">
        <x:f>G73-I73</x:f>
        <x:v>-4.048181737964029</x:v>
      </x:c>
      <x:c r="K73" s="48" t="n">
        <x:f>MAX(0,MIN(100,50+J73*6))</x:f>
        <x:v>25.710909572215826</x:v>
      </x:c>
      <x:c r="L73" s="48" t="n">
        <x:f>MIN(100,MAX(0,MIN(100,(1-(B73-1)/(H73*1.5))*100))*IF(A73="QB",'League Config'!$G$14,IF(A73="RB",'League Config'!$G$15,IF(A73="WR",'League Config'!$G$16,IF(A73="TE",'League Config'!$G$17,IF(A73="K",'League Config'!$G$18,'League Config'!$G$19))))))</x:f>
        <x:v>28.749999999999996</x:v>
      </x:c>
      <x:c r="M73" t="n">
        <x:f>IF(A73="K",'League Config'!$B$15,IF(A73="DST",'League Config'!$B$16,IF(A73="QB",'League Config'!$B$17,0)))</x:f>
        <x:v>0</x:v>
      </x:c>
      <x:c r="N73" s="48" t="n">
        <x:f>MIN(100,MAX(0,0.55*G73+0.30*K73+0.15*L73-M73))</x:f>
        <x:v>50.26155766532392</x:v>
      </x:c>
      <x:c r="O73" t="n">
        <x:f>RANK.EQ(N73,$N$5:$N$227,0)</x:f>
        <x:v>127</x:v>
      </x:c>
      <x:c r="P73" s="110" t="n">
        <x:v>153.20000000000002</x:v>
      </x:c>
      <x:c r="Q73" s="48" t="n">
        <x:f>P73-O73</x:f>
        <x:v>26.200000000000017</x:v>
      </x:c>
      <x:c r="R73" s="48" t="n">
        <x:f>MAX(40,G73-IF(U73="A",6,IF(U73="B",9,12)))</x:f>
        <x:v>63.51960871574394</x:v>
      </x:c>
      <x:c r="S73" s="48" t="n">
        <x:f>G73</x:f>
        <x:v>69.51960871574394</x:v>
      </x:c>
      <x:c r="T73" s="48" t="n">
        <x:f>MIN(100,G73+IF(U73="A",6,IF(U73="B",9,12)))</x:f>
        <x:v>75.51960871574394</x:v>
      </x:c>
      <x:c r="U73" t="str">
        <x:v>A</x:v>
      </x:c>
      <x:c r="V73" t="str">
        <x:v>RATE-ADJUSTED VETERAN</x:v>
      </x:c>
      <x:c r="W73" s="109" t="str">
        <x:v>Available</x:v>
      </x:c>
      <x:c r="X73" t="n">
        <x:f>IF(W73&lt;&gt;"Available","",1+COUNTIFS($W$5:$W$227,"Available",$N$5:$N$227,"&gt;"&amp;N73))</x:f>
        <x:v>127</x:v>
      </x:c>
      <x:c r="Y73" s="98" t="str">
        <x:v>EXPECTATION: FLEX/bench depth with upside if workload grows.  WHY: He produced 7.2 PPR/FP points per game across 17 games. The workload/efficiency profile gives the model a rate-based reason to keep him here. Market price is favorable around ADP 153 versus model overall rank 123.  RISK: Touchdown variance, receiving-role changes and backfield competition are the main downside paths.</x:v>
      </x:c>
      <x:c r="Z73" t="str">
        <x:v>ADP proxy — editable; based on positional draft cost</x:v>
      </x:c>
    </x:row>
    <x:row r="74">
      <x:c r="A74" t="str">
        <x:v>RB</x:v>
      </x:c>
      <x:c r="B74" t="n">
        <x:v>38</x:v>
      </x:c>
      <x:c r="C74" t="str">
        <x:v>Rachaad White</x:v>
      </x:c>
      <x:c r="D74" s="48" t="n">
        <x:v>69.2036568927438</x:v>
      </x:c>
      <x:c r="E74" s="48" t="n">
        <x:f>SUMIFS('Manual Adjustments'!$G$5:$G$227,'Manual Adjustments'!$A$5:$A$227,A74,'Manual Adjustments'!$B$5:$B$227,C74)</x:f>
        <x:v>0</x:v>
      </x:c>
      <x:c r="F74" s="48" t="n">
        <x:f>IFERROR(SUMIFS('Rookie College Inputs'!$I$5:$I$13,'Rookie College Inputs'!$A$5:$A$13,C74),0)</x:f>
        <x:v>0</x:v>
      </x:c>
      <x:c r="G74" s="48" t="n">
        <x:f>MAX(40,MIN(100,D74+E74+F74))</x:f>
        <x:v>69.2036568927438</x:v>
      </x:c>
      <x:c r="H74" t="n">
        <x:f>IF(A74="QB",'League Config'!$H$5,IF(A74="RB",'League Config'!$H$6,IF(A74="WR",'League Config'!$H$7,IF(A74="TE",'League Config'!$H$8,IF(A74="K",'League Config'!$H$9,'League Config'!$H$10)))))</x:f>
        <x:v>32</x:v>
      </x:c>
      <x:c r="I74" s="48" t="n">
        <x:f>IF(A74="QB",'League Config'!$F$14,IF(A74="RB",'League Config'!$F$15,IF(A74="WR",'League Config'!$F$16,IF(A74="TE",'League Config'!$F$17,IF(A74="K",'League Config'!$F$18,'League Config'!$F$19)))))</x:f>
        <x:v>73.56779045370797</x:v>
      </x:c>
      <x:c r="J74" s="48" t="n">
        <x:f>G74-I74</x:f>
        <x:v>-4.364133560964177</x:v>
      </x:c>
      <x:c r="K74" s="48" t="n">
        <x:f>MAX(0,MIN(100,50+J74*6))</x:f>
        <x:v>23.815198634214937</x:v>
      </x:c>
      <x:c r="L74" s="48" t="n">
        <x:f>MIN(100,MAX(0,MIN(100,(1-(B74-1)/(H74*1.5))*100))*IF(A74="QB",'League Config'!$G$14,IF(A74="RB",'League Config'!$G$15,IF(A74="WR",'League Config'!$G$16,IF(A74="TE",'League Config'!$G$17,IF(A74="K",'League Config'!$G$18,'League Config'!$G$19))))))</x:f>
        <x:v>26.35416666666666</x:v>
      </x:c>
      <x:c r="M74" t="n">
        <x:f>IF(A74="K",'League Config'!$B$15,IF(A74="DST",'League Config'!$B$16,IF(A74="QB",'League Config'!$B$17,0)))</x:f>
        <x:v>0</x:v>
      </x:c>
      <x:c r="N74" s="48" t="n">
        <x:f>MIN(100,MAX(0,0.55*G74+0.30*K74+0.15*L74-M74))</x:f>
        <x:v>49.15969588127357</x:v>
      </x:c>
      <x:c r="O74" t="n">
        <x:f>RANK.EQ(N74,$N$5:$N$227,0)</x:f>
        <x:v>133</x:v>
      </x:c>
      <x:c r="P74" s="110" t="n">
        <x:v>157.4</x:v>
      </x:c>
      <x:c r="Q74" s="48" t="n">
        <x:f>P74-O74</x:f>
        <x:v>24.400000000000006</x:v>
      </x:c>
      <x:c r="R74" s="48" t="n">
        <x:f>MAX(40,G74-IF(U74="A",6,IF(U74="B",9,12)))</x:f>
        <x:v>63.203656892743794</x:v>
      </x:c>
      <x:c r="S74" s="48" t="n">
        <x:f>G74</x:f>
        <x:v>69.2036568927438</x:v>
      </x:c>
      <x:c r="T74" s="48" t="n">
        <x:f>MIN(100,G74+IF(U74="A",6,IF(U74="B",9,12)))</x:f>
        <x:v>75.2036568927438</x:v>
      </x:c>
      <x:c r="U74" t="str">
        <x:v>A</x:v>
      </x:c>
      <x:c r="V74" t="str">
        <x:v>RATE-ADJUSTED VETERAN</x:v>
      </x:c>
      <x:c r="W74" s="109" t="str">
        <x:v>Available</x:v>
      </x:c>
      <x:c r="X74" t="n">
        <x:f>IF(W74&lt;&gt;"Available","",1+COUNTIFS($W$5:$W$227,"Available",$N$5:$N$227,"&gt;"&amp;N74))</x:f>
        <x:v>133</x:v>
      </x:c>
      <x:c r="Y74" s="98" t="str">
        <x:v>EXPECTATION: FLEX/bench depth with upside if workload grows.  WHY: He produced 8.5 PPR/FP points per game across 17 games. The workload/efficiency profile gives the model a rate-based reason to keep him here. Market price is favorable around ADP 157 versus model overall rank 127.  RISK: Touchdown variance, receiving-role changes and backfield competition are the main downside paths.</x:v>
      </x:c>
      <x:c r="Z74" t="str">
        <x:v>ADP proxy — editable; based on positional draft cost</x:v>
      </x:c>
    </x:row>
    <x:row r="75">
      <x:c r="A75" t="str">
        <x:v>RB</x:v>
      </x:c>
      <x:c r="B75" t="n">
        <x:v>39</x:v>
      </x:c>
      <x:c r="C75" t="str">
        <x:v>Jacory Croskey-Merritt</x:v>
      </x:c>
      <x:c r="D75" s="48" t="n">
        <x:v>68.99221175225878</x:v>
      </x:c>
      <x:c r="E75" s="48" t="n">
        <x:f>SUMIFS('Manual Adjustments'!$G$5:$G$227,'Manual Adjustments'!$A$5:$A$227,A75,'Manual Adjustments'!$B$5:$B$227,C75)</x:f>
        <x:v>0</x:v>
      </x:c>
      <x:c r="F75" s="48" t="n">
        <x:f>IFERROR(SUMIFS('Rookie College Inputs'!$I$5:$I$13,'Rookie College Inputs'!$A$5:$A$13,C75),0)</x:f>
        <x:v>0</x:v>
      </x:c>
      <x:c r="G75" s="48" t="n">
        <x:f>MAX(40,MIN(100,D75+E75+F75))</x:f>
        <x:v>68.99221175225878</x:v>
      </x:c>
      <x:c r="H75" t="n">
        <x:f>IF(A75="QB",'League Config'!$H$5,IF(A75="RB",'League Config'!$H$6,IF(A75="WR",'League Config'!$H$7,IF(A75="TE",'League Config'!$H$8,IF(A75="K",'League Config'!$H$9,'League Config'!$H$10)))))</x:f>
        <x:v>32</x:v>
      </x:c>
      <x:c r="I75" s="48" t="n">
        <x:f>IF(A75="QB",'League Config'!$F$14,IF(A75="RB",'League Config'!$F$15,IF(A75="WR",'League Config'!$F$16,IF(A75="TE",'League Config'!$F$17,IF(A75="K",'League Config'!$F$18,'League Config'!$F$19)))))</x:f>
        <x:v>73.56779045370797</x:v>
      </x:c>
      <x:c r="J75" s="48" t="n">
        <x:f>G75-I75</x:f>
        <x:v>-4.575578701449189</x:v>
      </x:c>
      <x:c r="K75" s="48" t="n">
        <x:f>MAX(0,MIN(100,50+J75*6))</x:f>
        <x:v>22.546527791304868</x:v>
      </x:c>
      <x:c r="L75" s="48" t="n">
        <x:f>MIN(100,MAX(0,MIN(100,(1-(B75-1)/(H75*1.5))*100))*IF(A75="QB",'League Config'!$G$14,IF(A75="RB",'League Config'!$G$15,IF(A75="WR",'League Config'!$G$16,IF(A75="TE",'League Config'!$G$17,IF(A75="K",'League Config'!$G$18,'League Config'!$G$19))))))</x:f>
        <x:v>23.958333333333336</x:v>
      </x:c>
      <x:c r="M75" t="n">
        <x:f>IF(A75="K",'League Config'!$B$15,IF(A75="DST",'League Config'!$B$16,IF(A75="QB",'League Config'!$B$17,0)))</x:f>
        <x:v>0</x:v>
      </x:c>
      <x:c r="N75" s="48" t="n">
        <x:f>MIN(100,MAX(0,0.55*G75+0.30*K75+0.15*L75-M75))</x:f>
        <x:v>48.303424801133794</x:v>
      </x:c>
      <x:c r="O75" t="n">
        <x:f>RANK.EQ(N75,$N$5:$N$227,0)</x:f>
        <x:v>134</x:v>
      </x:c>
      <x:c r="P75" s="110" t="n">
        <x:v>161.6</x:v>
      </x:c>
      <x:c r="Q75" s="48" t="n">
        <x:f>P75-O75</x:f>
        <x:v>27.599999999999994</x:v>
      </x:c>
      <x:c r="R75" s="48" t="n">
        <x:f>MAX(40,G75-IF(U75="A",6,IF(U75="B",9,12)))</x:f>
        <x:v>62.99221175225878</x:v>
      </x:c>
      <x:c r="S75" s="48" t="n">
        <x:f>G75</x:f>
        <x:v>68.99221175225878</x:v>
      </x:c>
      <x:c r="T75" s="48" t="n">
        <x:f>MIN(100,G75+IF(U75="A",6,IF(U75="B",9,12)))</x:f>
        <x:v>74.99221175225878</x:v>
      </x:c>
      <x:c r="U75" t="str">
        <x:v>A</x:v>
      </x:c>
      <x:c r="V75" t="str">
        <x:v>RATE-ADJUSTED VETERAN</x:v>
      </x:c>
      <x:c r="W75" s="109" t="str">
        <x:v>Available</x:v>
      </x:c>
      <x:c r="X75" t="n">
        <x:f>IF(W75&lt;&gt;"Available","",1+COUNTIFS($W$5:$W$227,"Available",$N$5:$N$227,"&gt;"&amp;N75))</x:f>
        <x:v>134</x:v>
      </x:c>
      <x:c r="Y75" s="98" t="str">
        <x:v>EXPECTATION: FLEX/bench depth with upside if workload grows.  WHY: He produced 8.2 PPR/FP points per game across 17 games. The workload/efficiency profile gives the model a rate-based reason to keep him here. Market price is favorable around ADP 162 versus model overall rank 129.  RISK: Touchdown variance, receiving-role changes and backfield competition are the main downside paths.</x:v>
      </x:c>
      <x:c r="Z75" t="str">
        <x:v>ADP proxy — editable; based on positional draft cost</x:v>
      </x:c>
    </x:row>
    <x:row r="76">
      <x:c r="A76" t="str">
        <x:v>RB</x:v>
      </x:c>
      <x:c r="B76" t="n">
        <x:v>40</x:v>
      </x:c>
      <x:c r="C76" t="str">
        <x:v>Jordan Mason</x:v>
      </x:c>
      <x:c r="D76" s="48" t="n">
        <x:v>67.65739288663394</x:v>
      </x:c>
      <x:c r="E76" s="48" t="n">
        <x:f>SUMIFS('Manual Adjustments'!$G$5:$G$227,'Manual Adjustments'!$A$5:$A$227,A76,'Manual Adjustments'!$B$5:$B$227,C76)</x:f>
        <x:v>0</x:v>
      </x:c>
      <x:c r="F76" s="48" t="n">
        <x:f>IFERROR(SUMIFS('Rookie College Inputs'!$I$5:$I$13,'Rookie College Inputs'!$A$5:$A$13,C76),0)</x:f>
        <x:v>0</x:v>
      </x:c>
      <x:c r="G76" s="48" t="n">
        <x:f>MAX(40,MIN(100,D76+E76+F76))</x:f>
        <x:v>67.65739288663394</x:v>
      </x:c>
      <x:c r="H76" t="n">
        <x:f>IF(A76="QB",'League Config'!$H$5,IF(A76="RB",'League Config'!$H$6,IF(A76="WR",'League Config'!$H$7,IF(A76="TE",'League Config'!$H$8,IF(A76="K",'League Config'!$H$9,'League Config'!$H$10)))))</x:f>
        <x:v>32</x:v>
      </x:c>
      <x:c r="I76" s="48" t="n">
        <x:f>IF(A76="QB",'League Config'!$F$14,IF(A76="RB",'League Config'!$F$15,IF(A76="WR",'League Config'!$F$16,IF(A76="TE",'League Config'!$F$17,IF(A76="K",'League Config'!$F$18,'League Config'!$F$19)))))</x:f>
        <x:v>73.56779045370797</x:v>
      </x:c>
      <x:c r="J76" s="48" t="n">
        <x:f>G76-I76</x:f>
        <x:v>-5.910397567074028</x:v>
      </x:c>
      <x:c r="K76" s="48" t="n">
        <x:f>MAX(0,MIN(100,50+J76*6))</x:f>
        <x:v>14.53761459755583</x:v>
      </x:c>
      <x:c r="L76" s="48" t="n">
        <x:f>MIN(100,MAX(0,MIN(100,(1-(B76-1)/(H76*1.5))*100))*IF(A76="QB",'League Config'!$G$14,IF(A76="RB",'League Config'!$G$15,IF(A76="WR",'League Config'!$G$16,IF(A76="TE",'League Config'!$G$17,IF(A76="K",'League Config'!$G$18,'League Config'!$G$19))))))</x:f>
        <x:v>21.5625</x:v>
      </x:c>
      <x:c r="M76" t="n">
        <x:f>IF(A76="K",'League Config'!$B$15,IF(A76="DST",'League Config'!$B$16,IF(A76="QB",'League Config'!$B$17,0)))</x:f>
        <x:v>0</x:v>
      </x:c>
      <x:c r="N76" s="48" t="n">
        <x:f>MIN(100,MAX(0,0.55*G76+0.30*K76+0.15*L76-M76))</x:f>
        <x:v>44.80722546691542</x:v>
      </x:c>
      <x:c r="O76" t="n">
        <x:f>RANK.EQ(N76,$N$5:$N$227,0)</x:f>
        <x:v>142</x:v>
      </x:c>
      <x:c r="P76" s="110" t="n">
        <x:v>165.8</x:v>
      </x:c>
      <x:c r="Q76" s="48" t="n">
        <x:f>P76-O76</x:f>
        <x:v>23.80000000000001</x:v>
      </x:c>
      <x:c r="R76" s="48" t="n">
        <x:f>MAX(40,G76-IF(U76="A",6,IF(U76="B",9,12)))</x:f>
        <x:v>61.65739288663394</x:v>
      </x:c>
      <x:c r="S76" s="48" t="n">
        <x:f>G76</x:f>
        <x:v>67.65739288663394</x:v>
      </x:c>
      <x:c r="T76" s="48" t="n">
        <x:f>MIN(100,G76+IF(U76="A",6,IF(U76="B",9,12)))</x:f>
        <x:v>73.65739288663394</x:v>
      </x:c>
      <x:c r="U76" t="str">
        <x:v>A</x:v>
      </x:c>
      <x:c r="V76" t="str">
        <x:v>RATE-ADJUSTED VETERAN</x:v>
      </x:c>
      <x:c r="W76" s="109" t="str">
        <x:v>Available</x:v>
      </x:c>
      <x:c r="X76" t="n">
        <x:f>IF(W76&lt;&gt;"Available","",1+COUNTIFS($W$5:$W$227,"Available",$N$5:$N$227,"&gt;"&amp;N76))</x:f>
        <x:v>142</x:v>
      </x:c>
      <x:c r="Y76" s="98" t="str">
        <x:v>EXPECTATION: FLEX/bench depth with upside if workload grows.  WHY: He produced 8.1 PPR/FP points per game across 16 games. The workload/efficiency profile gives the model a rate-based reason to keep him here. Market price is favorable around ADP 166 versus model overall rank 136.  RISK: Touchdown variance, receiving-role changes and backfield competition are the main downside paths.</x:v>
      </x:c>
      <x:c r="Z76" t="str">
        <x:v>ADP proxy — editable; based on positional draft cost</x:v>
      </x:c>
    </x:row>
    <x:row r="77">
      <x:c r="A77" t="str">
        <x:v>RB</x:v>
      </x:c>
      <x:c r="B77" t="n">
        <x:v>41</x:v>
      </x:c>
      <x:c r="C77" t="str">
        <x:v>Woody Marks</x:v>
      </x:c>
      <x:c r="D77" s="48" t="n">
        <x:v>66.86623003473099</x:v>
      </x:c>
      <x:c r="E77" s="48" t="n">
        <x:f>SUMIFS('Manual Adjustments'!$G$5:$G$227,'Manual Adjustments'!$A$5:$A$227,A77,'Manual Adjustments'!$B$5:$B$227,C77)</x:f>
        <x:v>0</x:v>
      </x:c>
      <x:c r="F77" s="48" t="n">
        <x:f>IFERROR(SUMIFS('Rookie College Inputs'!$I$5:$I$13,'Rookie College Inputs'!$A$5:$A$13,C77),0)</x:f>
        <x:v>0</x:v>
      </x:c>
      <x:c r="G77" s="48" t="n">
        <x:f>MAX(40,MIN(100,D77+E77+F77))</x:f>
        <x:v>66.86623003473099</x:v>
      </x:c>
      <x:c r="H77" t="n">
        <x:f>IF(A77="QB",'League Config'!$H$5,IF(A77="RB",'League Config'!$H$6,IF(A77="WR",'League Config'!$H$7,IF(A77="TE",'League Config'!$H$8,IF(A77="K",'League Config'!$H$9,'League Config'!$H$10)))))</x:f>
        <x:v>32</x:v>
      </x:c>
      <x:c r="I77" s="48" t="n">
        <x:f>IF(A77="QB",'League Config'!$F$14,IF(A77="RB",'League Config'!$F$15,IF(A77="WR",'League Config'!$F$16,IF(A77="TE",'League Config'!$F$17,IF(A77="K",'League Config'!$F$18,'League Config'!$F$19)))))</x:f>
        <x:v>73.56779045370797</x:v>
      </x:c>
      <x:c r="J77" s="48" t="n">
        <x:f>G77-I77</x:f>
        <x:v>-6.701560418976982</x:v>
      </x:c>
      <x:c r="K77" s="48" t="n">
        <x:f>MAX(0,MIN(100,50+J77*6))</x:f>
        <x:v>9.79063748613811</x:v>
      </x:c>
      <x:c r="L77" s="48" t="n">
        <x:f>MIN(100,MAX(0,MIN(100,(1-(B77-1)/(H77*1.5))*100))*IF(A77="QB",'League Config'!$G$14,IF(A77="RB",'League Config'!$G$15,IF(A77="WR",'League Config'!$G$16,IF(A77="TE",'League Config'!$G$17,IF(A77="K",'League Config'!$G$18,'League Config'!$G$19))))))</x:f>
        <x:v>19.16666666666666</x:v>
      </x:c>
      <x:c r="M77" t="n">
        <x:f>IF(A77="K",'League Config'!$B$15,IF(A77="DST",'League Config'!$B$16,IF(A77="QB",'League Config'!$B$17,0)))</x:f>
        <x:v>0</x:v>
      </x:c>
      <x:c r="N77" s="48" t="n">
        <x:f>MIN(100,MAX(0,0.55*G77+0.30*K77+0.15*L77-M77))</x:f>
        <x:v>42.58861776494348</x:v>
      </x:c>
      <x:c r="O77" t="n">
        <x:f>RANK.EQ(N77,$N$5:$N$227,0)</x:f>
        <x:v>148</x:v>
      </x:c>
      <x:c r="P77" s="110" t="n">
        <x:v>170</x:v>
      </x:c>
      <x:c r="Q77" s="48" t="n">
        <x:f>P77-O77</x:f>
        <x:v>22</x:v>
      </x:c>
      <x:c r="R77" s="48" t="n">
        <x:f>MAX(40,G77-IF(U77="A",6,IF(U77="B",9,12)))</x:f>
        <x:v>60.86623003473099</x:v>
      </x:c>
      <x:c r="S77" s="48" t="n">
        <x:f>G77</x:f>
        <x:v>66.86623003473099</x:v>
      </x:c>
      <x:c r="T77" s="48" t="n">
        <x:f>MIN(100,G77+IF(U77="A",6,IF(U77="B",9,12)))</x:f>
        <x:v>72.86623003473099</x:v>
      </x:c>
      <x:c r="U77" t="str">
        <x:v>A</x:v>
      </x:c>
      <x:c r="V77" t="str">
        <x:v>RATE-ADJUSTED VETERAN</x:v>
      </x:c>
      <x:c r="W77" s="109" t="str">
        <x:v>Available</x:v>
      </x:c>
      <x:c r="X77" t="n">
        <x:f>IF(W77&lt;&gt;"Available","",1+COUNTIFS($W$5:$W$227,"Available",$N$5:$N$227,"&gt;"&amp;N77))</x:f>
        <x:v>148</x:v>
      </x:c>
      <x:c r="Y77" s="98" t="str">
        <x:v>EXPECTATION: Bench stash/handcuff profile; value is tied to role change or injury ahead.  WHY: He produced 9.4 PPR/FP points per game across 16 games. The workload/efficiency profile gives the model a rate-based reason to keep him here. Market price is favorable around ADP 170 versus model overall rank 143.  RISK: Touchdown variance, receiving-role changes and backfield competition are the main downside paths.</x:v>
      </x:c>
      <x:c r="Z77" t="str">
        <x:v>ADP proxy — editable; based on positional draft cost</x:v>
      </x:c>
    </x:row>
    <x:row r="78">
      <x:c r="A78" t="str">
        <x:v>RB</x:v>
      </x:c>
      <x:c r="B78" t="n">
        <x:v>42</x:v>
      </x:c>
      <x:c r="C78" t="str">
        <x:v>Chris Rodriguez Jr.</x:v>
      </x:c>
      <x:c r="D78" s="48" t="n">
        <x:v>66.53699590996025</x:v>
      </x:c>
      <x:c r="E78" s="48" t="n">
        <x:f>SUMIFS('Manual Adjustments'!$G$5:$G$227,'Manual Adjustments'!$A$5:$A$227,A78,'Manual Adjustments'!$B$5:$B$227,C78)</x:f>
        <x:v>0</x:v>
      </x:c>
      <x:c r="F78" s="48" t="n">
        <x:f>IFERROR(SUMIFS('Rookie College Inputs'!$I$5:$I$13,'Rookie College Inputs'!$A$5:$A$13,C78),0)</x:f>
        <x:v>0</x:v>
      </x:c>
      <x:c r="G78" s="48" t="n">
        <x:f>MAX(40,MIN(100,D78+E78+F78))</x:f>
        <x:v>66.53699590996025</x:v>
      </x:c>
      <x:c r="H78" t="n">
        <x:f>IF(A78="QB",'League Config'!$H$5,IF(A78="RB",'League Config'!$H$6,IF(A78="WR",'League Config'!$H$7,IF(A78="TE",'League Config'!$H$8,IF(A78="K",'League Config'!$H$9,'League Config'!$H$10)))))</x:f>
        <x:v>32</x:v>
      </x:c>
      <x:c r="I78" s="48" t="n">
        <x:f>IF(A78="QB",'League Config'!$F$14,IF(A78="RB",'League Config'!$F$15,IF(A78="WR",'League Config'!$F$16,IF(A78="TE",'League Config'!$F$17,IF(A78="K",'League Config'!$F$18,'League Config'!$F$19)))))</x:f>
        <x:v>73.56779045370797</x:v>
      </x:c>
      <x:c r="J78" s="48" t="n">
        <x:f>G78-I78</x:f>
        <x:v>-7.030794543747717</x:v>
      </x:c>
      <x:c r="K78" s="48" t="n">
        <x:f>MAX(0,MIN(100,50+J78*6))</x:f>
        <x:v>7.815232737513696</x:v>
      </x:c>
      <x:c r="L78" s="48" t="n">
        <x:f>MIN(100,MAX(0,MIN(100,(1-(B78-1)/(H78*1.5))*100))*IF(A78="QB",'League Config'!$G$14,IF(A78="RB",'League Config'!$G$15,IF(A78="WR",'League Config'!$G$16,IF(A78="TE",'League Config'!$G$17,IF(A78="K",'League Config'!$G$18,'League Config'!$G$19))))))</x:f>
        <x:v>16.770833333333336</x:v>
      </x:c>
      <x:c r="M78" t="n">
        <x:f>IF(A78="K",'League Config'!$B$15,IF(A78="DST",'League Config'!$B$16,IF(A78="QB",'League Config'!$B$17,0)))</x:f>
        <x:v>0</x:v>
      </x:c>
      <x:c r="N78" s="48" t="n">
        <x:f>MIN(100,MAX(0,0.55*G78+0.30*K78+0.15*L78-M78))</x:f>
        <x:v>41.45554257173225</x:v>
      </x:c>
      <x:c r="O78" t="n">
        <x:f>RANK.EQ(N78,$N$5:$N$227,0)</x:f>
        <x:v>152</x:v>
      </x:c>
      <x:c r="P78" s="110" t="n">
        <x:v>174.20000000000002</x:v>
      </x:c>
      <x:c r="Q78" s="48" t="n">
        <x:f>P78-O78</x:f>
        <x:v>22.200000000000017</x:v>
      </x:c>
      <x:c r="R78" s="48" t="n">
        <x:f>MAX(40,G78-IF(U78="A",6,IF(U78="B",9,12)))</x:f>
        <x:v>60.536995909960254</x:v>
      </x:c>
      <x:c r="S78" s="48" t="n">
        <x:f>G78</x:f>
        <x:v>66.53699590996025</x:v>
      </x:c>
      <x:c r="T78" s="48" t="n">
        <x:f>MIN(100,G78+IF(U78="A",6,IF(U78="B",9,12)))</x:f>
        <x:v>72.53699590996025</x:v>
      </x:c>
      <x:c r="U78" t="str">
        <x:v>A</x:v>
      </x:c>
      <x:c r="V78" t="str">
        <x:v>RATE-ADJUSTED VETERAN</x:v>
      </x:c>
      <x:c r="W78" s="109" t="str">
        <x:v>Available</x:v>
      </x:c>
      <x:c r="X78" t="n">
        <x:f>IF(W78&lt;&gt;"Available","",1+COUNTIFS($W$5:$W$227,"Available",$N$5:$N$227,"&gt;"&amp;N78))</x:f>
        <x:v>152</x:v>
      </x:c>
      <x:c r="Y78" s="98" t="str">
        <x:v>EXPECTATION: Bench stash/handcuff profile; value is tied to role change or injury ahead.  WHY: He produced 7.0 PPR/FP points per game across 13 games. The workload/efficiency profile gives the model a rate-based reason to keep him here. Market price is favorable around ADP 174 versus model overall rank 147.  RISK: Touchdown variance, receiving-role changes and backfield competition are the main downside paths.</x:v>
      </x:c>
      <x:c r="Z78" t="str">
        <x:v>ADP proxy — editable; based on positional draft cost</x:v>
      </x:c>
    </x:row>
    <x:row r="79">
      <x:c r="A79" t="str">
        <x:v>RB</x:v>
      </x:c>
      <x:c r="B79" t="n">
        <x:v>43</x:v>
      </x:c>
      <x:c r="C79" t="str">
        <x:v>Tyrone Tracy Jr.</x:v>
      </x:c>
      <x:c r="D79" s="48" t="n">
        <x:v>66.53102686810404</x:v>
      </x:c>
      <x:c r="E79" s="48" t="n">
        <x:f>SUMIFS('Manual Adjustments'!$G$5:$G$227,'Manual Adjustments'!$A$5:$A$227,A79,'Manual Adjustments'!$B$5:$B$227,C79)</x:f>
        <x:v>0</x:v>
      </x:c>
      <x:c r="F79" s="48" t="n">
        <x:f>IFERROR(SUMIFS('Rookie College Inputs'!$I$5:$I$13,'Rookie College Inputs'!$A$5:$A$13,C79),0)</x:f>
        <x:v>0</x:v>
      </x:c>
      <x:c r="G79" s="48" t="n">
        <x:f>MAX(40,MIN(100,D79+E79+F79))</x:f>
        <x:v>66.53102686810404</x:v>
      </x:c>
      <x:c r="H79" t="n">
        <x:f>IF(A79="QB",'League Config'!$H$5,IF(A79="RB",'League Config'!$H$6,IF(A79="WR",'League Config'!$H$7,IF(A79="TE",'League Config'!$H$8,IF(A79="K",'League Config'!$H$9,'League Config'!$H$10)))))</x:f>
        <x:v>32</x:v>
      </x:c>
      <x:c r="I79" s="48" t="n">
        <x:f>IF(A79="QB",'League Config'!$F$14,IF(A79="RB",'League Config'!$F$15,IF(A79="WR",'League Config'!$F$16,IF(A79="TE",'League Config'!$F$17,IF(A79="K",'League Config'!$F$18,'League Config'!$F$19)))))</x:f>
        <x:v>73.56779045370797</x:v>
      </x:c>
      <x:c r="J79" s="48" t="n">
        <x:f>G79-I79</x:f>
        <x:v>-7.036763585603936</x:v>
      </x:c>
      <x:c r="K79" s="48" t="n">
        <x:f>MAX(0,MIN(100,50+J79*6))</x:f>
        <x:v>7.779418486376386</x:v>
      </x:c>
      <x:c r="L79" s="48" t="n">
        <x:f>MIN(100,MAX(0,MIN(100,(1-(B79-1)/(H79*1.5))*100))*IF(A79="QB",'League Config'!$G$14,IF(A79="RB",'League Config'!$G$15,IF(A79="WR",'League Config'!$G$16,IF(A79="TE",'League Config'!$G$17,IF(A79="K",'League Config'!$G$18,'League Config'!$G$19))))))</x:f>
        <x:v>14.374999999999998</x:v>
      </x:c>
      <x:c r="M79" t="n">
        <x:f>IF(A79="K",'League Config'!$B$15,IF(A79="DST",'League Config'!$B$16,IF(A79="QB",'League Config'!$B$17,0)))</x:f>
        <x:v>0</x:v>
      </x:c>
      <x:c r="N79" s="48" t="n">
        <x:f>MIN(100,MAX(0,0.55*G79+0.30*K79+0.15*L79-M79))</x:f>
        <x:v>41.08214032337014</x:v>
      </x:c>
      <x:c r="O79" t="n">
        <x:f>RANK.EQ(N79,$N$5:$N$227,0)</x:f>
        <x:v>154</x:v>
      </x:c>
      <x:c r="P79" s="110" t="n">
        <x:v>178.4</x:v>
      </x:c>
      <x:c r="Q79" s="48" t="n">
        <x:f>P79-O79</x:f>
        <x:v>24.400000000000006</x:v>
      </x:c>
      <x:c r="R79" s="48" t="n">
        <x:f>MAX(40,G79-IF(U79="A",6,IF(U79="B",9,12)))</x:f>
        <x:v>60.531026868104036</x:v>
      </x:c>
      <x:c r="S79" s="48" t="n">
        <x:f>G79</x:f>
        <x:v>66.53102686810404</x:v>
      </x:c>
      <x:c r="T79" s="48" t="n">
        <x:f>MIN(100,G79+IF(U79="A",6,IF(U79="B",9,12)))</x:f>
        <x:v>72.53102686810404</x:v>
      </x:c>
      <x:c r="U79" t="str">
        <x:v>A</x:v>
      </x:c>
      <x:c r="V79" t="str">
        <x:v>RATE-ADJUSTED VETERAN</x:v>
      </x:c>
      <x:c r="W79" s="109" t="str">
        <x:v>Available</x:v>
      </x:c>
      <x:c r="X79" t="n">
        <x:f>IF(W79&lt;&gt;"Available","",1+COUNTIFS($W$5:$W$227,"Available",$N$5:$N$227,"&gt;"&amp;N79))</x:f>
        <x:v>154</x:v>
      </x:c>
      <x:c r="Y79" s="98" t="str">
        <x:v>EXPECTATION: Bench stash/handcuff profile; value is tied to role change or injury ahead.  WHY: He produced 10.7 PPR/FP points per game across 15 games. The workload/efficiency profile gives the model a rate-based reason to keep him here. Market price is favorable around ADP 178 versus model overall rank 149.  RISK: Touchdown variance, receiving-role changes and backfield competition are the main downside paths.</x:v>
      </x:c>
      <x:c r="Z79" t="str">
        <x:v>ADP proxy — editable; based on positional draft cost</x:v>
      </x:c>
    </x:row>
    <x:row r="80">
      <x:c r="A80" t="str">
        <x:v>RB</x:v>
      </x:c>
      <x:c r="B80" t="n">
        <x:v>44</x:v>
      </x:c>
      <x:c r="C80" t="str">
        <x:v>Tyler Allgeier</x:v>
      </x:c>
      <x:c r="D80" s="48" t="n">
        <x:v>63.03217197650326</x:v>
      </x:c>
      <x:c r="E80" s="48" t="n">
        <x:f>SUMIFS('Manual Adjustments'!$G$5:$G$227,'Manual Adjustments'!$A$5:$A$227,A80,'Manual Adjustments'!$B$5:$B$227,C80)</x:f>
        <x:v>0</x:v>
      </x:c>
      <x:c r="F80" s="48" t="n">
        <x:f>IFERROR(SUMIFS('Rookie College Inputs'!$I$5:$I$13,'Rookie College Inputs'!$A$5:$A$13,C80),0)</x:f>
        <x:v>0</x:v>
      </x:c>
      <x:c r="G80" s="48" t="n">
        <x:f>MAX(40,MIN(100,D80+E80+F80))</x:f>
        <x:v>63.03217197650326</x:v>
      </x:c>
      <x:c r="H80" t="n">
        <x:f>IF(A80="QB",'League Config'!$H$5,IF(A80="RB",'League Config'!$H$6,IF(A80="WR",'League Config'!$H$7,IF(A80="TE",'League Config'!$H$8,IF(A80="K",'League Config'!$H$9,'League Config'!$H$10)))))</x:f>
        <x:v>32</x:v>
      </x:c>
      <x:c r="I80" s="48" t="n">
        <x:f>IF(A80="QB",'League Config'!$F$14,IF(A80="RB",'League Config'!$F$15,IF(A80="WR",'League Config'!$F$16,IF(A80="TE",'League Config'!$F$17,IF(A80="K",'League Config'!$F$18,'League Config'!$F$19)))))</x:f>
        <x:v>73.56779045370797</x:v>
      </x:c>
      <x:c r="J80" s="48" t="n">
        <x:f>G80-I80</x:f>
        <x:v>-10.535618477204714</x:v>
      </x:c>
      <x:c r="K80" s="48" t="n">
        <x:f>MAX(0,MIN(100,50+J80*6))</x:f>
        <x:v>0</x:v>
      </x:c>
      <x:c r="L80" s="48" t="n">
        <x:f>MIN(100,MAX(0,MIN(100,(1-(B80-1)/(H80*1.5))*100))*IF(A80="QB",'League Config'!$G$14,IF(A80="RB",'League Config'!$G$15,IF(A80="WR",'League Config'!$G$16,IF(A80="TE",'League Config'!$G$17,IF(A80="K",'League Config'!$G$18,'League Config'!$G$19))))))</x:f>
        <x:v>11.97916666666666</x:v>
      </x:c>
      <x:c r="M80" t="n">
        <x:f>IF(A80="K",'League Config'!$B$15,IF(A80="DST",'League Config'!$B$16,IF(A80="QB",'League Config'!$B$17,0)))</x:f>
        <x:v>0</x:v>
      </x:c>
      <x:c r="N80" s="48" t="n">
        <x:f>MIN(100,MAX(0,0.55*G80+0.30*K80+0.15*L80-M80))</x:f>
        <x:v>36.464569587076795</x:v>
      </x:c>
      <x:c r="O80" t="n">
        <x:f>RANK.EQ(N80,$N$5:$N$227,0)</x:f>
        <x:v>168</x:v>
      </x:c>
      <x:c r="P80" s="110" t="n">
        <x:v>182.6</x:v>
      </x:c>
      <x:c r="Q80" s="48" t="n">
        <x:f>P80-O80</x:f>
        <x:v>14.599999999999994</x:v>
      </x:c>
      <x:c r="R80" s="48" t="n">
        <x:f>MAX(40,G80-IF(U80="A",6,IF(U80="B",9,12)))</x:f>
        <x:v>57.03217197650326</x:v>
      </x:c>
      <x:c r="S80" s="48" t="n">
        <x:f>G80</x:f>
        <x:v>63.03217197650326</x:v>
      </x:c>
      <x:c r="T80" s="48" t="n">
        <x:f>MIN(100,G80+IF(U80="A",6,IF(U80="B",9,12)))</x:f>
        <x:v>69.03217197650326</x:v>
      </x:c>
      <x:c r="U80" t="str">
        <x:v>A</x:v>
      </x:c>
      <x:c r="V80" t="str">
        <x:v>RATE-ADJUSTED VETERAN</x:v>
      </x:c>
      <x:c r="W80" s="109" t="str">
        <x:v>Available</x:v>
      </x:c>
      <x:c r="X80" t="n">
        <x:f>IF(W80&lt;&gt;"Available","",1+COUNTIFS($W$5:$W$227,"Available",$N$5:$N$227,"&gt;"&amp;N80))</x:f>
        <x:v>168</x:v>
      </x:c>
      <x:c r="Y80" s="98" t="str">
        <x:v>EXPECTATION: Bench stash/handcuff profile; value is tied to role change or injury ahead.  WHY: He produced 7.2 PPR/FP points per game across 17 games. The workload/efficiency profile gives the model a rate-based reason to keep him here. Market price is favorable around ADP 183 versus model overall rank 168.  RISK: Touchdown variance, receiving-role changes and backfield competition are the main downside paths.</x:v>
      </x:c>
      <x:c r="Z80" t="str">
        <x:v>ADP proxy — editable; based on positional draft cost</x:v>
      </x:c>
    </x:row>
    <x:row r="81">
      <x:c r="A81" t="str">
        <x:v>RB</x:v>
      </x:c>
      <x:c r="B81" t="n">
        <x:v>45</x:v>
      </x:c>
      <x:c r="C81" t="str">
        <x:v>Zach Charbonnet</x:v>
      </x:c>
      <x:c r="D81" s="48" t="n">
        <x:v>62.5498230438228</x:v>
      </x:c>
      <x:c r="E81" s="48" t="n">
        <x:f>SUMIFS('Manual Adjustments'!$G$5:$G$227,'Manual Adjustments'!$A$5:$A$227,A81,'Manual Adjustments'!$B$5:$B$227,C81)</x:f>
        <x:v>0</x:v>
      </x:c>
      <x:c r="F81" s="48" t="n">
        <x:f>IFERROR(SUMIFS('Rookie College Inputs'!$I$5:$I$13,'Rookie College Inputs'!$A$5:$A$13,C81),0)</x:f>
        <x:v>0</x:v>
      </x:c>
      <x:c r="G81" s="48" t="n">
        <x:f>MAX(40,MIN(100,D81+E81+F81))</x:f>
        <x:v>62.5498230438228</x:v>
      </x:c>
      <x:c r="H81" t="n">
        <x:f>IF(A81="QB",'League Config'!$H$5,IF(A81="RB",'League Config'!$H$6,IF(A81="WR",'League Config'!$H$7,IF(A81="TE",'League Config'!$H$8,IF(A81="K",'League Config'!$H$9,'League Config'!$H$10)))))</x:f>
        <x:v>32</x:v>
      </x:c>
      <x:c r="I81" s="48" t="n">
        <x:f>IF(A81="QB",'League Config'!$F$14,IF(A81="RB",'League Config'!$F$15,IF(A81="WR",'League Config'!$F$16,IF(A81="TE",'League Config'!$F$17,IF(A81="K",'League Config'!$F$18,'League Config'!$F$19)))))</x:f>
        <x:v>73.56779045370797</x:v>
      </x:c>
      <x:c r="J81" s="48" t="n">
        <x:f>G81-I81</x:f>
        <x:v>-11.017967409885173</x:v>
      </x:c>
      <x:c r="K81" s="48" t="n">
        <x:f>MAX(0,MIN(100,50+J81*6))</x:f>
        <x:v>0</x:v>
      </x:c>
      <x:c r="L81" s="48" t="n">
        <x:f>MIN(100,MAX(0,MIN(100,(1-(B81-1)/(H81*1.5))*100))*IF(A81="QB",'League Config'!$G$14,IF(A81="RB",'League Config'!$G$15,IF(A81="WR",'League Config'!$G$16,IF(A81="TE",'League Config'!$G$17,IF(A81="K",'League Config'!$G$18,'League Config'!$G$19))))))</x:f>
        <x:v>9.583333333333337</x:v>
      </x:c>
      <x:c r="M81" t="n">
        <x:f>IF(A81="K",'League Config'!$B$15,IF(A81="DST",'League Config'!$B$16,IF(A81="QB",'League Config'!$B$17,0)))</x:f>
        <x:v>0</x:v>
      </x:c>
      <x:c r="N81" s="48" t="n">
        <x:f>MIN(100,MAX(0,0.55*G81+0.30*K81+0.15*L81-M81))</x:f>
        <x:v>35.83990267410254</x:v>
      </x:c>
      <x:c r="O81" t="n">
        <x:f>RANK.EQ(N81,$N$5:$N$227,0)</x:f>
        <x:v>173</x:v>
      </x:c>
      <x:c r="P81" s="110" t="n">
        <x:v>186.8</x:v>
      </x:c>
      <x:c r="Q81" s="48" t="n">
        <x:f>P81-O81</x:f>
        <x:v>13.800000000000011</x:v>
      </x:c>
      <x:c r="R81" s="48" t="n">
        <x:f>MAX(40,G81-IF(U81="A",6,IF(U81="B",9,12)))</x:f>
        <x:v>56.5498230438228</x:v>
      </x:c>
      <x:c r="S81" s="48" t="n">
        <x:f>G81</x:f>
        <x:v>62.5498230438228</x:v>
      </x:c>
      <x:c r="T81" s="48" t="n">
        <x:f>MIN(100,G81+IF(U81="A",6,IF(U81="B",9,12)))</x:f>
        <x:v>68.5498230438228</x:v>
      </x:c>
      <x:c r="U81" t="str">
        <x:v>A</x:v>
      </x:c>
      <x:c r="V81" t="str">
        <x:v>RATE-ADJUSTED VETERAN</x:v>
      </x:c>
      <x:c r="W81" s="109" t="str">
        <x:v>Available</x:v>
      </x:c>
      <x:c r="X81" t="n">
        <x:f>IF(W81&lt;&gt;"Available","",1+COUNTIFS($W$5:$W$227,"Available",$N$5:$N$227,"&gt;"&amp;N81))</x:f>
        <x:v>173</x:v>
      </x:c>
      <x:c r="Y81" s="98" t="str">
        <x:v>EXPECTATION: Bench stash/handcuff profile; value is tied to role change or injury ahead.  WHY: He produced 11.3 PPR/FP points per game across 16 games. The workload/efficiency profile gives the model a rate-based reason to keep him here. Market price is favorable around ADP 187 versus model overall rank 173.  RISK: Touchdown variance, receiving-role changes and backfield competition are the main downside paths.</x:v>
      </x:c>
      <x:c r="Z81" t="str">
        <x:v>ADP proxy — editable; based on positional draft cost</x:v>
      </x:c>
    </x:row>
    <x:row r="82">
      <x:c r="A82" t="str">
        <x:v>RB</x:v>
      </x:c>
      <x:c r="B82" t="n">
        <x:v>46</x:v>
      </x:c>
      <x:c r="C82" t="str">
        <x:v>Jonathon Brooks</x:v>
      </x:c>
      <x:c r="D82" s="48" t="n">
        <x:v>62.199999999999996</x:v>
      </x:c>
      <x:c r="E82" s="48" t="n">
        <x:f>SUMIFS('Manual Adjustments'!$G$5:$G$227,'Manual Adjustments'!$A$5:$A$227,A82,'Manual Adjustments'!$B$5:$B$227,C82)</x:f>
        <x:v>0</x:v>
      </x:c>
      <x:c r="F82" s="48" t="n">
        <x:f>IFERROR(SUMIFS('Rookie College Inputs'!$I$5:$I$13,'Rookie College Inputs'!$A$5:$A$13,C82),0)</x:f>
        <x:v>0</x:v>
      </x:c>
      <x:c r="G82" s="48" t="n">
        <x:f>MAX(40,MIN(100,D82+E82+F82))</x:f>
        <x:v>62.199999999999996</x:v>
      </x:c>
      <x:c r="H82" t="n">
        <x:f>IF(A82="QB",'League Config'!$H$5,IF(A82="RB",'League Config'!$H$6,IF(A82="WR",'League Config'!$H$7,IF(A82="TE",'League Config'!$H$8,IF(A82="K",'League Config'!$H$9,'League Config'!$H$10)))))</x:f>
        <x:v>32</x:v>
      </x:c>
      <x:c r="I82" s="48" t="n">
        <x:f>IF(A82="QB",'League Config'!$F$14,IF(A82="RB",'League Config'!$F$15,IF(A82="WR",'League Config'!$F$16,IF(A82="TE",'League Config'!$F$17,IF(A82="K",'League Config'!$F$18,'League Config'!$F$19)))))</x:f>
        <x:v>73.56779045370797</x:v>
      </x:c>
      <x:c r="J82" s="48" t="n">
        <x:f>G82-I82</x:f>
        <x:v>-11.367790453707975</x:v>
      </x:c>
      <x:c r="K82" s="48" t="n">
        <x:f>MAX(0,MIN(100,50+J82*6))</x:f>
        <x:v>0</x:v>
      </x:c>
      <x:c r="L82" s="48" t="n">
        <x:f>MIN(100,MAX(0,MIN(100,(1-(B82-1)/(H82*1.5))*100))*IF(A82="QB",'League Config'!$G$14,IF(A82="RB",'League Config'!$G$15,IF(A82="WR",'League Config'!$G$16,IF(A82="TE",'League Config'!$G$17,IF(A82="K",'League Config'!$G$18,'League Config'!$G$19))))))</x:f>
        <x:v>7.187499999999999</x:v>
      </x:c>
      <x:c r="M82" t="n">
        <x:f>IF(A82="K",'League Config'!$B$15,IF(A82="DST",'League Config'!$B$16,IF(A82="QB",'League Config'!$B$17,0)))</x:f>
        <x:v>0</x:v>
      </x:c>
      <x:c r="N82" s="48" t="n">
        <x:f>MIN(100,MAX(0,0.55*G82+0.30*K82+0.15*L82-M82))</x:f>
        <x:v>35.288125</x:v>
      </x:c>
      <x:c r="O82" t="n">
        <x:f>RANK.EQ(N82,$N$5:$N$227,0)</x:f>
        <x:v>177</x:v>
      </x:c>
      <x:c r="P82" s="110" t="n">
        <x:v>191</x:v>
      </x:c>
      <x:c r="Q82" s="48" t="n">
        <x:f>P82-O82</x:f>
        <x:v>14</x:v>
      </x:c>
      <x:c r="R82" s="48" t="n">
        <x:f>MAX(40,G82-IF(U82="A",6,IF(U82="B",9,12)))</x:f>
        <x:v>50.199999999999996</x:v>
      </x:c>
      <x:c r="S82" s="48" t="n">
        <x:f>G82</x:f>
        <x:v>62.199999999999996</x:v>
      </x:c>
      <x:c r="T82" s="48" t="n">
        <x:f>MIN(100,G82+IF(U82="A",6,IF(U82="B",9,12)))</x:f>
        <x:v>74.19999999999999</x:v>
      </x:c>
      <x:c r="U82" t="str">
        <x:v>C</x:v>
      </x:c>
      <x:c r="V82" t="str">
        <x:v>HISTORY FALLBACK</x:v>
      </x:c>
      <x:c r="W82" s="109" t="str">
        <x:v>Available</x:v>
      </x:c>
      <x:c r="X82" t="n">
        <x:f>IF(W82&lt;&gt;"Available","",1+COUNTIFS($W$5:$W$227,"Available",$N$5:$N$227,"&gt;"&amp;N82))</x:f>
        <x:v>177</x:v>
      </x:c>
      <x:c r="Y82" s="98" t="str">
        <x:v>EXPECTATION: Bench stash/handcuff profile; value is tied to role change or injury ahead.  WHY: The 2026 opportunity and projection carry most of the grade because detailed 2025 rate data is incomplete. Market price is favorable around ADP 191 versus model overall rank 177.  RISK: Evidence is thinner than for established veterans, so camp, depth-chart and role news can move the grade materially.</x:v>
      </x:c>
      <x:c r="Z82" t="str">
        <x:v>ADP proxy — editable; based on positional draft cost</x:v>
      </x:c>
    </x:row>
    <x:row r="83">
      <x:c r="A83" t="str">
        <x:v>RB</x:v>
      </x:c>
      <x:c r="B83" t="n">
        <x:v>47</x:v>
      </x:c>
      <x:c r="C83" t="str">
        <x:v>Emanuel Wilson</x:v>
      </x:c>
      <x:c r="D83" s="48" t="n">
        <x:v>61.982145601653485</x:v>
      </x:c>
      <x:c r="E83" s="48" t="n">
        <x:f>SUMIFS('Manual Adjustments'!$G$5:$G$227,'Manual Adjustments'!$A$5:$A$227,A83,'Manual Adjustments'!$B$5:$B$227,C83)</x:f>
        <x:v>0</x:v>
      </x:c>
      <x:c r="F83" s="48" t="n">
        <x:f>IFERROR(SUMIFS('Rookie College Inputs'!$I$5:$I$13,'Rookie College Inputs'!$A$5:$A$13,C83),0)</x:f>
        <x:v>0</x:v>
      </x:c>
      <x:c r="G83" s="48" t="n">
        <x:f>MAX(40,MIN(100,D83+E83+F83))</x:f>
        <x:v>61.982145601653485</x:v>
      </x:c>
      <x:c r="H83" t="n">
        <x:f>IF(A83="QB",'League Config'!$H$5,IF(A83="RB",'League Config'!$H$6,IF(A83="WR",'League Config'!$H$7,IF(A83="TE",'League Config'!$H$8,IF(A83="K",'League Config'!$H$9,'League Config'!$H$10)))))</x:f>
        <x:v>32</x:v>
      </x:c>
      <x:c r="I83" s="48" t="n">
        <x:f>IF(A83="QB",'League Config'!$F$14,IF(A83="RB",'League Config'!$F$15,IF(A83="WR",'League Config'!$F$16,IF(A83="TE",'League Config'!$F$17,IF(A83="K",'League Config'!$F$18,'League Config'!$F$19)))))</x:f>
        <x:v>73.56779045370797</x:v>
      </x:c>
      <x:c r="J83" s="48" t="n">
        <x:f>G83-I83</x:f>
        <x:v>-11.585644852054486</x:v>
      </x:c>
      <x:c r="K83" s="48" t="n">
        <x:f>MAX(0,MIN(100,50+J83*6))</x:f>
        <x:v>0</x:v>
      </x:c>
      <x:c r="L83" s="48" t="n">
        <x:f>MIN(100,MAX(0,MIN(100,(1-(B83-1)/(H83*1.5))*100))*IF(A83="QB",'League Config'!$G$14,IF(A83="RB",'League Config'!$G$15,IF(A83="WR",'League Config'!$G$16,IF(A83="TE",'League Config'!$G$17,IF(A83="K",'League Config'!$G$18,'League Config'!$G$19))))))</x:f>
        <x:v>4.791666666666662</x:v>
      </x:c>
      <x:c r="M83" t="n">
        <x:f>IF(A83="K",'League Config'!$B$15,IF(A83="DST",'League Config'!$B$16,IF(A83="QB",'League Config'!$B$17,0)))</x:f>
        <x:v>0</x:v>
      </x:c>
      <x:c r="N83" s="48" t="n">
        <x:f>MIN(100,MAX(0,0.55*G83+0.30*K83+0.15*L83-M83))</x:f>
        <x:v>34.80893008090942</x:v>
      </x:c>
      <x:c r="O83" t="n">
        <x:f>RANK.EQ(N83,$N$5:$N$227,0)</x:f>
        <x:v>180</x:v>
      </x:c>
      <x:c r="P83" s="110" t="n">
        <x:v>195.20000000000002</x:v>
      </x:c>
      <x:c r="Q83" s="48" t="n">
        <x:f>P83-O83</x:f>
        <x:v>15.200000000000017</x:v>
      </x:c>
      <x:c r="R83" s="48" t="n">
        <x:f>MAX(40,G83-IF(U83="A",6,IF(U83="B",9,12)))</x:f>
        <x:v>55.982145601653485</x:v>
      </x:c>
      <x:c r="S83" s="48" t="n">
        <x:f>G83</x:f>
        <x:v>61.982145601653485</x:v>
      </x:c>
      <x:c r="T83" s="48" t="n">
        <x:f>MIN(100,G83+IF(U83="A",6,IF(U83="B",9,12)))</x:f>
        <x:v>67.98214560165349</x:v>
      </x:c>
      <x:c r="U83" t="str">
        <x:v>A</x:v>
      </x:c>
      <x:c r="V83" t="str">
        <x:v>RATE-ADJUSTED VETERAN</x:v>
      </x:c>
      <x:c r="W83" s="109" t="str">
        <x:v>Available</x:v>
      </x:c>
      <x:c r="X83" t="n">
        <x:f>IF(W83&lt;&gt;"Available","",1+COUNTIFS($W$5:$W$227,"Available",$N$5:$N$227,"&gt;"&amp;N83))</x:f>
        <x:v>180</x:v>
      </x:c>
      <x:c r="Y83" s="98" t="str">
        <x:v>EXPECTATION: Bench stash/handcuff profile; value is tied to role change or injury ahead.  WHY: He produced 5.6 PPR/FP points per game across 17 games. The workload/efficiency profile gives the model a rate-based reason to keep him here. Market price is favorable around ADP 195 versus model overall rank 180.  RISK: Touchdown variance, receiving-role changes and backfield competition are the main downside paths.</x:v>
      </x:c>
      <x:c r="Z83" t="str">
        <x:v>ADP proxy — editable; based on positional draft cost</x:v>
      </x:c>
    </x:row>
    <x:row r="84">
      <x:c r="A84" t="str">
        <x:v>RB</x:v>
      </x:c>
      <x:c r="B84" t="n">
        <x:v>48</x:v>
      </x:c>
      <x:c r="C84" t="str">
        <x:v>Isiah Pacheco</x:v>
      </x:c>
      <x:c r="D84" s="48" t="n">
        <x:v>60.00923076923077</x:v>
      </x:c>
      <x:c r="E84" s="48" t="n">
        <x:f>SUMIFS('Manual Adjustments'!$G$5:$G$227,'Manual Adjustments'!$A$5:$A$227,A84,'Manual Adjustments'!$B$5:$B$227,C84)</x:f>
        <x:v>0</x:v>
      </x:c>
      <x:c r="F84" s="48" t="n">
        <x:f>IFERROR(SUMIFS('Rookie College Inputs'!$I$5:$I$13,'Rookie College Inputs'!$A$5:$A$13,C84),0)</x:f>
        <x:v>0</x:v>
      </x:c>
      <x:c r="G84" s="48" t="n">
        <x:f>MAX(40,MIN(100,D84+E84+F84))</x:f>
        <x:v>60.00923076923077</x:v>
      </x:c>
      <x:c r="H84" t="n">
        <x:f>IF(A84="QB",'League Config'!$H$5,IF(A84="RB",'League Config'!$H$6,IF(A84="WR",'League Config'!$H$7,IF(A84="TE",'League Config'!$H$8,IF(A84="K",'League Config'!$H$9,'League Config'!$H$10)))))</x:f>
        <x:v>32</x:v>
      </x:c>
      <x:c r="I84" s="48" t="n">
        <x:f>IF(A84="QB",'League Config'!$F$14,IF(A84="RB",'League Config'!$F$15,IF(A84="WR",'League Config'!$F$16,IF(A84="TE",'League Config'!$F$17,IF(A84="K",'League Config'!$F$18,'League Config'!$F$19)))))</x:f>
        <x:v>73.56779045370797</x:v>
      </x:c>
      <x:c r="J84" s="48" t="n">
        <x:f>G84-I84</x:f>
        <x:v>-13.558559684477203</x:v>
      </x:c>
      <x:c r="K84" s="48" t="n">
        <x:f>MAX(0,MIN(100,50+J84*6))</x:f>
        <x:v>0</x:v>
      </x:c>
      <x:c r="L84" s="48" t="n">
        <x:f>MIN(100,MAX(0,MIN(100,(1-(B84-1)/(H84*1.5))*100))*IF(A84="QB",'League Config'!$G$14,IF(A84="RB",'League Config'!$G$15,IF(A84="WR",'League Config'!$G$16,IF(A84="TE",'League Config'!$G$17,IF(A84="K",'League Config'!$G$18,'League Config'!$G$19))))))</x:f>
        <x:v>2.3958333333333375</x:v>
      </x:c>
      <x:c r="M84" t="n">
        <x:f>IF(A84="K",'League Config'!$B$15,IF(A84="DST",'League Config'!$B$16,IF(A84="QB",'League Config'!$B$17,0)))</x:f>
        <x:v>0</x:v>
      </x:c>
      <x:c r="N84" s="48" t="n">
        <x:f>MIN(100,MAX(0,0.55*G84+0.30*K84+0.15*L84-M84))</x:f>
        <x:v>33.36445192307693</x:v>
      </x:c>
      <x:c r="O84" t="n">
        <x:f>RANK.EQ(N84,$N$5:$N$227,0)</x:f>
        <x:v>187</x:v>
      </x:c>
      <x:c r="P84" s="110" t="n">
        <x:v>199.4</x:v>
      </x:c>
      <x:c r="Q84" s="48" t="n">
        <x:f>P84-O84</x:f>
        <x:v>12.400000000000006</x:v>
      </x:c>
      <x:c r="R84" s="48" t="n">
        <x:f>MAX(40,G84-IF(U84="A",6,IF(U84="B",9,12)))</x:f>
        <x:v>51.00923076923077</x:v>
      </x:c>
      <x:c r="S84" s="48" t="n">
        <x:f>G84</x:f>
        <x:v>60.00923076923077</x:v>
      </x:c>
      <x:c r="T84" s="48" t="n">
        <x:f>MIN(100,G84+IF(U84="A",6,IF(U84="B",9,12)))</x:f>
        <x:v>69.00923076923077</x:v>
      </x:c>
      <x:c r="U84" t="str">
        <x:v>B</x:v>
      </x:c>
      <x:c r="V84" t="str">
        <x:v>HISTORY FALLBACK</x:v>
      </x:c>
      <x:c r="W84" s="109" t="str">
        <x:v>Available</x:v>
      </x:c>
      <x:c r="X84" t="n">
        <x:f>IF(W84&lt;&gt;"Available","",1+COUNTIFS($W$5:$W$227,"Available",$N$5:$N$227,"&gt;"&amp;N84))</x:f>
        <x:v>187</x:v>
      </x:c>
      <x:c r="Y84" s="98" t="str">
        <x:v>EXPECTATION: Bench stash/handcuff profile; value is tied to role change or injury ahead.  WHY: The 2026 opportunity and projection carry most of the grade because detailed 2025 rate data is incomplete. Market price is favorable around ADP 199 versus model overall rank 187.  RISK: Touchdown variance, receiving-role changes and backfield competition are the main downside paths.</x:v>
      </x:c>
      <x:c r="Z84" t="str">
        <x:v>ADP proxy — editable; based on positional draft cost</x:v>
      </x:c>
    </x:row>
    <x:row r="85">
      <x:c r="A85" t="str">
        <x:v>RB</x:v>
      </x:c>
      <x:c r="B85" t="n">
        <x:v>49</x:v>
      </x:c>
      <x:c r="C85" t="str">
        <x:v>Alvin Kamara</x:v>
      </x:c>
      <x:c r="D85" s="48" t="n">
        <x:v>59.150000000000006</x:v>
      </x:c>
      <x:c r="E85" s="48" t="n">
        <x:f>SUMIFS('Manual Adjustments'!$G$5:$G$227,'Manual Adjustments'!$A$5:$A$227,A85,'Manual Adjustments'!$B$5:$B$227,C85)</x:f>
        <x:v>0</x:v>
      </x:c>
      <x:c r="F85" s="48" t="n">
        <x:f>IFERROR(SUMIFS('Rookie College Inputs'!$I$5:$I$13,'Rookie College Inputs'!$A$5:$A$13,C85),0)</x:f>
        <x:v>0</x:v>
      </x:c>
      <x:c r="G85" s="48" t="n">
        <x:f>MAX(40,MIN(100,D85+E85+F85))</x:f>
        <x:v>59.150000000000006</x:v>
      </x:c>
      <x:c r="H85" t="n">
        <x:f>IF(A85="QB",'League Config'!$H$5,IF(A85="RB",'League Config'!$H$6,IF(A85="WR",'League Config'!$H$7,IF(A85="TE",'League Config'!$H$8,IF(A85="K",'League Config'!$H$9,'League Config'!$H$10)))))</x:f>
        <x:v>32</x:v>
      </x:c>
      <x:c r="I85" s="48" t="n">
        <x:f>IF(A85="QB",'League Config'!$F$14,IF(A85="RB",'League Config'!$F$15,IF(A85="WR",'League Config'!$F$16,IF(A85="TE",'League Config'!$F$17,IF(A85="K",'League Config'!$F$18,'League Config'!$F$19)))))</x:f>
        <x:v>73.56779045370797</x:v>
      </x:c>
      <x:c r="J85" s="48" t="n">
        <x:f>G85-I85</x:f>
        <x:v>-14.417790453707966</x:v>
      </x:c>
      <x:c r="K85" s="48" t="n">
        <x:f>MAX(0,MIN(100,50+J85*6))</x:f>
        <x:v>0</x:v>
      </x:c>
      <x:c r="L85" s="48" t="n">
        <x:f>MIN(100,MAX(0,MIN(100,(1-(B85-1)/(H85*1.5))*100))*IF(A85="QB",'League Config'!$G$14,IF(A85="RB",'League Config'!$G$15,IF(A85="WR",'League Config'!$G$16,IF(A85="TE",'League Config'!$G$17,IF(A85="K",'League Config'!$G$18,'League Config'!$G$19))))))</x:f>
        <x:v>0</x:v>
      </x:c>
      <x:c r="M85" t="n">
        <x:f>IF(A85="K",'League Config'!$B$15,IF(A85="DST",'League Config'!$B$16,IF(A85="QB",'League Config'!$B$17,0)))</x:f>
        <x:v>0</x:v>
      </x:c>
      <x:c r="N85" s="48" t="n">
        <x:f>MIN(100,MAX(0,0.55*G85+0.30*K85+0.15*L85-M85))</x:f>
        <x:v>32.532500000000006</x:v>
      </x:c>
      <x:c r="O85" t="n">
        <x:f>RANK.EQ(N85,$N$5:$N$227,0)</x:f>
        <x:v>191</x:v>
      </x:c>
      <x:c r="P85" s="110" t="n">
        <x:v>203.60000000000002</x:v>
      </x:c>
      <x:c r="Q85" s="48" t="n">
        <x:f>P85-O85</x:f>
        <x:v>12.600000000000023</x:v>
      </x:c>
      <x:c r="R85" s="48" t="n">
        <x:f>MAX(40,G85-IF(U85="A",6,IF(U85="B",9,12)))</x:f>
        <x:v>50.150000000000006</x:v>
      </x:c>
      <x:c r="S85" s="48" t="n">
        <x:f>G85</x:f>
        <x:v>59.150000000000006</x:v>
      </x:c>
      <x:c r="T85" s="48" t="n">
        <x:f>MIN(100,G85+IF(U85="A",6,IF(U85="B",9,12)))</x:f>
        <x:v>68.15</x:v>
      </x:c>
      <x:c r="U85" t="str">
        <x:v>B</x:v>
      </x:c>
      <x:c r="V85" t="str">
        <x:v>HISTORY FALLBACK</x:v>
      </x:c>
      <x:c r="W85" s="109" t="str">
        <x:v>Available</x:v>
      </x:c>
      <x:c r="X85" t="n">
        <x:f>IF(W85&lt;&gt;"Available","",1+COUNTIFS($W$5:$W$227,"Available",$N$5:$N$227,"&gt;"&amp;N85))</x:f>
        <x:v>191</x:v>
      </x:c>
      <x:c r="Y85" s="98" t="str">
        <x:v>EXPECTATION: Bench stash/handcuff profile; value is tied to role change or injury ahead.  WHY: The 2026 opportunity and projection carry most of the grade because detailed 2025 rate data is incomplete. Market price is favorable around ADP 204 versus model overall rank 191.  RISK: Touchdown variance, receiving-role changes and backfield competition are the main downside paths.</x:v>
      </x:c>
      <x:c r="Z85" t="str">
        <x:v>ADP proxy — editable; based on positional draft cost</x:v>
      </x:c>
    </x:row>
    <x:row r="86">
      <x:c r="A86" t="str">
        <x:v>RB</x:v>
      </x:c>
      <x:c r="B86" t="n">
        <x:v>50</x:v>
      </x:c>
      <x:c r="C86" t="str">
        <x:v>Justice Hill</x:v>
      </x:c>
      <x:c r="D86" s="48" t="n">
        <x:v>54.879999999999995</x:v>
      </x:c>
      <x:c r="E86" s="48" t="n">
        <x:f>SUMIFS('Manual Adjustments'!$G$5:$G$227,'Manual Adjustments'!$A$5:$A$227,A86,'Manual Adjustments'!$B$5:$B$227,C86)</x:f>
        <x:v>0</x:v>
      </x:c>
      <x:c r="F86" s="48" t="n">
        <x:f>IFERROR(SUMIFS('Rookie College Inputs'!$I$5:$I$13,'Rookie College Inputs'!$A$5:$A$13,C86),0)</x:f>
        <x:v>0</x:v>
      </x:c>
      <x:c r="G86" s="48" t="n">
        <x:f>MAX(40,MIN(100,D86+E86+F86))</x:f>
        <x:v>54.879999999999995</x:v>
      </x:c>
      <x:c r="H86" t="n">
        <x:f>IF(A86="QB",'League Config'!$H$5,IF(A86="RB",'League Config'!$H$6,IF(A86="WR",'League Config'!$H$7,IF(A86="TE",'League Config'!$H$8,IF(A86="K",'League Config'!$H$9,'League Config'!$H$10)))))</x:f>
        <x:v>32</x:v>
      </x:c>
      <x:c r="I86" s="48" t="n">
        <x:f>IF(A86="QB",'League Config'!$F$14,IF(A86="RB",'League Config'!$F$15,IF(A86="WR",'League Config'!$F$16,IF(A86="TE",'League Config'!$F$17,IF(A86="K",'League Config'!$F$18,'League Config'!$F$19)))))</x:f>
        <x:v>73.56779045370797</x:v>
      </x:c>
      <x:c r="J86" s="48" t="n">
        <x:f>G86-I86</x:f>
        <x:v>-18.687790453707976</x:v>
      </x:c>
      <x:c r="K86" s="48" t="n">
        <x:f>MAX(0,MIN(100,50+J86*6))</x:f>
        <x:v>0</x:v>
      </x:c>
      <x:c r="L86" s="48" t="n">
        <x:f>MIN(100,MAX(0,MIN(100,(1-(B86-1)/(H86*1.5))*100))*IF(A86="QB",'League Config'!$G$14,IF(A86="RB",'League Config'!$G$15,IF(A86="WR",'League Config'!$G$16,IF(A86="TE",'League Config'!$G$17,IF(A86="K",'League Config'!$G$18,'League Config'!$G$19))))))</x:f>
        <x:v>0</x:v>
      </x:c>
      <x:c r="M86" t="n">
        <x:f>IF(A86="K",'League Config'!$B$15,IF(A86="DST",'League Config'!$B$16,IF(A86="QB",'League Config'!$B$17,0)))</x:f>
        <x:v>0</x:v>
      </x:c>
      <x:c r="N86" s="48" t="n">
        <x:f>MIN(100,MAX(0,0.55*G86+0.30*K86+0.15*L86-M86))</x:f>
        <x:v>30.184</x:v>
      </x:c>
      <x:c r="O86" t="n">
        <x:f>RANK.EQ(N86,$N$5:$N$227,0)</x:f>
        <x:v>199</x:v>
      </x:c>
      <x:c r="P86" s="110" t="n">
        <x:v>207.8</x:v>
      </x:c>
      <x:c r="Q86" s="48" t="n">
        <x:f>P86-O86</x:f>
        <x:v>8.800000000000011</x:v>
      </x:c>
      <x:c r="R86" s="48" t="n">
        <x:f>MAX(40,G86-IF(U86="A",6,IF(U86="B",9,12)))</x:f>
        <x:v>45.879999999999995</x:v>
      </x:c>
      <x:c r="S86" s="48" t="n">
        <x:f>G86</x:f>
        <x:v>54.879999999999995</x:v>
      </x:c>
      <x:c r="T86" s="48" t="n">
        <x:f>MIN(100,G86+IF(U86="A",6,IF(U86="B",9,12)))</x:f>
        <x:v>63.879999999999995</x:v>
      </x:c>
      <x:c r="U86" t="str">
        <x:v>B</x:v>
      </x:c>
      <x:c r="V86" t="str">
        <x:v>HISTORY FALLBACK</x:v>
      </x:c>
      <x:c r="W86" s="109" t="str">
        <x:v>Available</x:v>
      </x:c>
      <x:c r="X86" t="n">
        <x:f>IF(W86&lt;&gt;"Available","",1+COUNTIFS($W$5:$W$227,"Available",$N$5:$N$227,"&gt;"&amp;N86))</x:f>
        <x:v>199</x:v>
      </x:c>
      <x:c r="Y86" s="98" t="str">
        <x:v>EXPECTATION: Bench stash/handcuff profile; value is tied to role change or injury ahead.  WHY: The 2026 opportunity and projection carry most of the grade because detailed 2025 rate data is incomplete.  RISK: Touchdown variance, receiving-role changes and backfield competition are the main downside paths.</x:v>
      </x:c>
      <x:c r="Z86" t="str">
        <x:v>ADP proxy — editable; based on positional draft cost</x:v>
      </x:c>
    </x:row>
    <x:row r="87">
      <x:c r="A87" t="str">
        <x:v>TE</x:v>
      </x:c>
      <x:c r="B87" t="n">
        <x:v>1</x:v>
      </x:c>
      <x:c r="C87" t="str">
        <x:v>Trey McBride</x:v>
      </x:c>
      <x:c r="D87" s="48" t="n">
        <x:v>97.73707606111353</x:v>
      </x:c>
      <x:c r="E87" s="48" t="n">
        <x:f>SUMIFS('Manual Adjustments'!$G$5:$G$227,'Manual Adjustments'!$A$5:$A$227,A87,'Manual Adjustments'!$B$5:$B$227,C87)</x:f>
        <x:v>0</x:v>
      </x:c>
      <x:c r="F87" s="48" t="n">
        <x:f>IFERROR(SUMIFS('Rookie College Inputs'!$I$5:$I$13,'Rookie College Inputs'!$A$5:$A$13,C87),0)</x:f>
        <x:v>0</x:v>
      </x:c>
      <x:c r="G87" s="48" t="n">
        <x:f>MAX(40,MIN(100,D87+E87+F87))</x:f>
        <x:v>97.73707606111353</x:v>
      </x:c>
      <x:c r="H87" t="n">
        <x:f>IF(A87="QB",'League Config'!$H$5,IF(A87="RB",'League Config'!$H$6,IF(A87="WR",'League Config'!$H$7,IF(A87="TE",'League Config'!$H$8,IF(A87="K",'League Config'!$H$9,'League Config'!$H$10)))))</x:f>
        <x:v>13</x:v>
      </x:c>
      <x:c r="I87" s="48" t="n">
        <x:f>IF(A87="QB",'League Config'!$F$14,IF(A87="RB",'League Config'!$F$15,IF(A87="WR",'League Config'!$F$16,IF(A87="TE",'League Config'!$F$17,IF(A87="K",'League Config'!$F$18,'League Config'!$F$19)))))</x:f>
        <x:v>79.9181106679422</x:v>
      </x:c>
      <x:c r="J87" s="48" t="n">
        <x:f>G87-I87</x:f>
        <x:v>17.818965393171325</x:v>
      </x:c>
      <x:c r="K87" s="48" t="n">
        <x:f>MAX(0,MIN(100,50+J87*6))</x:f>
        <x:v>100</x:v>
      </x:c>
      <x:c r="L87" s="48" t="n">
        <x:f>MIN(100,MAX(0,MIN(100,(1-(B87-1)/(H87*1.5))*100))*IF(A87="QB",'League Config'!$G$14,IF(A87="RB",'League Config'!$G$15,IF(A87="WR",'League Config'!$G$16,IF(A87="TE",'League Config'!$G$17,IF(A87="K",'League Config'!$G$18,'League Config'!$G$19))))))</x:f>
        <x:v>90</x:v>
      </x:c>
      <x:c r="M87" t="n">
        <x:f>IF(A87="K",'League Config'!$B$15,IF(A87="DST",'League Config'!$B$16,IF(A87="QB",'League Config'!$B$17,0)))</x:f>
        <x:v>0</x:v>
      </x:c>
      <x:c r="N87" s="48" t="n">
        <x:f>MIN(100,MAX(0,0.55*G87+0.30*K87+0.15*L87-M87))</x:f>
        <x:v>97.25539183361244</x:v>
      </x:c>
      <x:c r="O87" t="n">
        <x:f>RANK.EQ(N87,$N$5:$N$227,0)</x:f>
        <x:v>5</x:v>
      </x:c>
      <x:c r="P87" s="110" t="n">
        <x:v>17</x:v>
      </x:c>
      <x:c r="Q87" s="48" t="n">
        <x:f>P87-O87</x:f>
        <x:v>12</x:v>
      </x:c>
      <x:c r="R87" s="48" t="n">
        <x:f>MAX(40,G87-IF(U87="A",6,IF(U87="B",9,12)))</x:f>
        <x:v>91.73707606111353</x:v>
      </x:c>
      <x:c r="S87" s="48" t="n">
        <x:f>G87</x:f>
        <x:v>97.73707606111353</x:v>
      </x:c>
      <x:c r="T87" s="48" t="n">
        <x:f>MIN(100,G87+IF(U87="A",6,IF(U87="B",9,12)))</x:f>
        <x:v>100</x:v>
      </x:c>
      <x:c r="U87" t="str">
        <x:v>A</x:v>
      </x:c>
      <x:c r="V87" t="str">
        <x:v>RATE-ADJUSTED VETERAN</x:v>
      </x:c>
      <x:c r="W87" s="109" t="str">
        <x:v>Available</x:v>
      </x:c>
      <x:c r="X87" t="n">
        <x:f>IF(W87&lt;&gt;"Available","",1+COUNTIFS($W$5:$W$227,"Available",$N$5:$N$227,"&gt;"&amp;N87))</x:f>
        <x:v>5</x:v>
      </x:c>
      <x:c r="Y87" s="98" t="str">
        <x:v>EXPECTATION: Elite difference-making TE; positional advantage is the expectation.  WHY: He produced 18.6 PPR/FP points per game across 17 games. The workload/efficiency profile gives the model a rate-based reason to keep him here. Market price is favorable around ADP 17 versus model overall rank 5.  RISK: Route share, target volume and touchdown volatility are the main swing factors.</x:v>
      </x:c>
      <x:c r="Z87" t="str">
        <x:v>https://www.fantasypros.com/nfl/adp/ppr-overall.php</x:v>
      </x:c>
    </x:row>
    <x:row r="88">
      <x:c r="A88" t="str">
        <x:v>TE</x:v>
      </x:c>
      <x:c r="B88" t="n">
        <x:v>2</x:v>
      </x:c>
      <x:c r="C88" t="str">
        <x:v>Brock Bowers</x:v>
      </x:c>
      <x:c r="D88" s="48" t="n">
        <x:v>94.88455995514477</x:v>
      </x:c>
      <x:c r="E88" s="48" t="n">
        <x:f>SUMIFS('Manual Adjustments'!$G$5:$G$227,'Manual Adjustments'!$A$5:$A$227,A88,'Manual Adjustments'!$B$5:$B$227,C88)</x:f>
        <x:v>0</x:v>
      </x:c>
      <x:c r="F88" s="48" t="n">
        <x:f>IFERROR(SUMIFS('Rookie College Inputs'!$I$5:$I$13,'Rookie College Inputs'!$A$5:$A$13,C88),0)</x:f>
        <x:v>0</x:v>
      </x:c>
      <x:c r="G88" s="48" t="n">
        <x:f>MAX(40,MIN(100,D88+E88+F88))</x:f>
        <x:v>94.88455995514477</x:v>
      </x:c>
      <x:c r="H88" t="n">
        <x:f>IF(A88="QB",'League Config'!$H$5,IF(A88="RB",'League Config'!$H$6,IF(A88="WR",'League Config'!$H$7,IF(A88="TE",'League Config'!$H$8,IF(A88="K",'League Config'!$H$9,'League Config'!$H$10)))))</x:f>
        <x:v>13</x:v>
      </x:c>
      <x:c r="I88" s="48" t="n">
        <x:f>IF(A88="QB",'League Config'!$F$14,IF(A88="RB",'League Config'!$F$15,IF(A88="WR",'League Config'!$F$16,IF(A88="TE",'League Config'!$F$17,IF(A88="K",'League Config'!$F$18,'League Config'!$F$19)))))</x:f>
        <x:v>79.9181106679422</x:v>
      </x:c>
      <x:c r="J88" s="48" t="n">
        <x:f>G88-I88</x:f>
        <x:v>14.966449287202565</x:v>
      </x:c>
      <x:c r="K88" s="48" t="n">
        <x:f>MAX(0,MIN(100,50+J88*6))</x:f>
        <x:v>100</x:v>
      </x:c>
      <x:c r="L88" s="48" t="n">
        <x:f>MIN(100,MAX(0,MIN(100,(1-(B88-1)/(H88*1.5))*100))*IF(A88="QB",'League Config'!$G$14,IF(A88="RB",'League Config'!$G$15,IF(A88="WR",'League Config'!$G$16,IF(A88="TE",'League Config'!$G$17,IF(A88="K",'League Config'!$G$18,'League Config'!$G$19))))))</x:f>
        <x:v>85.38461538461537</x:v>
      </x:c>
      <x:c r="M88" t="n">
        <x:f>IF(A88="K",'League Config'!$B$15,IF(A88="DST",'League Config'!$B$16,IF(A88="QB",'League Config'!$B$17,0)))</x:f>
        <x:v>0</x:v>
      </x:c>
      <x:c r="N88" s="48" t="n">
        <x:f>MIN(100,MAX(0,0.55*G88+0.30*K88+0.15*L88-M88))</x:f>
        <x:v>94.99420028302193</x:v>
      </x:c>
      <x:c r="O88" t="n">
        <x:f>RANK.EQ(N88,$N$5:$N$227,0)</x:f>
        <x:v>11</x:v>
      </x:c>
      <x:c r="P88" s="110" t="n">
        <x:v>20</x:v>
      </x:c>
      <x:c r="Q88" s="48" t="n">
        <x:f>P88-O88</x:f>
        <x:v>9</x:v>
      </x:c>
      <x:c r="R88" s="48" t="n">
        <x:f>MAX(40,G88-IF(U88="A",6,IF(U88="B",9,12)))</x:f>
        <x:v>88.88455995514477</x:v>
      </x:c>
      <x:c r="S88" s="48" t="n">
        <x:f>G88</x:f>
        <x:v>94.88455995514477</x:v>
      </x:c>
      <x:c r="T88" s="48" t="n">
        <x:f>MIN(100,G88+IF(U88="A",6,IF(U88="B",9,12)))</x:f>
        <x:v>100</x:v>
      </x:c>
      <x:c r="U88" t="str">
        <x:v>A</x:v>
      </x:c>
      <x:c r="V88" t="str">
        <x:v>RATE-ADJUSTED VETERAN</x:v>
      </x:c>
      <x:c r="W88" s="109" t="str">
        <x:v>Available</x:v>
      </x:c>
      <x:c r="X88" t="n">
        <x:f>IF(W88&lt;&gt;"Available","",1+COUNTIFS($W$5:$W$227,"Available",$N$5:$N$227,"&gt;"&amp;N88))</x:f>
        <x:v>11</x:v>
      </x:c>
      <x:c r="Y88" s="98" t="str">
        <x:v>EXPECTATION: Elite difference-making TE; positional advantage is the expectation.  WHY: He produced 14.7 PPR/FP points per game across 12 games. The workload/efficiency profile gives the model a rate-based reason to keep him here.  RISK: Route share, target volume and touchdown volatility are the main swing factors.</x:v>
      </x:c>
      <x:c r="Z88" t="str">
        <x:v>https://www.fantasypros.com/nfl/adp/ppr-overall.php</x:v>
      </x:c>
    </x:row>
    <x:row r="89">
      <x:c r="A89" t="str">
        <x:v>TE</x:v>
      </x:c>
      <x:c r="B89" t="n">
        <x:v>3</x:v>
      </x:c>
      <x:c r="C89" t="str">
        <x:v>Colston Loveland</x:v>
      </x:c>
      <x:c r="D89" s="48" t="n">
        <x:v>88.75308009954404</x:v>
      </x:c>
      <x:c r="E89" s="48" t="n">
        <x:f>SUMIFS('Manual Adjustments'!$G$5:$G$227,'Manual Adjustments'!$A$5:$A$227,A89,'Manual Adjustments'!$B$5:$B$227,C89)</x:f>
        <x:v>0</x:v>
      </x:c>
      <x:c r="F89" s="48" t="n">
        <x:f>IFERROR(SUMIFS('Rookie College Inputs'!$I$5:$I$13,'Rookie College Inputs'!$A$5:$A$13,C89),0)</x:f>
        <x:v>0</x:v>
      </x:c>
      <x:c r="G89" s="48" t="n">
        <x:f>MAX(40,MIN(100,D89+E89+F89))</x:f>
        <x:v>88.75308009954404</x:v>
      </x:c>
      <x:c r="H89" t="n">
        <x:f>IF(A89="QB",'League Config'!$H$5,IF(A89="RB",'League Config'!$H$6,IF(A89="WR",'League Config'!$H$7,IF(A89="TE",'League Config'!$H$8,IF(A89="K",'League Config'!$H$9,'League Config'!$H$10)))))</x:f>
        <x:v>13</x:v>
      </x:c>
      <x:c r="I89" s="48" t="n">
        <x:f>IF(A89="QB",'League Config'!$F$14,IF(A89="RB",'League Config'!$F$15,IF(A89="WR",'League Config'!$F$16,IF(A89="TE",'League Config'!$F$17,IF(A89="K",'League Config'!$F$18,'League Config'!$F$19)))))</x:f>
        <x:v>79.9181106679422</x:v>
      </x:c>
      <x:c r="J89" s="48" t="n">
        <x:f>G89-I89</x:f>
        <x:v>8.834969431601834</x:v>
      </x:c>
      <x:c r="K89" s="48" t="n">
        <x:f>MAX(0,MIN(100,50+J89*6))</x:f>
        <x:v>100</x:v>
      </x:c>
      <x:c r="L89" s="48" t="n">
        <x:f>MIN(100,MAX(0,MIN(100,(1-(B89-1)/(H89*1.5))*100))*IF(A89="QB",'League Config'!$G$14,IF(A89="RB",'League Config'!$G$15,IF(A89="WR",'League Config'!$G$16,IF(A89="TE",'League Config'!$G$17,IF(A89="K",'League Config'!$G$18,'League Config'!$G$19))))))</x:f>
        <x:v>80.76923076923077</x:v>
      </x:c>
      <x:c r="M89" t="n">
        <x:f>IF(A89="K",'League Config'!$B$15,IF(A89="DST",'League Config'!$B$16,IF(A89="QB",'League Config'!$B$17,0)))</x:f>
        <x:v>0</x:v>
      </x:c>
      <x:c r="N89" s="48" t="n">
        <x:f>MIN(100,MAX(0,0.55*G89+0.30*K89+0.15*L89-M89))</x:f>
        <x:v>90.92957867013384</x:v>
      </x:c>
      <x:c r="O89" t="n">
        <x:f>RANK.EQ(N89,$N$5:$N$227,0)</x:f>
        <x:v>23</x:v>
      </x:c>
      <x:c r="P89" s="110" t="n">
        <x:v>35</x:v>
      </x:c>
      <x:c r="Q89" s="48" t="n">
        <x:f>P89-O89</x:f>
        <x:v>12</x:v>
      </x:c>
      <x:c r="R89" s="48" t="n">
        <x:f>MAX(40,G89-IF(U89="A",6,IF(U89="B",9,12)))</x:f>
        <x:v>82.75308009954404</x:v>
      </x:c>
      <x:c r="S89" s="48" t="n">
        <x:f>G89</x:f>
        <x:v>88.75308009954404</x:v>
      </x:c>
      <x:c r="T89" s="48" t="n">
        <x:f>MIN(100,G89+IF(U89="A",6,IF(U89="B",9,12)))</x:f>
        <x:v>94.75308009954404</x:v>
      </x:c>
      <x:c r="U89" t="str">
        <x:v>A</x:v>
      </x:c>
      <x:c r="V89" t="str">
        <x:v>RATE-ADJUSTED VETERAN</x:v>
      </x:c>
      <x:c r="W89" s="109" t="str">
        <x:v>Available</x:v>
      </x:c>
      <x:c r="X89" t="n">
        <x:f>IF(W89&lt;&gt;"Available","",1+COUNTIFS($W$5:$W$227,"Available",$N$5:$N$227,"&gt;"&amp;N89))</x:f>
        <x:v>23</x:v>
      </x:c>
      <x:c r="Y89" s="98" t="str">
        <x:v>EXPECTATION: Elite difference-making TE; positional advantage is the expectation.  WHY: He produced 10.3 PPR/FP points per game across 16 games. The workload/efficiency profile gives the model a rate-based reason to keep him here. Market price is favorable around ADP 35 versus model overall rank 22.  RISK: Route share, target volume and touchdown volatility are the main swing factors.</x:v>
      </x:c>
      <x:c r="Z89" t="str">
        <x:v>ADP proxy — editable; based on positional draft cost</x:v>
      </x:c>
    </x:row>
    <x:row r="90">
      <x:c r="A90" t="str">
        <x:v>TE</x:v>
      </x:c>
      <x:c r="B90" t="n">
        <x:v>4</x:v>
      </x:c>
      <x:c r="C90" t="str">
        <x:v>Tyler Warren</x:v>
      </x:c>
      <x:c r="D90" s="48" t="n">
        <x:v>87.2023750800111</x:v>
      </x:c>
      <x:c r="E90" s="48" t="n">
        <x:f>SUMIFS('Manual Adjustments'!$G$5:$G$227,'Manual Adjustments'!$A$5:$A$227,A90,'Manual Adjustments'!$B$5:$B$227,C90)</x:f>
        <x:v>0</x:v>
      </x:c>
      <x:c r="F90" s="48" t="n">
        <x:f>IFERROR(SUMIFS('Rookie College Inputs'!$I$5:$I$13,'Rookie College Inputs'!$A$5:$A$13,C90),0)</x:f>
        <x:v>0</x:v>
      </x:c>
      <x:c r="G90" s="48" t="n">
        <x:f>MAX(40,MIN(100,D90+E90+F90))</x:f>
        <x:v>87.2023750800111</x:v>
      </x:c>
      <x:c r="H90" t="n">
        <x:f>IF(A90="QB",'League Config'!$H$5,IF(A90="RB",'League Config'!$H$6,IF(A90="WR",'League Config'!$H$7,IF(A90="TE",'League Config'!$H$8,IF(A90="K",'League Config'!$H$9,'League Config'!$H$10)))))</x:f>
        <x:v>13</x:v>
      </x:c>
      <x:c r="I90" s="48" t="n">
        <x:f>IF(A90="QB",'League Config'!$F$14,IF(A90="RB",'League Config'!$F$15,IF(A90="WR",'League Config'!$F$16,IF(A90="TE",'League Config'!$F$17,IF(A90="K",'League Config'!$F$18,'League Config'!$F$19)))))</x:f>
        <x:v>79.9181106679422</x:v>
      </x:c>
      <x:c r="J90" s="48" t="n">
        <x:f>G90-I90</x:f>
        <x:v>7.284264412068893</x:v>
      </x:c>
      <x:c r="K90" s="48" t="n">
        <x:f>MAX(0,MIN(100,50+J90*6))</x:f>
        <x:v>93.70558647241336</x:v>
      </x:c>
      <x:c r="L90" s="48" t="n">
        <x:f>MIN(100,MAX(0,MIN(100,(1-(B90-1)/(H90*1.5))*100))*IF(A90="QB",'League Config'!$G$14,IF(A90="RB",'League Config'!$G$15,IF(A90="WR",'League Config'!$G$16,IF(A90="TE",'League Config'!$G$17,IF(A90="K",'League Config'!$G$18,'League Config'!$G$19))))))</x:f>
        <x:v>76.15384615384616</x:v>
      </x:c>
      <x:c r="M90" t="n">
        <x:f>IF(A90="K",'League Config'!$B$15,IF(A90="DST",'League Config'!$B$16,IF(A90="QB",'League Config'!$B$17,0)))</x:f>
        <x:v>0</x:v>
      </x:c>
      <x:c r="N90" s="48" t="n">
        <x:f>MIN(100,MAX(0,0.55*G90+0.30*K90+0.15*L90-M90))</x:f>
        <x:v>87.49605915880703</x:v>
      </x:c>
      <x:c r="O90" t="n">
        <x:f>RANK.EQ(N90,$N$5:$N$227,0)</x:f>
        <x:v>40</x:v>
      </x:c>
      <x:c r="P90" s="110" t="n">
        <x:v>44</x:v>
      </x:c>
      <x:c r="Q90" s="48" t="n">
        <x:f>P90-O90</x:f>
        <x:v>4</x:v>
      </x:c>
      <x:c r="R90" s="48" t="n">
        <x:f>MAX(40,G90-IF(U90="A",6,IF(U90="B",9,12)))</x:f>
        <x:v>81.2023750800111</x:v>
      </x:c>
      <x:c r="S90" s="48" t="n">
        <x:f>G90</x:f>
        <x:v>87.2023750800111</x:v>
      </x:c>
      <x:c r="T90" s="48" t="n">
        <x:f>MIN(100,G90+IF(U90="A",6,IF(U90="B",9,12)))</x:f>
        <x:v>93.2023750800111</x:v>
      </x:c>
      <x:c r="U90" t="str">
        <x:v>A</x:v>
      </x:c>
      <x:c r="V90" t="str">
        <x:v>RATE-ADJUSTED VETERAN</x:v>
      </x:c>
      <x:c r="W90" s="109" t="str">
        <x:v>Available</x:v>
      </x:c>
      <x:c r="X90" t="n">
        <x:f>IF(W90&lt;&gt;"Available","",1+COUNTIFS($W$5:$W$227,"Available",$N$5:$N$227,"&gt;"&amp;N90))</x:f>
        <x:v>40</x:v>
      </x:c>
      <x:c r="Y90" s="98" t="str">
        <x:v>EXPECTATION: Every-week TE1 with real top-5 upside.  WHY: He produced 11.1 PPR/FP points per game across 17 games. The workload/efficiency profile gives the model a rate-based reason to keep him here.  RISK: Route share, target volume and touchdown volatility are the main swing factors.</x:v>
      </x:c>
      <x:c r="Z90" t="str">
        <x:v>ADP proxy — editable; based on positional draft cost</x:v>
      </x:c>
    </x:row>
    <x:row r="91">
      <x:c r="A91" t="str">
        <x:v>TE</x:v>
      </x:c>
      <x:c r="B91" t="n">
        <x:v>5</x:v>
      </x:c>
      <x:c r="C91" t="str">
        <x:v>George Kittle</x:v>
      </x:c>
      <x:c r="D91" s="48" t="n">
        <x:v>86.26638054791886</x:v>
      </x:c>
      <x:c r="E91" s="48" t="n">
        <x:f>SUMIFS('Manual Adjustments'!$G$5:$G$227,'Manual Adjustments'!$A$5:$A$227,A91,'Manual Adjustments'!$B$5:$B$227,C91)</x:f>
        <x:v>0</x:v>
      </x:c>
      <x:c r="F91" s="48" t="n">
        <x:f>IFERROR(SUMIFS('Rookie College Inputs'!$I$5:$I$13,'Rookie College Inputs'!$A$5:$A$13,C91),0)</x:f>
        <x:v>0</x:v>
      </x:c>
      <x:c r="G91" s="48" t="n">
        <x:f>MAX(40,MIN(100,D91+E91+F91))</x:f>
        <x:v>86.26638054791886</x:v>
      </x:c>
      <x:c r="H91" t="n">
        <x:f>IF(A91="QB",'League Config'!$H$5,IF(A91="RB",'League Config'!$H$6,IF(A91="WR",'League Config'!$H$7,IF(A91="TE",'League Config'!$H$8,IF(A91="K",'League Config'!$H$9,'League Config'!$H$10)))))</x:f>
        <x:v>13</x:v>
      </x:c>
      <x:c r="I91" s="48" t="n">
        <x:f>IF(A91="QB",'League Config'!$F$14,IF(A91="RB",'League Config'!$F$15,IF(A91="WR",'League Config'!$F$16,IF(A91="TE",'League Config'!$F$17,IF(A91="K",'League Config'!$F$18,'League Config'!$F$19)))))</x:f>
        <x:v>79.9181106679422</x:v>
      </x:c>
      <x:c r="J91" s="48" t="n">
        <x:f>G91-I91</x:f>
        <x:v>6.348269879976655</x:v>
      </x:c>
      <x:c r="K91" s="48" t="n">
        <x:f>MAX(0,MIN(100,50+J91*6))</x:f>
        <x:v>88.08961927985993</x:v>
      </x:c>
      <x:c r="L91" s="48" t="n">
        <x:f>MIN(100,MAX(0,MIN(100,(1-(B91-1)/(H91*1.5))*100))*IF(A91="QB",'League Config'!$G$14,IF(A91="RB",'League Config'!$G$15,IF(A91="WR",'League Config'!$G$16,IF(A91="TE",'League Config'!$G$17,IF(A91="K",'League Config'!$G$18,'League Config'!$G$19))))))</x:f>
        <x:v>71.53846153846155</x:v>
      </x:c>
      <x:c r="M91" t="n">
        <x:f>IF(A91="K",'League Config'!$B$15,IF(A91="DST",'League Config'!$B$16,IF(A91="QB",'League Config'!$B$17,0)))</x:f>
        <x:v>0</x:v>
      </x:c>
      <x:c r="N91" s="48" t="n">
        <x:f>MIN(100,MAX(0,0.55*G91+0.30*K91+0.15*L91-M91))</x:f>
        <x:v>84.60416431608257</x:v>
      </x:c>
      <x:c r="O91" t="n">
        <x:f>RANK.EQ(N91,$N$5:$N$227,0)</x:f>
        <x:v>47</x:v>
      </x:c>
      <x:c r="P91" s="110" t="n">
        <x:v>53</x:v>
      </x:c>
      <x:c r="Q91" s="48" t="n">
        <x:f>P91-O91</x:f>
        <x:v>6</x:v>
      </x:c>
      <x:c r="R91" s="48" t="n">
        <x:f>MAX(40,G91-IF(U91="A",6,IF(U91="B",9,12)))</x:f>
        <x:v>77.26638054791886</x:v>
      </x:c>
      <x:c r="S91" s="48" t="n">
        <x:f>G91</x:f>
        <x:v>86.26638054791886</x:v>
      </x:c>
      <x:c r="T91" s="48" t="n">
        <x:f>MIN(100,G91+IF(U91="A",6,IF(U91="B",9,12)))</x:f>
        <x:v>95.26638054791886</x:v>
      </x:c>
      <x:c r="U91" t="str">
        <x:v>B</x:v>
      </x:c>
      <x:c r="V91" t="str">
        <x:v>RATE-ADJUSTED VETERAN</x:v>
      </x:c>
      <x:c r="W91" s="109" t="str">
        <x:v>Available</x:v>
      </x:c>
      <x:c r="X91" t="n">
        <x:f>IF(W91&lt;&gt;"Available","",1+COUNTIFS($W$5:$W$227,"Available",$N$5:$N$227,"&gt;"&amp;N91))</x:f>
        <x:v>47</x:v>
      </x:c>
      <x:c r="Y91" s="98" t="str">
        <x:v>EXPECTATION: Every-week TE1 with real top-5 upside.  WHY: He produced 14.7 PPR/FP points per game across 11 games. The workload/efficiency profile gives the model a rate-based reason to keep him here. Market price is favorable around ADP 53 versus model overall rank 43.  RISK: Route share, target volume and touchdown volatility are the main swing factors.</x:v>
      </x:c>
      <x:c r="Z91" t="str">
        <x:v>ADP proxy — editable; based on positional draft cost</x:v>
      </x:c>
    </x:row>
    <x:row r="92">
      <x:c r="A92" t="str">
        <x:v>TE</x:v>
      </x:c>
      <x:c r="B92" t="n">
        <x:v>6</x:v>
      </x:c>
      <x:c r="C92" t="str">
        <x:v>Kyle Pitts Sr.</x:v>
      </x:c>
      <x:c r="D92" s="48" t="n">
        <x:v>85.30445968766767</x:v>
      </x:c>
      <x:c r="E92" s="48" t="n">
        <x:f>SUMIFS('Manual Adjustments'!$G$5:$G$227,'Manual Adjustments'!$A$5:$A$227,A92,'Manual Adjustments'!$B$5:$B$227,C92)</x:f>
        <x:v>0</x:v>
      </x:c>
      <x:c r="F92" s="48" t="n">
        <x:f>IFERROR(SUMIFS('Rookie College Inputs'!$I$5:$I$13,'Rookie College Inputs'!$A$5:$A$13,C92),0)</x:f>
        <x:v>0</x:v>
      </x:c>
      <x:c r="G92" s="48" t="n">
        <x:f>MAX(40,MIN(100,D92+E92+F92))</x:f>
        <x:v>85.30445968766767</x:v>
      </x:c>
      <x:c r="H92" t="n">
        <x:f>IF(A92="QB",'League Config'!$H$5,IF(A92="RB",'League Config'!$H$6,IF(A92="WR",'League Config'!$H$7,IF(A92="TE",'League Config'!$H$8,IF(A92="K",'League Config'!$H$9,'League Config'!$H$10)))))</x:f>
        <x:v>13</x:v>
      </x:c>
      <x:c r="I92" s="48" t="n">
        <x:f>IF(A92="QB",'League Config'!$F$14,IF(A92="RB",'League Config'!$F$15,IF(A92="WR",'League Config'!$F$16,IF(A92="TE",'League Config'!$F$17,IF(A92="K",'League Config'!$F$18,'League Config'!$F$19)))))</x:f>
        <x:v>79.9181106679422</x:v>
      </x:c>
      <x:c r="J92" s="48" t="n">
        <x:f>G92-I92</x:f>
        <x:v>5.386349019725472</x:v>
      </x:c>
      <x:c r="K92" s="48" t="n">
        <x:f>MAX(0,MIN(100,50+J92*6))</x:f>
        <x:v>82.31809411835283</x:v>
      </x:c>
      <x:c r="L92" s="48" t="n">
        <x:f>MIN(100,MAX(0,MIN(100,(1-(B92-1)/(H92*1.5))*100))*IF(A92="QB",'League Config'!$G$14,IF(A92="RB",'League Config'!$G$15,IF(A92="WR",'League Config'!$G$16,IF(A92="TE",'League Config'!$G$17,IF(A92="K",'League Config'!$G$18,'League Config'!$G$19))))))</x:f>
        <x:v>66.92307692307693</x:v>
      </x:c>
      <x:c r="M92" t="n">
        <x:f>IF(A92="K",'League Config'!$B$15,IF(A92="DST",'League Config'!$B$16,IF(A92="QB",'League Config'!$B$17,0)))</x:f>
        <x:v>0</x:v>
      </x:c>
      <x:c r="N92" s="48" t="n">
        <x:f>MIN(100,MAX(0,0.55*G92+0.30*K92+0.15*L92-M92))</x:f>
        <x:v>81.6513426021846</x:v>
      </x:c>
      <x:c r="O92" t="n">
        <x:f>RANK.EQ(N92,$N$5:$N$227,0)</x:f>
        <x:v>50</x:v>
      </x:c>
      <x:c r="P92" s="110" t="n">
        <x:v>62</x:v>
      </x:c>
      <x:c r="Q92" s="48" t="n">
        <x:f>P92-O92</x:f>
        <x:v>12</x:v>
      </x:c>
      <x:c r="R92" s="48" t="n">
        <x:f>MAX(40,G92-IF(U92="A",6,IF(U92="B",9,12)))</x:f>
        <x:v>79.30445968766767</x:v>
      </x:c>
      <x:c r="S92" s="48" t="n">
        <x:f>G92</x:f>
        <x:v>85.30445968766767</x:v>
      </x:c>
      <x:c r="T92" s="48" t="n">
        <x:f>MIN(100,G92+IF(U92="A",6,IF(U92="B",9,12)))</x:f>
        <x:v>91.30445968766767</x:v>
      </x:c>
      <x:c r="U92" t="str">
        <x:v>A</x:v>
      </x:c>
      <x:c r="V92" t="str">
        <x:v>RATE-ADJUSTED VETERAN</x:v>
      </x:c>
      <x:c r="W92" s="109" t="str">
        <x:v>Available</x:v>
      </x:c>
      <x:c r="X92" t="n">
        <x:f>IF(W92&lt;&gt;"Available","",1+COUNTIFS($W$5:$W$227,"Available",$N$5:$N$227,"&gt;"&amp;N92))</x:f>
        <x:v>50</x:v>
      </x:c>
      <x:c r="Y92" s="98" t="str">
        <x:v>EXPECTATION: Every-week TE1 with real top-5 upside.  WHY: He produced 12.4 PPR/FP points per game across 17 games. The workload/efficiency profile gives the model a rate-based reason to keep him here. Market price is favorable around ADP 62 versus model overall rank 46.  RISK: Route share, target volume and touchdown volatility are the main swing factors.</x:v>
      </x:c>
      <x:c r="Z92" t="str">
        <x:v>ADP proxy — editable; based on positional draft cost</x:v>
      </x:c>
    </x:row>
    <x:row r="93">
      <x:c r="A93" t="str">
        <x:v>TE</x:v>
      </x:c>
      <x:c r="B93" t="n">
        <x:v>7</x:v>
      </x:c>
      <x:c r="C93" t="str">
        <x:v>Harold Fannin Jr.</x:v>
      </x:c>
      <x:c r="D93" s="48" t="n">
        <x:v>84.37768905814795</x:v>
      </x:c>
      <x:c r="E93" s="48" t="n">
        <x:f>SUMIFS('Manual Adjustments'!$G$5:$G$227,'Manual Adjustments'!$A$5:$A$227,A93,'Manual Adjustments'!$B$5:$B$227,C93)</x:f>
        <x:v>0</x:v>
      </x:c>
      <x:c r="F93" s="48" t="n">
        <x:f>IFERROR(SUMIFS('Rookie College Inputs'!$I$5:$I$13,'Rookie College Inputs'!$A$5:$A$13,C93),0)</x:f>
        <x:v>0</x:v>
      </x:c>
      <x:c r="G93" s="48" t="n">
        <x:f>MAX(40,MIN(100,D93+E93+F93))</x:f>
        <x:v>84.37768905814795</x:v>
      </x:c>
      <x:c r="H93" t="n">
        <x:f>IF(A93="QB",'League Config'!$H$5,IF(A93="RB",'League Config'!$H$6,IF(A93="WR",'League Config'!$H$7,IF(A93="TE",'League Config'!$H$8,IF(A93="K",'League Config'!$H$9,'League Config'!$H$10)))))</x:f>
        <x:v>13</x:v>
      </x:c>
      <x:c r="I93" s="48" t="n">
        <x:f>IF(A93="QB",'League Config'!$F$14,IF(A93="RB",'League Config'!$F$15,IF(A93="WR",'League Config'!$F$16,IF(A93="TE",'League Config'!$F$17,IF(A93="K",'League Config'!$F$18,'League Config'!$F$19)))))</x:f>
        <x:v>79.9181106679422</x:v>
      </x:c>
      <x:c r="J93" s="48" t="n">
        <x:f>G93-I93</x:f>
        <x:v>4.459578390205749</x:v>
      </x:c>
      <x:c r="K93" s="48" t="n">
        <x:f>MAX(0,MIN(100,50+J93*6))</x:f>
        <x:v>76.7574703412345</x:v>
      </x:c>
      <x:c r="L93" s="48" t="n">
        <x:f>MIN(100,MAX(0,MIN(100,(1-(B93-1)/(H93*1.5))*100))*IF(A93="QB",'League Config'!$G$14,IF(A93="RB",'League Config'!$G$15,IF(A93="WR",'League Config'!$G$16,IF(A93="TE",'League Config'!$G$17,IF(A93="K",'League Config'!$G$18,'League Config'!$G$19))))))</x:f>
        <x:v>62.30769230769231</x:v>
      </x:c>
      <x:c r="M93" t="n">
        <x:f>IF(A93="K",'League Config'!$B$15,IF(A93="DST",'League Config'!$B$16,IF(A93="QB",'League Config'!$B$17,0)))</x:f>
        <x:v>0</x:v>
      </x:c>
      <x:c r="N93" s="48" t="n">
        <x:f>MIN(100,MAX(0,0.55*G93+0.30*K93+0.15*L93-M93))</x:f>
        <x:v>78.78112393050557</x:v>
      </x:c>
      <x:c r="O93" t="n">
        <x:f>RANK.EQ(N93,$N$5:$N$227,0)</x:f>
        <x:v>56</x:v>
      </x:c>
      <x:c r="P93" s="110" t="n">
        <x:v>71</x:v>
      </x:c>
      <x:c r="Q93" s="48" t="n">
        <x:f>P93-O93</x:f>
        <x:v>15</x:v>
      </x:c>
      <x:c r="R93" s="48" t="n">
        <x:f>MAX(40,G93-IF(U93="A",6,IF(U93="B",9,12)))</x:f>
        <x:v>78.37768905814795</x:v>
      </x:c>
      <x:c r="S93" s="48" t="n">
        <x:f>G93</x:f>
        <x:v>84.37768905814795</x:v>
      </x:c>
      <x:c r="T93" s="48" t="n">
        <x:f>MIN(100,G93+IF(U93="A",6,IF(U93="B",9,12)))</x:f>
        <x:v>90.37768905814795</x:v>
      </x:c>
      <x:c r="U93" t="str">
        <x:v>A</x:v>
      </x:c>
      <x:c r="V93" t="str">
        <x:v>RATE-ADJUSTED VETERAN</x:v>
      </x:c>
      <x:c r="W93" s="109" t="str">
        <x:v>Available</x:v>
      </x:c>
      <x:c r="X93" t="n">
        <x:f>IF(W93&lt;&gt;"Available","",1+COUNTIFS($W$5:$W$227,"Available",$N$5:$N$227,"&gt;"&amp;N93))</x:f>
        <x:v>56</x:v>
      </x:c>
      <x:c r="Y93" s="98" t="str">
        <x:v>EXPECTATION: Every-week TE1 with real top-5 upside.  WHY: He produced 11.7 PPR/FP points per game across 16 games. The workload/efficiency profile gives the model a rate-based reason to keep him here. Market price is favorable around ADP 71 versus model overall rank 53.  RISK: Route share, target volume and touchdown volatility are the main swing factors.</x:v>
      </x:c>
      <x:c r="Z93" t="str">
        <x:v>ADP proxy — editable; based on positional draft cost</x:v>
      </x:c>
    </x:row>
    <x:row r="94">
      <x:c r="A94" t="str">
        <x:v>TE</x:v>
      </x:c>
      <x:c r="B94" t="n">
        <x:v>8</x:v>
      </x:c>
      <x:c r="C94" t="str">
        <x:v>Jake Ferguson</x:v>
      </x:c>
      <x:c r="D94" s="48" t="n">
        <x:v>84.07301065327228</x:v>
      </x:c>
      <x:c r="E94" s="48" t="n">
        <x:f>SUMIFS('Manual Adjustments'!$G$5:$G$227,'Manual Adjustments'!$A$5:$A$227,A94,'Manual Adjustments'!$B$5:$B$227,C94)</x:f>
        <x:v>0</x:v>
      </x:c>
      <x:c r="F94" s="48" t="n">
        <x:f>IFERROR(SUMIFS('Rookie College Inputs'!$I$5:$I$13,'Rookie College Inputs'!$A$5:$A$13,C94),0)</x:f>
        <x:v>0</x:v>
      </x:c>
      <x:c r="G94" s="48" t="n">
        <x:f>MAX(40,MIN(100,D94+E94+F94))</x:f>
        <x:v>84.07301065327228</x:v>
      </x:c>
      <x:c r="H94" t="n">
        <x:f>IF(A94="QB",'League Config'!$H$5,IF(A94="RB",'League Config'!$H$6,IF(A94="WR",'League Config'!$H$7,IF(A94="TE",'League Config'!$H$8,IF(A94="K",'League Config'!$H$9,'League Config'!$H$10)))))</x:f>
        <x:v>13</x:v>
      </x:c>
      <x:c r="I94" s="48" t="n">
        <x:f>IF(A94="QB",'League Config'!$F$14,IF(A94="RB",'League Config'!$F$15,IF(A94="WR",'League Config'!$F$16,IF(A94="TE",'League Config'!$F$17,IF(A94="K",'League Config'!$F$18,'League Config'!$F$19)))))</x:f>
        <x:v>79.9181106679422</x:v>
      </x:c>
      <x:c r="J94" s="48" t="n">
        <x:f>G94-I94</x:f>
        <x:v>4.154899985330076</x:v>
      </x:c>
      <x:c r="K94" s="48" t="n">
        <x:f>MAX(0,MIN(100,50+J94*6))</x:f>
        <x:v>74.92939991198045</x:v>
      </x:c>
      <x:c r="L94" s="48" t="n">
        <x:f>MIN(100,MAX(0,MIN(100,(1-(B94-1)/(H94*1.5))*100))*IF(A94="QB",'League Config'!$G$14,IF(A94="RB",'League Config'!$G$15,IF(A94="WR",'League Config'!$G$16,IF(A94="TE",'League Config'!$G$17,IF(A94="K",'League Config'!$G$18,'League Config'!$G$19))))))</x:f>
        <x:v>57.69230769230769</x:v>
      </x:c>
      <x:c r="M94" t="n">
        <x:f>IF(A94="K",'League Config'!$B$15,IF(A94="DST",'League Config'!$B$16,IF(A94="QB",'League Config'!$B$17,0)))</x:f>
        <x:v>0</x:v>
      </x:c>
      <x:c r="N94" s="48" t="n">
        <x:f>MIN(100,MAX(0,0.55*G94+0.30*K94+0.15*L94-M94))</x:f>
        <x:v>77.37282198674004</x:v>
      </x:c>
      <x:c r="O94" t="n">
        <x:f>RANK.EQ(N94,$N$5:$N$227,0)</x:f>
        <x:v>58</x:v>
      </x:c>
      <x:c r="P94" s="110" t="n">
        <x:v>80</x:v>
      </x:c>
      <x:c r="Q94" s="48" t="n">
        <x:f>P94-O94</x:f>
        <x:v>22</x:v>
      </x:c>
      <x:c r="R94" s="48" t="n">
        <x:f>MAX(40,G94-IF(U94="A",6,IF(U94="B",9,12)))</x:f>
        <x:v>78.07301065327228</x:v>
      </x:c>
      <x:c r="S94" s="48" t="n">
        <x:f>G94</x:f>
        <x:v>84.07301065327228</x:v>
      </x:c>
      <x:c r="T94" s="48" t="n">
        <x:f>MIN(100,G94+IF(U94="A",6,IF(U94="B",9,12)))</x:f>
        <x:v>90.07301065327228</x:v>
      </x:c>
      <x:c r="U94" t="str">
        <x:v>A</x:v>
      </x:c>
      <x:c r="V94" t="str">
        <x:v>RATE-ADJUSTED VETERAN</x:v>
      </x:c>
      <x:c r="W94" s="109" t="str">
        <x:v>Available</x:v>
      </x:c>
      <x:c r="X94" t="n">
        <x:f>IF(W94&lt;&gt;"Available","",1+COUNTIFS($W$5:$W$227,"Available",$N$5:$N$227,"&gt;"&amp;N94))</x:f>
        <x:v>58</x:v>
      </x:c>
      <x:c r="Y94" s="98" t="str">
        <x:v>EXPECTATION: Every-week TE1 with real top-5 upside.  WHY: He produced 11.0 PPR/FP points per game across 17 games. The workload/efficiency profile gives the model a rate-based reason to keep him here. Market price is favorable around ADP 80 versus model overall rank 56.  RISK: Route share, target volume and touchdown volatility are the main swing factors.</x:v>
      </x:c>
      <x:c r="Z94" t="str">
        <x:v>ADP proxy — editable; based on positional draft cost</x:v>
      </x:c>
    </x:row>
    <x:row r="95">
      <x:c r="A95" t="str">
        <x:v>TE</x:v>
      </x:c>
      <x:c r="B95" t="n">
        <x:v>9</x:v>
      </x:c>
      <x:c r="C95" t="str">
        <x:v>Tucker Kraft</x:v>
      </x:c>
      <x:c r="D95" s="48" t="n">
        <x:v>83.80862670075135</x:v>
      </x:c>
      <x:c r="E95" s="48" t="n">
        <x:f>SUMIFS('Manual Adjustments'!$G$5:$G$227,'Manual Adjustments'!$A$5:$A$227,A95,'Manual Adjustments'!$B$5:$B$227,C95)</x:f>
        <x:v>0</x:v>
      </x:c>
      <x:c r="F95" s="48" t="n">
        <x:f>IFERROR(SUMIFS('Rookie College Inputs'!$I$5:$I$13,'Rookie College Inputs'!$A$5:$A$13,C95),0)</x:f>
        <x:v>0</x:v>
      </x:c>
      <x:c r="G95" s="48" t="n">
        <x:f>MAX(40,MIN(100,D95+E95+F95))</x:f>
        <x:v>83.80862670075135</x:v>
      </x:c>
      <x:c r="H95" t="n">
        <x:f>IF(A95="QB",'League Config'!$H$5,IF(A95="RB",'League Config'!$H$6,IF(A95="WR",'League Config'!$H$7,IF(A95="TE",'League Config'!$H$8,IF(A95="K",'League Config'!$H$9,'League Config'!$H$10)))))</x:f>
        <x:v>13</x:v>
      </x:c>
      <x:c r="I95" s="48" t="n">
        <x:f>IF(A95="QB",'League Config'!$F$14,IF(A95="RB",'League Config'!$F$15,IF(A95="WR",'League Config'!$F$16,IF(A95="TE",'League Config'!$F$17,IF(A95="K",'League Config'!$F$18,'League Config'!$F$19)))))</x:f>
        <x:v>79.9181106679422</x:v>
      </x:c>
      <x:c r="J95" s="48" t="n">
        <x:f>G95-I95</x:f>
        <x:v>3.8905160328091455</x:v>
      </x:c>
      <x:c r="K95" s="48" t="n">
        <x:f>MAX(0,MIN(100,50+J95*6))</x:f>
        <x:v>73.34309619685487</x:v>
      </x:c>
      <x:c r="L95" s="48" t="n">
        <x:f>MIN(100,MAX(0,MIN(100,(1-(B95-1)/(H95*1.5))*100))*IF(A95="QB",'League Config'!$G$14,IF(A95="RB",'League Config'!$G$15,IF(A95="WR",'League Config'!$G$16,IF(A95="TE",'League Config'!$G$17,IF(A95="K",'League Config'!$G$18,'League Config'!$G$19))))))</x:f>
        <x:v>53.07692307692308</x:v>
      </x:c>
      <x:c r="M95" t="n">
        <x:f>IF(A95="K",'League Config'!$B$15,IF(A95="DST",'League Config'!$B$16,IF(A95="QB",'League Config'!$B$17,0)))</x:f>
        <x:v>0</x:v>
      </x:c>
      <x:c r="N95" s="48" t="n">
        <x:f>MIN(100,MAX(0,0.55*G95+0.30*K95+0.15*L95-M95))</x:f>
        <x:v>76.05921200600817</x:v>
      </x:c>
      <x:c r="O95" t="n">
        <x:f>RANK.EQ(N95,$N$5:$N$227,0)</x:f>
        <x:v>60</x:v>
      </x:c>
      <x:c r="P95" s="110" t="n">
        <x:v>89</x:v>
      </x:c>
      <x:c r="Q95" s="48" t="n">
        <x:f>P95-O95</x:f>
        <x:v>29</x:v>
      </x:c>
      <x:c r="R95" s="48" t="n">
        <x:f>MAX(40,G95-IF(U95="A",6,IF(U95="B",9,12)))</x:f>
        <x:v>74.80862670075135</x:v>
      </x:c>
      <x:c r="S95" s="48" t="n">
        <x:f>G95</x:f>
        <x:v>83.80862670075135</x:v>
      </x:c>
      <x:c r="T95" s="48" t="n">
        <x:f>MIN(100,G95+IF(U95="A",6,IF(U95="B",9,12)))</x:f>
        <x:v>92.80862670075135</x:v>
      </x:c>
      <x:c r="U95" t="str">
        <x:v>B</x:v>
      </x:c>
      <x:c r="V95" t="str">
        <x:v>RATE-ADJUSTED VETERAN</x:v>
      </x:c>
      <x:c r="W95" s="109" t="str">
        <x:v>Available</x:v>
      </x:c>
      <x:c r="X95" t="n">
        <x:f>IF(W95&lt;&gt;"Available","",1+COUNTIFS($W$5:$W$227,"Available",$N$5:$N$227,"&gt;"&amp;N95))</x:f>
        <x:v>60</x:v>
      </x:c>
      <x:c r="Y95" s="98" t="str">
        <x:v>EXPECTATION: Low-end TE1; startable but replacement options remain close.  WHY: He produced 14.6 PPR/FP points per game across 8 games. The workload/efficiency profile gives the model a rate-based reason to keep him here. Market price is favorable around ADP 89 versus model overall rank 58.  RISK: Availability/sample risk is elevated after only 8 games; talent is not being punished as heavily as durability.</x:v>
      </x:c>
      <x:c r="Z95" t="str">
        <x:v>ADP proxy — editable; based on positional draft cost</x:v>
      </x:c>
    </x:row>
    <x:row r="96">
      <x:c r="A96" t="str">
        <x:v>TE</x:v>
      </x:c>
      <x:c r="B96" t="n">
        <x:v>10</x:v>
      </x:c>
      <x:c r="C96" t="str">
        <x:v>Sam LaPorta</x:v>
      </x:c>
      <x:c r="D96" s="48" t="n">
        <x:v>82.86528996546019</x:v>
      </x:c>
      <x:c r="E96" s="48" t="n">
        <x:f>SUMIFS('Manual Adjustments'!$G$5:$G$227,'Manual Adjustments'!$A$5:$A$227,A96,'Manual Adjustments'!$B$5:$B$227,C96)</x:f>
        <x:v>0</x:v>
      </x:c>
      <x:c r="F96" s="48" t="n">
        <x:f>IFERROR(SUMIFS('Rookie College Inputs'!$I$5:$I$13,'Rookie College Inputs'!$A$5:$A$13,C96),0)</x:f>
        <x:v>0</x:v>
      </x:c>
      <x:c r="G96" s="48" t="n">
        <x:f>MAX(40,MIN(100,D96+E96+F96))</x:f>
        <x:v>82.86528996546019</x:v>
      </x:c>
      <x:c r="H96" t="n">
        <x:f>IF(A96="QB",'League Config'!$H$5,IF(A96="RB",'League Config'!$H$6,IF(A96="WR",'League Config'!$H$7,IF(A96="TE",'League Config'!$H$8,IF(A96="K",'League Config'!$H$9,'League Config'!$H$10)))))</x:f>
        <x:v>13</x:v>
      </x:c>
      <x:c r="I96" s="48" t="n">
        <x:f>IF(A96="QB",'League Config'!$F$14,IF(A96="RB",'League Config'!$F$15,IF(A96="WR",'League Config'!$F$16,IF(A96="TE",'League Config'!$F$17,IF(A96="K",'League Config'!$F$18,'League Config'!$F$19)))))</x:f>
        <x:v>79.9181106679422</x:v>
      </x:c>
      <x:c r="J96" s="48" t="n">
        <x:f>G96-I96</x:f>
        <x:v>2.947179297517991</x:v>
      </x:c>
      <x:c r="K96" s="48" t="n">
        <x:f>MAX(0,MIN(100,50+J96*6))</x:f>
        <x:v>67.68307578510795</x:v>
      </x:c>
      <x:c r="L96" s="48" t="n">
        <x:f>MIN(100,MAX(0,MIN(100,(1-(B96-1)/(H96*1.5))*100))*IF(A96="QB",'League Config'!$G$14,IF(A96="RB",'League Config'!$G$15,IF(A96="WR",'League Config'!$G$16,IF(A96="TE",'League Config'!$G$17,IF(A96="K",'League Config'!$G$18,'League Config'!$G$19))))))</x:f>
        <x:v>48.46153846153846</x:v>
      </x:c>
      <x:c r="M96" t="n">
        <x:f>IF(A96="K",'League Config'!$B$15,IF(A96="DST",'League Config'!$B$16,IF(A96="QB",'League Config'!$B$17,0)))</x:f>
        <x:v>0</x:v>
      </x:c>
      <x:c r="N96" s="48" t="n">
        <x:f>MIN(100,MAX(0,0.55*G96+0.30*K96+0.15*L96-M96))</x:f>
        <x:v>73.15006298576627</x:v>
      </x:c>
      <x:c r="O96" t="n">
        <x:f>RANK.EQ(N96,$N$5:$N$227,0)</x:f>
        <x:v>65</x:v>
      </x:c>
      <x:c r="P96" s="110" t="n">
        <x:v>98</x:v>
      </x:c>
      <x:c r="Q96" s="48" t="n">
        <x:f>P96-O96</x:f>
        <x:v>33</x:v>
      </x:c>
      <x:c r="R96" s="48" t="n">
        <x:f>MAX(40,G96-IF(U96="A",6,IF(U96="B",9,12)))</x:f>
        <x:v>73.86528996546019</x:v>
      </x:c>
      <x:c r="S96" s="48" t="n">
        <x:f>G96</x:f>
        <x:v>82.86528996546019</x:v>
      </x:c>
      <x:c r="T96" s="48" t="n">
        <x:f>MIN(100,G96+IF(U96="A",6,IF(U96="B",9,12)))</x:f>
        <x:v>91.86528996546019</x:v>
      </x:c>
      <x:c r="U96" t="str">
        <x:v>B</x:v>
      </x:c>
      <x:c r="V96" t="str">
        <x:v>RATE-ADJUSTED VETERAN</x:v>
      </x:c>
      <x:c r="W96" s="109" t="str">
        <x:v>Available</x:v>
      </x:c>
      <x:c r="X96" t="n">
        <x:f>IF(W96&lt;&gt;"Available","",1+COUNTIFS($W$5:$W$227,"Available",$N$5:$N$227,"&gt;"&amp;N96))</x:f>
        <x:v>65</x:v>
      </x:c>
      <x:c r="Y96" s="98" t="str">
        <x:v>EXPECTATION: Low-end TE1; startable but replacement options remain close.  WHY: He produced 11.8 PPR/FP points per game across 9 games. The workload/efficiency profile gives the model a rate-based reason to keep him here. Market price is favorable around ADP 98 versus model overall rank 63.  RISK: Availability/sample risk is elevated after only 9 games; talent is not being punished as heavily as durability.</x:v>
      </x:c>
      <x:c r="Z96" t="str">
        <x:v>ADP proxy — editable; based on positional draft cost</x:v>
      </x:c>
    </x:row>
    <x:row r="97">
      <x:c r="A97" t="str">
        <x:v>TE</x:v>
      </x:c>
      <x:c r="B97" t="n">
        <x:v>11</x:v>
      </x:c>
      <x:c r="C97" t="str">
        <x:v>Dalton Kincaid</x:v>
      </x:c>
      <x:c r="D97" s="48" t="n">
        <x:v>81.91409342545279</x:v>
      </x:c>
      <x:c r="E97" s="48" t="n">
        <x:f>SUMIFS('Manual Adjustments'!$G$5:$G$227,'Manual Adjustments'!$A$5:$A$227,A97,'Manual Adjustments'!$B$5:$B$227,C97)</x:f>
        <x:v>0</x:v>
      </x:c>
      <x:c r="F97" s="48" t="n">
        <x:f>IFERROR(SUMIFS('Rookie College Inputs'!$I$5:$I$13,'Rookie College Inputs'!$A$5:$A$13,C97),0)</x:f>
        <x:v>0</x:v>
      </x:c>
      <x:c r="G97" s="48" t="n">
        <x:f>MAX(40,MIN(100,D97+E97+F97))</x:f>
        <x:v>81.91409342545279</x:v>
      </x:c>
      <x:c r="H97" t="n">
        <x:f>IF(A97="QB",'League Config'!$H$5,IF(A97="RB",'League Config'!$H$6,IF(A97="WR",'League Config'!$H$7,IF(A97="TE",'League Config'!$H$8,IF(A97="K",'League Config'!$H$9,'League Config'!$H$10)))))</x:f>
        <x:v>13</x:v>
      </x:c>
      <x:c r="I97" s="48" t="n">
        <x:f>IF(A97="QB",'League Config'!$F$14,IF(A97="RB",'League Config'!$F$15,IF(A97="WR",'League Config'!$F$16,IF(A97="TE",'League Config'!$F$17,IF(A97="K",'League Config'!$F$18,'League Config'!$F$19)))))</x:f>
        <x:v>79.9181106679422</x:v>
      </x:c>
      <x:c r="J97" s="48" t="n">
        <x:f>G97-I97</x:f>
        <x:v>1.995982757510589</x:v>
      </x:c>
      <x:c r="K97" s="48" t="n">
        <x:f>MAX(0,MIN(100,50+J97*6))</x:f>
        <x:v>61.975896545063534</x:v>
      </x:c>
      <x:c r="L97" s="48" t="n">
        <x:f>MIN(100,MAX(0,MIN(100,(1-(B97-1)/(H97*1.5))*100))*IF(A97="QB",'League Config'!$G$14,IF(A97="RB",'League Config'!$G$15,IF(A97="WR",'League Config'!$G$16,IF(A97="TE",'League Config'!$G$17,IF(A97="K",'League Config'!$G$18,'League Config'!$G$19))))))</x:f>
        <x:v>43.846153846153854</x:v>
      </x:c>
      <x:c r="M97" t="n">
        <x:f>IF(A97="K",'League Config'!$B$15,IF(A97="DST",'League Config'!$B$16,IF(A97="QB",'League Config'!$B$17,0)))</x:f>
        <x:v>0</x:v>
      </x:c>
      <x:c r="N97" s="48" t="n">
        <x:f>MIN(100,MAX(0,0.55*G97+0.30*K97+0.15*L97-M97))</x:f>
        <x:v>70.22244342444118</x:v>
      </x:c>
      <x:c r="O97" t="n">
        <x:f>RANK.EQ(N97,$N$5:$N$227,0)</x:f>
        <x:v>69</x:v>
      </x:c>
      <x:c r="P97" s="110" t="n">
        <x:v>107</x:v>
      </x:c>
      <x:c r="Q97" s="48" t="n">
        <x:f>P97-O97</x:f>
        <x:v>38</x:v>
      </x:c>
      <x:c r="R97" s="48" t="n">
        <x:f>MAX(40,G97-IF(U97="A",6,IF(U97="B",9,12)))</x:f>
        <x:v>75.91409342545279</x:v>
      </x:c>
      <x:c r="S97" s="48" t="n">
        <x:f>G97</x:f>
        <x:v>81.91409342545279</x:v>
      </x:c>
      <x:c r="T97" s="48" t="n">
        <x:f>MIN(100,G97+IF(U97="A",6,IF(U97="B",9,12)))</x:f>
        <x:v>87.91409342545279</x:v>
      </x:c>
      <x:c r="U97" t="str">
        <x:v>A</x:v>
      </x:c>
      <x:c r="V97" t="str">
        <x:v>RATE-ADJUSTED VETERAN</x:v>
      </x:c>
      <x:c r="W97" s="109" t="str">
        <x:v>Available</x:v>
      </x:c>
      <x:c r="X97" t="n">
        <x:f>IF(W97&lt;&gt;"Available","",1+COUNTIFS($W$5:$W$227,"Available",$N$5:$N$227,"&gt;"&amp;N97))</x:f>
        <x:v>69</x:v>
      </x:c>
      <x:c r="Y97" s="98" t="str">
        <x:v>EXPECTATION: Low-end TE1; startable but replacement options remain close.  WHY: He produced 10.6 PPR/FP points per game across 12 games. The workload/efficiency profile gives the model a rate-based reason to keep him here. Market price is favorable around ADP 107 versus model overall rank 67.  RISK: Route share, target volume and touchdown volatility are the main swing factors.</x:v>
      </x:c>
      <x:c r="Z97" t="str">
        <x:v>ADP proxy — editable; based on positional draft cost</x:v>
      </x:c>
    </x:row>
    <x:row r="98">
      <x:c r="A98" t="str">
        <x:v>TE</x:v>
      </x:c>
      <x:c r="B98" t="n">
        <x:v>12</x:v>
      </x:c>
      <x:c r="C98" t="str">
        <x:v>Travis Kelce</x:v>
      </x:c>
      <x:c r="D98" s="48" t="n">
        <x:v>81.74777495564635</x:v>
      </x:c>
      <x:c r="E98" s="48" t="n">
        <x:f>SUMIFS('Manual Adjustments'!$G$5:$G$227,'Manual Adjustments'!$A$5:$A$227,A98,'Manual Adjustments'!$B$5:$B$227,C98)</x:f>
        <x:v>0</x:v>
      </x:c>
      <x:c r="F98" s="48" t="n">
        <x:f>IFERROR(SUMIFS('Rookie College Inputs'!$I$5:$I$13,'Rookie College Inputs'!$A$5:$A$13,C98),0)</x:f>
        <x:v>0</x:v>
      </x:c>
      <x:c r="G98" s="48" t="n">
        <x:f>MAX(40,MIN(100,D98+E98+F98))</x:f>
        <x:v>81.74777495564635</x:v>
      </x:c>
      <x:c r="H98" t="n">
        <x:f>IF(A98="QB",'League Config'!$H$5,IF(A98="RB",'League Config'!$H$6,IF(A98="WR",'League Config'!$H$7,IF(A98="TE",'League Config'!$H$8,IF(A98="K",'League Config'!$H$9,'League Config'!$H$10)))))</x:f>
        <x:v>13</x:v>
      </x:c>
      <x:c r="I98" s="48" t="n">
        <x:f>IF(A98="QB",'League Config'!$F$14,IF(A98="RB",'League Config'!$F$15,IF(A98="WR",'League Config'!$F$16,IF(A98="TE",'League Config'!$F$17,IF(A98="K",'League Config'!$F$18,'League Config'!$F$19)))))</x:f>
        <x:v>79.9181106679422</x:v>
      </x:c>
      <x:c r="J98" s="48" t="n">
        <x:f>G98-I98</x:f>
        <x:v>1.8296642877041478</x:v>
      </x:c>
      <x:c r="K98" s="48" t="n">
        <x:f>MAX(0,MIN(100,50+J98*6))</x:f>
        <x:v>60.97798572622489</x:v>
      </x:c>
      <x:c r="L98" s="48" t="n">
        <x:f>MIN(100,MAX(0,MIN(100,(1-(B98-1)/(H98*1.5))*100))*IF(A98="QB",'League Config'!$G$14,IF(A98="RB",'League Config'!$G$15,IF(A98="WR",'League Config'!$G$16,IF(A98="TE",'League Config'!$G$17,IF(A98="K",'League Config'!$G$18,'League Config'!$G$19))))))</x:f>
        <x:v>39.23076923076923</x:v>
      </x:c>
      <x:c r="M98" t="n">
        <x:f>IF(A98="K",'League Config'!$B$15,IF(A98="DST",'League Config'!$B$16,IF(A98="QB",'League Config'!$B$17,0)))</x:f>
        <x:v>0</x:v>
      </x:c>
      <x:c r="N98" s="48" t="n">
        <x:f>MIN(100,MAX(0,0.55*G98+0.30*K98+0.15*L98-M98))</x:f>
        <x:v>69.13928732808834</x:v>
      </x:c>
      <x:c r="O98" t="n">
        <x:f>RANK.EQ(N98,$N$5:$N$227,0)</x:f>
        <x:v>75</x:v>
      </x:c>
      <x:c r="P98" s="110" t="n">
        <x:v>116</x:v>
      </x:c>
      <x:c r="Q98" s="48" t="n">
        <x:f>P98-O98</x:f>
        <x:v>41</x:v>
      </x:c>
      <x:c r="R98" s="48" t="n">
        <x:f>MAX(40,G98-IF(U98="A",6,IF(U98="B",9,12)))</x:f>
        <x:v>75.74777495564635</x:v>
      </x:c>
      <x:c r="S98" s="48" t="n">
        <x:f>G98</x:f>
        <x:v>81.74777495564635</x:v>
      </x:c>
      <x:c r="T98" s="48" t="n">
        <x:f>MIN(100,G98+IF(U98="A",6,IF(U98="B",9,12)))</x:f>
        <x:v>87.74777495564635</x:v>
      </x:c>
      <x:c r="U98" t="str">
        <x:v>A</x:v>
      </x:c>
      <x:c r="V98" t="str">
        <x:v>RATE-ADJUSTED VETERAN</x:v>
      </x:c>
      <x:c r="W98" s="109" t="str">
        <x:v>Available</x:v>
      </x:c>
      <x:c r="X98" t="n">
        <x:f>IF(W98&lt;&gt;"Available","",1+COUNTIFS($W$5:$W$227,"Available",$N$5:$N$227,"&gt;"&amp;N98))</x:f>
        <x:v>75</x:v>
      </x:c>
      <x:c r="Y98" s="98" t="str">
        <x:v>EXPECTATION: Low-end TE1; startable but replacement options remain close.  WHY: He produced 11.4 PPR/FP points per game across 17 games. The workload/efficiency profile gives the model a rate-based reason to keep him here. Market price is favorable around ADP 116 versus model overall rank 72.  RISK: Route share, target volume and touchdown volatility are the main swing factors.</x:v>
      </x:c>
      <x:c r="Z98" t="str">
        <x:v>ADP proxy — editable; based on positional draft cost</x:v>
      </x:c>
    </x:row>
    <x:row r="99">
      <x:c r="A99" t="str">
        <x:v>TE</x:v>
      </x:c>
      <x:c r="B99" t="n">
        <x:v>13</x:v>
      </x:c>
      <x:c r="C99" t="str">
        <x:v>Dallas Goedert</x:v>
      </x:c>
      <x:c r="D99" s="48" t="n">
        <x:v>79.9181106679422</x:v>
      </x:c>
      <x:c r="E99" s="48" t="n">
        <x:f>SUMIFS('Manual Adjustments'!$G$5:$G$227,'Manual Adjustments'!$A$5:$A$227,A99,'Manual Adjustments'!$B$5:$B$227,C99)</x:f>
        <x:v>0</x:v>
      </x:c>
      <x:c r="F99" s="48" t="n">
        <x:f>IFERROR(SUMIFS('Rookie College Inputs'!$I$5:$I$13,'Rookie College Inputs'!$A$5:$A$13,C99),0)</x:f>
        <x:v>0</x:v>
      </x:c>
      <x:c r="G99" s="48" t="n">
        <x:f>MAX(40,MIN(100,D99+E99+F99))</x:f>
        <x:v>79.9181106679422</x:v>
      </x:c>
      <x:c r="H99" t="n">
        <x:f>IF(A99="QB",'League Config'!$H$5,IF(A99="RB",'League Config'!$H$6,IF(A99="WR",'League Config'!$H$7,IF(A99="TE",'League Config'!$H$8,IF(A99="K",'League Config'!$H$9,'League Config'!$H$10)))))</x:f>
        <x:v>13</x:v>
      </x:c>
      <x:c r="I99" s="48" t="n">
        <x:f>IF(A99="QB",'League Config'!$F$14,IF(A99="RB",'League Config'!$F$15,IF(A99="WR",'League Config'!$F$16,IF(A99="TE",'League Config'!$F$17,IF(A99="K",'League Config'!$F$18,'League Config'!$F$19)))))</x:f>
        <x:v>79.9181106679422</x:v>
      </x:c>
      <x:c r="J99" s="48" t="n">
        <x:f>G99-I99</x:f>
        <x:v>0</x:v>
      </x:c>
      <x:c r="K99" s="48" t="n">
        <x:f>MAX(0,MIN(100,50+J99*6))</x:f>
        <x:v>50</x:v>
      </x:c>
      <x:c r="L99" s="48" t="n">
        <x:f>MIN(100,MAX(0,MIN(100,(1-(B99-1)/(H99*1.5))*100))*IF(A99="QB",'League Config'!$G$14,IF(A99="RB",'League Config'!$G$15,IF(A99="WR",'League Config'!$G$16,IF(A99="TE",'League Config'!$G$17,IF(A99="K",'League Config'!$G$18,'League Config'!$G$19))))))</x:f>
        <x:v>34.61538461538461</x:v>
      </x:c>
      <x:c r="M99" t="n">
        <x:f>IF(A99="K",'League Config'!$B$15,IF(A99="DST",'League Config'!$B$16,IF(A99="QB",'League Config'!$B$17,0)))</x:f>
        <x:v>0</x:v>
      </x:c>
      <x:c r="N99" s="48" t="n">
        <x:f>MIN(100,MAX(0,0.55*G99+0.30*K99+0.15*L99-M99))</x:f>
        <x:v>64.14726855967591</x:v>
      </x:c>
      <x:c r="O99" t="n">
        <x:f>RANK.EQ(N99,$N$5:$N$227,0)</x:f>
        <x:v>93</x:v>
      </x:c>
      <x:c r="P99" s="110" t="n">
        <x:v>125</x:v>
      </x:c>
      <x:c r="Q99" s="48" t="n">
        <x:f>P99-O99</x:f>
        <x:v>32</x:v>
      </x:c>
      <x:c r="R99" s="48" t="n">
        <x:f>MAX(40,G99-IF(U99="A",6,IF(U99="B",9,12)))</x:f>
        <x:v>73.9181106679422</x:v>
      </x:c>
      <x:c r="S99" s="48" t="n">
        <x:f>G99</x:f>
        <x:v>79.9181106679422</x:v>
      </x:c>
      <x:c r="T99" s="48" t="n">
        <x:f>MIN(100,G99+IF(U99="A",6,IF(U99="B",9,12)))</x:f>
        <x:v>85.9181106679422</x:v>
      </x:c>
      <x:c r="U99" t="str">
        <x:v>A</x:v>
      </x:c>
      <x:c r="V99" t="str">
        <x:v>RATE-ADJUSTED VETERAN</x:v>
      </x:c>
      <x:c r="W99" s="109" t="str">
        <x:v>Available</x:v>
      </x:c>
      <x:c r="X99" t="n">
        <x:f>IF(W99&lt;&gt;"Available","",1+COUNTIFS($W$5:$W$227,"Available",$N$5:$N$227,"&gt;"&amp;N99))</x:f>
        <x:v>93</x:v>
      </x:c>
      <x:c r="Y99" s="98" t="str">
        <x:v>EXPECTATION: Streaming/TE2 range; touchdown and route volume drive usefulness.  WHY: He produced 12.3 PPR/FP points per game across 15 games. The workload/efficiency profile gives the model a rate-based reason to keep him here. Market price is favorable around ADP 125 versus model overall rank 88.  RISK: Route share, target volume and touchdown volatility are the main swing factors.</x:v>
      </x:c>
      <x:c r="Z99" t="str">
        <x:v>ADP proxy — editable; based on positional draft cost</x:v>
      </x:c>
    </x:row>
    <x:row r="100">
      <x:c r="A100" t="str">
        <x:v>TE</x:v>
      </x:c>
      <x:c r="B100" t="n">
        <x:v>14</x:v>
      </x:c>
      <x:c r="C100" t="str">
        <x:v>Mark Andrews</x:v>
      </x:c>
      <x:c r="D100" s="48" t="n">
        <x:v>79.06538980083114</x:v>
      </x:c>
      <x:c r="E100" s="48" t="n">
        <x:f>SUMIFS('Manual Adjustments'!$G$5:$G$227,'Manual Adjustments'!$A$5:$A$227,A100,'Manual Adjustments'!$B$5:$B$227,C100)</x:f>
        <x:v>0</x:v>
      </x:c>
      <x:c r="F100" s="48" t="n">
        <x:f>IFERROR(SUMIFS('Rookie College Inputs'!$I$5:$I$13,'Rookie College Inputs'!$A$5:$A$13,C100),0)</x:f>
        <x:v>0</x:v>
      </x:c>
      <x:c r="G100" s="48" t="n">
        <x:f>MAX(40,MIN(100,D100+E100+F100))</x:f>
        <x:v>79.06538980083114</x:v>
      </x:c>
      <x:c r="H100" t="n">
        <x:f>IF(A100="QB",'League Config'!$H$5,IF(A100="RB",'League Config'!$H$6,IF(A100="WR",'League Config'!$H$7,IF(A100="TE",'League Config'!$H$8,IF(A100="K",'League Config'!$H$9,'League Config'!$H$10)))))</x:f>
        <x:v>13</x:v>
      </x:c>
      <x:c r="I100" s="48" t="n">
        <x:f>IF(A100="QB",'League Config'!$F$14,IF(A100="RB",'League Config'!$F$15,IF(A100="WR",'League Config'!$F$16,IF(A100="TE",'League Config'!$F$17,IF(A100="K",'League Config'!$F$18,'League Config'!$F$19)))))</x:f>
        <x:v>79.9181106679422</x:v>
      </x:c>
      <x:c r="J100" s="48" t="n">
        <x:f>G100-I100</x:f>
        <x:v>-0.85272086711106</x:v>
      </x:c>
      <x:c r="K100" s="48" t="n">
        <x:f>MAX(0,MIN(100,50+J100*6))</x:f>
        <x:v>44.88367479733364</x:v>
      </x:c>
      <x:c r="L100" s="48" t="n">
        <x:f>MIN(100,MAX(0,MIN(100,(1-(B100-1)/(H100*1.5))*100))*IF(A100="QB",'League Config'!$G$14,IF(A100="RB",'League Config'!$G$15,IF(A100="WR",'League Config'!$G$16,IF(A100="TE",'League Config'!$G$17,IF(A100="K",'League Config'!$G$18,'League Config'!$G$19))))))</x:f>
        <x:v>30.000000000000004</x:v>
      </x:c>
      <x:c r="M100" t="n">
        <x:f>IF(A100="K",'League Config'!$B$15,IF(A100="DST",'League Config'!$B$16,IF(A100="QB",'League Config'!$B$17,0)))</x:f>
        <x:v>0</x:v>
      </x:c>
      <x:c r="N100" s="48" t="n">
        <x:f>MIN(100,MAX(0,0.55*G100+0.30*K100+0.15*L100-M100))</x:f>
        <x:v>61.45106682965722</x:v>
      </x:c>
      <x:c r="O100" t="n">
        <x:f>RANK.EQ(N100,$N$5:$N$227,0)</x:f>
        <x:v>102</x:v>
      </x:c>
      <x:c r="P100" s="110" t="n">
        <x:v>134</x:v>
      </x:c>
      <x:c r="Q100" s="48" t="n">
        <x:f>P100-O100</x:f>
        <x:v>32</x:v>
      </x:c>
      <x:c r="R100" s="48" t="n">
        <x:f>MAX(40,G100-IF(U100="A",6,IF(U100="B",9,12)))</x:f>
        <x:v>73.06538980083114</x:v>
      </x:c>
      <x:c r="S100" s="48" t="n">
        <x:f>G100</x:f>
        <x:v>79.06538980083114</x:v>
      </x:c>
      <x:c r="T100" s="48" t="n">
        <x:f>MIN(100,G100+IF(U100="A",6,IF(U100="B",9,12)))</x:f>
        <x:v>85.06538980083114</x:v>
      </x:c>
      <x:c r="U100" t="str">
        <x:v>A</x:v>
      </x:c>
      <x:c r="V100" t="str">
        <x:v>RATE-ADJUSTED VETERAN</x:v>
      </x:c>
      <x:c r="W100" s="109" t="str">
        <x:v>Available</x:v>
      </x:c>
      <x:c r="X100" t="n">
        <x:f>IF(W100&lt;&gt;"Available","",1+COUNTIFS($W$5:$W$227,"Available",$N$5:$N$227,"&gt;"&amp;N100))</x:f>
        <x:v>102</x:v>
      </x:c>
      <x:c r="Y100" s="98" t="str">
        <x:v>EXPECTATION: Streaming/TE2 range; touchdown and route volume drive usefulness.  WHY: He produced 7.7 PPR/FP points per game across 17 games. The workload/efficiency profile gives the model a rate-based reason to keep him here. Market price is favorable around ADP 134 versus model overall rank 97.  RISK: Route share, target volume and touchdown volatility are the main swing factors.</x:v>
      </x:c>
      <x:c r="Z100" t="str">
        <x:v>ADP proxy — editable; based on positional draft cost</x:v>
      </x:c>
    </x:row>
    <x:row r="101">
      <x:c r="A101" t="str">
        <x:v>TE</x:v>
      </x:c>
      <x:c r="B101" t="n">
        <x:v>15</x:v>
      </x:c>
      <x:c r="C101" t="str">
        <x:v>Isaiah Likely</x:v>
      </x:c>
      <x:c r="D101" s="48" t="n">
        <x:v>78.57945648354206</x:v>
      </x:c>
      <x:c r="E101" s="48" t="n">
        <x:f>SUMIFS('Manual Adjustments'!$G$5:$G$227,'Manual Adjustments'!$A$5:$A$227,A101,'Manual Adjustments'!$B$5:$B$227,C101)</x:f>
        <x:v>0</x:v>
      </x:c>
      <x:c r="F101" s="48" t="n">
        <x:f>IFERROR(SUMIFS('Rookie College Inputs'!$I$5:$I$13,'Rookie College Inputs'!$A$5:$A$13,C101),0)</x:f>
        <x:v>0</x:v>
      </x:c>
      <x:c r="G101" s="48" t="n">
        <x:f>MAX(40,MIN(100,D101+E101+F101))</x:f>
        <x:v>78.57945648354206</x:v>
      </x:c>
      <x:c r="H101" t="n">
        <x:f>IF(A101="QB",'League Config'!$H$5,IF(A101="RB",'League Config'!$H$6,IF(A101="WR",'League Config'!$H$7,IF(A101="TE",'League Config'!$H$8,IF(A101="K",'League Config'!$H$9,'League Config'!$H$10)))))</x:f>
        <x:v>13</x:v>
      </x:c>
      <x:c r="I101" s="48" t="n">
        <x:f>IF(A101="QB",'League Config'!$F$14,IF(A101="RB",'League Config'!$F$15,IF(A101="WR",'League Config'!$F$16,IF(A101="TE",'League Config'!$F$17,IF(A101="K",'League Config'!$F$18,'League Config'!$F$19)))))</x:f>
        <x:v>79.9181106679422</x:v>
      </x:c>
      <x:c r="J101" s="48" t="n">
        <x:f>G101-I101</x:f>
        <x:v>-1.3386541844001414</x:v>
      </x:c>
      <x:c r="K101" s="48" t="n">
        <x:f>MAX(0,MIN(100,50+J101*6))</x:f>
        <x:v>41.96807489359915</x:v>
      </x:c>
      <x:c r="L101" s="48" t="n">
        <x:f>MIN(100,MAX(0,MIN(100,(1-(B101-1)/(H101*1.5))*100))*IF(A101="QB",'League Config'!$G$14,IF(A101="RB",'League Config'!$G$15,IF(A101="WR",'League Config'!$G$16,IF(A101="TE",'League Config'!$G$17,IF(A101="K",'League Config'!$G$18,'League Config'!$G$19))))))</x:f>
        <x:v>25.384615384615383</x:v>
      </x:c>
      <x:c r="M101" t="n">
        <x:f>IF(A101="K",'League Config'!$B$15,IF(A101="DST",'League Config'!$B$16,IF(A101="QB",'League Config'!$B$17,0)))</x:f>
        <x:v>0</x:v>
      </x:c>
      <x:c r="N101" s="48" t="n">
        <x:f>MIN(100,MAX(0,0.55*G101+0.30*K101+0.15*L101-M101))</x:f>
        <x:v>59.61681584172019</x:v>
      </x:c>
      <x:c r="O101" t="n">
        <x:f>RANK.EQ(N101,$N$5:$N$227,0)</x:f>
        <x:v>104</x:v>
      </x:c>
      <x:c r="P101" s="110" t="n">
        <x:v>143</x:v>
      </x:c>
      <x:c r="Q101" s="48" t="n">
        <x:f>P101-O101</x:f>
        <x:v>39</x:v>
      </x:c>
      <x:c r="R101" s="48" t="n">
        <x:f>MAX(40,G101-IF(U101="A",6,IF(U101="B",9,12)))</x:f>
        <x:v>72.57945648354206</x:v>
      </x:c>
      <x:c r="S101" s="48" t="n">
        <x:f>G101</x:f>
        <x:v>78.57945648354206</x:v>
      </x:c>
      <x:c r="T101" s="48" t="n">
        <x:f>MIN(100,G101+IF(U101="A",6,IF(U101="B",9,12)))</x:f>
        <x:v>84.57945648354206</x:v>
      </x:c>
      <x:c r="U101" t="str">
        <x:v>A</x:v>
      </x:c>
      <x:c r="V101" t="str">
        <x:v>RATE-ADJUSTED VETERAN</x:v>
      </x:c>
      <x:c r="W101" s="109" t="str">
        <x:v>Available</x:v>
      </x:c>
      <x:c r="X101" t="n">
        <x:f>IF(W101&lt;&gt;"Available","",1+COUNTIFS($W$5:$W$227,"Available",$N$5:$N$227,"&gt;"&amp;N101))</x:f>
        <x:v>104</x:v>
      </x:c>
      <x:c r="Y101" s="98" t="str">
        <x:v>EXPECTATION: Streaming/TE2 range; touchdown and route volume drive usefulness.  WHY: He produced 4.4 PPR/FP points per game across 14 games. The workload/efficiency profile gives the model a rate-based reason to keep him here. Market price is favorable around ADP 143 versus model overall rank 99.  RISK: Route share, target volume and touchdown volatility are the main swing factors.</x:v>
      </x:c>
      <x:c r="Z101" t="str">
        <x:v>ADP proxy — editable; based on positional draft cost</x:v>
      </x:c>
    </x:row>
    <x:row r="102">
      <x:c r="A102" t="str">
        <x:v>TE</x:v>
      </x:c>
      <x:c r="B102" t="n">
        <x:v>16</x:v>
      </x:c>
      <x:c r="C102" t="str">
        <x:v>Juwan Johnson</x:v>
      </x:c>
      <x:c r="D102" s="48" t="n">
        <x:v>78.32031359820323</x:v>
      </x:c>
      <x:c r="E102" s="48" t="n">
        <x:f>SUMIFS('Manual Adjustments'!$G$5:$G$227,'Manual Adjustments'!$A$5:$A$227,A102,'Manual Adjustments'!$B$5:$B$227,C102)</x:f>
        <x:v>0</x:v>
      </x:c>
      <x:c r="F102" s="48" t="n">
        <x:f>IFERROR(SUMIFS('Rookie College Inputs'!$I$5:$I$13,'Rookie College Inputs'!$A$5:$A$13,C102),0)</x:f>
        <x:v>0</x:v>
      </x:c>
      <x:c r="G102" s="48" t="n">
        <x:f>MAX(40,MIN(100,D102+E102+F102))</x:f>
        <x:v>78.32031359820323</x:v>
      </x:c>
      <x:c r="H102" t="n">
        <x:f>IF(A102="QB",'League Config'!$H$5,IF(A102="RB",'League Config'!$H$6,IF(A102="WR",'League Config'!$H$7,IF(A102="TE",'League Config'!$H$8,IF(A102="K",'League Config'!$H$9,'League Config'!$H$10)))))</x:f>
        <x:v>13</x:v>
      </x:c>
      <x:c r="I102" s="48" t="n">
        <x:f>IF(A102="QB",'League Config'!$F$14,IF(A102="RB",'League Config'!$F$15,IF(A102="WR",'League Config'!$F$16,IF(A102="TE",'League Config'!$F$17,IF(A102="K",'League Config'!$F$18,'League Config'!$F$19)))))</x:f>
        <x:v>79.9181106679422</x:v>
      </x:c>
      <x:c r="J102" s="48" t="n">
        <x:f>G102-I102</x:f>
        <x:v>-1.5977970697389736</x:v>
      </x:c>
      <x:c r="K102" s="48" t="n">
        <x:f>MAX(0,MIN(100,50+J102*6))</x:f>
        <x:v>40.41321758156616</x:v>
      </x:c>
      <x:c r="L102" s="48" t="n">
        <x:f>MIN(100,MAX(0,MIN(100,(1-(B102-1)/(H102*1.5))*100))*IF(A102="QB",'League Config'!$G$14,IF(A102="RB",'League Config'!$G$15,IF(A102="WR",'League Config'!$G$16,IF(A102="TE",'League Config'!$G$17,IF(A102="K",'League Config'!$G$18,'League Config'!$G$19))))))</x:f>
        <x:v>20.769230769230766</x:v>
      </x:c>
      <x:c r="M102" t="n">
        <x:f>IF(A102="K",'League Config'!$B$15,IF(A102="DST",'League Config'!$B$16,IF(A102="QB",'League Config'!$B$17,0)))</x:f>
        <x:v>0</x:v>
      </x:c>
      <x:c r="N102" s="48" t="n">
        <x:f>MIN(100,MAX(0,0.55*G102+0.30*K102+0.15*L102-M102))</x:f>
        <x:v>58.31552236886624</x:v>
      </x:c>
      <x:c r="O102" t="n">
        <x:f>RANK.EQ(N102,$N$5:$N$227,0)</x:f>
        <x:v>110</x:v>
      </x:c>
      <x:c r="P102" s="110" t="n">
        <x:v>152</x:v>
      </x:c>
      <x:c r="Q102" s="48" t="n">
        <x:f>P102-O102</x:f>
        <x:v>42</x:v>
      </x:c>
      <x:c r="R102" s="48" t="n">
        <x:f>MAX(40,G102-IF(U102="A",6,IF(U102="B",9,12)))</x:f>
        <x:v>72.32031359820323</x:v>
      </x:c>
      <x:c r="S102" s="48" t="n">
        <x:f>G102</x:f>
        <x:v>78.32031359820323</x:v>
      </x:c>
      <x:c r="T102" s="48" t="n">
        <x:f>MIN(100,G102+IF(U102="A",6,IF(U102="B",9,12)))</x:f>
        <x:v>84.32031359820323</x:v>
      </x:c>
      <x:c r="U102" t="str">
        <x:v>A</x:v>
      </x:c>
      <x:c r="V102" t="str">
        <x:v>RATE-ADJUSTED VETERAN</x:v>
      </x:c>
      <x:c r="W102" s="109" t="str">
        <x:v>Available</x:v>
      </x:c>
      <x:c r="X102" t="n">
        <x:f>IF(W102&lt;&gt;"Available","",1+COUNTIFS($W$5:$W$227,"Available",$N$5:$N$227,"&gt;"&amp;N102))</x:f>
        <x:v>110</x:v>
      </x:c>
      <x:c r="Y102" s="98" t="str">
        <x:v>EXPECTATION: Streaming/TE2 range; touchdown and route volume drive usefulness.  WHY: He produced 10.6 PPR/FP points per game across 17 games. The workload/efficiency profile gives the model a rate-based reason to keep him here. Market price is favorable around ADP 152 versus model overall rank 103.  RISK: Route share, target volume and touchdown volatility are the main swing factors.</x:v>
      </x:c>
      <x:c r="Z102" t="str">
        <x:v>ADP proxy — editable; based on positional draft cost</x:v>
      </x:c>
    </x:row>
    <x:row r="103">
      <x:c r="A103" t="str">
        <x:v>TE</x:v>
      </x:c>
      <x:c r="B103" t="n">
        <x:v>17</x:v>
      </x:c>
      <x:c r="C103" t="str">
        <x:v>Hunter Henry</x:v>
      </x:c>
      <x:c r="D103" s="48" t="n">
        <x:v>76.2525933033895</x:v>
      </x:c>
      <x:c r="E103" s="48" t="n">
        <x:f>SUMIFS('Manual Adjustments'!$G$5:$G$227,'Manual Adjustments'!$A$5:$A$227,A103,'Manual Adjustments'!$B$5:$B$227,C103)</x:f>
        <x:v>0</x:v>
      </x:c>
      <x:c r="F103" s="48" t="n">
        <x:f>IFERROR(SUMIFS('Rookie College Inputs'!$I$5:$I$13,'Rookie College Inputs'!$A$5:$A$13,C103),0)</x:f>
        <x:v>0</x:v>
      </x:c>
      <x:c r="G103" s="48" t="n">
        <x:f>MAX(40,MIN(100,D103+E103+F103))</x:f>
        <x:v>76.2525933033895</x:v>
      </x:c>
      <x:c r="H103" t="n">
        <x:f>IF(A103="QB",'League Config'!$H$5,IF(A103="RB",'League Config'!$H$6,IF(A103="WR",'League Config'!$H$7,IF(A103="TE",'League Config'!$H$8,IF(A103="K",'League Config'!$H$9,'League Config'!$H$10)))))</x:f>
        <x:v>13</x:v>
      </x:c>
      <x:c r="I103" s="48" t="n">
        <x:f>IF(A103="QB",'League Config'!$F$14,IF(A103="RB",'League Config'!$F$15,IF(A103="WR",'League Config'!$F$16,IF(A103="TE",'League Config'!$F$17,IF(A103="K",'League Config'!$F$18,'League Config'!$F$19)))))</x:f>
        <x:v>79.9181106679422</x:v>
      </x:c>
      <x:c r="J103" s="48" t="n">
        <x:f>G103-I103</x:f>
        <x:v>-3.6655173645526986</x:v>
      </x:c>
      <x:c r="K103" s="48" t="n">
        <x:f>MAX(0,MIN(100,50+J103*6))</x:f>
        <x:v>28.00689581268381</x:v>
      </x:c>
      <x:c r="L103" s="48" t="n">
        <x:f>MIN(100,MAX(0,MIN(100,(1-(B103-1)/(H103*1.5))*100))*IF(A103="QB",'League Config'!$G$14,IF(A103="RB",'League Config'!$G$15,IF(A103="WR",'League Config'!$G$16,IF(A103="TE",'League Config'!$G$17,IF(A103="K",'League Config'!$G$18,'League Config'!$G$19))))))</x:f>
        <x:v>16.153846153846157</x:v>
      </x:c>
      <x:c r="M103" t="n">
        <x:f>IF(A103="K",'League Config'!$B$15,IF(A103="DST",'League Config'!$B$16,IF(A103="QB",'League Config'!$B$17,0)))</x:f>
        <x:v>0</x:v>
      </x:c>
      <x:c r="N103" s="48" t="n">
        <x:f>MIN(100,MAX(0,0.55*G103+0.30*K103+0.15*L103-M103))</x:f>
        <x:v>52.76407198374629</x:v>
      </x:c>
      <x:c r="O103" t="n">
        <x:f>RANK.EQ(N103,$N$5:$N$227,0)</x:f>
        <x:v>121</x:v>
      </x:c>
      <x:c r="P103" s="110" t="n">
        <x:v>161</x:v>
      </x:c>
      <x:c r="Q103" s="48" t="n">
        <x:f>P103-O103</x:f>
        <x:v>40</x:v>
      </x:c>
      <x:c r="R103" s="48" t="n">
        <x:f>MAX(40,G103-IF(U103="A",6,IF(U103="B",9,12)))</x:f>
        <x:v>70.2525933033895</x:v>
      </x:c>
      <x:c r="S103" s="48" t="n">
        <x:f>G103</x:f>
        <x:v>76.2525933033895</x:v>
      </x:c>
      <x:c r="T103" s="48" t="n">
        <x:f>MIN(100,G103+IF(U103="A",6,IF(U103="B",9,12)))</x:f>
        <x:v>82.2525933033895</x:v>
      </x:c>
      <x:c r="U103" t="str">
        <x:v>A</x:v>
      </x:c>
      <x:c r="V103" t="str">
        <x:v>RATE-ADJUSTED VETERAN</x:v>
      </x:c>
      <x:c r="W103" s="109" t="str">
        <x:v>Available</x:v>
      </x:c>
      <x:c r="X103" t="n">
        <x:f>IF(W103&lt;&gt;"Available","",1+COUNTIFS($W$5:$W$227,"Available",$N$5:$N$227,"&gt;"&amp;N103))</x:f>
        <x:v>121</x:v>
      </x:c>
      <x:c r="Y103" s="98" t="str">
        <x:v>EXPECTATION: Streaming/TE2 range; touchdown and route volume drive usefulness.  WHY: He produced 10.5 PPR/FP points per game across 17 games. The workload/efficiency profile gives the model a rate-based reason to keep him here. Market price is favorable around ADP 161 versus model overall rank 116.  RISK: Route share, target volume and touchdown volatility are the main swing factors.</x:v>
      </x:c>
      <x:c r="Z103" t="str">
        <x:v>ADP proxy — editable; based on positional draft cost</x:v>
      </x:c>
    </x:row>
    <x:row r="104">
      <x:c r="A104" t="str">
        <x:v>TE</x:v>
      </x:c>
      <x:c r="B104" t="n">
        <x:v>18</x:v>
      </x:c>
      <x:c r="C104" t="str">
        <x:v>Brenton Strange</x:v>
      </x:c>
      <x:c r="D104" s="48" t="n">
        <x:v>76.03210666780286</x:v>
      </x:c>
      <x:c r="E104" s="48" t="n">
        <x:f>SUMIFS('Manual Adjustments'!$G$5:$G$227,'Manual Adjustments'!$A$5:$A$227,A104,'Manual Adjustments'!$B$5:$B$227,C104)</x:f>
        <x:v>0</x:v>
      </x:c>
      <x:c r="F104" s="48" t="n">
        <x:f>IFERROR(SUMIFS('Rookie College Inputs'!$I$5:$I$13,'Rookie College Inputs'!$A$5:$A$13,C104),0)</x:f>
        <x:v>0</x:v>
      </x:c>
      <x:c r="G104" s="48" t="n">
        <x:f>MAX(40,MIN(100,D104+E104+F104))</x:f>
        <x:v>76.03210666780286</x:v>
      </x:c>
      <x:c r="H104" t="n">
        <x:f>IF(A104="QB",'League Config'!$H$5,IF(A104="RB",'League Config'!$H$6,IF(A104="WR",'League Config'!$H$7,IF(A104="TE",'League Config'!$H$8,IF(A104="K",'League Config'!$H$9,'League Config'!$H$10)))))</x:f>
        <x:v>13</x:v>
      </x:c>
      <x:c r="I104" s="48" t="n">
        <x:f>IF(A104="QB",'League Config'!$F$14,IF(A104="RB",'League Config'!$F$15,IF(A104="WR",'League Config'!$F$16,IF(A104="TE",'League Config'!$F$17,IF(A104="K",'League Config'!$F$18,'League Config'!$F$19)))))</x:f>
        <x:v>79.9181106679422</x:v>
      </x:c>
      <x:c r="J104" s="48" t="n">
        <x:f>G104-I104</x:f>
        <x:v>-3.8860040001393372</x:v>
      </x:c>
      <x:c r="K104" s="48" t="n">
        <x:f>MAX(0,MIN(100,50+J104*6))</x:f>
        <x:v>26.683975999163977</x:v>
      </x:c>
      <x:c r="L104" s="48" t="n">
        <x:f>MIN(100,MAX(0,MIN(100,(1-(B104-1)/(H104*1.5))*100))*IF(A104="QB",'League Config'!$G$14,IF(A104="RB",'League Config'!$G$15,IF(A104="WR",'League Config'!$G$16,IF(A104="TE",'League Config'!$G$17,IF(A104="K",'League Config'!$G$18,'League Config'!$G$19))))))</x:f>
        <x:v>11.538461538461538</x:v>
      </x:c>
      <x:c r="M104" t="n">
        <x:f>IF(A104="K",'League Config'!$B$15,IF(A104="DST",'League Config'!$B$16,IF(A104="QB",'League Config'!$B$17,0)))</x:f>
        <x:v>0</x:v>
      </x:c>
      <x:c r="N104" s="48" t="n">
        <x:f>MIN(100,MAX(0,0.55*G104+0.30*K104+0.15*L104-M104))</x:f>
        <x:v>51.55362069781001</x:v>
      </x:c>
      <x:c r="O104" t="n">
        <x:f>RANK.EQ(N104,$N$5:$N$227,0)</x:f>
        <x:v>125</x:v>
      </x:c>
      <x:c r="P104" s="110" t="n">
        <x:v>170</x:v>
      </x:c>
      <x:c r="Q104" s="48" t="n">
        <x:f>P104-O104</x:f>
        <x:v>45</x:v>
      </x:c>
      <x:c r="R104" s="48" t="n">
        <x:f>MAX(40,G104-IF(U104="A",6,IF(U104="B",9,12)))</x:f>
        <x:v>70.03210666780286</x:v>
      </x:c>
      <x:c r="S104" s="48" t="n">
        <x:f>G104</x:f>
        <x:v>76.03210666780286</x:v>
      </x:c>
      <x:c r="T104" s="48" t="n">
        <x:f>MIN(100,G104+IF(U104="A",6,IF(U104="B",9,12)))</x:f>
        <x:v>82.03210666780286</x:v>
      </x:c>
      <x:c r="U104" t="str">
        <x:v>A</x:v>
      </x:c>
      <x:c r="V104" t="str">
        <x:v>RATE-ADJUSTED VETERAN</x:v>
      </x:c>
      <x:c r="W104" s="109" t="str">
        <x:v>Available</x:v>
      </x:c>
      <x:c r="X104" t="n">
        <x:f>IF(W104&lt;&gt;"Available","",1+COUNTIFS($W$5:$W$227,"Available",$N$5:$N$227,"&gt;"&amp;N104))</x:f>
        <x:v>125</x:v>
      </x:c>
      <x:c r="Y104" s="98" t="str">
        <x:v>EXPECTATION: Streaming/TE2 range; touchdown and route volume drive usefulness.  WHY: He produced 9.8 PPR/FP points per game across 12 games. The workload/efficiency profile gives the model a rate-based reason to keep him here. Market price is favorable around ADP 170 versus model overall rank 121.  RISK: Route share, target volume and touchdown volatility are the main swing factors.</x:v>
      </x:c>
      <x:c r="Z104" t="str">
        <x:v>ADP proxy — editable; based on positional draft cost</x:v>
      </x:c>
    </x:row>
    <x:row r="105">
      <x:c r="A105" t="str">
        <x:v>TE</x:v>
      </x:c>
      <x:c r="B105" t="n">
        <x:v>19</x:v>
      </x:c>
      <x:c r="C105" t="str">
        <x:v>Chig Okonkwo</x:v>
      </x:c>
      <x:c r="D105" s="48" t="n">
        <x:v>75.51323575633128</x:v>
      </x:c>
      <x:c r="E105" s="48" t="n">
        <x:f>SUMIFS('Manual Adjustments'!$G$5:$G$227,'Manual Adjustments'!$A$5:$A$227,A105,'Manual Adjustments'!$B$5:$B$227,C105)</x:f>
        <x:v>0</x:v>
      </x:c>
      <x:c r="F105" s="48" t="n">
        <x:f>IFERROR(SUMIFS('Rookie College Inputs'!$I$5:$I$13,'Rookie College Inputs'!$A$5:$A$13,C105),0)</x:f>
        <x:v>0</x:v>
      </x:c>
      <x:c r="G105" s="48" t="n">
        <x:f>MAX(40,MIN(100,D105+E105+F105))</x:f>
        <x:v>75.51323575633128</x:v>
      </x:c>
      <x:c r="H105" t="n">
        <x:f>IF(A105="QB",'League Config'!$H$5,IF(A105="RB",'League Config'!$H$6,IF(A105="WR",'League Config'!$H$7,IF(A105="TE",'League Config'!$H$8,IF(A105="K",'League Config'!$H$9,'League Config'!$H$10)))))</x:f>
        <x:v>13</x:v>
      </x:c>
      <x:c r="I105" s="48" t="n">
        <x:f>IF(A105="QB",'League Config'!$F$14,IF(A105="RB",'League Config'!$F$15,IF(A105="WR",'League Config'!$F$16,IF(A105="TE",'League Config'!$F$17,IF(A105="K",'League Config'!$F$18,'League Config'!$F$19)))))</x:f>
        <x:v>79.9181106679422</x:v>
      </x:c>
      <x:c r="J105" s="48" t="n">
        <x:f>G105-I105</x:f>
        <x:v>-4.404874911610918</x:v>
      </x:c>
      <x:c r="K105" s="48" t="n">
        <x:f>MAX(0,MIN(100,50+J105*6))</x:f>
        <x:v>23.570750530334493</x:v>
      </x:c>
      <x:c r="L105" s="48" t="n">
        <x:f>MIN(100,MAX(0,MIN(100,(1-(B105-1)/(H105*1.5))*100))*IF(A105="QB",'League Config'!$G$14,IF(A105="RB",'League Config'!$G$15,IF(A105="WR",'League Config'!$G$16,IF(A105="TE",'League Config'!$G$17,IF(A105="K",'League Config'!$G$18,'League Config'!$G$19))))))</x:f>
        <x:v>6.923076923076919</x:v>
      </x:c>
      <x:c r="M105" t="n">
        <x:f>IF(A105="K",'League Config'!$B$15,IF(A105="DST",'League Config'!$B$16,IF(A105="QB",'League Config'!$B$17,0)))</x:f>
        <x:v>0</x:v>
      </x:c>
      <x:c r="N105" s="48" t="n">
        <x:f>MIN(100,MAX(0,0.55*G105+0.30*K105+0.15*L105-M105))</x:f>
        <x:v>49.6419663635441</x:v>
      </x:c>
      <x:c r="O105" t="n">
        <x:f>RANK.EQ(N105,$N$5:$N$227,0)</x:f>
        <x:v>129</x:v>
      </x:c>
      <x:c r="P105" s="110" t="n">
        <x:v>179</x:v>
      </x:c>
      <x:c r="Q105" s="48" t="n">
        <x:f>P105-O105</x:f>
        <x:v>50</x:v>
      </x:c>
      <x:c r="R105" s="48" t="n">
        <x:f>MAX(40,G105-IF(U105="A",6,IF(U105="B",9,12)))</x:f>
        <x:v>69.51323575633128</x:v>
      </x:c>
      <x:c r="S105" s="48" t="n">
        <x:f>G105</x:f>
        <x:v>75.51323575633128</x:v>
      </x:c>
      <x:c r="T105" s="48" t="n">
        <x:f>MIN(100,G105+IF(U105="A",6,IF(U105="B",9,12)))</x:f>
        <x:v>81.51323575633128</x:v>
      </x:c>
      <x:c r="U105" t="str">
        <x:v>A</x:v>
      </x:c>
      <x:c r="V105" t="str">
        <x:v>RATE-ADJUSTED VETERAN</x:v>
      </x:c>
      <x:c r="W105" s="109" t="str">
        <x:v>Available</x:v>
      </x:c>
      <x:c r="X105" t="n">
        <x:f>IF(W105&lt;&gt;"Available","",1+COUNTIFS($W$5:$W$227,"Available",$N$5:$N$227,"&gt;"&amp;N105))</x:f>
        <x:v>129</x:v>
      </x:c>
      <x:c r="Y105" s="98" t="str">
        <x:v>EXPECTATION: Deep TE stash; needs a larger route/target role to matter in 10-team leagues.  WHY: He produced 7.3 PPR/FP points per game across 17 games. The workload/efficiency profile gives the model a rate-based reason to keep him here. Market price is favorable around ADP 179 versus model overall rank 125.  RISK: Route share, target volume and touchdown volatility are the main swing factors.</x:v>
      </x:c>
      <x:c r="Z105" t="str">
        <x:v>ADP proxy — editable; based on positional draft cost</x:v>
      </x:c>
    </x:row>
    <x:row r="106">
      <x:c r="A106" t="str">
        <x:v>TE</x:v>
      </x:c>
      <x:c r="B106" t="n">
        <x:v>20</x:v>
      </x:c>
      <x:c r="C106" t="str">
        <x:v>Kenyon Sadiq</x:v>
      </x:c>
      <x:c r="D106" s="48" t="n">
        <x:v>74.09381905002525</x:v>
      </x:c>
      <x:c r="E106" s="48" t="n">
        <x:f>SUMIFS('Manual Adjustments'!$G$5:$G$227,'Manual Adjustments'!$A$5:$A$227,A106,'Manual Adjustments'!$B$5:$B$227,C106)</x:f>
        <x:v>0</x:v>
      </x:c>
      <x:c r="F106" s="48" t="n">
        <x:f>IFERROR(SUMIFS('Rookie College Inputs'!$I$5:$I$13,'Rookie College Inputs'!$A$5:$A$13,C106),0)</x:f>
        <x:v>0</x:v>
      </x:c>
      <x:c r="G106" s="48" t="n">
        <x:f>MAX(40,MIN(100,D106+E106+F106))</x:f>
        <x:v>74.09381905002525</x:v>
      </x:c>
      <x:c r="H106" t="n">
        <x:f>IF(A106="QB",'League Config'!$H$5,IF(A106="RB",'League Config'!$H$6,IF(A106="WR",'League Config'!$H$7,IF(A106="TE",'League Config'!$H$8,IF(A106="K",'League Config'!$H$9,'League Config'!$H$10)))))</x:f>
        <x:v>13</x:v>
      </x:c>
      <x:c r="I106" s="48" t="n">
        <x:f>IF(A106="QB",'League Config'!$F$14,IF(A106="RB",'League Config'!$F$15,IF(A106="WR",'League Config'!$F$16,IF(A106="TE",'League Config'!$F$17,IF(A106="K",'League Config'!$F$18,'League Config'!$F$19)))))</x:f>
        <x:v>79.9181106679422</x:v>
      </x:c>
      <x:c r="J106" s="48" t="n">
        <x:f>G106-I106</x:f>
        <x:v>-5.8242916179169555</x:v>
      </x:c>
      <x:c r="K106" s="48" t="n">
        <x:f>MAX(0,MIN(100,50+J106*6))</x:f>
        <x:v>15.054250292498267</x:v>
      </x:c>
      <x:c r="L106" s="48" t="n">
        <x:f>MIN(100,MAX(0,MIN(100,(1-(B106-1)/(H106*1.5))*100))*IF(A106="QB",'League Config'!$G$14,IF(A106="RB",'League Config'!$G$15,IF(A106="WR",'League Config'!$G$16,IF(A106="TE",'League Config'!$G$17,IF(A106="K",'League Config'!$G$18,'League Config'!$G$19))))))</x:f>
        <x:v>2.3076923076923097</x:v>
      </x:c>
      <x:c r="M106" t="n">
        <x:f>IF(A106="K",'League Config'!$B$15,IF(A106="DST",'League Config'!$B$16,IF(A106="QB",'League Config'!$B$17,0)))</x:f>
        <x:v>0</x:v>
      </x:c>
      <x:c r="N106" s="48" t="n">
        <x:f>MIN(100,MAX(0,0.55*G106+0.30*K106+0.15*L106-M106))</x:f>
        <x:v>45.614029411417214</x:v>
      </x:c>
      <x:c r="O106" t="n">
        <x:f>RANK.EQ(N106,$N$5:$N$227,0)</x:f>
        <x:v>141</x:v>
      </x:c>
      <x:c r="P106" s="110" t="n">
        <x:v>188</x:v>
      </x:c>
      <x:c r="Q106" s="48" t="n">
        <x:f>P106-O106</x:f>
        <x:v>47</x:v>
      </x:c>
      <x:c r="R106" s="48" t="n">
        <x:f>MAX(40,G106-IF(U106="A",6,IF(U106="B",9,12)))</x:f>
        <x:v>65.09381905002525</x:v>
      </x:c>
      <x:c r="S106" s="48" t="n">
        <x:f>G106</x:f>
        <x:v>74.09381905002525</x:v>
      </x:c>
      <x:c r="T106" s="48" t="n">
        <x:f>MIN(100,G106+IF(U106="A",6,IF(U106="B",9,12)))</x:f>
        <x:v>83.09381905002525</x:v>
      </x:c>
      <x:c r="U106" t="str">
        <x:v>B</x:v>
      </x:c>
      <x:c r="V106" t="str">
        <x:v>ROOKIE ENGINE</x:v>
      </x:c>
      <x:c r="W106" s="109" t="str">
        <x:v>Available</x:v>
      </x:c>
      <x:c r="X106" t="n">
        <x:f>IF(W106&lt;&gt;"Available","",1+COUNTIFS($W$5:$W$227,"Available",$N$5:$N$227,"&gt;"&amp;N106))</x:f>
        <x:v>141</x:v>
      </x:c>
      <x:c r="Y106" s="98" t="str">
        <x:v>EXPECTATION: Deep TE stash; needs a larger route/target role to matter in 10-team leagues.  WHY: Rookie score 86.6, backed by No. 16 draft capital and a 6.46 NFL prospect grade. The 2026 role projection is strong enough to replace missing NFL history. Market price is favorable around ADP 188 versus model overall rank 135.  RISK: NFL translation and exact weekly role are the main variables; preseason first-team usage can move this rating quickly.</x:v>
      </x:c>
      <x:c r="Z106" t="str">
        <x:v>ADP proxy — editable; based on positional draft cost</x:v>
      </x:c>
    </x:row>
    <x:row r="107">
      <x:c r="A107" t="str">
        <x:v>TE</x:v>
      </x:c>
      <x:c r="B107" t="n">
        <x:v>21</x:v>
      </x:c>
      <x:c r="C107" t="str">
        <x:v>T.J. Hockenson</x:v>
      </x:c>
      <x:c r="D107" s="48" t="n">
        <x:v>73.85269503643518</x:v>
      </x:c>
      <x:c r="E107" s="48" t="n">
        <x:f>SUMIFS('Manual Adjustments'!$G$5:$G$227,'Manual Adjustments'!$A$5:$A$227,A107,'Manual Adjustments'!$B$5:$B$227,C107)</x:f>
        <x:v>0</x:v>
      </x:c>
      <x:c r="F107" s="48" t="n">
        <x:f>IFERROR(SUMIFS('Rookie College Inputs'!$I$5:$I$13,'Rookie College Inputs'!$A$5:$A$13,C107),0)</x:f>
        <x:v>0</x:v>
      </x:c>
      <x:c r="G107" s="48" t="n">
        <x:f>MAX(40,MIN(100,D107+E107+F107))</x:f>
        <x:v>73.85269503643518</x:v>
      </x:c>
      <x:c r="H107" t="n">
        <x:f>IF(A107="QB",'League Config'!$H$5,IF(A107="RB",'League Config'!$H$6,IF(A107="WR",'League Config'!$H$7,IF(A107="TE",'League Config'!$H$8,IF(A107="K",'League Config'!$H$9,'League Config'!$H$10)))))</x:f>
        <x:v>13</x:v>
      </x:c>
      <x:c r="I107" s="48" t="n">
        <x:f>IF(A107="QB",'League Config'!$F$14,IF(A107="RB",'League Config'!$F$15,IF(A107="WR",'League Config'!$F$16,IF(A107="TE",'League Config'!$F$17,IF(A107="K",'League Config'!$F$18,'League Config'!$F$19)))))</x:f>
        <x:v>79.9181106679422</x:v>
      </x:c>
      <x:c r="J107" s="48" t="n">
        <x:f>G107-I107</x:f>
        <x:v>-6.0654156315070225</x:v>
      </x:c>
      <x:c r="K107" s="48" t="n">
        <x:f>MAX(0,MIN(100,50+J107*6))</x:f>
        <x:v>13.607506210957865</x:v>
      </x:c>
      <x:c r="L107" s="48" t="n">
        <x:f>MIN(100,MAX(0,MIN(100,(1-(B107-1)/(H107*1.5))*100))*IF(A107="QB",'League Config'!$G$14,IF(A107="RB",'League Config'!$G$15,IF(A107="WR",'League Config'!$G$16,IF(A107="TE",'League Config'!$G$17,IF(A107="K",'League Config'!$G$18,'League Config'!$G$19))))))</x:f>
        <x:v>0</x:v>
      </x:c>
      <x:c r="M107" t="n">
        <x:f>IF(A107="K",'League Config'!$B$15,IF(A107="DST",'League Config'!$B$16,IF(A107="QB",'League Config'!$B$17,0)))</x:f>
        <x:v>0</x:v>
      </x:c>
      <x:c r="N107" s="48" t="n">
        <x:f>MIN(100,MAX(0,0.55*G107+0.30*K107+0.15*L107-M107))</x:f>
        <x:v>44.701234133326714</x:v>
      </x:c>
      <x:c r="O107" t="n">
        <x:f>RANK.EQ(N107,$N$5:$N$227,0)</x:f>
        <x:v>143</x:v>
      </x:c>
      <x:c r="P107" s="110" t="n">
        <x:v>197</x:v>
      </x:c>
      <x:c r="Q107" s="48" t="n">
        <x:f>P107-O107</x:f>
        <x:v>54</x:v>
      </x:c>
      <x:c r="R107" s="48" t="n">
        <x:f>MAX(40,G107-IF(U107="A",6,IF(U107="B",9,12)))</x:f>
        <x:v>67.85269503643518</x:v>
      </x:c>
      <x:c r="S107" s="48" t="n">
        <x:f>G107</x:f>
        <x:v>73.85269503643518</x:v>
      </x:c>
      <x:c r="T107" s="48" t="n">
        <x:f>MIN(100,G107+IF(U107="A",6,IF(U107="B",9,12)))</x:f>
        <x:v>79.85269503643518</x:v>
      </x:c>
      <x:c r="U107" t="str">
        <x:v>A</x:v>
      </x:c>
      <x:c r="V107" t="str">
        <x:v>RATE-ADJUSTED VETERAN</x:v>
      </x:c>
      <x:c r="W107" s="109" t="str">
        <x:v>Available</x:v>
      </x:c>
      <x:c r="X107" t="n">
        <x:f>IF(W107&lt;&gt;"Available","",1+COUNTIFS($W$5:$W$227,"Available",$N$5:$N$227,"&gt;"&amp;N107))</x:f>
        <x:v>143</x:v>
      </x:c>
      <x:c r="Y107" s="98" t="str">
        <x:v>EXPECTATION: Deep TE stash; needs a larger route/target role to matter in 10-team leagues.  WHY: He produced 7.5 PPR/FP points per game across 15 games. The workload/efficiency profile gives the model a rate-based reason to keep him here. Market price is favorable around ADP 197 versus model overall rank 138.  RISK: Route share, target volume and touchdown volatility are the main swing factors.</x:v>
      </x:c>
      <x:c r="Z107" t="str">
        <x:v>ADP proxy — editable; based on positional draft cost</x:v>
      </x:c>
    </x:row>
    <x:row r="108">
      <x:c r="A108" t="str">
        <x:v>TE</x:v>
      </x:c>
      <x:c r="B108" t="n">
        <x:v>22</x:v>
      </x:c>
      <x:c r="C108" t="str">
        <x:v>Dalton Schultz</x:v>
      </x:c>
      <x:c r="D108" s="48" t="n">
        <x:v>73.27947609768881</x:v>
      </x:c>
      <x:c r="E108" s="48" t="n">
        <x:f>SUMIFS('Manual Adjustments'!$G$5:$G$227,'Manual Adjustments'!$A$5:$A$227,A108,'Manual Adjustments'!$B$5:$B$227,C108)</x:f>
        <x:v>0</x:v>
      </x:c>
      <x:c r="F108" s="48" t="n">
        <x:f>IFERROR(SUMIFS('Rookie College Inputs'!$I$5:$I$13,'Rookie College Inputs'!$A$5:$A$13,C108),0)</x:f>
        <x:v>0</x:v>
      </x:c>
      <x:c r="G108" s="48" t="n">
        <x:f>MAX(40,MIN(100,D108+E108+F108))</x:f>
        <x:v>73.27947609768881</x:v>
      </x:c>
      <x:c r="H108" t="n">
        <x:f>IF(A108="QB",'League Config'!$H$5,IF(A108="RB",'League Config'!$H$6,IF(A108="WR",'League Config'!$H$7,IF(A108="TE",'League Config'!$H$8,IF(A108="K",'League Config'!$H$9,'League Config'!$H$10)))))</x:f>
        <x:v>13</x:v>
      </x:c>
      <x:c r="I108" s="48" t="n">
        <x:f>IF(A108="QB",'League Config'!$F$14,IF(A108="RB",'League Config'!$F$15,IF(A108="WR",'League Config'!$F$16,IF(A108="TE",'League Config'!$F$17,IF(A108="K",'League Config'!$F$18,'League Config'!$F$19)))))</x:f>
        <x:v>79.9181106679422</x:v>
      </x:c>
      <x:c r="J108" s="48" t="n">
        <x:f>G108-I108</x:f>
        <x:v>-6.638634570253387</x:v>
      </x:c>
      <x:c r="K108" s="48" t="n">
        <x:f>MAX(0,MIN(100,50+J108*6))</x:f>
        <x:v>10.168192578479676</x:v>
      </x:c>
      <x:c r="L108" s="48" t="n">
        <x:f>MIN(100,MAX(0,MIN(100,(1-(B108-1)/(H108*1.5))*100))*IF(A108="QB",'League Config'!$G$14,IF(A108="RB",'League Config'!$G$15,IF(A108="WR",'League Config'!$G$16,IF(A108="TE",'League Config'!$G$17,IF(A108="K",'League Config'!$G$18,'League Config'!$G$19))))))</x:f>
        <x:v>0</x:v>
      </x:c>
      <x:c r="M108" t="n">
        <x:f>IF(A108="K",'League Config'!$B$15,IF(A108="DST",'League Config'!$B$16,IF(A108="QB",'League Config'!$B$17,0)))</x:f>
        <x:v>0</x:v>
      </x:c>
      <x:c r="N108" s="48" t="n">
        <x:f>MIN(100,MAX(0,0.55*G108+0.30*K108+0.15*L108-M108))</x:f>
        <x:v>43.35416962727275</x:v>
      </x:c>
      <x:c r="O108" t="n">
        <x:f>RANK.EQ(N108,$N$5:$N$227,0)</x:f>
        <x:v>146</x:v>
      </x:c>
      <x:c r="P108" s="110" t="n">
        <x:v>206</x:v>
      </x:c>
      <x:c r="Q108" s="48" t="n">
        <x:f>P108-O108</x:f>
        <x:v>60</x:v>
      </x:c>
      <x:c r="R108" s="48" t="n">
        <x:f>MAX(40,G108-IF(U108="A",6,IF(U108="B",9,12)))</x:f>
        <x:v>67.27947609768881</x:v>
      </x:c>
      <x:c r="S108" s="48" t="n">
        <x:f>G108</x:f>
        <x:v>73.27947609768881</x:v>
      </x:c>
      <x:c r="T108" s="48" t="n">
        <x:f>MIN(100,G108+IF(U108="A",6,IF(U108="B",9,12)))</x:f>
        <x:v>79.27947609768881</x:v>
      </x:c>
      <x:c r="U108" t="str">
        <x:v>A</x:v>
      </x:c>
      <x:c r="V108" t="str">
        <x:v>RATE-ADJUSTED VETERAN</x:v>
      </x:c>
      <x:c r="W108" s="109" t="str">
        <x:v>Available</x:v>
      </x:c>
      <x:c r="X108" t="n">
        <x:f>IF(W108&lt;&gt;"Available","",1+COUNTIFS($W$5:$W$227,"Available",$N$5:$N$227,"&gt;"&amp;N108))</x:f>
        <x:v>146</x:v>
      </x:c>
      <x:c r="Y108" s="98" t="str">
        <x:v>EXPECTATION: Deep TE stash; needs a larger route/target role to matter in 10-team leagues.  WHY: He produced 10.4 PPR/FP points per game across 17 games. The workload/efficiency profile gives the model a rate-based reason to keep him here. Market price is favorable around ADP 206 versus model overall rank 140.  RISK: Route share, target volume and touchdown volatility are the main swing factors.</x:v>
      </x:c>
      <x:c r="Z108" t="str">
        <x:v>ADP proxy — editable; based on positional draft cost</x:v>
      </x:c>
    </x:row>
    <x:row r="109">
      <x:c r="A109" t="str">
        <x:v>TE</x:v>
      </x:c>
      <x:c r="B109" t="n">
        <x:v>23</x:v>
      </x:c>
      <x:c r="C109" t="str">
        <x:v>Oronde Gadsden II</x:v>
      </x:c>
      <x:c r="D109" s="48" t="n">
        <x:v>72.5137519384936</x:v>
      </x:c>
      <x:c r="E109" s="48" t="n">
        <x:f>SUMIFS('Manual Adjustments'!$G$5:$G$227,'Manual Adjustments'!$A$5:$A$227,A109,'Manual Adjustments'!$B$5:$B$227,C109)</x:f>
        <x:v>0</x:v>
      </x:c>
      <x:c r="F109" s="48" t="n">
        <x:f>IFERROR(SUMIFS('Rookie College Inputs'!$I$5:$I$13,'Rookie College Inputs'!$A$5:$A$13,C109),0)</x:f>
        <x:v>0</x:v>
      </x:c>
      <x:c r="G109" s="48" t="n">
        <x:f>MAX(40,MIN(100,D109+E109+F109))</x:f>
        <x:v>72.5137519384936</x:v>
      </x:c>
      <x:c r="H109" t="n">
        <x:f>IF(A109="QB",'League Config'!$H$5,IF(A109="RB",'League Config'!$H$6,IF(A109="WR",'League Config'!$H$7,IF(A109="TE",'League Config'!$H$8,IF(A109="K",'League Config'!$H$9,'League Config'!$H$10)))))</x:f>
        <x:v>13</x:v>
      </x:c>
      <x:c r="I109" s="48" t="n">
        <x:f>IF(A109="QB",'League Config'!$F$14,IF(A109="RB",'League Config'!$F$15,IF(A109="WR",'League Config'!$F$16,IF(A109="TE",'League Config'!$F$17,IF(A109="K",'League Config'!$F$18,'League Config'!$F$19)))))</x:f>
        <x:v>79.9181106679422</x:v>
      </x:c>
      <x:c r="J109" s="48" t="n">
        <x:f>G109-I109</x:f>
        <x:v>-7.404358729448603</x:v>
      </x:c>
      <x:c r="K109" s="48" t="n">
        <x:f>MAX(0,MIN(100,50+J109*6))</x:f>
        <x:v>5.573847623308382</x:v>
      </x:c>
      <x:c r="L109" s="48" t="n">
        <x:f>MIN(100,MAX(0,MIN(100,(1-(B109-1)/(H109*1.5))*100))*IF(A109="QB",'League Config'!$G$14,IF(A109="RB",'League Config'!$G$15,IF(A109="WR",'League Config'!$G$16,IF(A109="TE",'League Config'!$G$17,IF(A109="K",'League Config'!$G$18,'League Config'!$G$19))))))</x:f>
        <x:v>0</x:v>
      </x:c>
      <x:c r="M109" t="n">
        <x:f>IF(A109="K",'League Config'!$B$15,IF(A109="DST",'League Config'!$B$16,IF(A109="QB",'League Config'!$B$17,0)))</x:f>
        <x:v>0</x:v>
      </x:c>
      <x:c r="N109" s="48" t="n">
        <x:f>MIN(100,MAX(0,0.55*G109+0.30*K109+0.15*L109-M109))</x:f>
        <x:v>41.554717853164</x:v>
      </x:c>
      <x:c r="O109" t="n">
        <x:f>RANK.EQ(N109,$N$5:$N$227,0)</x:f>
        <x:v>151</x:v>
      </x:c>
      <x:c r="P109" s="110" t="n">
        <x:v>215</x:v>
      </x:c>
      <x:c r="Q109" s="48" t="n">
        <x:f>P109-O109</x:f>
        <x:v>64</x:v>
      </x:c>
      <x:c r="R109" s="48" t="n">
        <x:f>MAX(40,G109-IF(U109="A",6,IF(U109="B",9,12)))</x:f>
        <x:v>66.5137519384936</x:v>
      </x:c>
      <x:c r="S109" s="48" t="n">
        <x:f>G109</x:f>
        <x:v>72.5137519384936</x:v>
      </x:c>
      <x:c r="T109" s="48" t="n">
        <x:f>MIN(100,G109+IF(U109="A",6,IF(U109="B",9,12)))</x:f>
        <x:v>78.5137519384936</x:v>
      </x:c>
      <x:c r="U109" t="str">
        <x:v>A</x:v>
      </x:c>
      <x:c r="V109" t="str">
        <x:v>RATE-ADJUSTED VETERAN</x:v>
      </x:c>
      <x:c r="W109" s="109" t="str">
        <x:v>Available</x:v>
      </x:c>
      <x:c r="X109" t="n">
        <x:f>IF(W109&lt;&gt;"Available","",1+COUNTIFS($W$5:$W$227,"Available",$N$5:$N$227,"&gt;"&amp;N109))</x:f>
        <x:v>151</x:v>
      </x:c>
      <x:c r="Y109" s="98" t="str">
        <x:v>EXPECTATION: Deep TE stash; needs a larger route/target role to matter in 10-team leagues.  WHY: He produced 8.8 PPR/FP points per game across 15 games. The workload/efficiency profile gives the model a rate-based reason to keep him here. Market price is favorable around ADP 215 versus model overall rank 146.  RISK: Route share, target volume and touchdown volatility are the main swing factors.</x:v>
      </x:c>
      <x:c r="Z109" t="str">
        <x:v>ADP proxy — editable; based on positional draft cost</x:v>
      </x:c>
    </x:row>
    <x:row r="110">
      <x:c r="A110" t="str">
        <x:v>TE</x:v>
      </x:c>
      <x:c r="B110" t="n">
        <x:v>24</x:v>
      </x:c>
      <x:c r="C110" t="str">
        <x:v>AJ Barner</x:v>
      </x:c>
      <x:c r="D110" s="48" t="n">
        <x:v>70.12450665294148</x:v>
      </x:c>
      <x:c r="E110" s="48" t="n">
        <x:f>SUMIFS('Manual Adjustments'!$G$5:$G$227,'Manual Adjustments'!$A$5:$A$227,A110,'Manual Adjustments'!$B$5:$B$227,C110)</x:f>
        <x:v>0</x:v>
      </x:c>
      <x:c r="F110" s="48" t="n">
        <x:f>IFERROR(SUMIFS('Rookie College Inputs'!$I$5:$I$13,'Rookie College Inputs'!$A$5:$A$13,C110),0)</x:f>
        <x:v>0</x:v>
      </x:c>
      <x:c r="G110" s="48" t="n">
        <x:f>MAX(40,MIN(100,D110+E110+F110))</x:f>
        <x:v>70.12450665294148</x:v>
      </x:c>
      <x:c r="H110" t="n">
        <x:f>IF(A110="QB",'League Config'!$H$5,IF(A110="RB",'League Config'!$H$6,IF(A110="WR",'League Config'!$H$7,IF(A110="TE",'League Config'!$H$8,IF(A110="K",'League Config'!$H$9,'League Config'!$H$10)))))</x:f>
        <x:v>13</x:v>
      </x:c>
      <x:c r="I110" s="48" t="n">
        <x:f>IF(A110="QB",'League Config'!$F$14,IF(A110="RB",'League Config'!$F$15,IF(A110="WR",'League Config'!$F$16,IF(A110="TE",'League Config'!$F$17,IF(A110="K",'League Config'!$F$18,'League Config'!$F$19)))))</x:f>
        <x:v>79.9181106679422</x:v>
      </x:c>
      <x:c r="J110" s="48" t="n">
        <x:f>G110-I110</x:f>
        <x:v>-9.793604015000724</x:v>
      </x:c>
      <x:c r="K110" s="48" t="n">
        <x:f>MAX(0,MIN(100,50+J110*6))</x:f>
        <x:v>0</x:v>
      </x:c>
      <x:c r="L110" s="48" t="n">
        <x:f>MIN(100,MAX(0,MIN(100,(1-(B110-1)/(H110*1.5))*100))*IF(A110="QB",'League Config'!$G$14,IF(A110="RB",'League Config'!$G$15,IF(A110="WR",'League Config'!$G$16,IF(A110="TE",'League Config'!$G$17,IF(A110="K",'League Config'!$G$18,'League Config'!$G$19))))))</x:f>
        <x:v>0</x:v>
      </x:c>
      <x:c r="M110" t="n">
        <x:f>IF(A110="K",'League Config'!$B$15,IF(A110="DST",'League Config'!$B$16,IF(A110="QB",'League Config'!$B$17,0)))</x:f>
        <x:v>0</x:v>
      </x:c>
      <x:c r="N110" s="48" t="n">
        <x:f>MIN(100,MAX(0,0.55*G110+0.30*K110+0.15*L110-M110))</x:f>
        <x:v>38.568478659117815</x:v>
      </x:c>
      <x:c r="O110" t="n">
        <x:f>RANK.EQ(N110,$N$5:$N$227,0)</x:f>
        <x:v>158</x:v>
      </x:c>
      <x:c r="P110" s="110" t="n">
        <x:v>224</x:v>
      </x:c>
      <x:c r="Q110" s="48" t="n">
        <x:f>P110-O110</x:f>
        <x:v>66</x:v>
      </x:c>
      <x:c r="R110" s="48" t="n">
        <x:f>MAX(40,G110-IF(U110="A",6,IF(U110="B",9,12)))</x:f>
        <x:v>64.12450665294148</x:v>
      </x:c>
      <x:c r="S110" s="48" t="n">
        <x:f>G110</x:f>
        <x:v>70.12450665294148</x:v>
      </x:c>
      <x:c r="T110" s="48" t="n">
        <x:f>MIN(100,G110+IF(U110="A",6,IF(U110="B",9,12)))</x:f>
        <x:v>76.12450665294148</x:v>
      </x:c>
      <x:c r="U110" t="str">
        <x:v>A</x:v>
      </x:c>
      <x:c r="V110" t="str">
        <x:v>RATE-ADJUSTED VETERAN</x:v>
      </x:c>
      <x:c r="W110" s="109" t="str">
        <x:v>Available</x:v>
      </x:c>
      <x:c r="X110" t="n">
        <x:f>IF(W110&lt;&gt;"Available","",1+COUNTIFS($W$5:$W$227,"Available",$N$5:$N$227,"&gt;"&amp;N110))</x:f>
        <x:v>158</x:v>
      </x:c>
      <x:c r="Y110" s="98" t="str">
        <x:v>EXPECTATION: Deep TE stash; needs a larger route/target role to matter in 10-team leagues.  WHY: He produced 8.7 PPR/FP points per game across 17 games. The workload/efficiency profile gives the model a rate-based reason to keep him here. Market price is favorable around ADP 224 versus model overall rank 156.  RISK: Route share, target volume and touchdown volatility are the main swing factors.</x:v>
      </x:c>
      <x:c r="Z110" t="str">
        <x:v>ADP proxy — editable; based on positional draft cost</x:v>
      </x:c>
    </x:row>
    <x:row r="111">
      <x:c r="A111" t="str">
        <x:v>TE</x:v>
      </x:c>
      <x:c r="B111" t="n">
        <x:v>25</x:v>
      </x:c>
      <x:c r="C111" t="str">
        <x:v>Cade Otton</x:v>
      </x:c>
      <x:c r="D111" s="48" t="n">
        <x:v>66.64902120836972</x:v>
      </x:c>
      <x:c r="E111" s="48" t="n">
        <x:f>SUMIFS('Manual Adjustments'!$G$5:$G$227,'Manual Adjustments'!$A$5:$A$227,A111,'Manual Adjustments'!$B$5:$B$227,C111)</x:f>
        <x:v>0</x:v>
      </x:c>
      <x:c r="F111" s="48" t="n">
        <x:f>IFERROR(SUMIFS('Rookie College Inputs'!$I$5:$I$13,'Rookie College Inputs'!$A$5:$A$13,C111),0)</x:f>
        <x:v>0</x:v>
      </x:c>
      <x:c r="G111" s="48" t="n">
        <x:f>MAX(40,MIN(100,D111+E111+F111))</x:f>
        <x:v>66.64902120836972</x:v>
      </x:c>
      <x:c r="H111" t="n">
        <x:f>IF(A111="QB",'League Config'!$H$5,IF(A111="RB",'League Config'!$H$6,IF(A111="WR",'League Config'!$H$7,IF(A111="TE",'League Config'!$H$8,IF(A111="K",'League Config'!$H$9,'League Config'!$H$10)))))</x:f>
        <x:v>13</x:v>
      </x:c>
      <x:c r="I111" s="48" t="n">
        <x:f>IF(A111="QB",'League Config'!$F$14,IF(A111="RB",'League Config'!$F$15,IF(A111="WR",'League Config'!$F$16,IF(A111="TE",'League Config'!$F$17,IF(A111="K",'League Config'!$F$18,'League Config'!$F$19)))))</x:f>
        <x:v>79.9181106679422</x:v>
      </x:c>
      <x:c r="J111" s="48" t="n">
        <x:f>G111-I111</x:f>
        <x:v>-13.269089459572484</x:v>
      </x:c>
      <x:c r="K111" s="48" t="n">
        <x:f>MAX(0,MIN(100,50+J111*6))</x:f>
        <x:v>0</x:v>
      </x:c>
      <x:c r="L111" s="48" t="n">
        <x:f>MIN(100,MAX(0,MIN(100,(1-(B111-1)/(H111*1.5))*100))*IF(A111="QB",'League Config'!$G$14,IF(A111="RB",'League Config'!$G$15,IF(A111="WR",'League Config'!$G$16,IF(A111="TE",'League Config'!$G$17,IF(A111="K",'League Config'!$G$18,'League Config'!$G$19))))))</x:f>
        <x:v>0</x:v>
      </x:c>
      <x:c r="M111" t="n">
        <x:f>IF(A111="K",'League Config'!$B$15,IF(A111="DST",'League Config'!$B$16,IF(A111="QB",'League Config'!$B$17,0)))</x:f>
        <x:v>0</x:v>
      </x:c>
      <x:c r="N111" s="48" t="n">
        <x:f>MIN(100,MAX(0,0.55*G111+0.30*K111+0.15*L111-M111))</x:f>
        <x:v>36.65696166460335</x:v>
      </x:c>
      <x:c r="O111" t="n">
        <x:f>RANK.EQ(N111,$N$5:$N$227,0)</x:f>
        <x:v>166</x:v>
      </x:c>
      <x:c r="P111" s="110" t="n">
        <x:v>233</x:v>
      </x:c>
      <x:c r="Q111" s="48" t="n">
        <x:f>P111-O111</x:f>
        <x:v>67</x:v>
      </x:c>
      <x:c r="R111" s="48" t="n">
        <x:f>MAX(40,G111-IF(U111="A",6,IF(U111="B",9,12)))</x:f>
        <x:v>60.64902120836972</x:v>
      </x:c>
      <x:c r="S111" s="48" t="n">
        <x:f>G111</x:f>
        <x:v>66.64902120836972</x:v>
      </x:c>
      <x:c r="T111" s="48" t="n">
        <x:f>MIN(100,G111+IF(U111="A",6,IF(U111="B",9,12)))</x:f>
        <x:v>72.64902120836972</x:v>
      </x:c>
      <x:c r="U111" t="str">
        <x:v>A</x:v>
      </x:c>
      <x:c r="V111" t="str">
        <x:v>RATE-ADJUSTED VETERAN</x:v>
      </x:c>
      <x:c r="W111" s="109" t="str">
        <x:v>Available</x:v>
      </x:c>
      <x:c r="X111" t="n">
        <x:f>IF(W111&lt;&gt;"Available","",1+COUNTIFS($W$5:$W$227,"Available",$N$5:$N$227,"&gt;"&amp;N111))</x:f>
        <x:v>166</x:v>
      </x:c>
      <x:c r="Y111" s="98" t="str">
        <x:v>EXPECTATION: Deep TE stash; needs a larger route/target role to matter in 10-team leagues.  WHY: He produced 7.6 PPR/FP points per game across 16 games. The workload/efficiency profile gives the model a rate-based reason to keep him here. Market price is favorable around ADP 233 versus model overall rank 165.  RISK: Route share, target volume and touchdown volatility are the main swing factors.</x:v>
      </x:c>
      <x:c r="Z111" t="str">
        <x:v>ADP proxy — editable; based on positional draft cost</x:v>
      </x:c>
    </x:row>
    <x:row r="112">
      <x:c r="A112" t="str">
        <x:v>TE</x:v>
      </x:c>
      <x:c r="B112" t="n">
        <x:v>26</x:v>
      </x:c>
      <x:c r="C112" t="str">
        <x:v>Gunnar Helm</x:v>
      </x:c>
      <x:c r="D112" s="48" t="n">
        <x:v>66.62233998586467</x:v>
      </x:c>
      <x:c r="E112" s="48" t="n">
        <x:f>SUMIFS('Manual Adjustments'!$G$5:$G$227,'Manual Adjustments'!$A$5:$A$227,A112,'Manual Adjustments'!$B$5:$B$227,C112)</x:f>
        <x:v>0</x:v>
      </x:c>
      <x:c r="F112" s="48" t="n">
        <x:f>IFERROR(SUMIFS('Rookie College Inputs'!$I$5:$I$13,'Rookie College Inputs'!$A$5:$A$13,C112),0)</x:f>
        <x:v>0</x:v>
      </x:c>
      <x:c r="G112" s="48" t="n">
        <x:f>MAX(40,MIN(100,D112+E112+F112))</x:f>
        <x:v>66.62233998586467</x:v>
      </x:c>
      <x:c r="H112" t="n">
        <x:f>IF(A112="QB",'League Config'!$H$5,IF(A112="RB",'League Config'!$H$6,IF(A112="WR",'League Config'!$H$7,IF(A112="TE",'League Config'!$H$8,IF(A112="K",'League Config'!$H$9,'League Config'!$H$10)))))</x:f>
        <x:v>13</x:v>
      </x:c>
      <x:c r="I112" s="48" t="n">
        <x:f>IF(A112="QB",'League Config'!$F$14,IF(A112="RB",'League Config'!$F$15,IF(A112="WR",'League Config'!$F$16,IF(A112="TE",'League Config'!$F$17,IF(A112="K",'League Config'!$F$18,'League Config'!$F$19)))))</x:f>
        <x:v>79.9181106679422</x:v>
      </x:c>
      <x:c r="J112" s="48" t="n">
        <x:f>G112-I112</x:f>
        <x:v>-13.295770682077531</x:v>
      </x:c>
      <x:c r="K112" s="48" t="n">
        <x:f>MAX(0,MIN(100,50+J112*6))</x:f>
        <x:v>0</x:v>
      </x:c>
      <x:c r="L112" s="48" t="n">
        <x:f>MIN(100,MAX(0,MIN(100,(1-(B112-1)/(H112*1.5))*100))*IF(A112="QB",'League Config'!$G$14,IF(A112="RB",'League Config'!$G$15,IF(A112="WR",'League Config'!$G$16,IF(A112="TE",'League Config'!$G$17,IF(A112="K",'League Config'!$G$18,'League Config'!$G$19))))))</x:f>
        <x:v>0</x:v>
      </x:c>
      <x:c r="M112" t="n">
        <x:f>IF(A112="K",'League Config'!$B$15,IF(A112="DST",'League Config'!$B$16,IF(A112="QB",'League Config'!$B$17,0)))</x:f>
        <x:v>0</x:v>
      </x:c>
      <x:c r="N112" s="48" t="n">
        <x:f>MIN(100,MAX(0,0.55*G112+0.30*K112+0.15*L112-M112))</x:f>
        <x:v>36.64228699222557</x:v>
      </x:c>
      <x:c r="O112" t="n">
        <x:f>RANK.EQ(N112,$N$5:$N$227,0)</x:f>
        <x:v>167</x:v>
      </x:c>
      <x:c r="P112" s="110" t="n">
        <x:v>242</x:v>
      </x:c>
      <x:c r="Q112" s="48" t="n">
        <x:f>P112-O112</x:f>
        <x:v>75</x:v>
      </x:c>
      <x:c r="R112" s="48" t="n">
        <x:f>MAX(40,G112-IF(U112="A",6,IF(U112="B",9,12)))</x:f>
        <x:v>60.62233998586467</x:v>
      </x:c>
      <x:c r="S112" s="48" t="n">
        <x:f>G112</x:f>
        <x:v>66.62233998586467</x:v>
      </x:c>
      <x:c r="T112" s="48" t="n">
        <x:f>MIN(100,G112+IF(U112="A",6,IF(U112="B",9,12)))</x:f>
        <x:v>72.62233998586467</x:v>
      </x:c>
      <x:c r="U112" t="str">
        <x:v>A</x:v>
      </x:c>
      <x:c r="V112" t="str">
        <x:v>RATE-ADJUSTED VETERAN</x:v>
      </x:c>
      <x:c r="W112" s="109" t="str">
        <x:v>Available</x:v>
      </x:c>
      <x:c r="X112" t="n">
        <x:f>IF(W112&lt;&gt;"Available","",1+COUNTIFS($W$5:$W$227,"Available",$N$5:$N$227,"&gt;"&amp;N112))</x:f>
        <x:v>167</x:v>
      </x:c>
      <x:c r="Y112" s="98" t="str">
        <x:v>EXPECTATION: Deep TE stash; needs a larger route/target role to matter in 10-team leagues.  WHY: He produced 5.8 PPR/FP points per game across 16 games. The workload/efficiency profile gives the model a rate-based reason to keep him here. Market price is favorable around ADP 242 versus model overall rank 166.  RISK: Route share, target volume and touchdown volatility are the main swing factors.</x:v>
      </x:c>
      <x:c r="Z112" t="str">
        <x:v>ADP proxy — editable; based on positional draft cost</x:v>
      </x:c>
    </x:row>
    <x:row r="113">
      <x:c r="A113" t="str">
        <x:v>TE</x:v>
      </x:c>
      <x:c r="B113" t="n">
        <x:v>27</x:v>
      </x:c>
      <x:c r="C113" t="str">
        <x:v>Terrance Ferguson</x:v>
      </x:c>
      <x:c r="D113" s="48" t="n">
        <x:v>64.36205882352941</x:v>
      </x:c>
      <x:c r="E113" s="48" t="n">
        <x:f>SUMIFS('Manual Adjustments'!$G$5:$G$227,'Manual Adjustments'!$A$5:$A$227,A113,'Manual Adjustments'!$B$5:$B$227,C113)</x:f>
        <x:v>0</x:v>
      </x:c>
      <x:c r="F113" s="48" t="n">
        <x:f>IFERROR(SUMIFS('Rookie College Inputs'!$I$5:$I$13,'Rookie College Inputs'!$A$5:$A$13,C113),0)</x:f>
        <x:v>0</x:v>
      </x:c>
      <x:c r="G113" s="48" t="n">
        <x:f>MAX(40,MIN(100,D113+E113+F113))</x:f>
        <x:v>64.36205882352941</x:v>
      </x:c>
      <x:c r="H113" t="n">
        <x:f>IF(A113="QB",'League Config'!$H$5,IF(A113="RB",'League Config'!$H$6,IF(A113="WR",'League Config'!$H$7,IF(A113="TE",'League Config'!$H$8,IF(A113="K",'League Config'!$H$9,'League Config'!$H$10)))))</x:f>
        <x:v>13</x:v>
      </x:c>
      <x:c r="I113" s="48" t="n">
        <x:f>IF(A113="QB",'League Config'!$F$14,IF(A113="RB",'League Config'!$F$15,IF(A113="WR",'League Config'!$F$16,IF(A113="TE",'League Config'!$F$17,IF(A113="K",'League Config'!$F$18,'League Config'!$F$19)))))</x:f>
        <x:v>79.9181106679422</x:v>
      </x:c>
      <x:c r="J113" s="48" t="n">
        <x:f>G113-I113</x:f>
        <x:v>-15.556051844412792</x:v>
      </x:c>
      <x:c r="K113" s="48" t="n">
        <x:f>MAX(0,MIN(100,50+J113*6))</x:f>
        <x:v>0</x:v>
      </x:c>
      <x:c r="L113" s="48" t="n">
        <x:f>MIN(100,MAX(0,MIN(100,(1-(B113-1)/(H113*1.5))*100))*IF(A113="QB",'League Config'!$G$14,IF(A113="RB",'League Config'!$G$15,IF(A113="WR",'League Config'!$G$16,IF(A113="TE",'League Config'!$G$17,IF(A113="K",'League Config'!$G$18,'League Config'!$G$19))))))</x:f>
        <x:v>0</x:v>
      </x:c>
      <x:c r="M113" t="n">
        <x:f>IF(A113="K",'League Config'!$B$15,IF(A113="DST",'League Config'!$B$16,IF(A113="QB",'League Config'!$B$17,0)))</x:f>
        <x:v>0</x:v>
      </x:c>
      <x:c r="N113" s="48" t="n">
        <x:f>MIN(100,MAX(0,0.55*G113+0.30*K113+0.15*L113-M113))</x:f>
        <x:v>35.39913235294118</x:v>
      </x:c>
      <x:c r="O113" t="n">
        <x:f>RANK.EQ(N113,$N$5:$N$227,0)</x:f>
        <x:v>175</x:v>
      </x:c>
      <x:c r="P113" s="110" t="n">
        <x:v>251</x:v>
      </x:c>
      <x:c r="Q113" s="48" t="n">
        <x:f>P113-O113</x:f>
        <x:v>76</x:v>
      </x:c>
      <x:c r="R113" s="48" t="n">
        <x:f>MAX(40,G113-IF(U113="A",6,IF(U113="B",9,12)))</x:f>
        <x:v>58.36205882352941</x:v>
      </x:c>
      <x:c r="S113" s="48" t="n">
        <x:f>G113</x:f>
        <x:v>64.36205882352941</x:v>
      </x:c>
      <x:c r="T113" s="48" t="n">
        <x:f>MIN(100,G113+IF(U113="A",6,IF(U113="B",9,12)))</x:f>
        <x:v>70.36205882352941</x:v>
      </x:c>
      <x:c r="U113" t="str">
        <x:v>A</x:v>
      </x:c>
      <x:c r="V113" t="str">
        <x:v>RATE-ADJUSTED VETERAN</x:v>
      </x:c>
      <x:c r="W113" s="109" t="str">
        <x:v>Available</x:v>
      </x:c>
      <x:c r="X113" t="n">
        <x:f>IF(W113&lt;&gt;"Available","",1+COUNTIFS($W$5:$W$227,"Available",$N$5:$N$227,"&gt;"&amp;N113))</x:f>
        <x:v>175</x:v>
      </x:c>
      <x:c r="Y113" s="98" t="str">
        <x:v>EXPECTATION: Deep TE stash; needs a larger route/target role to matter in 10-team leagues.  WHY: He produced 4.0 PPR/FP points per game across 13 games. The workload/efficiency profile gives the model a rate-based reason to keep him here. Market price is favorable around ADP 251 versus model overall rank 175.  RISK: Route share, target volume and touchdown volatility are the main swing factors.</x:v>
      </x:c>
      <x:c r="Z113" t="str">
        <x:v>ADP proxy — editable; based on positional draft cost</x:v>
      </x:c>
    </x:row>
    <x:row r="114">
      <x:c r="A114" t="str">
        <x:v>WR</x:v>
      </x:c>
      <x:c r="B114" t="n">
        <x:v>1</x:v>
      </x:c>
      <x:c r="C114" t="str">
        <x:v>Ja'Marr Chase</x:v>
      </x:c>
      <x:c r="D114" s="48" t="n">
        <x:v>96.73226249999999</x:v>
      </x:c>
      <x:c r="E114" s="48" t="n">
        <x:f>SUMIFS('Manual Adjustments'!$G$5:$G$227,'Manual Adjustments'!$A$5:$A$227,A114,'Manual Adjustments'!$B$5:$B$227,C114)</x:f>
        <x:v>0</x:v>
      </x:c>
      <x:c r="F114" s="48" t="n">
        <x:f>IFERROR(SUMIFS('Rookie College Inputs'!$I$5:$I$13,'Rookie College Inputs'!$A$5:$A$13,C114),0)</x:f>
        <x:v>0</x:v>
      </x:c>
      <x:c r="G114" s="48" t="n">
        <x:f>MAX(40,MIN(100,D114+E114+F114))</x:f>
        <x:v>96.73226249999999</x:v>
      </x:c>
      <x:c r="H114" t="n">
        <x:f>IF(A114="QB",'League Config'!$H$5,IF(A114="RB",'League Config'!$H$6,IF(A114="WR",'League Config'!$H$7,IF(A114="TE",'League Config'!$H$8,IF(A114="K",'League Config'!$H$9,'League Config'!$H$10)))))</x:f>
        <x:v>33</x:v>
      </x:c>
      <x:c r="I114" s="48" t="n">
        <x:f>IF(A114="QB",'League Config'!$F$14,IF(A114="RB",'League Config'!$F$15,IF(A114="WR",'League Config'!$F$16,IF(A114="TE",'League Config'!$F$17,IF(A114="K",'League Config'!$F$18,'League Config'!$F$19)))))</x:f>
        <x:v>73.645</x:v>
      </x:c>
      <x:c r="J114" s="48" t="n">
        <x:f>G114-I114</x:f>
        <x:v>23.087262499999994</x:v>
      </x:c>
      <x:c r="K114" s="48" t="n">
        <x:f>MAX(0,MIN(100,50+J114*6))</x:f>
        <x:v>100</x:v>
      </x:c>
      <x:c r="L114" s="48" t="n">
        <x:f>MIN(100,MAX(0,MIN(100,(1-(B114-1)/(H114*1.5))*100))*IF(A114="QB",'League Config'!$G$14,IF(A114="RB",'League Config'!$G$15,IF(A114="WR",'League Config'!$G$16,IF(A114="TE",'League Config'!$G$17,IF(A114="K",'League Config'!$G$18,'League Config'!$G$19))))))</x:f>
        <x:v>100</x:v>
      </x:c>
      <x:c r="M114" t="n">
        <x:f>IF(A114="K",'League Config'!$B$15,IF(A114="DST",'League Config'!$B$16,IF(A114="QB",'League Config'!$B$17,0)))</x:f>
        <x:v>0</x:v>
      </x:c>
      <x:c r="N114" s="48" t="n">
        <x:f>MIN(100,MAX(0,0.55*G114+0.30*K114+0.15*L114-M114))</x:f>
        <x:v>98.20274437500001</x:v>
      </x:c>
      <x:c r="O114" t="n">
        <x:f>RANK.EQ(N114,$N$5:$N$227,0)</x:f>
        <x:v>3</x:v>
      </x:c>
      <x:c r="P114" s="110" t="n">
        <x:v>3.2</x:v>
      </x:c>
      <x:c r="Q114" s="48" t="n">
        <x:f>P114-O114</x:f>
        <x:v>0.20000000000000018</x:v>
      </x:c>
      <x:c r="R114" s="48" t="n">
        <x:f>MAX(40,G114-IF(U114="A",6,IF(U114="B",9,12)))</x:f>
        <x:v>90.73226249999999</x:v>
      </x:c>
      <x:c r="S114" s="48" t="n">
        <x:f>G114</x:f>
        <x:v>96.73226249999999</x:v>
      </x:c>
      <x:c r="T114" s="48" t="n">
        <x:f>MIN(100,G114+IF(U114="A",6,IF(U114="B",9,12)))</x:f>
        <x:v>100</x:v>
      </x:c>
      <x:c r="U114" t="str">
        <x:v>A</x:v>
      </x:c>
      <x:c r="V114" t="str">
        <x:v>HISTORY FALLBACK</x:v>
      </x:c>
      <x:c r="W114" s="109" t="str">
        <x:v>Available</x:v>
      </x:c>
      <x:c r="X114" t="n">
        <x:f>IF(W114&lt;&gt;"Available","",1+COUNTIFS($W$5:$W$227,"Available",$N$5:$N$227,"&gt;"&amp;N114))</x:f>
        <x:v>3</x:v>
      </x:c>
      <x:c r="Y114" s="98" t="str">
        <x:v>EXPECTATION: Elite WR1 and first-round caliber target with overall WR1 upside.  WHY: He produced 19.6 PPR/FP points per game across 16 games. The workload/efficiency profile gives the model a rate-based reason to keep him here.  RISK: Target competition, quarterback efficiency and touchdown regression are the main downside paths.</x:v>
      </x:c>
      <x:c r="Z114" t="str">
        <x:v>https://www.fantasypros.com/nfl/adp/ppr-overall.php</x:v>
      </x:c>
    </x:row>
    <x:row r="115">
      <x:c r="A115" t="str">
        <x:v>WR</x:v>
      </x:c>
      <x:c r="B115" t="n">
        <x:v>2</x:v>
      </x:c>
      <x:c r="C115" t="str">
        <x:v>Puka Nacua</x:v>
      </x:c>
      <x:c r="D115" s="48" t="n">
        <x:v>98.48591</x:v>
      </x:c>
      <x:c r="E115" s="48" t="n">
        <x:f>SUMIFS('Manual Adjustments'!$G$5:$G$227,'Manual Adjustments'!$A$5:$A$227,A115,'Manual Adjustments'!$B$5:$B$227,C115)</x:f>
        <x:v>0</x:v>
      </x:c>
      <x:c r="F115" s="48" t="n">
        <x:f>IFERROR(SUMIFS('Rookie College Inputs'!$I$5:$I$13,'Rookie College Inputs'!$A$5:$A$13,C115),0)</x:f>
        <x:v>0</x:v>
      </x:c>
      <x:c r="G115" s="48" t="n">
        <x:f>MAX(40,MIN(100,D115+E115+F115))</x:f>
        <x:v>98.48591</x:v>
      </x:c>
      <x:c r="H115" t="n">
        <x:f>IF(A115="QB",'League Config'!$H$5,IF(A115="RB",'League Config'!$H$6,IF(A115="WR",'League Config'!$H$7,IF(A115="TE",'League Config'!$H$8,IF(A115="K",'League Config'!$H$9,'League Config'!$H$10)))))</x:f>
        <x:v>33</x:v>
      </x:c>
      <x:c r="I115" s="48" t="n">
        <x:f>IF(A115="QB",'League Config'!$F$14,IF(A115="RB",'League Config'!$F$15,IF(A115="WR",'League Config'!$F$16,IF(A115="TE",'League Config'!$F$17,IF(A115="K",'League Config'!$F$18,'League Config'!$F$19)))))</x:f>
        <x:v>73.645</x:v>
      </x:c>
      <x:c r="J115" s="48" t="n">
        <x:f>G115-I115</x:f>
        <x:v>24.840910000000008</x:v>
      </x:c>
      <x:c r="K115" s="48" t="n">
        <x:f>MAX(0,MIN(100,50+J115*6))</x:f>
        <x:v>100</x:v>
      </x:c>
      <x:c r="L115" s="48" t="n">
        <x:f>MIN(100,MAX(0,MIN(100,(1-(B115-1)/(H115*1.5))*100))*IF(A115="QB",'League Config'!$G$14,IF(A115="RB",'League Config'!$G$15,IF(A115="WR",'League Config'!$G$16,IF(A115="TE",'League Config'!$G$17,IF(A115="K",'League Config'!$G$18,'League Config'!$G$19))))))</x:f>
        <x:v>100</x:v>
      </x:c>
      <x:c r="M115" t="n">
        <x:f>IF(A115="K",'League Config'!$B$15,IF(A115="DST",'League Config'!$B$16,IF(A115="QB",'League Config'!$B$17,0)))</x:f>
        <x:v>0</x:v>
      </x:c>
      <x:c r="N115" s="48" t="n">
        <x:f>MIN(100,MAX(0,0.55*G115+0.30*K115+0.15*L115-M115))</x:f>
        <x:v>99.16725050000001</x:v>
      </x:c>
      <x:c r="O115" t="n">
        <x:f>RANK.EQ(N115,$N$5:$N$227,0)</x:f>
        <x:v>1</x:v>
      </x:c>
      <x:c r="P115" s="110" t="n">
        <x:v>3.8</x:v>
      </x:c>
      <x:c r="Q115" s="48" t="n">
        <x:f>P115-O115</x:f>
        <x:v>2.8</x:v>
      </x:c>
      <x:c r="R115" s="48" t="n">
        <x:f>MAX(40,G115-IF(U115="A",6,IF(U115="B",9,12)))</x:f>
        <x:v>92.48591</x:v>
      </x:c>
      <x:c r="S115" s="48" t="n">
        <x:f>G115</x:f>
        <x:v>98.48591</x:v>
      </x:c>
      <x:c r="T115" s="48" t="n">
        <x:f>MIN(100,G115+IF(U115="A",6,IF(U115="B",9,12)))</x:f>
        <x:v>100</x:v>
      </x:c>
      <x:c r="U115" t="str">
        <x:v>A</x:v>
      </x:c>
      <x:c r="V115" t="str">
        <x:v>HISTORY FALLBACK</x:v>
      </x:c>
      <x:c r="W115" s="109" t="str">
        <x:v>Available</x:v>
      </x:c>
      <x:c r="X115" t="n">
        <x:f>IF(W115&lt;&gt;"Available","",1+COUNTIFS($W$5:$W$227,"Available",$N$5:$N$227,"&gt;"&amp;N115))</x:f>
        <x:v>1</x:v>
      </x:c>
      <x:c r="Y115" s="98" t="str">
        <x:v>EXPECTATION: Elite WR1 and first-round caliber target with overall WR1 upside.  WHY: He produced 23.5 PPR/FP points per game across 16 games. The workload/efficiency profile gives the model a rate-based reason to keep him here.  RISK: Target competition, quarterback efficiency and touchdown regression are the main downside paths.</x:v>
      </x:c>
      <x:c r="Z115" t="str">
        <x:v>https://www.fantasypros.com/nfl/adp/ppr-overall.php</x:v>
      </x:c>
    </x:row>
    <x:row r="116">
      <x:c r="A116" t="str">
        <x:v>WR</x:v>
      </x:c>
      <x:c r="B116" t="n">
        <x:v>3</x:v>
      </x:c>
      <x:c r="C116" t="str">
        <x:v>Jaxon Smith-Njigba</x:v>
      </x:c>
      <x:c r="D116" s="48" t="n">
        <x:v>94.07988999999998</x:v>
      </x:c>
      <x:c r="E116" s="48" t="n">
        <x:f>SUMIFS('Manual Adjustments'!$G$5:$G$227,'Manual Adjustments'!$A$5:$A$227,A116,'Manual Adjustments'!$B$5:$B$227,C116)</x:f>
        <x:v>0</x:v>
      </x:c>
      <x:c r="F116" s="48" t="n">
        <x:f>IFERROR(SUMIFS('Rookie College Inputs'!$I$5:$I$13,'Rookie College Inputs'!$A$5:$A$13,C116),0)</x:f>
        <x:v>0</x:v>
      </x:c>
      <x:c r="G116" s="48" t="n">
        <x:f>MAX(40,MIN(100,D116+E116+F116))</x:f>
        <x:v>94.07988999999998</x:v>
      </x:c>
      <x:c r="H116" t="n">
        <x:f>IF(A116="QB",'League Config'!$H$5,IF(A116="RB",'League Config'!$H$6,IF(A116="WR",'League Config'!$H$7,IF(A116="TE",'League Config'!$H$8,IF(A116="K",'League Config'!$H$9,'League Config'!$H$10)))))</x:f>
        <x:v>33</x:v>
      </x:c>
      <x:c r="I116" s="48" t="n">
        <x:f>IF(A116="QB",'League Config'!$F$14,IF(A116="RB",'League Config'!$F$15,IF(A116="WR",'League Config'!$F$16,IF(A116="TE",'League Config'!$F$17,IF(A116="K",'League Config'!$F$18,'League Config'!$F$19)))))</x:f>
        <x:v>73.645</x:v>
      </x:c>
      <x:c r="J116" s="48" t="n">
        <x:f>G116-I116</x:f>
        <x:v>20.43488999999998</x:v>
      </x:c>
      <x:c r="K116" s="48" t="n">
        <x:f>MAX(0,MIN(100,50+J116*6))</x:f>
        <x:v>100</x:v>
      </x:c>
      <x:c r="L116" s="48" t="n">
        <x:f>MIN(100,MAX(0,MIN(100,(1-(B116-1)/(H116*1.5))*100))*IF(A116="QB",'League Config'!$G$14,IF(A116="RB",'League Config'!$G$15,IF(A116="WR",'League Config'!$G$16,IF(A116="TE",'League Config'!$G$17,IF(A116="K",'League Config'!$G$18,'League Config'!$G$19))))))</x:f>
        <x:v>100</x:v>
      </x:c>
      <x:c r="M116" t="n">
        <x:f>IF(A116="K",'League Config'!$B$15,IF(A116="DST",'League Config'!$B$16,IF(A116="QB",'League Config'!$B$17,0)))</x:f>
        <x:v>0</x:v>
      </x:c>
      <x:c r="N116" s="48" t="n">
        <x:f>MIN(100,MAX(0,0.55*G116+0.30*K116+0.15*L116-M116))</x:f>
        <x:v>96.74393949999998</x:v>
      </x:c>
      <x:c r="O116" t="n">
        <x:f>RANK.EQ(N116,$N$5:$N$227,0)</x:f>
        <x:v>7</x:v>
      </x:c>
      <x:c r="P116" s="110" t="n">
        <x:v>5.4</x:v>
      </x:c>
      <x:c r="Q116" s="48" t="n">
        <x:f>P116-O116</x:f>
        <x:v>-1.5999999999999996</x:v>
      </x:c>
      <x:c r="R116" s="48" t="n">
        <x:f>MAX(40,G116-IF(U116="A",6,IF(U116="B",9,12)))</x:f>
        <x:v>88.07988999999998</x:v>
      </x:c>
      <x:c r="S116" s="48" t="n">
        <x:f>G116</x:f>
        <x:v>94.07988999999998</x:v>
      </x:c>
      <x:c r="T116" s="48" t="n">
        <x:f>MIN(100,G116+IF(U116="A",6,IF(U116="B",9,12)))</x:f>
        <x:v>100</x:v>
      </x:c>
      <x:c r="U116" t="str">
        <x:v>A</x:v>
      </x:c>
      <x:c r="V116" t="str">
        <x:v>HISTORY FALLBACK</x:v>
      </x:c>
      <x:c r="W116" s="109" t="str">
        <x:v>Available</x:v>
      </x:c>
      <x:c r="X116" t="n">
        <x:f>IF(W116&lt;&gt;"Available","",1+COUNTIFS($W$5:$W$227,"Available",$N$5:$N$227,"&gt;"&amp;N116))</x:f>
        <x:v>7</x:v>
      </x:c>
      <x:c r="Y116" s="98" t="str">
        <x:v>EXPECTATION: Elite WR1 and first-round caliber target with overall WR1 upside.  WHY: He produced 21.2 PPR/FP points per game across 17 games. The workload/efficiency profile gives the model a rate-based reason to keep him here.  RISK: Target competition, quarterback efficiency and touchdown regression are the main downside paths.</x:v>
      </x:c>
      <x:c r="Z116" t="str">
        <x:v>https://www.fantasypros.com/nfl/adp/ppr-overall.php</x:v>
      </x:c>
    </x:row>
    <x:row r="117">
      <x:c r="A117" t="str">
        <x:v>WR</x:v>
      </x:c>
      <x:c r="B117" t="n">
        <x:v>4</x:v>
      </x:c>
      <x:c r="C117" t="str">
        <x:v>Amon-Ra St. Brown</x:v>
      </x:c>
      <x:c r="D117" s="48" t="n">
        <x:v>93.26387249999999</x:v>
      </x:c>
      <x:c r="E117" s="48" t="n">
        <x:f>SUMIFS('Manual Adjustments'!$G$5:$G$227,'Manual Adjustments'!$A$5:$A$227,A117,'Manual Adjustments'!$B$5:$B$227,C117)</x:f>
        <x:v>0</x:v>
      </x:c>
      <x:c r="F117" s="48" t="n">
        <x:f>IFERROR(SUMIFS('Rookie College Inputs'!$I$5:$I$13,'Rookie College Inputs'!$A$5:$A$13,C117),0)</x:f>
        <x:v>0</x:v>
      </x:c>
      <x:c r="G117" s="48" t="n">
        <x:f>MAX(40,MIN(100,D117+E117+F117))</x:f>
        <x:v>93.26387249999999</x:v>
      </x:c>
      <x:c r="H117" t="n">
        <x:f>IF(A117="QB",'League Config'!$H$5,IF(A117="RB",'League Config'!$H$6,IF(A117="WR",'League Config'!$H$7,IF(A117="TE",'League Config'!$H$8,IF(A117="K",'League Config'!$H$9,'League Config'!$H$10)))))</x:f>
        <x:v>33</x:v>
      </x:c>
      <x:c r="I117" s="48" t="n">
        <x:f>IF(A117="QB",'League Config'!$F$14,IF(A117="RB",'League Config'!$F$15,IF(A117="WR",'League Config'!$F$16,IF(A117="TE",'League Config'!$F$17,IF(A117="K",'League Config'!$F$18,'League Config'!$F$19)))))</x:f>
        <x:v>73.645</x:v>
      </x:c>
      <x:c r="J117" s="48" t="n">
        <x:f>G117-I117</x:f>
        <x:v>19.618872499999995</x:v>
      </x:c>
      <x:c r="K117" s="48" t="n">
        <x:f>MAX(0,MIN(100,50+J117*6))</x:f>
        <x:v>100</x:v>
      </x:c>
      <x:c r="L117" s="48" t="n">
        <x:f>MIN(100,MAX(0,MIN(100,(1-(B117-1)/(H117*1.5))*100))*IF(A117="QB",'League Config'!$G$14,IF(A117="RB",'League Config'!$G$15,IF(A117="WR",'League Config'!$G$16,IF(A117="TE",'League Config'!$G$17,IF(A117="K",'League Config'!$G$18,'League Config'!$G$19))))))</x:f>
        <x:v>100</x:v>
      </x:c>
      <x:c r="M117" t="n">
        <x:f>IF(A117="K",'League Config'!$B$15,IF(A117="DST",'League Config'!$B$16,IF(A117="QB",'League Config'!$B$17,0)))</x:f>
        <x:v>0</x:v>
      </x:c>
      <x:c r="N117" s="48" t="n">
        <x:f>MIN(100,MAX(0,0.55*G117+0.30*K117+0.15*L117-M117))</x:f>
        <x:v>96.295129875</x:v>
      </x:c>
      <x:c r="O117" t="n">
        <x:f>RANK.EQ(N117,$N$5:$N$227,0)</x:f>
        <x:v>8</x:v>
      </x:c>
      <x:c r="P117" s="110" t="n">
        <x:v>6</x:v>
      </x:c>
      <x:c r="Q117" s="48" t="n">
        <x:f>P117-O117</x:f>
        <x:v>-2</x:v>
      </x:c>
      <x:c r="R117" s="48" t="n">
        <x:f>MAX(40,G117-IF(U117="A",6,IF(U117="B",9,12)))</x:f>
        <x:v>87.26387249999999</x:v>
      </x:c>
      <x:c r="S117" s="48" t="n">
        <x:f>G117</x:f>
        <x:v>93.26387249999999</x:v>
      </x:c>
      <x:c r="T117" s="48" t="n">
        <x:f>MIN(100,G117+IF(U117="A",6,IF(U117="B",9,12)))</x:f>
        <x:v>99.26387249999999</x:v>
      </x:c>
      <x:c r="U117" t="str">
        <x:v>A</x:v>
      </x:c>
      <x:c r="V117" t="str">
        <x:v>HISTORY FALLBACK</x:v>
      </x:c>
      <x:c r="W117" s="109" t="str">
        <x:v>Available</x:v>
      </x:c>
      <x:c r="X117" t="n">
        <x:f>IF(W117&lt;&gt;"Available","",1+COUNTIFS($W$5:$W$227,"Available",$N$5:$N$227,"&gt;"&amp;N117))</x:f>
        <x:v>8</x:v>
      </x:c>
      <x:c r="Y117" s="98" t="str">
        <x:v>EXPECTATION: Elite WR1 and first-round caliber target with overall WR1 upside.  WHY: He produced 19.1 PPR/FP points per game across 17 games. The workload/efficiency profile gives the model a rate-based reason to keep him here.  RISK: Target competition, quarterback efficiency and touchdown regression are the main downside paths.</x:v>
      </x:c>
      <x:c r="Z117" t="str">
        <x:v>https://www.fantasypros.com/nfl/adp/ppr-overall.php</x:v>
      </x:c>
    </x:row>
    <x:row r="118">
      <x:c r="A118" t="str">
        <x:v>WR</x:v>
      </x:c>
      <x:c r="B118" t="n">
        <x:v>5</x:v>
      </x:c>
      <x:c r="C118" t="str">
        <x:v>A.J. Brown</x:v>
      </x:c>
      <x:c r="D118" s="48" t="n">
        <x:v>83.23567249999999</x:v>
      </x:c>
      <x:c r="E118" s="48" t="n">
        <x:f>SUMIFS('Manual Adjustments'!$G$5:$G$227,'Manual Adjustments'!$A$5:$A$227,A118,'Manual Adjustments'!$B$5:$B$227,C118)</x:f>
        <x:v>0</x:v>
      </x:c>
      <x:c r="F118" s="48" t="n">
        <x:f>IFERROR(SUMIFS('Rookie College Inputs'!$I$5:$I$13,'Rookie College Inputs'!$A$5:$A$13,C118),0)</x:f>
        <x:v>0</x:v>
      </x:c>
      <x:c r="G118" s="48" t="n">
        <x:f>MAX(40,MIN(100,D118+E118+F118))</x:f>
        <x:v>83.23567249999999</x:v>
      </x:c>
      <x:c r="H118" t="n">
        <x:f>IF(A118="QB",'League Config'!$H$5,IF(A118="RB",'League Config'!$H$6,IF(A118="WR",'League Config'!$H$7,IF(A118="TE",'League Config'!$H$8,IF(A118="K",'League Config'!$H$9,'League Config'!$H$10)))))</x:f>
        <x:v>33</x:v>
      </x:c>
      <x:c r="I118" s="48" t="n">
        <x:f>IF(A118="QB",'League Config'!$F$14,IF(A118="RB",'League Config'!$F$15,IF(A118="WR",'League Config'!$F$16,IF(A118="TE",'League Config'!$F$17,IF(A118="K",'League Config'!$F$18,'League Config'!$F$19)))))</x:f>
        <x:v>73.645</x:v>
      </x:c>
      <x:c r="J118" s="48" t="n">
        <x:f>G118-I118</x:f>
        <x:v>9.590672499999997</x:v>
      </x:c>
      <x:c r="K118" s="48" t="n">
        <x:f>MAX(0,MIN(100,50+J118*6))</x:f>
        <x:v>100</x:v>
      </x:c>
      <x:c r="L118" s="48" t="n">
        <x:f>MIN(100,MAX(0,MIN(100,(1-(B118-1)/(H118*1.5))*100))*IF(A118="QB",'League Config'!$G$14,IF(A118="RB",'League Config'!$G$15,IF(A118="WR",'League Config'!$G$16,IF(A118="TE",'League Config'!$G$17,IF(A118="K",'League Config'!$G$18,'League Config'!$G$19))))))</x:f>
        <x:v>100</x:v>
      </x:c>
      <x:c r="M118" t="n">
        <x:f>IF(A118="K",'League Config'!$B$15,IF(A118="DST",'League Config'!$B$16,IF(A118="QB",'League Config'!$B$17,0)))</x:f>
        <x:v>0</x:v>
      </x:c>
      <x:c r="N118" s="48" t="n">
        <x:f>MIN(100,MAX(0,0.55*G118+0.30*K118+0.15*L118-M118))</x:f>
        <x:v>90.77961987500001</x:v>
      </x:c>
      <x:c r="O118" t="n">
        <x:f>RANK.EQ(N118,$N$5:$N$227,0)</x:f>
        <x:v>25</x:v>
      </x:c>
      <x:c r="P118" s="110" t="n">
        <x:v>14</x:v>
      </x:c>
      <x:c r="Q118" s="48" t="n">
        <x:f>P118-O118</x:f>
        <x:v>-11</x:v>
      </x:c>
      <x:c r="R118" s="48" t="n">
        <x:f>MAX(40,G118-IF(U118="A",6,IF(U118="B",9,12)))</x:f>
        <x:v>77.23567249999999</x:v>
      </x:c>
      <x:c r="S118" s="48" t="n">
        <x:f>G118</x:f>
        <x:v>83.23567249999999</x:v>
      </x:c>
      <x:c r="T118" s="48" t="n">
        <x:f>MIN(100,G118+IF(U118="A",6,IF(U118="B",9,12)))</x:f>
        <x:v>89.23567249999999</x:v>
      </x:c>
      <x:c r="U118" t="str">
        <x:v>A</x:v>
      </x:c>
      <x:c r="V118" t="str">
        <x:v>HISTORY FALLBACK</x:v>
      </x:c>
      <x:c r="W118" s="109" t="str">
        <x:v>Available</x:v>
      </x:c>
      <x:c r="X118" t="n">
        <x:f>IF(W118&lt;&gt;"Available","",1+COUNTIFS($W$5:$W$227,"Available",$N$5:$N$227,"&gt;"&amp;N118))</x:f>
        <x:v>25</x:v>
      </x:c>
      <x:c r="Y118" s="98" t="str">
        <x:v>EXPECTATION: Strong WR2 with top-12 weekly upside.  WHY: He produced 14.7 PPR/FP points per game across 15 games. The workload/efficiency profile gives the model a rate-based reason to keep him here. The market is more aggressive at ADP 14 versus model overall rank 41, so price matters.  RISK: Price is the biggest risk: the market currently asks you to draft him earlier than the model prefers.</x:v>
      </x:c>
      <x:c r="Z118" t="str">
        <x:v>https://www.fantasypros.com/nfl/adp/ppr-overall.php</x:v>
      </x:c>
    </x:row>
    <x:row r="119">
      <x:c r="A119" t="str">
        <x:v>WR</x:v>
      </x:c>
      <x:c r="B119" t="n">
        <x:v>6</x:v>
      </x:c>
      <x:c r="C119" t="str">
        <x:v>CeeDee Lamb</x:v>
      </x:c>
      <x:c r="D119" s="48" t="n">
        <x:v>85.742635</x:v>
      </x:c>
      <x:c r="E119" s="48" t="n">
        <x:f>SUMIFS('Manual Adjustments'!$G$5:$G$227,'Manual Adjustments'!$A$5:$A$227,A119,'Manual Adjustments'!$B$5:$B$227,C119)</x:f>
        <x:v>0</x:v>
      </x:c>
      <x:c r="F119" s="48" t="n">
        <x:f>IFERROR(SUMIFS('Rookie College Inputs'!$I$5:$I$13,'Rookie College Inputs'!$A$5:$A$13,C119),0)</x:f>
        <x:v>0</x:v>
      </x:c>
      <x:c r="G119" s="48" t="n">
        <x:f>MAX(40,MIN(100,D119+E119+F119))</x:f>
        <x:v>85.742635</x:v>
      </x:c>
      <x:c r="H119" t="n">
        <x:f>IF(A119="QB",'League Config'!$H$5,IF(A119="RB",'League Config'!$H$6,IF(A119="WR",'League Config'!$H$7,IF(A119="TE",'League Config'!$H$8,IF(A119="K",'League Config'!$H$9,'League Config'!$H$10)))))</x:f>
        <x:v>33</x:v>
      </x:c>
      <x:c r="I119" s="48" t="n">
        <x:f>IF(A119="QB",'League Config'!$F$14,IF(A119="RB",'League Config'!$F$15,IF(A119="WR",'League Config'!$F$16,IF(A119="TE",'League Config'!$F$17,IF(A119="K",'League Config'!$F$18,'League Config'!$F$19)))))</x:f>
        <x:v>73.645</x:v>
      </x:c>
      <x:c r="J119" s="48" t="n">
        <x:f>G119-I119</x:f>
        <x:v>12.097635000000011</x:v>
      </x:c>
      <x:c r="K119" s="48" t="n">
        <x:f>MAX(0,MIN(100,50+J119*6))</x:f>
        <x:v>100</x:v>
      </x:c>
      <x:c r="L119" s="48" t="n">
        <x:f>MIN(100,MAX(0,MIN(100,(1-(B119-1)/(H119*1.5))*100))*IF(A119="QB",'League Config'!$G$14,IF(A119="RB",'League Config'!$G$15,IF(A119="WR",'League Config'!$G$16,IF(A119="TE",'League Config'!$G$17,IF(A119="K",'League Config'!$G$18,'League Config'!$G$19))))))</x:f>
        <x:v>98.8888888888889</x:v>
      </x:c>
      <x:c r="M119" t="n">
        <x:f>IF(A119="K",'League Config'!$B$15,IF(A119="DST",'League Config'!$B$16,IF(A119="QB",'League Config'!$B$17,0)))</x:f>
        <x:v>0</x:v>
      </x:c>
      <x:c r="N119" s="48" t="n">
        <x:f>MIN(100,MAX(0,0.55*G119+0.30*K119+0.15*L119-M119))</x:f>
        <x:v>91.99178258333335</x:v>
      </x:c>
      <x:c r="O119" t="n">
        <x:f>RANK.EQ(N119,$N$5:$N$227,0)</x:f>
        <x:v>18</x:v>
      </x:c>
      <x:c r="P119" s="110" t="n">
        <x:v>8</x:v>
      </x:c>
      <x:c r="Q119" s="48" t="n">
        <x:f>P119-O119</x:f>
        <x:v>-10</x:v>
      </x:c>
      <x:c r="R119" s="48" t="n">
        <x:f>MAX(40,G119-IF(U119="A",6,IF(U119="B",9,12)))</x:f>
        <x:v>79.742635</x:v>
      </x:c>
      <x:c r="S119" s="48" t="n">
        <x:f>G119</x:f>
        <x:v>85.742635</x:v>
      </x:c>
      <x:c r="T119" s="48" t="n">
        <x:f>MIN(100,G119+IF(U119="A",6,IF(U119="B",9,12)))</x:f>
        <x:v>91.742635</x:v>
      </x:c>
      <x:c r="U119" t="str">
        <x:v>A</x:v>
      </x:c>
      <x:c r="V119" t="str">
        <x:v>HISTORY FALLBACK</x:v>
      </x:c>
      <x:c r="W119" s="109" t="str">
        <x:v>Available</x:v>
      </x:c>
      <x:c r="X119" t="n">
        <x:f>IF(W119&lt;&gt;"Available","",1+COUNTIFS($W$5:$W$227,"Available",$N$5:$N$227,"&gt;"&amp;N119))</x:f>
        <x:v>18</x:v>
      </x:c>
      <x:c r="Y119" s="98" t="str">
        <x:v>EXPECTATION: Strong WR1; bankable weekly starter with spike-week ceiling.  WHY: He produced 14.4 PPR/FP points per game across 14 games. The workload/efficiency profile gives the model a rate-based reason to keep him here. The market is more aggressive at ADP 8 versus model overall rank 18, so price matters.  RISK: Price is the biggest risk: the market currently asks you to draft him earlier than the model prefers.</x:v>
      </x:c>
      <x:c r="Z119" t="str">
        <x:v>https://www.fantasypros.com/nfl/adp/ppr-overall.php</x:v>
      </x:c>
    </x:row>
    <x:row r="120">
      <x:c r="A120" t="str">
        <x:v>WR</x:v>
      </x:c>
      <x:c r="B120" t="n">
        <x:v>7</x:v>
      </x:c>
      <x:c r="C120" t="str">
        <x:v>Justin Jefferson</x:v>
      </x:c>
      <x:c r="D120" s="48" t="n">
        <x:v>84.7935825</x:v>
      </x:c>
      <x:c r="E120" s="48" t="n">
        <x:f>SUMIFS('Manual Adjustments'!$G$5:$G$227,'Manual Adjustments'!$A$5:$A$227,A120,'Manual Adjustments'!$B$5:$B$227,C120)</x:f>
        <x:v>0</x:v>
      </x:c>
      <x:c r="F120" s="48" t="n">
        <x:f>IFERROR(SUMIFS('Rookie College Inputs'!$I$5:$I$13,'Rookie College Inputs'!$A$5:$A$13,C120),0)</x:f>
        <x:v>0</x:v>
      </x:c>
      <x:c r="G120" s="48" t="n">
        <x:f>MAX(40,MIN(100,D120+E120+F120))</x:f>
        <x:v>84.7935825</x:v>
      </x:c>
      <x:c r="H120" t="n">
        <x:f>IF(A120="QB",'League Config'!$H$5,IF(A120="RB",'League Config'!$H$6,IF(A120="WR",'League Config'!$H$7,IF(A120="TE",'League Config'!$H$8,IF(A120="K",'League Config'!$H$9,'League Config'!$H$10)))))</x:f>
        <x:v>33</x:v>
      </x:c>
      <x:c r="I120" s="48" t="n">
        <x:f>IF(A120="QB",'League Config'!$F$14,IF(A120="RB",'League Config'!$F$15,IF(A120="WR",'League Config'!$F$16,IF(A120="TE",'League Config'!$F$17,IF(A120="K",'League Config'!$F$18,'League Config'!$F$19)))))</x:f>
        <x:v>73.645</x:v>
      </x:c>
      <x:c r="J120" s="48" t="n">
        <x:f>G120-I120</x:f>
        <x:v>11.148582500000003</x:v>
      </x:c>
      <x:c r="K120" s="48" t="n">
        <x:f>MAX(0,MIN(100,50+J120*6))</x:f>
        <x:v>100</x:v>
      </x:c>
      <x:c r="L120" s="48" t="n">
        <x:f>MIN(100,MAX(0,MIN(100,(1-(B120-1)/(H120*1.5))*100))*IF(A120="QB",'League Config'!$G$14,IF(A120="RB",'League Config'!$G$15,IF(A120="WR",'League Config'!$G$16,IF(A120="TE",'League Config'!$G$17,IF(A120="K",'League Config'!$G$18,'League Config'!$G$19))))))</x:f>
        <x:v>96.66666666666667</x:v>
      </x:c>
      <x:c r="M120" t="n">
        <x:f>IF(A120="K",'League Config'!$B$15,IF(A120="DST",'League Config'!$B$16,IF(A120="QB",'League Config'!$B$17,0)))</x:f>
        <x:v>0</x:v>
      </x:c>
      <x:c r="N120" s="48" t="n">
        <x:f>MIN(100,MAX(0,0.55*G120+0.30*K120+0.15*L120-M120))</x:f>
        <x:v>91.136470375</x:v>
      </x:c>
      <x:c r="O120" t="n">
        <x:f>RANK.EQ(N120,$N$5:$N$227,0)</x:f>
        <x:v>22</x:v>
      </x:c>
      <x:c r="P120" s="110" t="n">
        <x:v>9</x:v>
      </x:c>
      <x:c r="Q120" s="48" t="n">
        <x:f>P120-O120</x:f>
        <x:v>-13</x:v>
      </x:c>
      <x:c r="R120" s="48" t="n">
        <x:f>MAX(40,G120-IF(U120="A",6,IF(U120="B",9,12)))</x:f>
        <x:v>78.7935825</x:v>
      </x:c>
      <x:c r="S120" s="48" t="n">
        <x:f>G120</x:f>
        <x:v>84.7935825</x:v>
      </x:c>
      <x:c r="T120" s="48" t="n">
        <x:f>MIN(100,G120+IF(U120="A",6,IF(U120="B",9,12)))</x:f>
        <x:v>90.7935825</x:v>
      </x:c>
      <x:c r="U120" t="str">
        <x:v>A</x:v>
      </x:c>
      <x:c r="V120" t="str">
        <x:v>HISTORY FALLBACK</x:v>
      </x:c>
      <x:c r="W120" s="109" t="str">
        <x:v>Available</x:v>
      </x:c>
      <x:c r="X120" t="n">
        <x:f>IF(W120&lt;&gt;"Available","",1+COUNTIFS($W$5:$W$227,"Available",$N$5:$N$227,"&gt;"&amp;N120))</x:f>
        <x:v>22</x:v>
      </x:c>
      <x:c r="Y120" s="98" t="str">
        <x:v>EXPECTATION: Strong WR2 with top-12 weekly upside.  WHY: The 2026 opportunity and projection carry most of the grade because detailed 2025 rate data is incomplete. The market is more aggressive at ADP 9 versus model overall rank 30, so price matters.  RISK: Price is the biggest risk: the market currently asks you to draft him earlier than the model prefers.</x:v>
      </x:c>
      <x:c r="Z120" t="str">
        <x:v>https://www.fantasypros.com/nfl/adp/ppr-overall.php</x:v>
      </x:c>
    </x:row>
    <x:row r="121">
      <x:c r="A121" t="str">
        <x:v>WR</x:v>
      </x:c>
      <x:c r="B121" t="n">
        <x:v>8</x:v>
      </x:c>
      <x:c r="C121" t="str">
        <x:v>George Pickens</x:v>
      </x:c>
      <x:c r="D121" s="48" t="n">
        <x:v>81.8366075</x:v>
      </x:c>
      <x:c r="E121" s="48" t="n">
        <x:f>SUMIFS('Manual Adjustments'!$G$5:$G$227,'Manual Adjustments'!$A$5:$A$227,A121,'Manual Adjustments'!$B$5:$B$227,C121)</x:f>
        <x:v>0</x:v>
      </x:c>
      <x:c r="F121" s="48" t="n">
        <x:f>IFERROR(SUMIFS('Rookie College Inputs'!$I$5:$I$13,'Rookie College Inputs'!$A$5:$A$13,C121),0)</x:f>
        <x:v>0</x:v>
      </x:c>
      <x:c r="G121" s="48" t="n">
        <x:f>MAX(40,MIN(100,D121+E121+F121))</x:f>
        <x:v>81.8366075</x:v>
      </x:c>
      <x:c r="H121" t="n">
        <x:f>IF(A121="QB",'League Config'!$H$5,IF(A121="RB",'League Config'!$H$6,IF(A121="WR",'League Config'!$H$7,IF(A121="TE",'League Config'!$H$8,IF(A121="K",'League Config'!$H$9,'League Config'!$H$10)))))</x:f>
        <x:v>33</x:v>
      </x:c>
      <x:c r="I121" s="48" t="n">
        <x:f>IF(A121="QB",'League Config'!$F$14,IF(A121="RB",'League Config'!$F$15,IF(A121="WR",'League Config'!$F$16,IF(A121="TE",'League Config'!$F$17,IF(A121="K",'League Config'!$F$18,'League Config'!$F$19)))))</x:f>
        <x:v>73.645</x:v>
      </x:c>
      <x:c r="J121" s="48" t="n">
        <x:f>G121-I121</x:f>
        <x:v>8.191607500000003</x:v>
      </x:c>
      <x:c r="K121" s="48" t="n">
        <x:f>MAX(0,MIN(100,50+J121*6))</x:f>
        <x:v>99.14964500000002</x:v>
      </x:c>
      <x:c r="L121" s="48" t="n">
        <x:f>MIN(100,MAX(0,MIN(100,(1-(B121-1)/(H121*1.5))*100))*IF(A121="QB",'League Config'!$G$14,IF(A121="RB",'League Config'!$G$15,IF(A121="WR",'League Config'!$G$16,IF(A121="TE",'League Config'!$G$17,IF(A121="K",'League Config'!$G$18,'League Config'!$G$19))))))</x:f>
        <x:v>94.44444444444444</x:v>
      </x:c>
      <x:c r="M121" t="n">
        <x:f>IF(A121="K",'League Config'!$B$15,IF(A121="DST",'League Config'!$B$16,IF(A121="QB",'League Config'!$B$17,0)))</x:f>
        <x:v>0</x:v>
      </x:c>
      <x:c r="N121" s="48" t="n">
        <x:f>MIN(100,MAX(0,0.55*G121+0.30*K121+0.15*L121-M121))</x:f>
        <x:v>88.92169429166667</x:v>
      </x:c>
      <x:c r="O121" t="n">
        <x:f>RANK.EQ(N121,$N$5:$N$227,0)</x:f>
        <x:v>34</x:v>
      </x:c>
      <x:c r="P121" s="110" t="n">
        <x:v>16</x:v>
      </x:c>
      <x:c r="Q121" s="48" t="n">
        <x:f>P121-O121</x:f>
        <x:v>-18</x:v>
      </x:c>
      <x:c r="R121" s="48" t="n">
        <x:f>MAX(40,G121-IF(U121="A",6,IF(U121="B",9,12)))</x:f>
        <x:v>75.8366075</x:v>
      </x:c>
      <x:c r="S121" s="48" t="n">
        <x:f>G121</x:f>
        <x:v>81.8366075</x:v>
      </x:c>
      <x:c r="T121" s="48" t="n">
        <x:f>MIN(100,G121+IF(U121="A",6,IF(U121="B",9,12)))</x:f>
        <x:v>87.8366075</x:v>
      </x:c>
      <x:c r="U121" t="str">
        <x:v>A</x:v>
      </x:c>
      <x:c r="V121" t="str">
        <x:v>HISTORY FALLBACK</x:v>
      </x:c>
      <x:c r="W121" s="109" t="str">
        <x:v>Available</x:v>
      </x:c>
      <x:c r="X121" t="n">
        <x:f>IF(W121&lt;&gt;"Available","",1+COUNTIFS($W$5:$W$227,"Available",$N$5:$N$227,"&gt;"&amp;N121))</x:f>
        <x:v>34</x:v>
      </x:c>
      <x:c r="Y121" s="98" t="str">
        <x:v>EXPECTATION: Strong WR2 with top-12 weekly upside.  WHY: He produced 17.2 PPR/FP points per game across 17 games. The workload/efficiency profile gives the model a rate-based reason to keep him here. The market is more aggressive at ADP 16 versus model overall rank 45, so price matters.  RISK: Price is the biggest risk: the market currently asks you to draft him earlier than the model prefers.</x:v>
      </x:c>
      <x:c r="Z121" t="str">
        <x:v>https://www.fantasypros.com/nfl/adp/ppr-overall.php</x:v>
      </x:c>
    </x:row>
    <x:row r="122">
      <x:c r="A122" t="str">
        <x:v>WR</x:v>
      </x:c>
      <x:c r="B122" t="n">
        <x:v>9</x:v>
      </x:c>
      <x:c r="C122" t="str">
        <x:v>Drake London</x:v>
      </x:c>
      <x:c r="D122" s="48" t="n">
        <x:v>87.5106325</x:v>
      </x:c>
      <x:c r="E122" s="48" t="n">
        <x:f>SUMIFS('Manual Adjustments'!$G$5:$G$227,'Manual Adjustments'!$A$5:$A$227,A122,'Manual Adjustments'!$B$5:$B$227,C122)</x:f>
        <x:v>0</x:v>
      </x:c>
      <x:c r="F122" s="48" t="n">
        <x:f>IFERROR(SUMIFS('Rookie College Inputs'!$I$5:$I$13,'Rookie College Inputs'!$A$5:$A$13,C122),0)</x:f>
        <x:v>0</x:v>
      </x:c>
      <x:c r="G122" s="48" t="n">
        <x:f>MAX(40,MIN(100,D122+E122+F122))</x:f>
        <x:v>87.5106325</x:v>
      </x:c>
      <x:c r="H122" t="n">
        <x:f>IF(A122="QB",'League Config'!$H$5,IF(A122="RB",'League Config'!$H$6,IF(A122="WR",'League Config'!$H$7,IF(A122="TE",'League Config'!$H$8,IF(A122="K",'League Config'!$H$9,'League Config'!$H$10)))))</x:f>
        <x:v>33</x:v>
      </x:c>
      <x:c r="I122" s="48" t="n">
        <x:f>IF(A122="QB",'League Config'!$F$14,IF(A122="RB",'League Config'!$F$15,IF(A122="WR",'League Config'!$F$16,IF(A122="TE",'League Config'!$F$17,IF(A122="K",'League Config'!$F$18,'League Config'!$F$19)))))</x:f>
        <x:v>73.645</x:v>
      </x:c>
      <x:c r="J122" s="48" t="n">
        <x:f>G122-I122</x:f>
        <x:v>13.865632500000004</x:v>
      </x:c>
      <x:c r="K122" s="48" t="n">
        <x:f>MAX(0,MIN(100,50+J122*6))</x:f>
        <x:v>100</x:v>
      </x:c>
      <x:c r="L122" s="48" t="n">
        <x:f>MIN(100,MAX(0,MIN(100,(1-(B122-1)/(H122*1.5))*100))*IF(A122="QB",'League Config'!$G$14,IF(A122="RB",'League Config'!$G$15,IF(A122="WR",'League Config'!$G$16,IF(A122="TE",'League Config'!$G$17,IF(A122="K",'League Config'!$G$18,'League Config'!$G$19))))))</x:f>
        <x:v>92.22222222222223</x:v>
      </x:c>
      <x:c r="M122" t="n">
        <x:f>IF(A122="K",'League Config'!$B$15,IF(A122="DST",'League Config'!$B$16,IF(A122="QB",'League Config'!$B$17,0)))</x:f>
        <x:v>0</x:v>
      </x:c>
      <x:c r="N122" s="48" t="n">
        <x:f>MIN(100,MAX(0,0.55*G122+0.30*K122+0.15*L122-M122))</x:f>
        <x:v>91.96418120833333</x:v>
      </x:c>
      <x:c r="O122" t="n">
        <x:f>RANK.EQ(N122,$N$5:$N$227,0)</x:f>
        <x:v>19</x:v>
      </x:c>
      <x:c r="P122" s="110" t="n">
        <x:v>10</x:v>
      </x:c>
      <x:c r="Q122" s="48" t="n">
        <x:f>P122-O122</x:f>
        <x:v>-9</x:v>
      </x:c>
      <x:c r="R122" s="48" t="n">
        <x:f>MAX(40,G122-IF(U122="A",6,IF(U122="B",9,12)))</x:f>
        <x:v>81.5106325</x:v>
      </x:c>
      <x:c r="S122" s="48" t="n">
        <x:f>G122</x:f>
        <x:v>87.5106325</x:v>
      </x:c>
      <x:c r="T122" s="48" t="n">
        <x:f>MIN(100,G122+IF(U122="A",6,IF(U122="B",9,12)))</x:f>
        <x:v>93.5106325</x:v>
      </x:c>
      <x:c r="U122" t="str">
        <x:v>A</x:v>
      </x:c>
      <x:c r="V122" t="str">
        <x:v>HISTORY FALLBACK</x:v>
      </x:c>
      <x:c r="W122" s="109" t="str">
        <x:v>Available</x:v>
      </x:c>
      <x:c r="X122" t="n">
        <x:f>IF(W122&lt;&gt;"Available","",1+COUNTIFS($W$5:$W$227,"Available",$N$5:$N$227,"&gt;"&amp;N122))</x:f>
        <x:v>19</x:v>
      </x:c>
      <x:c r="Y122" s="98" t="str">
        <x:v>EXPECTATION: Strong WR1; bankable weekly starter with spike-week ceiling.  WHY: He produced 16.9 PPR/FP points per game across 12 games. The workload/efficiency profile gives the model a rate-based reason to keep him here.  RISK: Target competition, quarterback efficiency and touchdown regression are the main downside paths.</x:v>
      </x:c>
      <x:c r="Z122" t="str">
        <x:v>https://www.fantasypros.com/nfl/adp/ppr-overall.php</x:v>
      </x:c>
    </x:row>
    <x:row r="123">
      <x:c r="A123" t="str">
        <x:v>WR</x:v>
      </x:c>
      <x:c r="B123" t="n">
        <x:v>10</x:v>
      </x:c>
      <x:c r="C123" t="str">
        <x:v>Nico Collins</x:v>
      </x:c>
      <x:c r="D123" s="48" t="n">
        <x:v>91.4925</x:v>
      </x:c>
      <x:c r="E123" s="48" t="n">
        <x:f>SUMIFS('Manual Adjustments'!$G$5:$G$227,'Manual Adjustments'!$A$5:$A$227,A123,'Manual Adjustments'!$B$5:$B$227,C123)</x:f>
        <x:v>0</x:v>
      </x:c>
      <x:c r="F123" s="48" t="n">
        <x:f>IFERROR(SUMIFS('Rookie College Inputs'!$I$5:$I$13,'Rookie College Inputs'!$A$5:$A$13,C123),0)</x:f>
        <x:v>0</x:v>
      </x:c>
      <x:c r="G123" s="48" t="n">
        <x:f>MAX(40,MIN(100,D123+E123+F123))</x:f>
        <x:v>91.4925</x:v>
      </x:c>
      <x:c r="H123" t="n">
        <x:f>IF(A123="QB",'League Config'!$H$5,IF(A123="RB",'League Config'!$H$6,IF(A123="WR",'League Config'!$H$7,IF(A123="TE",'League Config'!$H$8,IF(A123="K",'League Config'!$H$9,'League Config'!$H$10)))))</x:f>
        <x:v>33</x:v>
      </x:c>
      <x:c r="I123" s="48" t="n">
        <x:f>IF(A123="QB",'League Config'!$F$14,IF(A123="RB",'League Config'!$F$15,IF(A123="WR",'League Config'!$F$16,IF(A123="TE",'League Config'!$F$17,IF(A123="K",'League Config'!$F$18,'League Config'!$F$19)))))</x:f>
        <x:v>73.645</x:v>
      </x:c>
      <x:c r="J123" s="48" t="n">
        <x:f>G123-I123</x:f>
        <x:v>17.84750000000001</x:v>
      </x:c>
      <x:c r="K123" s="48" t="n">
        <x:f>MAX(0,MIN(100,50+J123*6))</x:f>
        <x:v>100</x:v>
      </x:c>
      <x:c r="L123" s="48" t="n">
        <x:f>MIN(100,MAX(0,MIN(100,(1-(B123-1)/(H123*1.5))*100))*IF(A123="QB",'League Config'!$G$14,IF(A123="RB",'League Config'!$G$15,IF(A123="WR",'League Config'!$G$16,IF(A123="TE",'League Config'!$G$17,IF(A123="K",'League Config'!$G$18,'League Config'!$G$19))))))</x:f>
        <x:v>90</x:v>
      </x:c>
      <x:c r="M123" t="n">
        <x:f>IF(A123="K",'League Config'!$B$15,IF(A123="DST",'League Config'!$B$16,IF(A123="QB",'League Config'!$B$17,0)))</x:f>
        <x:v>0</x:v>
      </x:c>
      <x:c r="N123" s="48" t="n">
        <x:f>MIN(100,MAX(0,0.55*G123+0.30*K123+0.15*L123-M123))</x:f>
        <x:v>93.820875</x:v>
      </x:c>
      <x:c r="O123" t="n">
        <x:f>RANK.EQ(N123,$N$5:$N$227,0)</x:f>
        <x:v>13</x:v>
      </x:c>
      <x:c r="P123" s="110" t="n">
        <x:v>12</x:v>
      </x:c>
      <x:c r="Q123" s="48" t="n">
        <x:f>P123-O123</x:f>
        <x:v>-1</x:v>
      </x:c>
      <x:c r="R123" s="48" t="n">
        <x:f>MAX(40,G123-IF(U123="A",6,IF(U123="B",9,12)))</x:f>
        <x:v>82.4925</x:v>
      </x:c>
      <x:c r="S123" s="48" t="n">
        <x:f>G123</x:f>
        <x:v>91.4925</x:v>
      </x:c>
      <x:c r="T123" s="48" t="n">
        <x:f>MIN(100,G123+IF(U123="A",6,IF(U123="B",9,12)))</x:f>
        <x:v>100</x:v>
      </x:c>
      <x:c r="U123" t="str">
        <x:v>B</x:v>
      </x:c>
      <x:c r="V123" t="str">
        <x:v>HISTORY FALLBACK</x:v>
      </x:c>
      <x:c r="W123" s="109" t="str">
        <x:v>Available</x:v>
      </x:c>
      <x:c r="X123" t="n">
        <x:f>IF(W123&lt;&gt;"Available","",1+COUNTIFS($W$5:$W$227,"Available",$N$5:$N$227,"&gt;"&amp;N123))</x:f>
        <x:v>13</x:v>
      </x:c>
      <x:c r="Y123" s="98" t="str">
        <x:v>EXPECTATION: Elite WR1 and first-round caliber target with overall WR1 upside.  WHY: He produced 15.0 PPR/FP points per game across 15 games. The workload/efficiency profile gives the model a rate-based reason to keep him here.  RISK: Target competition, quarterback efficiency and touchdown regression are the main downside paths.</x:v>
      </x:c>
      <x:c r="Z123" t="str">
        <x:v>https://www.fantasypros.com/nfl/adp/ppr-overall.php</x:v>
      </x:c>
    </x:row>
    <x:row r="124">
      <x:c r="A124" t="str">
        <x:v>WR</x:v>
      </x:c>
      <x:c r="B124" t="n">
        <x:v>11</x:v>
      </x:c>
      <x:c r="C124" t="str">
        <x:v>Rashee Rice</x:v>
      </x:c>
      <x:c r="D124" s="48" t="n">
        <x:v>84.09473</x:v>
      </x:c>
      <x:c r="E124" s="48" t="n">
        <x:f>SUMIFS('Manual Adjustments'!$G$5:$G$227,'Manual Adjustments'!$A$5:$A$227,A124,'Manual Adjustments'!$B$5:$B$227,C124)</x:f>
        <x:v>0</x:v>
      </x:c>
      <x:c r="F124" s="48" t="n">
        <x:f>IFERROR(SUMIFS('Rookie College Inputs'!$I$5:$I$13,'Rookie College Inputs'!$A$5:$A$13,C124),0)</x:f>
        <x:v>0</x:v>
      </x:c>
      <x:c r="G124" s="48" t="n">
        <x:f>MAX(40,MIN(100,D124+E124+F124))</x:f>
        <x:v>84.09473</x:v>
      </x:c>
      <x:c r="H124" t="n">
        <x:f>IF(A124="QB",'League Config'!$H$5,IF(A124="RB",'League Config'!$H$6,IF(A124="WR",'League Config'!$H$7,IF(A124="TE",'League Config'!$H$8,IF(A124="K",'League Config'!$H$9,'League Config'!$H$10)))))</x:f>
        <x:v>33</x:v>
      </x:c>
      <x:c r="I124" s="48" t="n">
        <x:f>IF(A124="QB",'League Config'!$F$14,IF(A124="RB",'League Config'!$F$15,IF(A124="WR",'League Config'!$F$16,IF(A124="TE",'League Config'!$F$17,IF(A124="K",'League Config'!$F$18,'League Config'!$F$19)))))</x:f>
        <x:v>73.645</x:v>
      </x:c>
      <x:c r="J124" s="48" t="n">
        <x:f>G124-I124</x:f>
        <x:v>10.449730000000002</x:v>
      </x:c>
      <x:c r="K124" s="48" t="n">
        <x:f>MAX(0,MIN(100,50+J124*6))</x:f>
        <x:v>100</x:v>
      </x:c>
      <x:c r="L124" s="48" t="n">
        <x:f>MIN(100,MAX(0,MIN(100,(1-(B124-1)/(H124*1.5))*100))*IF(A124="QB",'League Config'!$G$14,IF(A124="RB",'League Config'!$G$15,IF(A124="WR",'League Config'!$G$16,IF(A124="TE",'League Config'!$G$17,IF(A124="K",'League Config'!$G$18,'League Config'!$G$19))))))</x:f>
        <x:v>87.7777777777778</x:v>
      </x:c>
      <x:c r="M124" t="n">
        <x:f>IF(A124="K",'League Config'!$B$15,IF(A124="DST",'League Config'!$B$16,IF(A124="QB",'League Config'!$B$17,0)))</x:f>
        <x:v>0</x:v>
      </x:c>
      <x:c r="N124" s="48" t="n">
        <x:f>MIN(100,MAX(0,0.55*G124+0.30*K124+0.15*L124-M124))</x:f>
        <x:v>89.41876816666668</x:v>
      </x:c>
      <x:c r="O124" t="n">
        <x:f>RANK.EQ(N124,$N$5:$N$227,0)</x:f>
        <x:v>32</x:v>
      </x:c>
      <x:c r="P124" s="110" t="n">
        <x:v>22</x:v>
      </x:c>
      <x:c r="Q124" s="48" t="n">
        <x:f>P124-O124</x:f>
        <x:v>-10</x:v>
      </x:c>
      <x:c r="R124" s="48" t="n">
        <x:f>MAX(40,G124-IF(U124="A",6,IF(U124="B",9,12)))</x:f>
        <x:v>78.09473</x:v>
      </x:c>
      <x:c r="S124" s="48" t="n">
        <x:f>G124</x:f>
        <x:v>84.09473</x:v>
      </x:c>
      <x:c r="T124" s="48" t="n">
        <x:f>MIN(100,G124+IF(U124="A",6,IF(U124="B",9,12)))</x:f>
        <x:v>90.09473</x:v>
      </x:c>
      <x:c r="U124" t="str">
        <x:v>A</x:v>
      </x:c>
      <x:c r="V124" t="str">
        <x:v>HISTORY FALLBACK</x:v>
      </x:c>
      <x:c r="W124" s="109" t="str">
        <x:v>Available</x:v>
      </x:c>
      <x:c r="X124" t="n">
        <x:f>IF(W124&lt;&gt;"Available","",1+COUNTIFS($W$5:$W$227,"Available",$N$5:$N$227,"&gt;"&amp;N124))</x:f>
        <x:v>32</x:v>
      </x:c>
      <x:c r="Y124" s="98" t="str">
        <x:v>EXPECTATION: Strong WR2 with top-12 weekly upside.  WHY: He produced 18.7 PPR/FP points per game across 8 games. The workload/efficiency profile gives the model a rate-based reason to keep him here. The market is more aggressive at ADP 22 versus model overall rank 40, so price matters.  RISK: Availability/sample risk is elevated after only 8 games; talent is not being punished as heavily as durability.</x:v>
      </x:c>
      <x:c r="Z124" t="str">
        <x:v>https://www.fantasypros.com/nfl/adp/ppr-overall.php</x:v>
      </x:c>
    </x:row>
    <x:row r="125">
      <x:c r="A125" t="str">
        <x:v>WR</x:v>
      </x:c>
      <x:c r="B125" t="n">
        <x:v>12</x:v>
      </x:c>
      <x:c r="C125" t="str">
        <x:v>Chris Olave</x:v>
      </x:c>
      <x:c r="D125" s="48" t="n">
        <x:v>88.9075</x:v>
      </x:c>
      <x:c r="E125" s="48" t="n">
        <x:f>SUMIFS('Manual Adjustments'!$G$5:$G$227,'Manual Adjustments'!$A$5:$A$227,A125,'Manual Adjustments'!$B$5:$B$227,C125)</x:f>
        <x:v>0</x:v>
      </x:c>
      <x:c r="F125" s="48" t="n">
        <x:f>IFERROR(SUMIFS('Rookie College Inputs'!$I$5:$I$13,'Rookie College Inputs'!$A$5:$A$13,C125),0)</x:f>
        <x:v>0</x:v>
      </x:c>
      <x:c r="G125" s="48" t="n">
        <x:f>MAX(40,MIN(100,D125+E125+F125))</x:f>
        <x:v>88.9075</x:v>
      </x:c>
      <x:c r="H125" t="n">
        <x:f>IF(A125="QB",'League Config'!$H$5,IF(A125="RB",'League Config'!$H$6,IF(A125="WR",'League Config'!$H$7,IF(A125="TE",'League Config'!$H$8,IF(A125="K",'League Config'!$H$9,'League Config'!$H$10)))))</x:f>
        <x:v>33</x:v>
      </x:c>
      <x:c r="I125" s="48" t="n">
        <x:f>IF(A125="QB",'League Config'!$F$14,IF(A125="RB",'League Config'!$F$15,IF(A125="WR",'League Config'!$F$16,IF(A125="TE",'League Config'!$F$17,IF(A125="K",'League Config'!$F$18,'League Config'!$F$19)))))</x:f>
        <x:v>73.645</x:v>
      </x:c>
      <x:c r="J125" s="48" t="n">
        <x:f>G125-I125</x:f>
        <x:v>15.262500000000003</x:v>
      </x:c>
      <x:c r="K125" s="48" t="n">
        <x:f>MAX(0,MIN(100,50+J125*6))</x:f>
        <x:v>100</x:v>
      </x:c>
      <x:c r="L125" s="48" t="n">
        <x:f>MIN(100,MAX(0,MIN(100,(1-(B125-1)/(H125*1.5))*100))*IF(A125="QB",'League Config'!$G$14,IF(A125="RB",'League Config'!$G$15,IF(A125="WR",'League Config'!$G$16,IF(A125="TE",'League Config'!$G$17,IF(A125="K",'League Config'!$G$18,'League Config'!$G$19))))))</x:f>
        <x:v>85.55555555555557</x:v>
      </x:c>
      <x:c r="M125" t="n">
        <x:f>IF(A125="K",'League Config'!$B$15,IF(A125="DST",'League Config'!$B$16,IF(A125="QB",'League Config'!$B$17,0)))</x:f>
        <x:v>0</x:v>
      </x:c>
      <x:c r="N125" s="48" t="n">
        <x:f>MIN(100,MAX(0,0.55*G125+0.30*K125+0.15*L125-M125))</x:f>
        <x:v>91.73245833333334</x:v>
      </x:c>
      <x:c r="O125" t="n">
        <x:f>RANK.EQ(N125,$N$5:$N$227,0)</x:f>
        <x:v>20</x:v>
      </x:c>
      <x:c r="P125" s="110" t="n">
        <x:v>19</x:v>
      </x:c>
      <x:c r="Q125" s="48" t="n">
        <x:f>P125-O125</x:f>
        <x:v>-1</x:v>
      </x:c>
      <x:c r="R125" s="48" t="n">
        <x:f>MAX(40,G125-IF(U125="A",6,IF(U125="B",9,12)))</x:f>
        <x:v>79.9075</x:v>
      </x:c>
      <x:c r="S125" s="48" t="n">
        <x:f>G125</x:f>
        <x:v>88.9075</x:v>
      </x:c>
      <x:c r="T125" s="48" t="n">
        <x:f>MIN(100,G125+IF(U125="A",6,IF(U125="B",9,12)))</x:f>
        <x:v>97.9075</x:v>
      </x:c>
      <x:c r="U125" t="str">
        <x:v>B</x:v>
      </x:c>
      <x:c r="V125" t="str">
        <x:v>HISTORY FALLBACK</x:v>
      </x:c>
      <x:c r="W125" s="109" t="str">
        <x:v>Available</x:v>
      </x:c>
      <x:c r="X125" t="n">
        <x:f>IF(W125&lt;&gt;"Available","",1+COUNTIFS($W$5:$W$227,"Available",$N$5:$N$227,"&gt;"&amp;N125))</x:f>
        <x:v>20</x:v>
      </x:c>
      <x:c r="Y125" s="98" t="str">
        <x:v>EXPECTATION: Strong WR1; bankable weekly starter with spike-week ceiling.  WHY: He produced 16.9 PPR/FP points per game across 16 games. The workload/efficiency profile gives the model a rate-based reason to keep him here.  RISK: Target competition, quarterback efficiency and touchdown regression are the main downside paths.</x:v>
      </x:c>
      <x:c r="Z125" t="str">
        <x:v>https://www.fantasypros.com/nfl/adp/ppr-overall.php</x:v>
      </x:c>
    </x:row>
    <x:row r="126">
      <x:c r="A126" t="str">
        <x:v>WR</x:v>
      </x:c>
      <x:c r="B126" t="n">
        <x:v>13</x:v>
      </x:c>
      <x:c r="C126" t="str">
        <x:v>Tetairoa McMillan</x:v>
      </x:c>
      <x:c r="D126" s="48" t="n">
        <x:v>85.74</x:v>
      </x:c>
      <x:c r="E126" s="48" t="n">
        <x:f>SUMIFS('Manual Adjustments'!$G$5:$G$227,'Manual Adjustments'!$A$5:$A$227,A126,'Manual Adjustments'!$B$5:$B$227,C126)</x:f>
        <x:v>0</x:v>
      </x:c>
      <x:c r="F126" s="48" t="n">
        <x:f>IFERROR(SUMIFS('Rookie College Inputs'!$I$5:$I$13,'Rookie College Inputs'!$A$5:$A$13,C126),0)</x:f>
        <x:v>0</x:v>
      </x:c>
      <x:c r="G126" s="48" t="n">
        <x:f>MAX(40,MIN(100,D126+E126+F126))</x:f>
        <x:v>85.74</x:v>
      </x:c>
      <x:c r="H126" t="n">
        <x:f>IF(A126="QB",'League Config'!$H$5,IF(A126="RB",'League Config'!$H$6,IF(A126="WR",'League Config'!$H$7,IF(A126="TE",'League Config'!$H$8,IF(A126="K",'League Config'!$H$9,'League Config'!$H$10)))))</x:f>
        <x:v>33</x:v>
      </x:c>
      <x:c r="I126" s="48" t="n">
        <x:f>IF(A126="QB",'League Config'!$F$14,IF(A126="RB",'League Config'!$F$15,IF(A126="WR",'League Config'!$F$16,IF(A126="TE",'League Config'!$F$17,IF(A126="K",'League Config'!$F$18,'League Config'!$F$19)))))</x:f>
        <x:v>73.645</x:v>
      </x:c>
      <x:c r="J126" s="48" t="n">
        <x:f>G126-I126</x:f>
        <x:v>12.094999999999999</x:v>
      </x:c>
      <x:c r="K126" s="48" t="n">
        <x:f>MAX(0,MIN(100,50+J126*6))</x:f>
        <x:v>100</x:v>
      </x:c>
      <x:c r="L126" s="48" t="n">
        <x:f>MIN(100,MAX(0,MIN(100,(1-(B126-1)/(H126*1.5))*100))*IF(A126="QB",'League Config'!$G$14,IF(A126="RB",'League Config'!$G$15,IF(A126="WR",'League Config'!$G$16,IF(A126="TE",'League Config'!$G$17,IF(A126="K",'League Config'!$G$18,'League Config'!$G$19))))))</x:f>
        <x:v>83.33333333333333</x:v>
      </x:c>
      <x:c r="M126" t="n">
        <x:f>IF(A126="K",'League Config'!$B$15,IF(A126="DST",'League Config'!$B$16,IF(A126="QB",'League Config'!$B$17,0)))</x:f>
        <x:v>0</x:v>
      </x:c>
      <x:c r="N126" s="48" t="n">
        <x:f>MIN(100,MAX(0,0.55*G126+0.30*K126+0.15*L126-M126))</x:f>
        <x:v>89.65700000000001</x:v>
      </x:c>
      <x:c r="O126" t="n">
        <x:f>RANK.EQ(N126,$N$5:$N$227,0)</x:f>
        <x:v>30</x:v>
      </x:c>
      <x:c r="P126" s="110" t="n">
        <x:v>49.8</x:v>
      </x:c>
      <x:c r="Q126" s="48" t="n">
        <x:f>P126-O126</x:f>
        <x:v>19.799999999999997</x:v>
      </x:c>
      <x:c r="R126" s="48" t="n">
        <x:f>MAX(40,G126-IF(U126="A",6,IF(U126="B",9,12)))</x:f>
        <x:v>76.74</x:v>
      </x:c>
      <x:c r="S126" s="48" t="n">
        <x:f>G126</x:f>
        <x:v>85.74</x:v>
      </x:c>
      <x:c r="T126" s="48" t="n">
        <x:f>MIN(100,G126+IF(U126="A",6,IF(U126="B",9,12)))</x:f>
        <x:v>94.74</x:v>
      </x:c>
      <x:c r="U126" t="str">
        <x:v>B</x:v>
      </x:c>
      <x:c r="V126" t="str">
        <x:v>HISTORY FALLBACK</x:v>
      </x:c>
      <x:c r="W126" s="109" t="str">
        <x:v>Available</x:v>
      </x:c>
      <x:c r="X126" t="n">
        <x:f>IF(W126&lt;&gt;"Available","",1+COUNTIFS($W$5:$W$227,"Available",$N$5:$N$227,"&gt;"&amp;N126))</x:f>
        <x:v>30</x:v>
      </x:c>
      <x:c r="Y126" s="98" t="str">
        <x:v>EXPECTATION: Strong WR1; bankable weekly starter with spike-week ceiling.  WHY: He produced 12.4 PPR/FP points per game across 17 games. The workload/efficiency profile gives the model a rate-based reason to keep him here. Market price is favorable around ADP 50 versus model overall rank 28.  RISK: Target competition, quarterback efficiency and touchdown regression are the main downside paths.</x:v>
      </x:c>
      <x:c r="Z126" t="str">
        <x:v>ADP proxy — editable; based on positional draft cost</x:v>
      </x:c>
    </x:row>
    <x:row r="127">
      <x:c r="A127" t="str">
        <x:v>WR</x:v>
      </x:c>
      <x:c r="B127" t="n">
        <x:v>14</x:v>
      </x:c>
      <x:c r="C127" t="str">
        <x:v>Tee Higgins</x:v>
      </x:c>
      <x:c r="D127" s="48" t="n">
        <x:v>84.82249999999999</x:v>
      </x:c>
      <x:c r="E127" s="48" t="n">
        <x:f>SUMIFS('Manual Adjustments'!$G$5:$G$227,'Manual Adjustments'!$A$5:$A$227,A127,'Manual Adjustments'!$B$5:$B$227,C127)</x:f>
        <x:v>0</x:v>
      </x:c>
      <x:c r="F127" s="48" t="n">
        <x:f>IFERROR(SUMIFS('Rookie College Inputs'!$I$5:$I$13,'Rookie College Inputs'!$A$5:$A$13,C127),0)</x:f>
        <x:v>0</x:v>
      </x:c>
      <x:c r="G127" s="48" t="n">
        <x:f>MAX(40,MIN(100,D127+E127+F127))</x:f>
        <x:v>84.82249999999999</x:v>
      </x:c>
      <x:c r="H127" t="n">
        <x:f>IF(A127="QB",'League Config'!$H$5,IF(A127="RB",'League Config'!$H$6,IF(A127="WR",'League Config'!$H$7,IF(A127="TE",'League Config'!$H$8,IF(A127="K",'League Config'!$H$9,'League Config'!$H$10)))))</x:f>
        <x:v>33</x:v>
      </x:c>
      <x:c r="I127" s="48" t="n">
        <x:f>IF(A127="QB",'League Config'!$F$14,IF(A127="RB",'League Config'!$F$15,IF(A127="WR",'League Config'!$F$16,IF(A127="TE",'League Config'!$F$17,IF(A127="K",'League Config'!$F$18,'League Config'!$F$19)))))</x:f>
        <x:v>73.645</x:v>
      </x:c>
      <x:c r="J127" s="48" t="n">
        <x:f>G127-I127</x:f>
        <x:v>11.177499999999995</x:v>
      </x:c>
      <x:c r="K127" s="48" t="n">
        <x:f>MAX(0,MIN(100,50+J127*6))</x:f>
        <x:v>100</x:v>
      </x:c>
      <x:c r="L127" s="48" t="n">
        <x:f>MIN(100,MAX(0,MIN(100,(1-(B127-1)/(H127*1.5))*100))*IF(A127="QB",'League Config'!$G$14,IF(A127="RB",'League Config'!$G$15,IF(A127="WR",'League Config'!$G$16,IF(A127="TE",'League Config'!$G$17,IF(A127="K",'League Config'!$G$18,'League Config'!$G$19))))))</x:f>
        <x:v>81.11111111111111</x:v>
      </x:c>
      <x:c r="M127" t="n">
        <x:f>IF(A127="K",'League Config'!$B$15,IF(A127="DST",'League Config'!$B$16,IF(A127="QB",'League Config'!$B$17,0)))</x:f>
        <x:v>0</x:v>
      </x:c>
      <x:c r="N127" s="48" t="n">
        <x:f>MIN(100,MAX(0,0.55*G127+0.30*K127+0.15*L127-M127))</x:f>
        <x:v>88.81904166666668</x:v>
      </x:c>
      <x:c r="O127" t="n">
        <x:f>RANK.EQ(N127,$N$5:$N$227,0)</x:f>
        <x:v>35</x:v>
      </x:c>
      <x:c r="P127" s="110" t="n">
        <x:v>53.699999999999996</x:v>
      </x:c>
      <x:c r="Q127" s="48" t="n">
        <x:f>P127-O127</x:f>
        <x:v>18.699999999999996</x:v>
      </x:c>
      <x:c r="R127" s="48" t="n">
        <x:f>MAX(40,G127-IF(U127="A",6,IF(U127="B",9,12)))</x:f>
        <x:v>75.82249999999999</x:v>
      </x:c>
      <x:c r="S127" s="48" t="n">
        <x:f>G127</x:f>
        <x:v>84.82249999999999</x:v>
      </x:c>
      <x:c r="T127" s="48" t="n">
        <x:f>MIN(100,G127+IF(U127="A",6,IF(U127="B",9,12)))</x:f>
        <x:v>93.82249999999999</x:v>
      </x:c>
      <x:c r="U127" t="str">
        <x:v>B</x:v>
      </x:c>
      <x:c r="V127" t="str">
        <x:v>HISTORY FALLBACK</x:v>
      </x:c>
      <x:c r="W127" s="109" t="str">
        <x:v>Available</x:v>
      </x:c>
      <x:c r="X127" t="n">
        <x:f>IF(W127&lt;&gt;"Available","",1+COUNTIFS($W$5:$W$227,"Available",$N$5:$N$227,"&gt;"&amp;N127))</x:f>
        <x:v>35</x:v>
      </x:c>
      <x:c r="Y127" s="98" t="str">
        <x:v>EXPECTATION: Strong WR2 with top-12 weekly upside.  WHY: He produced 14.1 PPR/FP points per game across 15 games. The workload/efficiency profile gives the model a rate-based reason to keep him here. Market price is favorable around ADP 54 versus model overall rank 37.  RISK: Target competition, quarterback efficiency and touchdown regression are the main downside paths.</x:v>
      </x:c>
      <x:c r="Z127" t="str">
        <x:v>ADP proxy — editable; based on positional draft cost</x:v>
      </x:c>
    </x:row>
    <x:row r="128">
      <x:c r="A128" t="str">
        <x:v>WR</x:v>
      </x:c>
      <x:c r="B128" t="n">
        <x:v>15</x:v>
      </x:c>
      <x:c r="C128" t="str">
        <x:v>Garrett Wilson</x:v>
      </x:c>
      <x:c r="D128" s="48" t="n">
        <x:v>86.155</x:v>
      </x:c>
      <x:c r="E128" s="48" t="n">
        <x:f>SUMIFS('Manual Adjustments'!$G$5:$G$227,'Manual Adjustments'!$A$5:$A$227,A128,'Manual Adjustments'!$B$5:$B$227,C128)</x:f>
        <x:v>0</x:v>
      </x:c>
      <x:c r="F128" s="48" t="n">
        <x:f>IFERROR(SUMIFS('Rookie College Inputs'!$I$5:$I$13,'Rookie College Inputs'!$A$5:$A$13,C128),0)</x:f>
        <x:v>0</x:v>
      </x:c>
      <x:c r="G128" s="48" t="n">
        <x:f>MAX(40,MIN(100,D128+E128+F128))</x:f>
        <x:v>86.155</x:v>
      </x:c>
      <x:c r="H128" t="n">
        <x:f>IF(A128="QB",'League Config'!$H$5,IF(A128="RB",'League Config'!$H$6,IF(A128="WR",'League Config'!$H$7,IF(A128="TE",'League Config'!$H$8,IF(A128="K",'League Config'!$H$9,'League Config'!$H$10)))))</x:f>
        <x:v>33</x:v>
      </x:c>
      <x:c r="I128" s="48" t="n">
        <x:f>IF(A128="QB",'League Config'!$F$14,IF(A128="RB",'League Config'!$F$15,IF(A128="WR",'League Config'!$F$16,IF(A128="TE",'League Config'!$F$17,IF(A128="K",'League Config'!$F$18,'League Config'!$F$19)))))</x:f>
        <x:v>73.645</x:v>
      </x:c>
      <x:c r="J128" s="48" t="n">
        <x:f>G128-I128</x:f>
        <x:v>12.510000000000005</x:v>
      </x:c>
      <x:c r="K128" s="48" t="n">
        <x:f>MAX(0,MIN(100,50+J128*6))</x:f>
        <x:v>100</x:v>
      </x:c>
      <x:c r="L128" s="48" t="n">
        <x:f>MIN(100,MAX(0,MIN(100,(1-(B128-1)/(H128*1.5))*100))*IF(A128="QB",'League Config'!$G$14,IF(A128="RB",'League Config'!$G$15,IF(A128="WR",'League Config'!$G$16,IF(A128="TE",'League Config'!$G$17,IF(A128="K",'League Config'!$G$18,'League Config'!$G$19))))))</x:f>
        <x:v>78.88888888888889</x:v>
      </x:c>
      <x:c r="M128" t="n">
        <x:f>IF(A128="K",'League Config'!$B$15,IF(A128="DST",'League Config'!$B$16,IF(A128="QB",'League Config'!$B$17,0)))</x:f>
        <x:v>0</x:v>
      </x:c>
      <x:c r="N128" s="48" t="n">
        <x:f>MIN(100,MAX(0,0.55*G128+0.30*K128+0.15*L128-M128))</x:f>
        <x:v>89.21858333333334</x:v>
      </x:c>
      <x:c r="O128" t="n">
        <x:f>RANK.EQ(N128,$N$5:$N$227,0)</x:f>
        <x:v>33</x:v>
      </x:c>
      <x:c r="P128" s="110" t="n">
        <x:v>57.6</x:v>
      </x:c>
      <x:c r="Q128" s="48" t="n">
        <x:f>P128-O128</x:f>
        <x:v>24.6</x:v>
      </x:c>
      <x:c r="R128" s="48" t="n">
        <x:f>MAX(40,G128-IF(U128="A",6,IF(U128="B",9,12)))</x:f>
        <x:v>77.155</x:v>
      </x:c>
      <x:c r="S128" s="48" t="n">
        <x:f>G128</x:f>
        <x:v>86.155</x:v>
      </x:c>
      <x:c r="T128" s="48" t="n">
        <x:f>MIN(100,G128+IF(U128="A",6,IF(U128="B",9,12)))</x:f>
        <x:v>95.155</x:v>
      </x:c>
      <x:c r="U128" t="str">
        <x:v>B</x:v>
      </x:c>
      <x:c r="V128" t="str">
        <x:v>HISTORY FALLBACK</x:v>
      </x:c>
      <x:c r="W128" s="109" t="str">
        <x:v>Available</x:v>
      </x:c>
      <x:c r="X128" t="n">
        <x:f>IF(W128&lt;&gt;"Available","",1+COUNTIFS($W$5:$W$227,"Available",$N$5:$N$227,"&gt;"&amp;N128))</x:f>
        <x:v>33</x:v>
      </x:c>
      <x:c r="Y128" s="98" t="str">
        <x:v>EXPECTATION: Strong WR1; bankable weekly starter with spike-week ceiling.  WHY: He produced 14.2 PPR/FP points per game across 7 games. The workload/efficiency profile gives the model a rate-based reason to keep him here. Market price is favorable around ADP 58 versus model overall rank 31.  RISK: Availability/sample risk is elevated after only 7 games; talent is not being punished as heavily as durability.</x:v>
      </x:c>
      <x:c r="Z128" t="str">
        <x:v>ADP proxy — editable; based on positional draft cost</x:v>
      </x:c>
    </x:row>
    <x:row r="129">
      <x:c r="A129" t="str">
        <x:v>WR</x:v>
      </x:c>
      <x:c r="B129" t="n">
        <x:v>16</x:v>
      </x:c>
      <x:c r="C129" t="str">
        <x:v>DeVonta Smith</x:v>
      </x:c>
      <x:c r="D129" s="48" t="n">
        <x:v>87.4875</x:v>
      </x:c>
      <x:c r="E129" s="48" t="n">
        <x:f>SUMIFS('Manual Adjustments'!$G$5:$G$227,'Manual Adjustments'!$A$5:$A$227,A129,'Manual Adjustments'!$B$5:$B$227,C129)</x:f>
        <x:v>0</x:v>
      </x:c>
      <x:c r="F129" s="48" t="n">
        <x:f>IFERROR(SUMIFS('Rookie College Inputs'!$I$5:$I$13,'Rookie College Inputs'!$A$5:$A$13,C129),0)</x:f>
        <x:v>0</x:v>
      </x:c>
      <x:c r="G129" s="48" t="n">
        <x:f>MAX(40,MIN(100,D129+E129+F129))</x:f>
        <x:v>87.4875</x:v>
      </x:c>
      <x:c r="H129" t="n">
        <x:f>IF(A129="QB",'League Config'!$H$5,IF(A129="RB",'League Config'!$H$6,IF(A129="WR",'League Config'!$H$7,IF(A129="TE",'League Config'!$H$8,IF(A129="K",'League Config'!$H$9,'League Config'!$H$10)))))</x:f>
        <x:v>33</x:v>
      </x:c>
      <x:c r="I129" s="48" t="n">
        <x:f>IF(A129="QB",'League Config'!$F$14,IF(A129="RB",'League Config'!$F$15,IF(A129="WR",'League Config'!$F$16,IF(A129="TE",'League Config'!$F$17,IF(A129="K",'League Config'!$F$18,'League Config'!$F$19)))))</x:f>
        <x:v>73.645</x:v>
      </x:c>
      <x:c r="J129" s="48" t="n">
        <x:f>G129-I129</x:f>
        <x:v>13.842500000000001</x:v>
      </x:c>
      <x:c r="K129" s="48" t="n">
        <x:f>MAX(0,MIN(100,50+J129*6))</x:f>
        <x:v>100</x:v>
      </x:c>
      <x:c r="L129" s="48" t="n">
        <x:f>MIN(100,MAX(0,MIN(100,(1-(B129-1)/(H129*1.5))*100))*IF(A129="QB",'League Config'!$G$14,IF(A129="RB",'League Config'!$G$15,IF(A129="WR",'League Config'!$G$16,IF(A129="TE",'League Config'!$G$17,IF(A129="K",'League Config'!$G$18,'League Config'!$G$19))))))</x:f>
        <x:v>76.66666666666669</x:v>
      </x:c>
      <x:c r="M129" t="n">
        <x:f>IF(A129="K",'League Config'!$B$15,IF(A129="DST",'League Config'!$B$16,IF(A129="QB",'League Config'!$B$17,0)))</x:f>
        <x:v>0</x:v>
      </x:c>
      <x:c r="N129" s="48" t="n">
        <x:f>MIN(100,MAX(0,0.55*G129+0.30*K129+0.15*L129-M129))</x:f>
        <x:v>89.61812499999999</x:v>
      </x:c>
      <x:c r="O129" t="n">
        <x:f>RANK.EQ(N129,$N$5:$N$227,0)</x:f>
        <x:v>31</x:v>
      </x:c>
      <x:c r="P129" s="110" t="n">
        <x:v>24</x:v>
      </x:c>
      <x:c r="Q129" s="48" t="n">
        <x:f>P129-O129</x:f>
        <x:v>-7</x:v>
      </x:c>
      <x:c r="R129" s="48" t="n">
        <x:f>MAX(40,G129-IF(U129="A",6,IF(U129="B",9,12)))</x:f>
        <x:v>78.4875</x:v>
      </x:c>
      <x:c r="S129" s="48" t="n">
        <x:f>G129</x:f>
        <x:v>87.4875</x:v>
      </x:c>
      <x:c r="T129" s="48" t="n">
        <x:f>MIN(100,G129+IF(U129="A",6,IF(U129="B",9,12)))</x:f>
        <x:v>96.4875</x:v>
      </x:c>
      <x:c r="U129" t="str">
        <x:v>B</x:v>
      </x:c>
      <x:c r="V129" t="str">
        <x:v>HISTORY FALLBACK</x:v>
      </x:c>
      <x:c r="W129" s="109" t="str">
        <x:v>Available</x:v>
      </x:c>
      <x:c r="X129" t="n">
        <x:f>IF(W129&lt;&gt;"Available","",1+COUNTIFS($W$5:$W$227,"Available",$N$5:$N$227,"&gt;"&amp;N129))</x:f>
        <x:v>31</x:v>
      </x:c>
      <x:c r="Y129" s="98" t="str">
        <x:v>EXPECTATION: Strong WR1; bankable weekly starter with spike-week ceiling.  WHY: He produced 11.8 PPR/FP points per game across 17 games. The workload/efficiency profile gives the model a rate-based reason to keep him here.  RISK: Target competition, quarterback efficiency and touchdown regression are the main downside paths.</x:v>
      </x:c>
      <x:c r="Z129" t="str">
        <x:v>https://www.fantasypros.com/nfl/adp/ppr-overall.php</x:v>
      </x:c>
    </x:row>
    <x:row r="130">
      <x:c r="A130" t="str">
        <x:v>WR</x:v>
      </x:c>
      <x:c r="B130" t="n">
        <x:v>17</x:v>
      </x:c>
      <x:c r="C130" t="str">
        <x:v>Zay Flowers</x:v>
      </x:c>
      <x:c r="D130" s="48" t="n">
        <x:v>86.57</x:v>
      </x:c>
      <x:c r="E130" s="48" t="n">
        <x:f>SUMIFS('Manual Adjustments'!$G$5:$G$227,'Manual Adjustments'!$A$5:$A$227,A130,'Manual Adjustments'!$B$5:$B$227,C130)</x:f>
        <x:v>0</x:v>
      </x:c>
      <x:c r="F130" s="48" t="n">
        <x:f>IFERROR(SUMIFS('Rookie College Inputs'!$I$5:$I$13,'Rookie College Inputs'!$A$5:$A$13,C130),0)</x:f>
        <x:v>0</x:v>
      </x:c>
      <x:c r="G130" s="48" t="n">
        <x:f>MAX(40,MIN(100,D130+E130+F130))</x:f>
        <x:v>86.57</x:v>
      </x:c>
      <x:c r="H130" t="n">
        <x:f>IF(A130="QB",'League Config'!$H$5,IF(A130="RB",'League Config'!$H$6,IF(A130="WR",'League Config'!$H$7,IF(A130="TE",'League Config'!$H$8,IF(A130="K",'League Config'!$H$9,'League Config'!$H$10)))))</x:f>
        <x:v>33</x:v>
      </x:c>
      <x:c r="I130" s="48" t="n">
        <x:f>IF(A130="QB",'League Config'!$F$14,IF(A130="RB",'League Config'!$F$15,IF(A130="WR",'League Config'!$F$16,IF(A130="TE",'League Config'!$F$17,IF(A130="K",'League Config'!$F$18,'League Config'!$F$19)))))</x:f>
        <x:v>73.645</x:v>
      </x:c>
      <x:c r="J130" s="48" t="n">
        <x:f>G130-I130</x:f>
        <x:v>12.924999999999997</x:v>
      </x:c>
      <x:c r="K130" s="48" t="n">
        <x:f>MAX(0,MIN(100,50+J130*6))</x:f>
        <x:v>100</x:v>
      </x:c>
      <x:c r="L130" s="48" t="n">
        <x:f>MIN(100,MAX(0,MIN(100,(1-(B130-1)/(H130*1.5))*100))*IF(A130="QB",'League Config'!$G$14,IF(A130="RB",'League Config'!$G$15,IF(A130="WR",'League Config'!$G$16,IF(A130="TE",'League Config'!$G$17,IF(A130="K",'League Config'!$G$18,'League Config'!$G$19))))))</x:f>
        <x:v>74.44444444444444</x:v>
      </x:c>
      <x:c r="M130" t="n">
        <x:f>IF(A130="K",'League Config'!$B$15,IF(A130="DST",'League Config'!$B$16,IF(A130="QB",'League Config'!$B$17,0)))</x:f>
        <x:v>0</x:v>
      </x:c>
      <x:c r="N130" s="48" t="n">
        <x:f>MIN(100,MAX(0,0.55*G130+0.30*K130+0.15*L130-M130))</x:f>
        <x:v>88.78016666666667</x:v>
      </x:c>
      <x:c r="O130" t="n">
        <x:f>RANK.EQ(N130,$N$5:$N$227,0)</x:f>
        <x:v>36</x:v>
      </x:c>
      <x:c r="P130" s="110" t="n">
        <x:v>65.4</x:v>
      </x:c>
      <x:c r="Q130" s="48" t="n">
        <x:f>P130-O130</x:f>
        <x:v>29.400000000000006</x:v>
      </x:c>
      <x:c r="R130" s="48" t="n">
        <x:f>MAX(40,G130-IF(U130="A",6,IF(U130="B",9,12)))</x:f>
        <x:v>77.57</x:v>
      </x:c>
      <x:c r="S130" s="48" t="n">
        <x:f>G130</x:f>
        <x:v>86.57</x:v>
      </x:c>
      <x:c r="T130" s="48" t="n">
        <x:f>MIN(100,G130+IF(U130="A",6,IF(U130="B",9,12)))</x:f>
        <x:v>95.57</x:v>
      </x:c>
      <x:c r="U130" t="str">
        <x:v>B</x:v>
      </x:c>
      <x:c r="V130" t="str">
        <x:v>HISTORY FALLBACK</x:v>
      </x:c>
      <x:c r="W130" s="109" t="str">
        <x:v>Available</x:v>
      </x:c>
      <x:c r="X130" t="n">
        <x:f>IF(W130&lt;&gt;"Available","",1+COUNTIFS($W$5:$W$227,"Available",$N$5:$N$227,"&gt;"&amp;N130))</x:f>
        <x:v>36</x:v>
      </x:c>
      <x:c r="Y130" s="98" t="str">
        <x:v>EXPECTATION: Strong WR1; bankable weekly starter with spike-week ceiling.  WHY: He produced 14.4 PPR/FP points per game across 17 games. The workload/efficiency profile gives the model a rate-based reason to keep him here. Market price is favorable around ADP 65 versus model overall rank 32.  RISK: Target competition, quarterback efficiency and touchdown regression are the main downside paths.</x:v>
      </x:c>
      <x:c r="Z130" t="str">
        <x:v>ADP proxy — editable; based on positional draft cost</x:v>
      </x:c>
    </x:row>
    <x:row r="131">
      <x:c r="A131" t="str">
        <x:v>WR</x:v>
      </x:c>
      <x:c r="B131" t="n">
        <x:v>18</x:v>
      </x:c>
      <x:c r="C131" t="str">
        <x:v>Malik Nabers</x:v>
      </x:c>
      <x:c r="D131" s="48" t="n">
        <x:v>81.1525</x:v>
      </x:c>
      <x:c r="E131" s="48" t="n">
        <x:f>SUMIFS('Manual Adjustments'!$G$5:$G$227,'Manual Adjustments'!$A$5:$A$227,A131,'Manual Adjustments'!$B$5:$B$227,C131)</x:f>
        <x:v>0</x:v>
      </x:c>
      <x:c r="F131" s="48" t="n">
        <x:f>IFERROR(SUMIFS('Rookie College Inputs'!$I$5:$I$13,'Rookie College Inputs'!$A$5:$A$13,C131),0)</x:f>
        <x:v>0</x:v>
      </x:c>
      <x:c r="G131" s="48" t="n">
        <x:f>MAX(40,MIN(100,D131+E131+F131))</x:f>
        <x:v>81.1525</x:v>
      </x:c>
      <x:c r="H131" t="n">
        <x:f>IF(A131="QB",'League Config'!$H$5,IF(A131="RB",'League Config'!$H$6,IF(A131="WR",'League Config'!$H$7,IF(A131="TE",'League Config'!$H$8,IF(A131="K",'League Config'!$H$9,'League Config'!$H$10)))))</x:f>
        <x:v>33</x:v>
      </x:c>
      <x:c r="I131" s="48" t="n">
        <x:f>IF(A131="QB",'League Config'!$F$14,IF(A131="RB",'League Config'!$F$15,IF(A131="WR",'League Config'!$F$16,IF(A131="TE",'League Config'!$F$17,IF(A131="K",'League Config'!$F$18,'League Config'!$F$19)))))</x:f>
        <x:v>73.645</x:v>
      </x:c>
      <x:c r="J131" s="48" t="n">
        <x:f>G131-I131</x:f>
        <x:v>7.507500000000007</x:v>
      </x:c>
      <x:c r="K131" s="48" t="n">
        <x:f>MAX(0,MIN(100,50+J131*6))</x:f>
        <x:v>95.04500000000004</x:v>
      </x:c>
      <x:c r="L131" s="48" t="n">
        <x:f>MIN(100,MAX(0,MIN(100,(1-(B131-1)/(H131*1.5))*100))*IF(A131="QB",'League Config'!$G$14,IF(A131="RB",'League Config'!$G$15,IF(A131="WR",'League Config'!$G$16,IF(A131="TE",'League Config'!$G$17,IF(A131="K",'League Config'!$G$18,'League Config'!$G$19))))))</x:f>
        <x:v>72.22222222222223</x:v>
      </x:c>
      <x:c r="M131" t="n">
        <x:f>IF(A131="K",'League Config'!$B$15,IF(A131="DST",'League Config'!$B$16,IF(A131="QB",'League Config'!$B$17,0)))</x:f>
        <x:v>0</x:v>
      </x:c>
      <x:c r="N131" s="48" t="n">
        <x:f>MIN(100,MAX(0,0.55*G131+0.30*K131+0.15*L131-M131))</x:f>
        <x:v>83.98070833333334</x:v>
      </x:c>
      <x:c r="O131" t="n">
        <x:f>RANK.EQ(N131,$N$5:$N$227,0)</x:f>
        <x:v>49</x:v>
      </x:c>
      <x:c r="P131" s="110" t="n">
        <x:v>69.3</x:v>
      </x:c>
      <x:c r="Q131" s="48" t="n">
        <x:f>P131-O131</x:f>
        <x:v>20.299999999999997</x:v>
      </x:c>
      <x:c r="R131" s="48" t="n">
        <x:f>MAX(40,G131-IF(U131="A",6,IF(U131="B",9,12)))</x:f>
        <x:v>69.1525</x:v>
      </x:c>
      <x:c r="S131" s="48" t="n">
        <x:f>G131</x:f>
        <x:v>81.1525</x:v>
      </x:c>
      <x:c r="T131" s="48" t="n">
        <x:f>MIN(100,G131+IF(U131="A",6,IF(U131="B",9,12)))</x:f>
        <x:v>93.1525</x:v>
      </x:c>
      <x:c r="U131" t="str">
        <x:v>C</x:v>
      </x:c>
      <x:c r="V131" t="str">
        <x:v>HISTORY FALLBACK</x:v>
      </x:c>
      <x:c r="W131" s="109" t="str">
        <x:v>Available</x:v>
      </x:c>
      <x:c r="X131" t="n">
        <x:f>IF(W131&lt;&gt;"Available","",1+COUNTIFS($W$5:$W$227,"Available",$N$5:$N$227,"&gt;"&amp;N131))</x:f>
        <x:v>49</x:v>
      </x:c>
      <x:c r="Y131" s="98" t="str">
        <x:v>EXPECTATION: Strong WR2 with top-12 weekly upside.  WHY: The 2026 opportunity and projection carry most of the grade because detailed 2025 rate data is incomplete. Market price is favorable around ADP 69 versus model overall rank 57.  RISK: Evidence is thinner than for established veterans, so camp, depth-chart and role news can move the grade materially.</x:v>
      </x:c>
      <x:c r="Z131" t="str">
        <x:v>ADP proxy — editable; based on positional draft cost</x:v>
      </x:c>
    </x:row>
    <x:row r="132">
      <x:c r="A132" t="str">
        <x:v>WR</x:v>
      </x:c>
      <x:c r="B132" t="n">
        <x:v>19</x:v>
      </x:c>
      <x:c r="C132" t="str">
        <x:v>Emeka Egbuka</x:v>
      </x:c>
      <x:c r="D132" s="48" t="n">
        <x:v>81.735</x:v>
      </x:c>
      <x:c r="E132" s="48" t="n">
        <x:f>SUMIFS('Manual Adjustments'!$G$5:$G$227,'Manual Adjustments'!$A$5:$A$227,A132,'Manual Adjustments'!$B$5:$B$227,C132)</x:f>
        <x:v>0</x:v>
      </x:c>
      <x:c r="F132" s="48" t="n">
        <x:f>IFERROR(SUMIFS('Rookie College Inputs'!$I$5:$I$13,'Rookie College Inputs'!$A$5:$A$13,C132),0)</x:f>
        <x:v>0</x:v>
      </x:c>
      <x:c r="G132" s="48" t="n">
        <x:f>MAX(40,MIN(100,D132+E132+F132))</x:f>
        <x:v>81.735</x:v>
      </x:c>
      <x:c r="H132" t="n">
        <x:f>IF(A132="QB",'League Config'!$H$5,IF(A132="RB",'League Config'!$H$6,IF(A132="WR",'League Config'!$H$7,IF(A132="TE",'League Config'!$H$8,IF(A132="K",'League Config'!$H$9,'League Config'!$H$10)))))</x:f>
        <x:v>33</x:v>
      </x:c>
      <x:c r="I132" s="48" t="n">
        <x:f>IF(A132="QB",'League Config'!$F$14,IF(A132="RB",'League Config'!$F$15,IF(A132="WR",'League Config'!$F$16,IF(A132="TE",'League Config'!$F$17,IF(A132="K",'League Config'!$F$18,'League Config'!$F$19)))))</x:f>
        <x:v>73.645</x:v>
      </x:c>
      <x:c r="J132" s="48" t="n">
        <x:f>G132-I132</x:f>
        <x:v>8.090000000000003</x:v>
      </x:c>
      <x:c r="K132" s="48" t="n">
        <x:f>MAX(0,MIN(100,50+J132*6))</x:f>
        <x:v>98.54000000000002</x:v>
      </x:c>
      <x:c r="L132" s="48" t="n">
        <x:f>MIN(100,MAX(0,MIN(100,(1-(B132-1)/(H132*1.5))*100))*IF(A132="QB",'League Config'!$G$14,IF(A132="RB",'League Config'!$G$15,IF(A132="WR",'League Config'!$G$16,IF(A132="TE",'League Config'!$G$17,IF(A132="K",'League Config'!$G$18,'League Config'!$G$19))))))</x:f>
        <x:v>70</x:v>
      </x:c>
      <x:c r="M132" t="n">
        <x:f>IF(A132="K",'League Config'!$B$15,IF(A132="DST",'League Config'!$B$16,IF(A132="QB",'League Config'!$B$17,0)))</x:f>
        <x:v>0</x:v>
      </x:c>
      <x:c r="N132" s="48" t="n">
        <x:f>MIN(100,MAX(0,0.55*G132+0.30*K132+0.15*L132-M132))</x:f>
        <x:v>85.01625000000001</x:v>
      </x:c>
      <x:c r="O132" t="n">
        <x:f>RANK.EQ(N132,$N$5:$N$227,0)</x:f>
        <x:v>45</x:v>
      </x:c>
      <x:c r="P132" s="110" t="n">
        <x:v>73.2</x:v>
      </x:c>
      <x:c r="Q132" s="48" t="n">
        <x:f>P132-O132</x:f>
        <x:v>28.200000000000003</x:v>
      </x:c>
      <x:c r="R132" s="48" t="n">
        <x:f>MAX(40,G132-IF(U132="A",6,IF(U132="B",9,12)))</x:f>
        <x:v>69.735</x:v>
      </x:c>
      <x:c r="S132" s="48" t="n">
        <x:f>G132</x:f>
        <x:v>81.735</x:v>
      </x:c>
      <x:c r="T132" s="48" t="n">
        <x:f>MIN(100,G132+IF(U132="A",6,IF(U132="B",9,12)))</x:f>
        <x:v>93.735</x:v>
      </x:c>
      <x:c r="U132" t="str">
        <x:v>C</x:v>
      </x:c>
      <x:c r="V132" t="str">
        <x:v>HISTORY FALLBACK</x:v>
      </x:c>
      <x:c r="W132" s="109" t="str">
        <x:v>Available</x:v>
      </x:c>
      <x:c r="X132" t="n">
        <x:f>IF(W132&lt;&gt;"Available","",1+COUNTIFS($W$5:$W$227,"Available",$N$5:$N$227,"&gt;"&amp;N132))</x:f>
        <x:v>45</x:v>
      </x:c>
      <x:c r="Y132" s="98" t="str">
        <x:v>EXPECTATION: Strong WR2 with top-12 weekly upside.  WHY: He produced 11.5 PPR/FP points per game across 17 games. The workload/efficiency profile gives the model a rate-based reason to keep him here. Market price is favorable around ADP 73 versus model overall rank 55.  RISK: Target competition, quarterback efficiency and touchdown regression are the main downside paths.</x:v>
      </x:c>
      <x:c r="Z132" t="str">
        <x:v>ADP proxy — editable; based on positional draft cost</x:v>
      </x:c>
    </x:row>
    <x:row r="133">
      <x:c r="A133" t="str">
        <x:v>WR</x:v>
      </x:c>
      <x:c r="B133" t="n">
        <x:v>20</x:v>
      </x:c>
      <x:c r="C133" t="str">
        <x:v>Jaylen Waddle</x:v>
      </x:c>
      <x:c r="D133" s="48" t="n">
        <x:v>82.3175</x:v>
      </x:c>
      <x:c r="E133" s="48" t="n">
        <x:f>SUMIFS('Manual Adjustments'!$G$5:$G$227,'Manual Adjustments'!$A$5:$A$227,A133,'Manual Adjustments'!$B$5:$B$227,C133)</x:f>
        <x:v>0</x:v>
      </x:c>
      <x:c r="F133" s="48" t="n">
        <x:f>IFERROR(SUMIFS('Rookie College Inputs'!$I$5:$I$13,'Rookie College Inputs'!$A$5:$A$13,C133),0)</x:f>
        <x:v>0</x:v>
      </x:c>
      <x:c r="G133" s="48" t="n">
        <x:f>MAX(40,MIN(100,D133+E133+F133))</x:f>
        <x:v>82.3175</x:v>
      </x:c>
      <x:c r="H133" t="n">
        <x:f>IF(A133="QB",'League Config'!$H$5,IF(A133="RB",'League Config'!$H$6,IF(A133="WR",'League Config'!$H$7,IF(A133="TE",'League Config'!$H$8,IF(A133="K",'League Config'!$H$9,'League Config'!$H$10)))))</x:f>
        <x:v>33</x:v>
      </x:c>
      <x:c r="I133" s="48" t="n">
        <x:f>IF(A133="QB",'League Config'!$F$14,IF(A133="RB",'League Config'!$F$15,IF(A133="WR",'League Config'!$F$16,IF(A133="TE",'League Config'!$F$17,IF(A133="K",'League Config'!$F$18,'League Config'!$F$19)))))</x:f>
        <x:v>73.645</x:v>
      </x:c>
      <x:c r="J133" s="48" t="n">
        <x:f>G133-I133</x:f>
        <x:v>8.6725</x:v>
      </x:c>
      <x:c r="K133" s="48" t="n">
        <x:f>MAX(0,MIN(100,50+J133*6))</x:f>
        <x:v>100</x:v>
      </x:c>
      <x:c r="L133" s="48" t="n">
        <x:f>MIN(100,MAX(0,MIN(100,(1-(B133-1)/(H133*1.5))*100))*IF(A133="QB",'League Config'!$G$14,IF(A133="RB",'League Config'!$G$15,IF(A133="WR",'League Config'!$G$16,IF(A133="TE",'League Config'!$G$17,IF(A133="K",'League Config'!$G$18,'League Config'!$G$19))))))</x:f>
        <x:v>67.77777777777779</x:v>
      </x:c>
      <x:c r="M133" t="n">
        <x:f>IF(A133="K",'League Config'!$B$15,IF(A133="DST",'League Config'!$B$16,IF(A133="QB",'League Config'!$B$17,0)))</x:f>
        <x:v>0</x:v>
      </x:c>
      <x:c r="N133" s="48" t="n">
        <x:f>MIN(100,MAX(0,0.55*G133+0.30*K133+0.15*L133-M133))</x:f>
        <x:v>85.44129166666667</x:v>
      </x:c>
      <x:c r="O133" t="n">
        <x:f>RANK.EQ(N133,$N$5:$N$227,0)</x:f>
        <x:v>44</x:v>
      </x:c>
      <x:c r="P133" s="110" t="n">
        <x:v>77.1</x:v>
      </x:c>
      <x:c r="Q133" s="48" t="n">
        <x:f>P133-O133</x:f>
        <x:v>33.099999999999994</x:v>
      </x:c>
      <x:c r="R133" s="48" t="n">
        <x:f>MAX(40,G133-IF(U133="A",6,IF(U133="B",9,12)))</x:f>
        <x:v>70.3175</x:v>
      </x:c>
      <x:c r="S133" s="48" t="n">
        <x:f>G133</x:f>
        <x:v>82.3175</x:v>
      </x:c>
      <x:c r="T133" s="48" t="n">
        <x:f>MIN(100,G133+IF(U133="A",6,IF(U133="B",9,12)))</x:f>
        <x:v>94.3175</x:v>
      </x:c>
      <x:c r="U133" t="str">
        <x:v>C</x:v>
      </x:c>
      <x:c r="V133" t="str">
        <x:v>HISTORY FALLBACK</x:v>
      </x:c>
      <x:c r="W133" s="109" t="str">
        <x:v>Available</x:v>
      </x:c>
      <x:c r="X133" t="n">
        <x:f>IF(W133&lt;&gt;"Available","",1+COUNTIFS($W$5:$W$227,"Available",$N$5:$N$227,"&gt;"&amp;N133))</x:f>
        <x:v>44</x:v>
      </x:c>
      <x:c r="Y133" s="98" t="str">
        <x:v>EXPECTATION: Strong WR2 with top-12 weekly upside.  WHY: He produced 12.1 PPR/FP points per game across 16 games. The workload/efficiency profile gives the model a rate-based reason to keep him here. Market price is favorable around ADP 77 versus model overall rank 52.  RISK: Target competition, quarterback efficiency and touchdown regression are the main downside paths.</x:v>
      </x:c>
      <x:c r="Z133" t="str">
        <x:v>ADP proxy — editable; based on positional draft cost</x:v>
      </x:c>
    </x:row>
    <x:row r="134">
      <x:c r="A134" t="str">
        <x:v>WR</x:v>
      </x:c>
      <x:c r="B134" t="n">
        <x:v>21</x:v>
      </x:c>
      <x:c r="C134" t="str">
        <x:v>Terry McLaurin</x:v>
      </x:c>
      <x:c r="D134" s="48" t="n">
        <x:v>79.9</x:v>
      </x:c>
      <x:c r="E134" s="48" t="n">
        <x:f>SUMIFS('Manual Adjustments'!$G$5:$G$227,'Manual Adjustments'!$A$5:$A$227,A134,'Manual Adjustments'!$B$5:$B$227,C134)</x:f>
        <x:v>0</x:v>
      </x:c>
      <x:c r="F134" s="48" t="n">
        <x:f>IFERROR(SUMIFS('Rookie College Inputs'!$I$5:$I$13,'Rookie College Inputs'!$A$5:$A$13,C134),0)</x:f>
        <x:v>0</x:v>
      </x:c>
      <x:c r="G134" s="48" t="n">
        <x:f>MAX(40,MIN(100,D134+E134+F134))</x:f>
        <x:v>79.9</x:v>
      </x:c>
      <x:c r="H134" t="n">
        <x:f>IF(A134="QB",'League Config'!$H$5,IF(A134="RB",'League Config'!$H$6,IF(A134="WR",'League Config'!$H$7,IF(A134="TE",'League Config'!$H$8,IF(A134="K",'League Config'!$H$9,'League Config'!$H$10)))))</x:f>
        <x:v>33</x:v>
      </x:c>
      <x:c r="I134" s="48" t="n">
        <x:f>IF(A134="QB",'League Config'!$F$14,IF(A134="RB",'League Config'!$F$15,IF(A134="WR",'League Config'!$F$16,IF(A134="TE",'League Config'!$F$17,IF(A134="K",'League Config'!$F$18,'League Config'!$F$19)))))</x:f>
        <x:v>73.645</x:v>
      </x:c>
      <x:c r="J134" s="48" t="n">
        <x:f>G134-I134</x:f>
        <x:v>6.25500000000001</x:v>
      </x:c>
      <x:c r="K134" s="48" t="n">
        <x:f>MAX(0,MIN(100,50+J134*6))</x:f>
        <x:v>87.53000000000006</x:v>
      </x:c>
      <x:c r="L134" s="48" t="n">
        <x:f>MIN(100,MAX(0,MIN(100,(1-(B134-1)/(H134*1.5))*100))*IF(A134="QB",'League Config'!$G$14,IF(A134="RB",'League Config'!$G$15,IF(A134="WR",'League Config'!$G$16,IF(A134="TE",'League Config'!$G$17,IF(A134="K",'League Config'!$G$18,'League Config'!$G$19))))))</x:f>
        <x:v>65.55555555555556</x:v>
      </x:c>
      <x:c r="M134" t="n">
        <x:f>IF(A134="K",'League Config'!$B$15,IF(A134="DST",'League Config'!$B$16,IF(A134="QB",'League Config'!$B$17,0)))</x:f>
        <x:v>0</x:v>
      </x:c>
      <x:c r="N134" s="48" t="n">
        <x:f>MIN(100,MAX(0,0.55*G134+0.30*K134+0.15*L134-M134))</x:f>
        <x:v>80.03733333333335</x:v>
      </x:c>
      <x:c r="O134" t="n">
        <x:f>RANK.EQ(N134,$N$5:$N$227,0)</x:f>
        <x:v>54</x:v>
      </x:c>
      <x:c r="P134" s="110" t="n">
        <x:v>81</x:v>
      </x:c>
      <x:c r="Q134" s="48" t="n">
        <x:f>P134-O134</x:f>
        <x:v>27</x:v>
      </x:c>
      <x:c r="R134" s="48" t="n">
        <x:f>MAX(40,G134-IF(U134="A",6,IF(U134="B",9,12)))</x:f>
        <x:v>67.9</x:v>
      </x:c>
      <x:c r="S134" s="48" t="n">
        <x:f>G134</x:f>
        <x:v>79.9</x:v>
      </x:c>
      <x:c r="T134" s="48" t="n">
        <x:f>MIN(100,G134+IF(U134="A",6,IF(U134="B",9,12)))</x:f>
        <x:v>91.9</x:v>
      </x:c>
      <x:c r="U134" t="str">
        <x:v>C</x:v>
      </x:c>
      <x:c r="V134" t="str">
        <x:v>HISTORY FALLBACK</x:v>
      </x:c>
      <x:c r="W134" s="109" t="str">
        <x:v>Available</x:v>
      </x:c>
      <x:c r="X134" t="n">
        <x:f>IF(W134&lt;&gt;"Available","",1+COUNTIFS($W$5:$W$227,"Available",$N$5:$N$227,"&gt;"&amp;N134))</x:f>
        <x:v>54</x:v>
      </x:c>
      <x:c r="Y134" s="98" t="str">
        <x:v>EXPECTATION: Strong WR2 with top-12 weekly upside.  WHY: He produced 11.4 PPR/FP points per game across 10 games. The workload/efficiency profile gives the model a rate-based reason to keep him here. Market price is favorable around ADP 81 versus model overall rank 62.  RISK: Target competition, quarterback efficiency and touchdown regression are the main downside paths.</x:v>
      </x:c>
      <x:c r="Z134" t="str">
        <x:v>ADP proxy — editable; based on positional draft cost</x:v>
      </x:c>
    </x:row>
    <x:row r="135">
      <x:c r="A135" t="str">
        <x:v>WR</x:v>
      </x:c>
      <x:c r="B135" t="n">
        <x:v>22</x:v>
      </x:c>
      <x:c r="C135" t="str">
        <x:v>Ladd McConkey</x:v>
      </x:c>
      <x:c r="D135" s="48" t="n">
        <x:v>82.7325</x:v>
      </x:c>
      <x:c r="E135" s="48" t="n">
        <x:f>SUMIFS('Manual Adjustments'!$G$5:$G$227,'Manual Adjustments'!$A$5:$A$227,A135,'Manual Adjustments'!$B$5:$B$227,C135)</x:f>
        <x:v>0</x:v>
      </x:c>
      <x:c r="F135" s="48" t="n">
        <x:f>IFERROR(SUMIFS('Rookie College Inputs'!$I$5:$I$13,'Rookie College Inputs'!$A$5:$A$13,C135),0)</x:f>
        <x:v>0</x:v>
      </x:c>
      <x:c r="G135" s="48" t="n">
        <x:f>MAX(40,MIN(100,D135+E135+F135))</x:f>
        <x:v>82.7325</x:v>
      </x:c>
      <x:c r="H135" t="n">
        <x:f>IF(A135="QB",'League Config'!$H$5,IF(A135="RB",'League Config'!$H$6,IF(A135="WR",'League Config'!$H$7,IF(A135="TE",'League Config'!$H$8,IF(A135="K",'League Config'!$H$9,'League Config'!$H$10)))))</x:f>
        <x:v>33</x:v>
      </x:c>
      <x:c r="I135" s="48" t="n">
        <x:f>IF(A135="QB",'League Config'!$F$14,IF(A135="RB",'League Config'!$F$15,IF(A135="WR",'League Config'!$F$16,IF(A135="TE",'League Config'!$F$17,IF(A135="K",'League Config'!$F$18,'League Config'!$F$19)))))</x:f>
        <x:v>73.645</x:v>
      </x:c>
      <x:c r="J135" s="48" t="n">
        <x:f>G135-I135</x:f>
        <x:v>9.087500000000006</x:v>
      </x:c>
      <x:c r="K135" s="48" t="n">
        <x:f>MAX(0,MIN(100,50+J135*6))</x:f>
        <x:v>100</x:v>
      </x:c>
      <x:c r="L135" s="48" t="n">
        <x:f>MIN(100,MAX(0,MIN(100,(1-(B135-1)/(H135*1.5))*100))*IF(A135="QB",'League Config'!$G$14,IF(A135="RB",'League Config'!$G$15,IF(A135="WR",'League Config'!$G$16,IF(A135="TE",'League Config'!$G$17,IF(A135="K",'League Config'!$G$18,'League Config'!$G$19))))))</x:f>
        <x:v>63.333333333333336</x:v>
      </x:c>
      <x:c r="M135" t="n">
        <x:f>IF(A135="K",'League Config'!$B$15,IF(A135="DST",'League Config'!$B$16,IF(A135="QB",'League Config'!$B$17,0)))</x:f>
        <x:v>0</x:v>
      </x:c>
      <x:c r="N135" s="48" t="n">
        <x:f>MIN(100,MAX(0,0.55*G135+0.30*K135+0.15*L135-M135))</x:f>
        <x:v>85.002875</x:v>
      </x:c>
      <x:c r="O135" t="n">
        <x:f>RANK.EQ(N135,$N$5:$N$227,0)</x:f>
        <x:v>46</x:v>
      </x:c>
      <x:c r="P135" s="110" t="n">
        <x:v>84.89999999999999</x:v>
      </x:c>
      <x:c r="Q135" s="48" t="n">
        <x:f>P135-O135</x:f>
        <x:v>38.89999999999999</x:v>
      </x:c>
      <x:c r="R135" s="48" t="n">
        <x:f>MAX(40,G135-IF(U135="A",6,IF(U135="B",9,12)))</x:f>
        <x:v>73.7325</x:v>
      </x:c>
      <x:c r="S135" s="48" t="n">
        <x:f>G135</x:f>
        <x:v>82.7325</x:v>
      </x:c>
      <x:c r="T135" s="48" t="n">
        <x:f>MIN(100,G135+IF(U135="A",6,IF(U135="B",9,12)))</x:f>
        <x:v>91.7325</x:v>
      </x:c>
      <x:c r="U135" t="str">
        <x:v>B</x:v>
      </x:c>
      <x:c r="V135" t="str">
        <x:v>HISTORY FALLBACK</x:v>
      </x:c>
      <x:c r="W135" s="109" t="str">
        <x:v>Available</x:v>
      </x:c>
      <x:c r="X135" t="n">
        <x:f>IF(W135&lt;&gt;"Available","",1+COUNTIFS($W$5:$W$227,"Available",$N$5:$N$227,"&gt;"&amp;N135))</x:f>
        <x:v>46</x:v>
      </x:c>
      <x:c r="Y135" s="98" t="str">
        <x:v>EXPECTATION: Strong WR2 with top-12 weekly upside.  WHY: The 2026 opportunity and projection carry most of the grade because detailed 2025 rate data is incomplete. Market price is favorable around ADP 85 versus model overall rank 51.  RISK: Target competition, quarterback efficiency and touchdown regression are the main downside paths.</x:v>
      </x:c>
      <x:c r="Z135" t="str">
        <x:v>ADP proxy — editable; based on positional draft cost</x:v>
      </x:c>
    </x:row>
    <x:row r="136">
      <x:c r="A136" t="str">
        <x:v>WR</x:v>
      </x:c>
      <x:c r="B136" t="n">
        <x:v>23</x:v>
      </x:c>
      <x:c r="C136" t="str">
        <x:v>Davante Adams</x:v>
      </x:c>
      <x:c r="D136" s="48" t="n">
        <x:v>78.065</x:v>
      </x:c>
      <x:c r="E136" s="48" t="n">
        <x:f>SUMIFS('Manual Adjustments'!$G$5:$G$227,'Manual Adjustments'!$A$5:$A$227,A136,'Manual Adjustments'!$B$5:$B$227,C136)</x:f>
        <x:v>0</x:v>
      </x:c>
      <x:c r="F136" s="48" t="n">
        <x:f>IFERROR(SUMIFS('Rookie College Inputs'!$I$5:$I$13,'Rookie College Inputs'!$A$5:$A$13,C136),0)</x:f>
        <x:v>0</x:v>
      </x:c>
      <x:c r="G136" s="48" t="n">
        <x:f>MAX(40,MIN(100,D136+E136+F136))</x:f>
        <x:v>78.065</x:v>
      </x:c>
      <x:c r="H136" t="n">
        <x:f>IF(A136="QB",'League Config'!$H$5,IF(A136="RB",'League Config'!$H$6,IF(A136="WR",'League Config'!$H$7,IF(A136="TE",'League Config'!$H$8,IF(A136="K",'League Config'!$H$9,'League Config'!$H$10)))))</x:f>
        <x:v>33</x:v>
      </x:c>
      <x:c r="I136" s="48" t="n">
        <x:f>IF(A136="QB",'League Config'!$F$14,IF(A136="RB",'League Config'!$F$15,IF(A136="WR",'League Config'!$F$16,IF(A136="TE",'League Config'!$F$17,IF(A136="K",'League Config'!$F$18,'League Config'!$F$19)))))</x:f>
        <x:v>73.645</x:v>
      </x:c>
      <x:c r="J136" s="48" t="n">
        <x:f>G136-I136</x:f>
        <x:v>4.420000000000002</x:v>
      </x:c>
      <x:c r="K136" s="48" t="n">
        <x:f>MAX(0,MIN(100,50+J136*6))</x:f>
        <x:v>76.52000000000001</x:v>
      </x:c>
      <x:c r="L136" s="48" t="n">
        <x:f>MIN(100,MAX(0,MIN(100,(1-(B136-1)/(H136*1.5))*100))*IF(A136="QB",'League Config'!$G$14,IF(A136="RB",'League Config'!$G$15,IF(A136="WR",'League Config'!$G$16,IF(A136="TE",'League Config'!$G$17,IF(A136="K",'League Config'!$G$18,'League Config'!$G$19))))))</x:f>
        <x:v>61.111111111111114</x:v>
      </x:c>
      <x:c r="M136" t="n">
        <x:f>IF(A136="K",'League Config'!$B$15,IF(A136="DST",'League Config'!$B$16,IF(A136="QB",'League Config'!$B$17,0)))</x:f>
        <x:v>0</x:v>
      </x:c>
      <x:c r="N136" s="48" t="n">
        <x:f>MIN(100,MAX(0,0.55*G136+0.30*K136+0.15*L136-M136))</x:f>
        <x:v>75.05841666666667</x:v>
      </x:c>
      <x:c r="O136" t="n">
        <x:f>RANK.EQ(N136,$N$5:$N$227,0)</x:f>
        <x:v>61</x:v>
      </x:c>
      <x:c r="P136" s="110" t="n">
        <x:v>88.8</x:v>
      </x:c>
      <x:c r="Q136" s="48" t="n">
        <x:f>P136-O136</x:f>
        <x:v>27.799999999999997</x:v>
      </x:c>
      <x:c r="R136" s="48" t="n">
        <x:f>MAX(40,G136-IF(U136="A",6,IF(U136="B",9,12)))</x:f>
        <x:v>66.065</x:v>
      </x:c>
      <x:c r="S136" s="48" t="n">
        <x:f>G136</x:f>
        <x:v>78.065</x:v>
      </x:c>
      <x:c r="T136" s="48" t="n">
        <x:f>MIN(100,G136+IF(U136="A",6,IF(U136="B",9,12)))</x:f>
        <x:v>90.065</x:v>
      </x:c>
      <x:c r="U136" t="str">
        <x:v>C</x:v>
      </x:c>
      <x:c r="V136" t="str">
        <x:v>HISTORY FALLBACK</x:v>
      </x:c>
      <x:c r="W136" s="109" t="str">
        <x:v>Available</x:v>
      </x:c>
      <x:c r="X136" t="n">
        <x:f>IF(W136&lt;&gt;"Available","",1+COUNTIFS($W$5:$W$227,"Available",$N$5:$N$227,"&gt;"&amp;N136))</x:f>
        <x:v>61</x:v>
      </x:c>
      <x:c r="Y136" s="98" t="str">
        <x:v>EXPECTATION: Strong WR2 with top-12 weekly upside.  WHY: He produced 15.9 PPR/FP points per game across 14 games. The workload/efficiency profile gives the model a rate-based reason to keep him here. Market price is favorable around ADP 89 versus model overall rank 76.  RISK: Target competition, quarterback efficiency and touchdown regression are the main downside paths.</x:v>
      </x:c>
      <x:c r="Z136" t="str">
        <x:v>ADP proxy — editable; based on positional draft cost</x:v>
      </x:c>
    </x:row>
    <x:row r="137">
      <x:c r="A137" t="str">
        <x:v>WR</x:v>
      </x:c>
      <x:c r="B137" t="n">
        <x:v>24</x:v>
      </x:c>
      <x:c r="C137" t="str">
        <x:v>Luther Burden III</x:v>
      </x:c>
      <x:c r="D137" s="48" t="n">
        <x:v>78.64750000000001</x:v>
      </x:c>
      <x:c r="E137" s="48" t="n">
        <x:f>SUMIFS('Manual Adjustments'!$G$5:$G$227,'Manual Adjustments'!$A$5:$A$227,A137,'Manual Adjustments'!$B$5:$B$227,C137)</x:f>
        <x:v>0</x:v>
      </x:c>
      <x:c r="F137" s="48" t="n">
        <x:f>IFERROR(SUMIFS('Rookie College Inputs'!$I$5:$I$13,'Rookie College Inputs'!$A$5:$A$13,C137),0)</x:f>
        <x:v>0</x:v>
      </x:c>
      <x:c r="G137" s="48" t="n">
        <x:f>MAX(40,MIN(100,D137+E137+F137))</x:f>
        <x:v>78.64750000000001</x:v>
      </x:c>
      <x:c r="H137" t="n">
        <x:f>IF(A137="QB",'League Config'!$H$5,IF(A137="RB",'League Config'!$H$6,IF(A137="WR",'League Config'!$H$7,IF(A137="TE",'League Config'!$H$8,IF(A137="K",'League Config'!$H$9,'League Config'!$H$10)))))</x:f>
        <x:v>33</x:v>
      </x:c>
      <x:c r="I137" s="48" t="n">
        <x:f>IF(A137="QB",'League Config'!$F$14,IF(A137="RB",'League Config'!$F$15,IF(A137="WR",'League Config'!$F$16,IF(A137="TE",'League Config'!$F$17,IF(A137="K",'League Config'!$F$18,'League Config'!$F$19)))))</x:f>
        <x:v>73.645</x:v>
      </x:c>
      <x:c r="J137" s="48" t="n">
        <x:f>G137-I137</x:f>
        <x:v>5.002500000000012</x:v>
      </x:c>
      <x:c r="K137" s="48" t="n">
        <x:f>MAX(0,MIN(100,50+J137*6))</x:f>
        <x:v>80.01500000000007</x:v>
      </x:c>
      <x:c r="L137" s="48" t="n">
        <x:f>MIN(100,MAX(0,MIN(100,(1-(B137-1)/(H137*1.5))*100))*IF(A137="QB",'League Config'!$G$14,IF(A137="RB",'League Config'!$G$15,IF(A137="WR",'League Config'!$G$16,IF(A137="TE",'League Config'!$G$17,IF(A137="K",'League Config'!$G$18,'League Config'!$G$19))))))</x:f>
        <x:v>58.88888888888889</x:v>
      </x:c>
      <x:c r="M137" t="n">
        <x:f>IF(A137="K",'League Config'!$B$15,IF(A137="DST",'League Config'!$B$16,IF(A137="QB",'League Config'!$B$17,0)))</x:f>
        <x:v>0</x:v>
      </x:c>
      <x:c r="N137" s="48" t="n">
        <x:f>MIN(100,MAX(0,0.55*G137+0.30*K137+0.15*L137-M137))</x:f>
        <x:v>76.09395833333336</x:v>
      </x:c>
      <x:c r="O137" t="n">
        <x:f>RANK.EQ(N137,$N$5:$N$227,0)</x:f>
        <x:v>59</x:v>
      </x:c>
      <x:c r="P137" s="110" t="n">
        <x:v>92.7</x:v>
      </x:c>
      <x:c r="Q137" s="48" t="n">
        <x:f>P137-O137</x:f>
        <x:v>33.7</x:v>
      </x:c>
      <x:c r="R137" s="48" t="n">
        <x:f>MAX(40,G137-IF(U137="A",6,IF(U137="B",9,12)))</x:f>
        <x:v>66.64750000000001</x:v>
      </x:c>
      <x:c r="S137" s="48" t="n">
        <x:f>G137</x:f>
        <x:v>78.64750000000001</x:v>
      </x:c>
      <x:c r="T137" s="48" t="n">
        <x:f>MIN(100,G137+IF(U137="A",6,IF(U137="B",9,12)))</x:f>
        <x:v>90.64750000000001</x:v>
      </x:c>
      <x:c r="U137" t="str">
        <x:v>C</x:v>
      </x:c>
      <x:c r="V137" t="str">
        <x:v>HISTORY FALLBACK</x:v>
      </x:c>
      <x:c r="W137" s="109" t="str">
        <x:v>Available</x:v>
      </x:c>
      <x:c r="X137" t="n">
        <x:f>IF(W137&lt;&gt;"Available","",1+COUNTIFS($W$5:$W$227,"Available",$N$5:$N$227,"&gt;"&amp;N137))</x:f>
        <x:v>59</x:v>
      </x:c>
      <x:c r="Y137" s="98" t="str">
        <x:v>EXPECTATION: Strong WR2 with top-12 weekly upside.  WHY: He produced 8.5 PPR/FP points per game across 15 games. The workload/efficiency profile gives the model a rate-based reason to keep him here. Market price is favorable around ADP 93 versus model overall rank 71.  RISK: Target competition, quarterback efficiency and touchdown regression are the main downside paths.</x:v>
      </x:c>
      <x:c r="Z137" t="str">
        <x:v>ADP proxy — editable; based on positional draft cost</x:v>
      </x:c>
    </x:row>
    <x:row r="138">
      <x:c r="A138" t="str">
        <x:v>WR</x:v>
      </x:c>
      <x:c r="B138" t="n">
        <x:v>25</x:v>
      </x:c>
      <x:c r="C138" t="str">
        <x:v>DJ Moore</x:v>
      </x:c>
      <x:c r="D138" s="48" t="n">
        <x:v>75.48</x:v>
      </x:c>
      <x:c r="E138" s="48" t="n">
        <x:f>SUMIFS('Manual Adjustments'!$G$5:$G$227,'Manual Adjustments'!$A$5:$A$227,A138,'Manual Adjustments'!$B$5:$B$227,C138)</x:f>
        <x:v>0</x:v>
      </x:c>
      <x:c r="F138" s="48" t="n">
        <x:f>IFERROR(SUMIFS('Rookie College Inputs'!$I$5:$I$13,'Rookie College Inputs'!$A$5:$A$13,C138),0)</x:f>
        <x:v>0</x:v>
      </x:c>
      <x:c r="G138" s="48" t="n">
        <x:f>MAX(40,MIN(100,D138+E138+F138))</x:f>
        <x:v>75.48</x:v>
      </x:c>
      <x:c r="H138" t="n">
        <x:f>IF(A138="QB",'League Config'!$H$5,IF(A138="RB",'League Config'!$H$6,IF(A138="WR",'League Config'!$H$7,IF(A138="TE",'League Config'!$H$8,IF(A138="K",'League Config'!$H$9,'League Config'!$H$10)))))</x:f>
        <x:v>33</x:v>
      </x:c>
      <x:c r="I138" s="48" t="n">
        <x:f>IF(A138="QB",'League Config'!$F$14,IF(A138="RB",'League Config'!$F$15,IF(A138="WR",'League Config'!$F$16,IF(A138="TE",'League Config'!$F$17,IF(A138="K",'League Config'!$F$18,'League Config'!$F$19)))))</x:f>
        <x:v>73.645</x:v>
      </x:c>
      <x:c r="J138" s="48" t="n">
        <x:f>G138-I138</x:f>
        <x:v>1.835000000000008</x:v>
      </x:c>
      <x:c r="K138" s="48" t="n">
        <x:f>MAX(0,MIN(100,50+J138*6))</x:f>
        <x:v>61.01000000000005</x:v>
      </x:c>
      <x:c r="L138" s="48" t="n">
        <x:f>MIN(100,MAX(0,MIN(100,(1-(B138-1)/(H138*1.5))*100))*IF(A138="QB",'League Config'!$G$14,IF(A138="RB",'League Config'!$G$15,IF(A138="WR",'League Config'!$G$16,IF(A138="TE",'League Config'!$G$17,IF(A138="K",'League Config'!$G$18,'League Config'!$G$19))))))</x:f>
        <x:v>56.66666666666667</x:v>
      </x:c>
      <x:c r="M138" t="n">
        <x:f>IF(A138="K",'League Config'!$B$15,IF(A138="DST",'League Config'!$B$16,IF(A138="QB",'League Config'!$B$17,0)))</x:f>
        <x:v>0</x:v>
      </x:c>
      <x:c r="N138" s="48" t="n">
        <x:f>MIN(100,MAX(0,0.55*G138+0.30*K138+0.15*L138-M138))</x:f>
        <x:v>68.31700000000002</x:v>
      </x:c>
      <x:c r="O138" t="n">
        <x:f>RANK.EQ(N138,$N$5:$N$227,0)</x:f>
        <x:v>80</x:v>
      </x:c>
      <x:c r="P138" s="110" t="n">
        <x:v>96.6</x:v>
      </x:c>
      <x:c r="Q138" s="48" t="n">
        <x:f>P138-O138</x:f>
        <x:v>16.599999999999994</x:v>
      </x:c>
      <x:c r="R138" s="48" t="n">
        <x:f>MAX(40,G138-IF(U138="A",6,IF(U138="B",9,12)))</x:f>
        <x:v>63.480000000000004</x:v>
      </x:c>
      <x:c r="S138" s="48" t="n">
        <x:f>G138</x:f>
        <x:v>75.48</x:v>
      </x:c>
      <x:c r="T138" s="48" t="n">
        <x:f>MIN(100,G138+IF(U138="A",6,IF(U138="B",9,12)))</x:f>
        <x:v>87.48</x:v>
      </x:c>
      <x:c r="U138" t="str">
        <x:v>C</x:v>
      </x:c>
      <x:c r="V138" t="str">
        <x:v>HISTORY FALLBACK</x:v>
      </x:c>
      <x:c r="W138" s="109" t="str">
        <x:v>Available</x:v>
      </x:c>
      <x:c r="X138" t="n">
        <x:f>IF(W138&lt;&gt;"Available","",1+COUNTIFS($W$5:$W$227,"Available",$N$5:$N$227,"&gt;"&amp;N138))</x:f>
        <x:v>80</x:v>
      </x:c>
      <x:c r="Y138" s="98" t="str">
        <x:v>EXPECTATION: WR2/FLEX; dependable lineup option with matchup-driven ceiling.  WHY: He produced 10.0 PPR/FP points per game across 17 games. The workload/efficiency profile gives the model a rate-based reason to keep him here.  RISK: Target competition, quarterback efficiency and touchdown regression are the main downside paths.</x:v>
      </x:c>
      <x:c r="Z138" t="str">
        <x:v>ADP proxy — editable; based on positional draft cost</x:v>
      </x:c>
    </x:row>
    <x:row r="139">
      <x:c r="A139" t="str">
        <x:v>WR</x:v>
      </x:c>
      <x:c r="B139" t="n">
        <x:v>26</x:v>
      </x:c>
      <x:c r="C139" t="str">
        <x:v>Jameson Williams</x:v>
      </x:c>
      <x:c r="D139" s="48" t="n">
        <x:v>76.0625</x:v>
      </x:c>
      <x:c r="E139" s="48" t="n">
        <x:f>SUMIFS('Manual Adjustments'!$G$5:$G$227,'Manual Adjustments'!$A$5:$A$227,A139,'Manual Adjustments'!$B$5:$B$227,C139)</x:f>
        <x:v>0</x:v>
      </x:c>
      <x:c r="F139" s="48" t="n">
        <x:f>IFERROR(SUMIFS('Rookie College Inputs'!$I$5:$I$13,'Rookie College Inputs'!$A$5:$A$13,C139),0)</x:f>
        <x:v>0</x:v>
      </x:c>
      <x:c r="G139" s="48" t="n">
        <x:f>MAX(40,MIN(100,D139+E139+F139))</x:f>
        <x:v>76.0625</x:v>
      </x:c>
      <x:c r="H139" t="n">
        <x:f>IF(A139="QB",'League Config'!$H$5,IF(A139="RB",'League Config'!$H$6,IF(A139="WR",'League Config'!$H$7,IF(A139="TE",'League Config'!$H$8,IF(A139="K",'League Config'!$H$9,'League Config'!$H$10)))))</x:f>
        <x:v>33</x:v>
      </x:c>
      <x:c r="I139" s="48" t="n">
        <x:f>IF(A139="QB",'League Config'!$F$14,IF(A139="RB",'League Config'!$F$15,IF(A139="WR",'League Config'!$F$16,IF(A139="TE",'League Config'!$F$17,IF(A139="K",'League Config'!$F$18,'League Config'!$F$19)))))</x:f>
        <x:v>73.645</x:v>
      </x:c>
      <x:c r="J139" s="48" t="n">
        <x:f>G139-I139</x:f>
        <x:v>2.417500000000004</x:v>
      </x:c>
      <x:c r="K139" s="48" t="n">
        <x:f>MAX(0,MIN(100,50+J139*6))</x:f>
        <x:v>64.50500000000002</x:v>
      </x:c>
      <x:c r="L139" s="48" t="n">
        <x:f>MIN(100,MAX(0,MIN(100,(1-(B139-1)/(H139*1.5))*100))*IF(A139="QB",'League Config'!$G$14,IF(A139="RB",'League Config'!$G$15,IF(A139="WR",'League Config'!$G$16,IF(A139="TE",'League Config'!$G$17,IF(A139="K",'League Config'!$G$18,'League Config'!$G$19))))))</x:f>
        <x:v>54.44444444444445</x:v>
      </x:c>
      <x:c r="M139" t="n">
        <x:f>IF(A139="K",'League Config'!$B$15,IF(A139="DST",'League Config'!$B$16,IF(A139="QB",'League Config'!$B$17,0)))</x:f>
        <x:v>0</x:v>
      </x:c>
      <x:c r="N139" s="48" t="n">
        <x:f>MIN(100,MAX(0,0.55*G139+0.30*K139+0.15*L139-M139))</x:f>
        <x:v>69.35254166666668</x:v>
      </x:c>
      <x:c r="O139" t="n">
        <x:f>RANK.EQ(N139,$N$5:$N$227,0)</x:f>
        <x:v>74</x:v>
      </x:c>
      <x:c r="P139" s="110" t="n">
        <x:v>100.5</x:v>
      </x:c>
      <x:c r="Q139" s="48" t="n">
        <x:f>P139-O139</x:f>
        <x:v>26.5</x:v>
      </x:c>
      <x:c r="R139" s="48" t="n">
        <x:f>MAX(40,G139-IF(U139="A",6,IF(U139="B",9,12)))</x:f>
        <x:v>64.0625</x:v>
      </x:c>
      <x:c r="S139" s="48" t="n">
        <x:f>G139</x:f>
        <x:v>76.0625</x:v>
      </x:c>
      <x:c r="T139" s="48" t="n">
        <x:f>MIN(100,G139+IF(U139="A",6,IF(U139="B",9,12)))</x:f>
        <x:v>88.0625</x:v>
      </x:c>
      <x:c r="U139" t="str">
        <x:v>C</x:v>
      </x:c>
      <x:c r="V139" t="str">
        <x:v>HISTORY FALLBACK</x:v>
      </x:c>
      <x:c r="W139" s="109" t="str">
        <x:v>Available</x:v>
      </x:c>
      <x:c r="X139" t="n">
        <x:f>IF(W139&lt;&gt;"Available","",1+COUNTIFS($W$5:$W$227,"Available",$N$5:$N$227,"&gt;"&amp;N139))</x:f>
        <x:v>74</x:v>
      </x:c>
      <x:c r="Y139" s="98" t="str">
        <x:v>EXPECTATION: WR2/FLEX; dependable lineup option with matchup-driven ceiling.  WHY: He produced 12.9 PPR/FP points per game across 17 games. The workload/efficiency profile gives the model a rate-based reason to keep him here.  RISK: Target competition, quarterback efficiency and touchdown regression are the main downside paths.</x:v>
      </x:c>
      <x:c r="Z139" t="str">
        <x:v>ADP proxy — editable; based on positional draft cost</x:v>
      </x:c>
    </x:row>
    <x:row r="140">
      <x:c r="A140" t="str">
        <x:v>WR</x:v>
      </x:c>
      <x:c r="B140" t="n">
        <x:v>27</x:v>
      </x:c>
      <x:c r="C140" t="str">
        <x:v>Rome Odunze</x:v>
      </x:c>
      <x:c r="D140" s="48" t="n">
        <x:v>73.645</x:v>
      </x:c>
      <x:c r="E140" s="48" t="n">
        <x:f>SUMIFS('Manual Adjustments'!$G$5:$G$227,'Manual Adjustments'!$A$5:$A$227,A140,'Manual Adjustments'!$B$5:$B$227,C140)</x:f>
        <x:v>0</x:v>
      </x:c>
      <x:c r="F140" s="48" t="n">
        <x:f>IFERROR(SUMIFS('Rookie College Inputs'!$I$5:$I$13,'Rookie College Inputs'!$A$5:$A$13,C140),0)</x:f>
        <x:v>0</x:v>
      </x:c>
      <x:c r="G140" s="48" t="n">
        <x:f>MAX(40,MIN(100,D140+E140+F140))</x:f>
        <x:v>73.645</x:v>
      </x:c>
      <x:c r="H140" t="n">
        <x:f>IF(A140="QB",'League Config'!$H$5,IF(A140="RB",'League Config'!$H$6,IF(A140="WR",'League Config'!$H$7,IF(A140="TE",'League Config'!$H$8,IF(A140="K",'League Config'!$H$9,'League Config'!$H$10)))))</x:f>
        <x:v>33</x:v>
      </x:c>
      <x:c r="I140" s="48" t="n">
        <x:f>IF(A140="QB",'League Config'!$F$14,IF(A140="RB",'League Config'!$F$15,IF(A140="WR",'League Config'!$F$16,IF(A140="TE",'League Config'!$F$17,IF(A140="K",'League Config'!$F$18,'League Config'!$F$19)))))</x:f>
        <x:v>73.645</x:v>
      </x:c>
      <x:c r="J140" s="48" t="n">
        <x:f>G140-I140</x:f>
        <x:v>0</x:v>
      </x:c>
      <x:c r="K140" s="48" t="n">
        <x:f>MAX(0,MIN(100,50+J140*6))</x:f>
        <x:v>50</x:v>
      </x:c>
      <x:c r="L140" s="48" t="n">
        <x:f>MIN(100,MAX(0,MIN(100,(1-(B140-1)/(H140*1.5))*100))*IF(A140="QB",'League Config'!$G$14,IF(A140="RB",'League Config'!$G$15,IF(A140="WR",'League Config'!$G$16,IF(A140="TE",'League Config'!$G$17,IF(A140="K",'League Config'!$G$18,'League Config'!$G$19))))))</x:f>
        <x:v>52.222222222222214</x:v>
      </x:c>
      <x:c r="M140" t="n">
        <x:f>IF(A140="K",'League Config'!$B$15,IF(A140="DST",'League Config'!$B$16,IF(A140="QB",'League Config'!$B$17,0)))</x:f>
        <x:v>0</x:v>
      </x:c>
      <x:c r="N140" s="48" t="n">
        <x:f>MIN(100,MAX(0,0.55*G140+0.30*K140+0.15*L140-M140))</x:f>
        <x:v>63.33808333333333</x:v>
      </x:c>
      <x:c r="O140" t="n">
        <x:f>RANK.EQ(N140,$N$5:$N$227,0)</x:f>
        <x:v>95</x:v>
      </x:c>
      <x:c r="P140" s="110" t="n">
        <x:v>104.39999999999999</x:v>
      </x:c>
      <x:c r="Q140" s="48" t="n">
        <x:f>P140-O140</x:f>
        <x:v>9.399999999999991</x:v>
      </x:c>
      <x:c r="R140" s="48" t="n">
        <x:f>MAX(40,G140-IF(U140="A",6,IF(U140="B",9,12)))</x:f>
        <x:v>61.644999999999996</x:v>
      </x:c>
      <x:c r="S140" s="48" t="n">
        <x:f>G140</x:f>
        <x:v>73.645</x:v>
      </x:c>
      <x:c r="T140" s="48" t="n">
        <x:f>MIN(100,G140+IF(U140="A",6,IF(U140="B",9,12)))</x:f>
        <x:v>85.645</x:v>
      </x:c>
      <x:c r="U140" t="str">
        <x:v>C</x:v>
      </x:c>
      <x:c r="V140" t="str">
        <x:v>HISTORY FALLBACK</x:v>
      </x:c>
      <x:c r="W140" s="109" t="str">
        <x:v>Available</x:v>
      </x:c>
      <x:c r="X140" t="n">
        <x:f>IF(W140&lt;&gt;"Available","",1+COUNTIFS($W$5:$W$227,"Available",$N$5:$N$227,"&gt;"&amp;N140))</x:f>
        <x:v>95</x:v>
      </x:c>
      <x:c r="Y140" s="98" t="str">
        <x:v>EXPECTATION: WR2/FLEX; dependable lineup option with matchup-driven ceiling.  WHY: He produced 12.2 PPR/FP points per game across 12 games. The workload/efficiency profile gives the model a rate-based reason to keep him here.  RISK: Target competition, quarterback efficiency and touchdown regression are the main downside paths.</x:v>
      </x:c>
      <x:c r="Z140" t="str">
        <x:v>ADP proxy — editable; based on positional draft cost</x:v>
      </x:c>
    </x:row>
    <x:row r="141">
      <x:c r="A141" t="str">
        <x:v>WR</x:v>
      </x:c>
      <x:c r="B141" t="n">
        <x:v>28</x:v>
      </x:c>
      <x:c r="C141" t="str">
        <x:v>Mike Evans</x:v>
      </x:c>
      <x:c r="D141" s="48" t="n">
        <x:v>76.47749999999999</x:v>
      </x:c>
      <x:c r="E141" s="48" t="n">
        <x:f>SUMIFS('Manual Adjustments'!$G$5:$G$227,'Manual Adjustments'!$A$5:$A$227,A141,'Manual Adjustments'!$B$5:$B$227,C141)</x:f>
        <x:v>0</x:v>
      </x:c>
      <x:c r="F141" s="48" t="n">
        <x:f>IFERROR(SUMIFS('Rookie College Inputs'!$I$5:$I$13,'Rookie College Inputs'!$A$5:$A$13,C141),0)</x:f>
        <x:v>0</x:v>
      </x:c>
      <x:c r="G141" s="48" t="n">
        <x:f>MAX(40,MIN(100,D141+E141+F141))</x:f>
        <x:v>76.47749999999999</x:v>
      </x:c>
      <x:c r="H141" t="n">
        <x:f>IF(A141="QB",'League Config'!$H$5,IF(A141="RB",'League Config'!$H$6,IF(A141="WR",'League Config'!$H$7,IF(A141="TE",'League Config'!$H$8,IF(A141="K",'League Config'!$H$9,'League Config'!$H$10)))))</x:f>
        <x:v>33</x:v>
      </x:c>
      <x:c r="I141" s="48" t="n">
        <x:f>IF(A141="QB",'League Config'!$F$14,IF(A141="RB",'League Config'!$F$15,IF(A141="WR",'League Config'!$F$16,IF(A141="TE",'League Config'!$F$17,IF(A141="K",'League Config'!$F$18,'League Config'!$F$19)))))</x:f>
        <x:v>73.645</x:v>
      </x:c>
      <x:c r="J141" s="48" t="n">
        <x:f>G141-I141</x:f>
        <x:v>2.832499999999996</x:v>
      </x:c>
      <x:c r="K141" s="48" t="n">
        <x:f>MAX(0,MIN(100,50+J141*6))</x:f>
        <x:v>66.99499999999998</x:v>
      </x:c>
      <x:c r="L141" s="48" t="n">
        <x:f>MIN(100,MAX(0,MIN(100,(1-(B141-1)/(H141*1.5))*100))*IF(A141="QB",'League Config'!$G$14,IF(A141="RB",'League Config'!$G$15,IF(A141="WR",'League Config'!$G$16,IF(A141="TE",'League Config'!$G$17,IF(A141="K",'League Config'!$G$18,'League Config'!$G$19))))))</x:f>
        <x:v>50.00000000000001</x:v>
      </x:c>
      <x:c r="M141" t="n">
        <x:f>IF(A141="K",'League Config'!$B$15,IF(A141="DST",'League Config'!$B$16,IF(A141="QB",'League Config'!$B$17,0)))</x:f>
        <x:v>0</x:v>
      </x:c>
      <x:c r="N141" s="48" t="n">
        <x:f>MIN(100,MAX(0,0.55*G141+0.30*K141+0.15*L141-M141))</x:f>
        <x:v>69.66112499999998</x:v>
      </x:c>
      <x:c r="O141" t="n">
        <x:f>RANK.EQ(N141,$N$5:$N$227,0)</x:f>
        <x:v>71</x:v>
      </x:c>
      <x:c r="P141" s="110" t="n">
        <x:v>108.3</x:v>
      </x:c>
      <x:c r="Q141" s="48" t="n">
        <x:f>P141-O141</x:f>
        <x:v>37.3</x:v>
      </x:c>
      <x:c r="R141" s="48" t="n">
        <x:f>MAX(40,G141-IF(U141="A",6,IF(U141="B",9,12)))</x:f>
        <x:v>64.47749999999999</x:v>
      </x:c>
      <x:c r="S141" s="48" t="n">
        <x:f>G141</x:f>
        <x:v>76.47749999999999</x:v>
      </x:c>
      <x:c r="T141" s="48" t="n">
        <x:f>MIN(100,G141+IF(U141="A",6,IF(U141="B",9,12)))</x:f>
        <x:v>88.47749999999999</x:v>
      </x:c>
      <x:c r="U141" t="str">
        <x:v>C</x:v>
      </x:c>
      <x:c r="V141" t="str">
        <x:v>HISTORY FALLBACK</x:v>
      </x:c>
      <x:c r="W141" s="109" t="str">
        <x:v>Available</x:v>
      </x:c>
      <x:c r="X141" t="n">
        <x:f>IF(W141&lt;&gt;"Available","",1+COUNTIFS($W$5:$W$227,"Available",$N$5:$N$227,"&gt;"&amp;N141))</x:f>
        <x:v>71</x:v>
      </x:c>
      <x:c r="Y141" s="98" t="str">
        <x:v>EXPECTATION: WR2/FLEX; dependable lineup option with matchup-driven ceiling.  WHY: The 2026 opportunity and projection carry most of the grade because detailed 2025 rate data is incomplete. Market price is favorable around ADP 108 versus model overall rank 91.  RISK: Evidence is thinner than for established veterans, so camp, depth-chart and role news can move the grade materially.</x:v>
      </x:c>
      <x:c r="Z141" t="str">
        <x:v>ADP proxy — editable; based on positional draft cost</x:v>
      </x:c>
    </x:row>
    <x:row r="142">
      <x:c r="A142" t="str">
        <x:v>WR</x:v>
      </x:c>
      <x:c r="B142" t="n">
        <x:v>29</x:v>
      </x:c>
      <x:c r="C142" t="str">
        <x:v>Marvin Harrison Jr.</x:v>
      </x:c>
      <x:c r="D142" s="48" t="n">
        <x:v>71.81</x:v>
      </x:c>
      <x:c r="E142" s="48" t="n">
        <x:f>SUMIFS('Manual Adjustments'!$G$5:$G$227,'Manual Adjustments'!$A$5:$A$227,A142,'Manual Adjustments'!$B$5:$B$227,C142)</x:f>
        <x:v>0</x:v>
      </x:c>
      <x:c r="F142" s="48" t="n">
        <x:f>IFERROR(SUMIFS('Rookie College Inputs'!$I$5:$I$13,'Rookie College Inputs'!$A$5:$A$13,C142),0)</x:f>
        <x:v>0</x:v>
      </x:c>
      <x:c r="G142" s="48" t="n">
        <x:f>MAX(40,MIN(100,D142+E142+F142))</x:f>
        <x:v>71.81</x:v>
      </x:c>
      <x:c r="H142" t="n">
        <x:f>IF(A142="QB",'League Config'!$H$5,IF(A142="RB",'League Config'!$H$6,IF(A142="WR",'League Config'!$H$7,IF(A142="TE",'League Config'!$H$8,IF(A142="K",'League Config'!$H$9,'League Config'!$H$10)))))</x:f>
        <x:v>33</x:v>
      </x:c>
      <x:c r="I142" s="48" t="n">
        <x:f>IF(A142="QB",'League Config'!$F$14,IF(A142="RB",'League Config'!$F$15,IF(A142="WR",'League Config'!$F$16,IF(A142="TE",'League Config'!$F$17,IF(A142="K",'League Config'!$F$18,'League Config'!$F$19)))))</x:f>
        <x:v>73.645</x:v>
      </x:c>
      <x:c r="J142" s="48" t="n">
        <x:f>G142-I142</x:f>
        <x:v>-1.8349999999999937</x:v>
      </x:c>
      <x:c r="K142" s="48" t="n">
        <x:f>MAX(0,MIN(100,50+J142*6))</x:f>
        <x:v>38.99000000000004</x:v>
      </x:c>
      <x:c r="L142" s="48" t="n">
        <x:f>MIN(100,MAX(0,MIN(100,(1-(B142-1)/(H142*1.5))*100))*IF(A142="QB",'League Config'!$G$14,IF(A142="RB",'League Config'!$G$15,IF(A142="WR",'League Config'!$G$16,IF(A142="TE",'League Config'!$G$17,IF(A142="K",'League Config'!$G$18,'League Config'!$G$19))))))</x:f>
        <x:v>47.777777777777786</x:v>
      </x:c>
      <x:c r="M142" t="n">
        <x:f>IF(A142="K",'League Config'!$B$15,IF(A142="DST",'League Config'!$B$16,IF(A142="QB",'League Config'!$B$17,0)))</x:f>
        <x:v>0</x:v>
      </x:c>
      <x:c r="N142" s="48" t="n">
        <x:f>MIN(100,MAX(0,0.55*G142+0.30*K142+0.15*L142-M142))</x:f>
        <x:v>58.35916666666668</x:v>
      </x:c>
      <x:c r="O142" t="n">
        <x:f>RANK.EQ(N142,$N$5:$N$227,0)</x:f>
        <x:v>109</x:v>
      </x:c>
      <x:c r="P142" s="110" t="n">
        <x:v>112.2</x:v>
      </x:c>
      <x:c r="Q142" s="48" t="n">
        <x:f>P142-O142</x:f>
        <x:v>3.200000000000003</x:v>
      </x:c>
      <x:c r="R142" s="48" t="n">
        <x:f>MAX(40,G142-IF(U142="A",6,IF(U142="B",9,12)))</x:f>
        <x:v>59.81</x:v>
      </x:c>
      <x:c r="S142" s="48" t="n">
        <x:f>G142</x:f>
        <x:v>71.81</x:v>
      </x:c>
      <x:c r="T142" s="48" t="n">
        <x:f>MIN(100,G142+IF(U142="A",6,IF(U142="B",9,12)))</x:f>
        <x:v>83.81</x:v>
      </x:c>
      <x:c r="U142" t="str">
        <x:v>C</x:v>
      </x:c>
      <x:c r="V142" t="str">
        <x:v>HISTORY FALLBACK</x:v>
      </x:c>
      <x:c r="W142" s="109" t="str">
        <x:v>Available</x:v>
      </x:c>
      <x:c r="X142" t="n">
        <x:f>IF(W142&lt;&gt;"Available","",1+COUNTIFS($W$5:$W$227,"Available",$N$5:$N$227,"&gt;"&amp;N142))</x:f>
        <x:v>109</x:v>
      </x:c>
      <x:c r="Y142" s="98" t="str">
        <x:v>EXPECTATION: FLEX/bench receiver; needs target growth or efficiency spikes.  WHY: He produced 10.6 PPR/FP points per game across 12 games. The workload/efficiency profile gives the model a rate-based reason to keep him here.  RISK: Target competition, quarterback efficiency and touchdown regression are the main downside paths.</x:v>
      </x:c>
      <x:c r="Z142" t="str">
        <x:v>ADP proxy — editable; based on positional draft cost</x:v>
      </x:c>
    </x:row>
    <x:row r="143">
      <x:c r="A143" t="str">
        <x:v>WR</x:v>
      </x:c>
      <x:c r="B143" t="n">
        <x:v>30</x:v>
      </x:c>
      <x:c r="C143" t="str">
        <x:v>Christian Watson</x:v>
      </x:c>
      <x:c r="D143" s="48" t="n">
        <x:v>73.8925</x:v>
      </x:c>
      <x:c r="E143" s="48" t="n">
        <x:f>SUMIFS('Manual Adjustments'!$G$5:$G$227,'Manual Adjustments'!$A$5:$A$227,A143,'Manual Adjustments'!$B$5:$B$227,C143)</x:f>
        <x:v>0</x:v>
      </x:c>
      <x:c r="F143" s="48" t="n">
        <x:f>IFERROR(SUMIFS('Rookie College Inputs'!$I$5:$I$13,'Rookie College Inputs'!$A$5:$A$13,C143),0)</x:f>
        <x:v>0</x:v>
      </x:c>
      <x:c r="G143" s="48" t="n">
        <x:f>MAX(40,MIN(100,D143+E143+F143))</x:f>
        <x:v>73.8925</x:v>
      </x:c>
      <x:c r="H143" t="n">
        <x:f>IF(A143="QB",'League Config'!$H$5,IF(A143="RB",'League Config'!$H$6,IF(A143="WR",'League Config'!$H$7,IF(A143="TE",'League Config'!$H$8,IF(A143="K",'League Config'!$H$9,'League Config'!$H$10)))))</x:f>
        <x:v>33</x:v>
      </x:c>
      <x:c r="I143" s="48" t="n">
        <x:f>IF(A143="QB",'League Config'!$F$14,IF(A143="RB",'League Config'!$F$15,IF(A143="WR",'League Config'!$F$16,IF(A143="TE",'League Config'!$F$17,IF(A143="K",'League Config'!$F$18,'League Config'!$F$19)))))</x:f>
        <x:v>73.645</x:v>
      </x:c>
      <x:c r="J143" s="48" t="n">
        <x:f>G143-I143</x:f>
        <x:v>0.24750000000000227</x:v>
      </x:c>
      <x:c r="K143" s="48" t="n">
        <x:f>MAX(0,MIN(100,50+J143*6))</x:f>
        <x:v>51.485000000000014</x:v>
      </x:c>
      <x:c r="L143" s="48" t="n">
        <x:f>MIN(100,MAX(0,MIN(100,(1-(B143-1)/(H143*1.5))*100))*IF(A143="QB",'League Config'!$G$14,IF(A143="RB",'League Config'!$G$15,IF(A143="WR",'League Config'!$G$16,IF(A143="TE",'League Config'!$G$17,IF(A143="K",'League Config'!$G$18,'League Config'!$G$19))))))</x:f>
        <x:v>45.55555555555556</x:v>
      </x:c>
      <x:c r="M143" t="n">
        <x:f>IF(A143="K",'League Config'!$B$15,IF(A143="DST",'League Config'!$B$16,IF(A143="QB",'League Config'!$B$17,0)))</x:f>
        <x:v>0</x:v>
      </x:c>
      <x:c r="N143" s="48" t="n">
        <x:f>MIN(100,MAX(0,0.55*G143+0.30*K143+0.15*L143-M143))</x:f>
        <x:v>62.91970833333334</x:v>
      </x:c>
      <x:c r="O143" t="n">
        <x:f>RANK.EQ(N143,$N$5:$N$227,0)</x:f>
        <x:v>97</x:v>
      </x:c>
      <x:c r="P143" s="110" t="n">
        <x:v>116.1</x:v>
      </x:c>
      <x:c r="Q143" s="48" t="n">
        <x:f>P143-O143</x:f>
        <x:v>19.099999999999994</x:v>
      </x:c>
      <x:c r="R143" s="48" t="n">
        <x:f>MAX(40,G143-IF(U143="A",6,IF(U143="B",9,12)))</x:f>
        <x:v>61.8925</x:v>
      </x:c>
      <x:c r="S143" s="48" t="n">
        <x:f>G143</x:f>
        <x:v>73.8925</x:v>
      </x:c>
      <x:c r="T143" s="48" t="n">
        <x:f>MIN(100,G143+IF(U143="A",6,IF(U143="B",9,12)))</x:f>
        <x:v>85.8925</x:v>
      </x:c>
      <x:c r="U143" t="str">
        <x:v>C</x:v>
      </x:c>
      <x:c r="V143" t="str">
        <x:v>HISTORY FALLBACK</x:v>
      </x:c>
      <x:c r="W143" s="109" t="str">
        <x:v>Available</x:v>
      </x:c>
      <x:c r="X143" t="n">
        <x:f>IF(W143&lt;&gt;"Available","",1+COUNTIFS($W$5:$W$227,"Available",$N$5:$N$227,"&gt;"&amp;N143))</x:f>
        <x:v>97</x:v>
      </x:c>
      <x:c r="Y143" s="98" t="str">
        <x:v>EXPECTATION: WR2/FLEX; dependable lineup option with matchup-driven ceiling.  WHY: He produced 13.2 PPR/FP points per game across 10 games. The workload/efficiency profile gives the model a rate-based reason to keep him here.  RISK: Target competition, quarterback efficiency and touchdown regression are the main downside paths.</x:v>
      </x:c>
      <x:c r="Z143" t="str">
        <x:v>ADP proxy — editable; based on positional draft cost</x:v>
      </x:c>
    </x:row>
    <x:row r="144">
      <x:c r="A144" t="str">
        <x:v>WR</x:v>
      </x:c>
      <x:c r="B144" t="n">
        <x:v>31</x:v>
      </x:c>
      <x:c r="C144" t="str">
        <x:v>Alec Pierce</x:v>
      </x:c>
      <x:c r="D144" s="48" t="n">
        <x:v>70.725</x:v>
      </x:c>
      <x:c r="E144" s="48" t="n">
        <x:f>SUMIFS('Manual Adjustments'!$G$5:$G$227,'Manual Adjustments'!$A$5:$A$227,A144,'Manual Adjustments'!$B$5:$B$227,C144)</x:f>
        <x:v>0</x:v>
      </x:c>
      <x:c r="F144" s="48" t="n">
        <x:f>IFERROR(SUMIFS('Rookie College Inputs'!$I$5:$I$13,'Rookie College Inputs'!$A$5:$A$13,C144),0)</x:f>
        <x:v>0</x:v>
      </x:c>
      <x:c r="G144" s="48" t="n">
        <x:f>MAX(40,MIN(100,D144+E144+F144))</x:f>
        <x:v>70.725</x:v>
      </x:c>
      <x:c r="H144" t="n">
        <x:f>IF(A144="QB",'League Config'!$H$5,IF(A144="RB",'League Config'!$H$6,IF(A144="WR",'League Config'!$H$7,IF(A144="TE",'League Config'!$H$8,IF(A144="K",'League Config'!$H$9,'League Config'!$H$10)))))</x:f>
        <x:v>33</x:v>
      </x:c>
      <x:c r="I144" s="48" t="n">
        <x:f>IF(A144="QB",'League Config'!$F$14,IF(A144="RB",'League Config'!$F$15,IF(A144="WR",'League Config'!$F$16,IF(A144="TE",'League Config'!$F$17,IF(A144="K",'League Config'!$F$18,'League Config'!$F$19)))))</x:f>
        <x:v>73.645</x:v>
      </x:c>
      <x:c r="J144" s="48" t="n">
        <x:f>G144-I144</x:f>
        <x:v>-2.9200000000000017</x:v>
      </x:c>
      <x:c r="K144" s="48" t="n">
        <x:f>MAX(0,MIN(100,50+J144*6))</x:f>
        <x:v>32.47999999999999</x:v>
      </x:c>
      <x:c r="L144" s="48" t="n">
        <x:f>MIN(100,MAX(0,MIN(100,(1-(B144-1)/(H144*1.5))*100))*IF(A144="QB",'League Config'!$G$14,IF(A144="RB",'League Config'!$G$15,IF(A144="WR",'League Config'!$G$16,IF(A144="TE",'League Config'!$G$17,IF(A144="K",'League Config'!$G$18,'League Config'!$G$19))))))</x:f>
        <x:v>43.333333333333336</x:v>
      </x:c>
      <x:c r="M144" t="n">
        <x:f>IF(A144="K",'League Config'!$B$15,IF(A144="DST",'League Config'!$B$16,IF(A144="QB",'League Config'!$B$17,0)))</x:f>
        <x:v>0</x:v>
      </x:c>
      <x:c r="N144" s="48" t="n">
        <x:f>MIN(100,MAX(0,0.55*G144+0.30*K144+0.15*L144-M144))</x:f>
        <x:v>55.14274999999999</x:v>
      </x:c>
      <x:c r="O144" t="n">
        <x:f>RANK.EQ(N144,$N$5:$N$227,0)</x:f>
        <x:v>117</x:v>
      </x:c>
      <x:c r="P144" s="110" t="n">
        <x:v>120</x:v>
      </x:c>
      <x:c r="Q144" s="48" t="n">
        <x:f>P144-O144</x:f>
        <x:v>3</x:v>
      </x:c>
      <x:c r="R144" s="48" t="n">
        <x:f>MAX(40,G144-IF(U144="A",6,IF(U144="B",9,12)))</x:f>
        <x:v>58.724999999999994</x:v>
      </x:c>
      <x:c r="S144" s="48" t="n">
        <x:f>G144</x:f>
        <x:v>70.725</x:v>
      </x:c>
      <x:c r="T144" s="48" t="n">
        <x:f>MIN(100,G144+IF(U144="A",6,IF(U144="B",9,12)))</x:f>
        <x:v>82.725</x:v>
      </x:c>
      <x:c r="U144" t="str">
        <x:v>C</x:v>
      </x:c>
      <x:c r="V144" t="str">
        <x:v>HISTORY FALLBACK</x:v>
      </x:c>
      <x:c r="W144" s="109" t="str">
        <x:v>Available</x:v>
      </x:c>
      <x:c r="X144" t="n">
        <x:f>IF(W144&lt;&gt;"Available","",1+COUNTIFS($W$5:$W$227,"Available",$N$5:$N$227,"&gt;"&amp;N144))</x:f>
        <x:v>117</x:v>
      </x:c>
      <x:c r="Y144" s="98" t="str">
        <x:v>EXPECTATION: FLEX/bench receiver; needs target growth or efficiency spikes.  WHY: He produced 12.2 PPR/FP points per game across 15 games. The workload/efficiency profile gives the model a rate-based reason to keep him here.  RISK: Target competition, quarterback efficiency and touchdown regression are the main downside paths.</x:v>
      </x:c>
      <x:c r="Z144" t="str">
        <x:v>ADP proxy — editable; based on positional draft cost</x:v>
      </x:c>
    </x:row>
    <x:row r="145">
      <x:c r="A145" t="str">
        <x:v>WR</x:v>
      </x:c>
      <x:c r="B145" t="n">
        <x:v>32</x:v>
      </x:c>
      <x:c r="C145" t="str">
        <x:v>DK Metcalf</x:v>
      </x:c>
      <x:c r="D145" s="48" t="n">
        <x:v>69.8075</x:v>
      </x:c>
      <x:c r="E145" s="48" t="n">
        <x:f>SUMIFS('Manual Adjustments'!$G$5:$G$227,'Manual Adjustments'!$A$5:$A$227,A145,'Manual Adjustments'!$B$5:$B$227,C145)</x:f>
        <x:v>0</x:v>
      </x:c>
      <x:c r="F145" s="48" t="n">
        <x:f>IFERROR(SUMIFS('Rookie College Inputs'!$I$5:$I$13,'Rookie College Inputs'!$A$5:$A$13,C145),0)</x:f>
        <x:v>0</x:v>
      </x:c>
      <x:c r="G145" s="48" t="n">
        <x:f>MAX(40,MIN(100,D145+E145+F145))</x:f>
        <x:v>69.8075</x:v>
      </x:c>
      <x:c r="H145" t="n">
        <x:f>IF(A145="QB",'League Config'!$H$5,IF(A145="RB",'League Config'!$H$6,IF(A145="WR",'League Config'!$H$7,IF(A145="TE",'League Config'!$H$8,IF(A145="K",'League Config'!$H$9,'League Config'!$H$10)))))</x:f>
        <x:v>33</x:v>
      </x:c>
      <x:c r="I145" s="48" t="n">
        <x:f>IF(A145="QB",'League Config'!$F$14,IF(A145="RB",'League Config'!$F$15,IF(A145="WR",'League Config'!$F$16,IF(A145="TE",'League Config'!$F$17,IF(A145="K",'League Config'!$F$18,'League Config'!$F$19)))))</x:f>
        <x:v>73.645</x:v>
      </x:c>
      <x:c r="J145" s="48" t="n">
        <x:f>G145-I145</x:f>
        <x:v>-3.8374999999999915</x:v>
      </x:c>
      <x:c r="K145" s="48" t="n">
        <x:f>MAX(0,MIN(100,50+J145*6))</x:f>
        <x:v>26.97500000000005</x:v>
      </x:c>
      <x:c r="L145" s="48" t="n">
        <x:f>MIN(100,MAX(0,MIN(100,(1-(B145-1)/(H145*1.5))*100))*IF(A145="QB",'League Config'!$G$14,IF(A145="RB",'League Config'!$G$15,IF(A145="WR",'League Config'!$G$16,IF(A145="TE",'League Config'!$G$17,IF(A145="K",'League Config'!$G$18,'League Config'!$G$19))))))</x:f>
        <x:v>41.11111111111111</x:v>
      </x:c>
      <x:c r="M145" t="n">
        <x:f>IF(A145="K",'League Config'!$B$15,IF(A145="DST",'League Config'!$B$16,IF(A145="QB",'League Config'!$B$17,0)))</x:f>
        <x:v>0</x:v>
      </x:c>
      <x:c r="N145" s="48" t="n">
        <x:f>MIN(100,MAX(0,0.55*G145+0.30*K145+0.15*L145-M145))</x:f>
        <x:v>52.65329166666668</x:v>
      </x:c>
      <x:c r="O145" t="n">
        <x:f>RANK.EQ(N145,$N$5:$N$227,0)</x:f>
        <x:v>122</x:v>
      </x:c>
      <x:c r="P145" s="110" t="n">
        <x:v>123.89999999999999</x:v>
      </x:c>
      <x:c r="Q145" s="48" t="n">
        <x:f>P145-O145</x:f>
        <x:v>1.8999999999999915</x:v>
      </x:c>
      <x:c r="R145" s="48" t="n">
        <x:f>MAX(40,G145-IF(U145="A",6,IF(U145="B",9,12)))</x:f>
        <x:v>57.807500000000005</x:v>
      </x:c>
      <x:c r="S145" s="48" t="n">
        <x:f>G145</x:f>
        <x:v>69.8075</x:v>
      </x:c>
      <x:c r="T145" s="48" t="n">
        <x:f>MIN(100,G145+IF(U145="A",6,IF(U145="B",9,12)))</x:f>
        <x:v>81.8075</x:v>
      </x:c>
      <x:c r="U145" t="str">
        <x:v>C</x:v>
      </x:c>
      <x:c r="V145" t="str">
        <x:v>HISTORY FALLBACK</x:v>
      </x:c>
      <x:c r="W145" s="109" t="str">
        <x:v>Available</x:v>
      </x:c>
      <x:c r="X145" t="n">
        <x:f>IF(W145&lt;&gt;"Available","",1+COUNTIFS($W$5:$W$227,"Available",$N$5:$N$227,"&gt;"&amp;N145))</x:f>
        <x:v>122</x:v>
      </x:c>
      <x:c r="Y145" s="98" t="str">
        <x:v>EXPECTATION: FLEX/bench receiver; needs target growth or efficiency spikes.  WHY: He produced 12.4 PPR/FP points per game across 15 games. The workload/efficiency profile gives the model a rate-based reason to keep him here. The market is more aggressive at ADP 124 versus model overall rank 134, so price matters.  RISK: Price is the biggest risk: the market currently asks you to draft him earlier than the model prefers.</x:v>
      </x:c>
      <x:c r="Z145" t="str">
        <x:v>ADP proxy — editable; based on positional draft cost</x:v>
      </x:c>
    </x:row>
    <x:row r="146">
      <x:c r="A146" t="str">
        <x:v>WR</x:v>
      </x:c>
      <x:c r="B146" t="n">
        <x:v>33</x:v>
      </x:c>
      <x:c r="C146" t="str">
        <x:v>Carnell Tate</x:v>
      </x:c>
      <x:c r="D146" s="48" t="n">
        <x:v>71.89</x:v>
      </x:c>
      <x:c r="E146" s="48" t="n">
        <x:f>SUMIFS('Manual Adjustments'!$G$5:$G$227,'Manual Adjustments'!$A$5:$A$227,A146,'Manual Adjustments'!$B$5:$B$227,C146)</x:f>
        <x:v>0</x:v>
      </x:c>
      <x:c r="F146" s="48" t="n">
        <x:f>IFERROR(SUMIFS('Rookie College Inputs'!$I$5:$I$13,'Rookie College Inputs'!$A$5:$A$13,C146),0)</x:f>
        <x:v>0</x:v>
      </x:c>
      <x:c r="G146" s="48" t="n">
        <x:f>MAX(40,MIN(100,D146+E146+F146))</x:f>
        <x:v>71.89</x:v>
      </x:c>
      <x:c r="H146" t="n">
        <x:f>IF(A146="QB",'League Config'!$H$5,IF(A146="RB",'League Config'!$H$6,IF(A146="WR",'League Config'!$H$7,IF(A146="TE",'League Config'!$H$8,IF(A146="K",'League Config'!$H$9,'League Config'!$H$10)))))</x:f>
        <x:v>33</x:v>
      </x:c>
      <x:c r="I146" s="48" t="n">
        <x:f>IF(A146="QB",'League Config'!$F$14,IF(A146="RB",'League Config'!$F$15,IF(A146="WR",'League Config'!$F$16,IF(A146="TE",'League Config'!$F$17,IF(A146="K",'League Config'!$F$18,'League Config'!$F$19)))))</x:f>
        <x:v>73.645</x:v>
      </x:c>
      <x:c r="J146" s="48" t="n">
        <x:f>G146-I146</x:f>
        <x:v>-1.7549999999999955</x:v>
      </x:c>
      <x:c r="K146" s="48" t="n">
        <x:f>MAX(0,MIN(100,50+J146*6))</x:f>
        <x:v>39.47000000000003</x:v>
      </x:c>
      <x:c r="L146" s="48" t="n">
        <x:f>MIN(100,MAX(0,MIN(100,(1-(B146-1)/(H146*1.5))*100))*IF(A146="QB",'League Config'!$G$14,IF(A146="RB",'League Config'!$G$15,IF(A146="WR",'League Config'!$G$16,IF(A146="TE",'League Config'!$G$17,IF(A146="K",'League Config'!$G$18,'League Config'!$G$19))))))</x:f>
        <x:v>38.888888888888886</x:v>
      </x:c>
      <x:c r="M146" t="n">
        <x:f>IF(A146="K",'League Config'!$B$15,IF(A146="DST",'League Config'!$B$16,IF(A146="QB",'League Config'!$B$17,0)))</x:f>
        <x:v>0</x:v>
      </x:c>
      <x:c r="N146" s="48" t="n">
        <x:f>MIN(100,MAX(0,0.55*G146+0.30*K146+0.15*L146-M146))</x:f>
        <x:v>57.21383333333335</x:v>
      </x:c>
      <x:c r="O146" t="n">
        <x:f>RANK.EQ(N146,$N$5:$N$227,0)</x:f>
        <x:v>113</x:v>
      </x:c>
      <x:c r="P146" s="110" t="n">
        <x:v>127.8</x:v>
      </x:c>
      <x:c r="Q146" s="48" t="n">
        <x:f>P146-O146</x:f>
        <x:v>14.799999999999997</x:v>
      </x:c>
      <x:c r="R146" s="48" t="n">
        <x:f>MAX(40,G146-IF(U146="A",6,IF(U146="B",9,12)))</x:f>
        <x:v>59.89</x:v>
      </x:c>
      <x:c r="S146" s="48" t="n">
        <x:f>G146</x:f>
        <x:v>71.89</x:v>
      </x:c>
      <x:c r="T146" s="48" t="n">
        <x:f>MIN(100,G146+IF(U146="A",6,IF(U146="B",9,12)))</x:f>
        <x:v>83.89</x:v>
      </x:c>
      <x:c r="U146" t="str">
        <x:v>C</x:v>
      </x:c>
      <x:c r="V146" t="str">
        <x:v>HISTORY FALLBACK</x:v>
      </x:c>
      <x:c r="W146" s="109" t="str">
        <x:v>Available</x:v>
      </x:c>
      <x:c r="X146" t="n">
        <x:f>IF(W146&lt;&gt;"Available","",1+COUNTIFS($W$5:$W$227,"Available",$N$5:$N$227,"&gt;"&amp;N146))</x:f>
        <x:v>113</x:v>
      </x:c>
      <x:c r="Y146" s="98" t="str">
        <x:v>EXPECTATION: WR2/FLEX; dependable lineup option with matchup-driven ceiling.  WHY: Rookie score 95.1, backed by No. 4 draft capital and a 6.71 NFL prospect grade. The 2026 role projection is strong enough to replace missing NFL history.  RISK: NFL translation and exact weekly role are the main variables; preseason first-team usage can move this rating quickly.</x:v>
      </x:c>
      <x:c r="Z146" t="str">
        <x:v>ADP proxy — editable; based on positional draft cost</x:v>
      </x:c>
    </x:row>
    <x:row r="147">
      <x:c r="A147" t="str">
        <x:v>WR</x:v>
      </x:c>
      <x:c r="B147" t="n">
        <x:v>34</x:v>
      </x:c>
      <x:c r="C147" t="str">
        <x:v>Courtland Sutton</x:v>
      </x:c>
      <x:c r="D147" s="48" t="n">
        <x:v>68.7225</x:v>
      </x:c>
      <x:c r="E147" s="48" t="n">
        <x:f>SUMIFS('Manual Adjustments'!$G$5:$G$227,'Manual Adjustments'!$A$5:$A$227,A147,'Manual Adjustments'!$B$5:$B$227,C147)</x:f>
        <x:v>0</x:v>
      </x:c>
      <x:c r="F147" s="48" t="n">
        <x:f>IFERROR(SUMIFS('Rookie College Inputs'!$I$5:$I$13,'Rookie College Inputs'!$A$5:$A$13,C147),0)</x:f>
        <x:v>0</x:v>
      </x:c>
      <x:c r="G147" s="48" t="n">
        <x:f>MAX(40,MIN(100,D147+E147+F147))</x:f>
        <x:v>68.7225</x:v>
      </x:c>
      <x:c r="H147" t="n">
        <x:f>IF(A147="QB",'League Config'!$H$5,IF(A147="RB",'League Config'!$H$6,IF(A147="WR",'League Config'!$H$7,IF(A147="TE",'League Config'!$H$8,IF(A147="K",'League Config'!$H$9,'League Config'!$H$10)))))</x:f>
        <x:v>33</x:v>
      </x:c>
      <x:c r="I147" s="48" t="n">
        <x:f>IF(A147="QB",'League Config'!$F$14,IF(A147="RB",'League Config'!$F$15,IF(A147="WR",'League Config'!$F$16,IF(A147="TE",'League Config'!$F$17,IF(A147="K",'League Config'!$F$18,'League Config'!$F$19)))))</x:f>
        <x:v>73.645</x:v>
      </x:c>
      <x:c r="J147" s="48" t="n">
        <x:f>G147-I147</x:f>
        <x:v>-4.922499999999999</x:v>
      </x:c>
      <x:c r="K147" s="48" t="n">
        <x:f>MAX(0,MIN(100,50+J147*6))</x:f>
        <x:v>20.465000000000003</x:v>
      </x:c>
      <x:c r="L147" s="48" t="n">
        <x:f>MIN(100,MAX(0,MIN(100,(1-(B147-1)/(H147*1.5))*100))*IF(A147="QB",'League Config'!$G$14,IF(A147="RB",'League Config'!$G$15,IF(A147="WR",'League Config'!$G$16,IF(A147="TE",'League Config'!$G$17,IF(A147="K",'League Config'!$G$18,'League Config'!$G$19))))))</x:f>
        <x:v>36.66666666666667</x:v>
      </x:c>
      <x:c r="M147" t="n">
        <x:f>IF(A147="K",'League Config'!$B$15,IF(A147="DST",'League Config'!$B$16,IF(A147="QB",'League Config'!$B$17,0)))</x:f>
        <x:v>0</x:v>
      </x:c>
      <x:c r="N147" s="48" t="n">
        <x:f>MIN(100,MAX(0,0.55*G147+0.30*K147+0.15*L147-M147))</x:f>
        <x:v>49.436875</x:v>
      </x:c>
      <x:c r="O147" t="n">
        <x:f>RANK.EQ(N147,$N$5:$N$227,0)</x:f>
        <x:v>132</x:v>
      </x:c>
      <x:c r="P147" s="110" t="n">
        <x:v>131.7</x:v>
      </x:c>
      <x:c r="Q147" s="48" t="n">
        <x:f>P147-O147</x:f>
        <x:v>-0.30000000000001137</x:v>
      </x:c>
      <x:c r="R147" s="48" t="n">
        <x:f>MAX(40,G147-IF(U147="A",6,IF(U147="B",9,12)))</x:f>
        <x:v>56.7225</x:v>
      </x:c>
      <x:c r="S147" s="48" t="n">
        <x:f>G147</x:f>
        <x:v>68.7225</x:v>
      </x:c>
      <x:c r="T147" s="48" t="n">
        <x:f>MIN(100,G147+IF(U147="A",6,IF(U147="B",9,12)))</x:f>
        <x:v>80.7225</x:v>
      </x:c>
      <x:c r="U147" t="str">
        <x:v>C</x:v>
      </x:c>
      <x:c r="V147" t="str">
        <x:v>HISTORY FALLBACK</x:v>
      </x:c>
      <x:c r="W147" s="109" t="str">
        <x:v>Available</x:v>
      </x:c>
      <x:c r="X147" t="n">
        <x:f>IF(W147&lt;&gt;"Available","",1+COUNTIFS($W$5:$W$227,"Available",$N$5:$N$227,"&gt;"&amp;N147))</x:f>
        <x:v>132</x:v>
      </x:c>
      <x:c r="Y147" s="98" t="str">
        <x:v>EXPECTATION: FLEX/bench receiver; needs target growth or efficiency spikes.  WHY: He produced 13.0 PPR/FP points per game across 17 games. The workload/efficiency profile gives the model a rate-based reason to keep him here.  RISK: Target competition, quarterback efficiency and touchdown regression are the main downside paths.</x:v>
      </x:c>
      <x:c r="Z147" t="str">
        <x:v>ADP proxy — editable; based on positional draft cost</x:v>
      </x:c>
    </x:row>
    <x:row r="148">
      <x:c r="A148" t="str">
        <x:v>WR</x:v>
      </x:c>
      <x:c r="B148" t="n">
        <x:v>35</x:v>
      </x:c>
      <x:c r="C148" t="str">
        <x:v>Jordyn Tyson</x:v>
      </x:c>
      <x:c r="D148" s="48" t="n">
        <x:v>76.22</x:v>
      </x:c>
      <x:c r="E148" s="48" t="n">
        <x:f>SUMIFS('Manual Adjustments'!$G$5:$G$227,'Manual Adjustments'!$A$5:$A$227,A148,'Manual Adjustments'!$B$5:$B$227,C148)</x:f>
        <x:v>0</x:v>
      </x:c>
      <x:c r="F148" s="48" t="n">
        <x:f>IFERROR(SUMIFS('Rookie College Inputs'!$I$5:$I$13,'Rookie College Inputs'!$A$5:$A$13,C148),0)</x:f>
        <x:v>0</x:v>
      </x:c>
      <x:c r="G148" s="48" t="n">
        <x:f>MAX(40,MIN(100,D148+E148+F148))</x:f>
        <x:v>76.22</x:v>
      </x:c>
      <x:c r="H148" t="n">
        <x:f>IF(A148="QB",'League Config'!$H$5,IF(A148="RB",'League Config'!$H$6,IF(A148="WR",'League Config'!$H$7,IF(A148="TE",'League Config'!$H$8,IF(A148="K",'League Config'!$H$9,'League Config'!$H$10)))))</x:f>
        <x:v>33</x:v>
      </x:c>
      <x:c r="I148" s="48" t="n">
        <x:f>IF(A148="QB",'League Config'!$F$14,IF(A148="RB",'League Config'!$F$15,IF(A148="WR",'League Config'!$F$16,IF(A148="TE",'League Config'!$F$17,IF(A148="K",'League Config'!$F$18,'League Config'!$F$19)))))</x:f>
        <x:v>73.645</x:v>
      </x:c>
      <x:c r="J148" s="48" t="n">
        <x:f>G148-I148</x:f>
        <x:v>2.575000000000003</x:v>
      </x:c>
      <x:c r="K148" s="48" t="n">
        <x:f>MAX(0,MIN(100,50+J148*6))</x:f>
        <x:v>65.45000000000002</x:v>
      </x:c>
      <x:c r="L148" s="48" t="n">
        <x:f>MIN(100,MAX(0,MIN(100,(1-(B148-1)/(H148*1.5))*100))*IF(A148="QB",'League Config'!$G$14,IF(A148="RB",'League Config'!$G$15,IF(A148="WR",'League Config'!$G$16,IF(A148="TE",'League Config'!$G$17,IF(A148="K",'League Config'!$G$18,'League Config'!$G$19))))))</x:f>
        <x:v>34.44444444444445</x:v>
      </x:c>
      <x:c r="M148" t="n">
        <x:f>IF(A148="K",'League Config'!$B$15,IF(A148="DST",'League Config'!$B$16,IF(A148="QB",'League Config'!$B$17,0)))</x:f>
        <x:v>0</x:v>
      </x:c>
      <x:c r="N148" s="48" t="n">
        <x:f>MIN(100,MAX(0,0.55*G148+0.30*K148+0.15*L148-M148))</x:f>
        <x:v>66.72266666666667</x:v>
      </x:c>
      <x:c r="O148" t="n">
        <x:f>RANK.EQ(N148,$N$5:$N$227,0)</x:f>
        <x:v>83</x:v>
      </x:c>
      <x:c r="P148" s="110" t="n">
        <x:v>135.6</x:v>
      </x:c>
      <x:c r="Q148" s="48" t="n">
        <x:f>P148-O148</x:f>
        <x:v>52.599999999999994</x:v>
      </x:c>
      <x:c r="R148" s="48" t="n">
        <x:f>MAX(40,G148-IF(U148="A",6,IF(U148="B",9,12)))</x:f>
        <x:v>64.22</x:v>
      </x:c>
      <x:c r="S148" s="48" t="n">
        <x:f>G148</x:f>
        <x:v>76.22</x:v>
      </x:c>
      <x:c r="T148" s="48" t="n">
        <x:f>MIN(100,G148+IF(U148="A",6,IF(U148="B",9,12)))</x:f>
        <x:v>88.22</x:v>
      </x:c>
      <x:c r="U148" t="str">
        <x:v>C</x:v>
      </x:c>
      <x:c r="V148" t="str">
        <x:v>HISTORY FALLBACK</x:v>
      </x:c>
      <x:c r="W148" s="109" t="str">
        <x:v>Available</x:v>
      </x:c>
      <x:c r="X148" t="n">
        <x:f>IF(W148&lt;&gt;"Available","",1+COUNTIFS($W$5:$W$227,"Available",$N$5:$N$227,"&gt;"&amp;N148))</x:f>
        <x:v>83</x:v>
      </x:c>
      <x:c r="Y148" s="98" t="str">
        <x:v>EXPECTATION: WR2/FLEX; dependable lineup option with matchup-driven ceiling.  WHY: Rookie score 92.4, backed by No. 8 draft capital and a 6.43 NFL prospect grade. The 2026 role projection is strong enough to replace missing NFL history. Market price is favorable around ADP 136 versus model overall rank 98.  RISK: NFL translation and exact weekly role are the main variables; preseason first-team usage can move this rating quickly.</x:v>
      </x:c>
      <x:c r="Z148" t="str">
        <x:v>ADP proxy — editable; based on positional draft cost</x:v>
      </x:c>
    </x:row>
    <x:row r="149">
      <x:c r="A149" t="str">
        <x:v>WR</x:v>
      </x:c>
      <x:c r="B149" t="n">
        <x:v>36</x:v>
      </x:c>
      <x:c r="C149" t="str">
        <x:v>Michael Pittman Jr.</x:v>
      </x:c>
      <x:c r="D149" s="48" t="n">
        <x:v>75.55</x:v>
      </x:c>
      <x:c r="E149" s="48" t="n">
        <x:f>SUMIFS('Manual Adjustments'!$G$5:$G$227,'Manual Adjustments'!$A$5:$A$227,A149,'Manual Adjustments'!$B$5:$B$227,C149)</x:f>
        <x:v>0</x:v>
      </x:c>
      <x:c r="F149" s="48" t="n">
        <x:f>IFERROR(SUMIFS('Rookie College Inputs'!$I$5:$I$13,'Rookie College Inputs'!$A$5:$A$13,C149),0)</x:f>
        <x:v>0</x:v>
      </x:c>
      <x:c r="G149" s="48" t="n">
        <x:f>MAX(40,MIN(100,D149+E149+F149))</x:f>
        <x:v>75.55</x:v>
      </x:c>
      <x:c r="H149" t="n">
        <x:f>IF(A149="QB",'League Config'!$H$5,IF(A149="RB",'League Config'!$H$6,IF(A149="WR",'League Config'!$H$7,IF(A149="TE",'League Config'!$H$8,IF(A149="K",'League Config'!$H$9,'League Config'!$H$10)))))</x:f>
        <x:v>33</x:v>
      </x:c>
      <x:c r="I149" s="48" t="n">
        <x:f>IF(A149="QB",'League Config'!$F$14,IF(A149="RB",'League Config'!$F$15,IF(A149="WR",'League Config'!$F$16,IF(A149="TE",'League Config'!$F$17,IF(A149="K",'League Config'!$F$18,'League Config'!$F$19)))))</x:f>
        <x:v>73.645</x:v>
      </x:c>
      <x:c r="J149" s="48" t="n">
        <x:f>G149-I149</x:f>
        <x:v>1.9050000000000011</x:v>
      </x:c>
      <x:c r="K149" s="48" t="n">
        <x:f>MAX(0,MIN(100,50+J149*6))</x:f>
        <x:v>61.43000000000001</x:v>
      </x:c>
      <x:c r="L149" s="48" t="n">
        <x:f>MIN(100,MAX(0,MIN(100,(1-(B149-1)/(H149*1.5))*100))*IF(A149="QB",'League Config'!$G$14,IF(A149="RB",'League Config'!$G$15,IF(A149="WR",'League Config'!$G$16,IF(A149="TE",'League Config'!$G$17,IF(A149="K",'League Config'!$G$18,'League Config'!$G$19))))))</x:f>
        <x:v>32.22222222222223</x:v>
      </x:c>
      <x:c r="M149" t="n">
        <x:f>IF(A149="K",'League Config'!$B$15,IF(A149="DST",'League Config'!$B$16,IF(A149="QB",'League Config'!$B$17,0)))</x:f>
        <x:v>0</x:v>
      </x:c>
      <x:c r="N149" s="48" t="n">
        <x:f>MIN(100,MAX(0,0.55*G149+0.30*K149+0.15*L149-M149))</x:f>
        <x:v>64.81483333333334</x:v>
      </x:c>
      <x:c r="O149" t="n">
        <x:f>RANK.EQ(N149,$N$5:$N$227,0)</x:f>
        <x:v>90</x:v>
      </x:c>
      <x:c r="P149" s="110" t="n">
        <x:v>139.5</x:v>
      </x:c>
      <x:c r="Q149" s="48" t="n">
        <x:f>P149-O149</x:f>
        <x:v>49.5</x:v>
      </x:c>
      <x:c r="R149" s="48" t="n">
        <x:f>MAX(40,G149-IF(U149="A",6,IF(U149="B",9,12)))</x:f>
        <x:v>63.55</x:v>
      </x:c>
      <x:c r="S149" s="48" t="n">
        <x:f>G149</x:f>
        <x:v>75.55</x:v>
      </x:c>
      <x:c r="T149" s="48" t="n">
        <x:f>MIN(100,G149+IF(U149="A",6,IF(U149="B",9,12)))</x:f>
        <x:v>87.55</x:v>
      </x:c>
      <x:c r="U149" t="str">
        <x:v>C</x:v>
      </x:c>
      <x:c r="V149" t="str">
        <x:v>HISTORY FALLBACK</x:v>
      </x:c>
      <x:c r="W149" s="109" t="str">
        <x:v>Available</x:v>
      </x:c>
      <x:c r="X149" t="n">
        <x:f>IF(W149&lt;&gt;"Available","",1+COUNTIFS($W$5:$W$227,"Available",$N$5:$N$227,"&gt;"&amp;N149))</x:f>
        <x:v>90</x:v>
      </x:c>
      <x:c r="Y149" s="98" t="str">
        <x:v>EXPECTATION: WR2/FLEX; dependable lineup option with matchup-driven ceiling.  WHY: He produced 11.9 PPR/FP points per game across 17 games. The workload/efficiency profile gives the model a rate-based reason to keep him here. Market price is favorable around ADP 140 versus model overall rank 105.  RISK: Target competition, quarterback efficiency and touchdown regression are the main downside paths.</x:v>
      </x:c>
      <x:c r="Z149" t="str">
        <x:v>ADP proxy — editable; based on positional draft cost</x:v>
      </x:c>
    </x:row>
    <x:row r="150">
      <x:c r="A150" t="str">
        <x:v>WR</x:v>
      </x:c>
      <x:c r="B150" t="n">
        <x:v>37</x:v>
      </x:c>
      <x:c r="C150" t="str">
        <x:v>Jakobi Meyers</x:v>
      </x:c>
      <x:c r="D150" s="48" t="n">
        <x:v>74.88</x:v>
      </x:c>
      <x:c r="E150" s="48" t="n">
        <x:f>SUMIFS('Manual Adjustments'!$G$5:$G$227,'Manual Adjustments'!$A$5:$A$227,A150,'Manual Adjustments'!$B$5:$B$227,C150)</x:f>
        <x:v>0</x:v>
      </x:c>
      <x:c r="F150" s="48" t="n">
        <x:f>IFERROR(SUMIFS('Rookie College Inputs'!$I$5:$I$13,'Rookie College Inputs'!$A$5:$A$13,C150),0)</x:f>
        <x:v>0</x:v>
      </x:c>
      <x:c r="G150" s="48" t="n">
        <x:f>MAX(40,MIN(100,D150+E150+F150))</x:f>
        <x:v>74.88</x:v>
      </x:c>
      <x:c r="H150" t="n">
        <x:f>IF(A150="QB",'League Config'!$H$5,IF(A150="RB",'League Config'!$H$6,IF(A150="WR",'League Config'!$H$7,IF(A150="TE",'League Config'!$H$8,IF(A150="K",'League Config'!$H$9,'League Config'!$H$10)))))</x:f>
        <x:v>33</x:v>
      </x:c>
      <x:c r="I150" s="48" t="n">
        <x:f>IF(A150="QB",'League Config'!$F$14,IF(A150="RB",'League Config'!$F$15,IF(A150="WR",'League Config'!$F$16,IF(A150="TE",'League Config'!$F$17,IF(A150="K",'League Config'!$F$18,'League Config'!$F$19)))))</x:f>
        <x:v>73.645</x:v>
      </x:c>
      <x:c r="J150" s="48" t="n">
        <x:f>G150-I150</x:f>
        <x:v>1.2349999999999994</x:v>
      </x:c>
      <x:c r="K150" s="48" t="n">
        <x:f>MAX(0,MIN(100,50+J150*6))</x:f>
        <x:v>57.41</x:v>
      </x:c>
      <x:c r="L150" s="48" t="n">
        <x:f>MIN(100,MAX(0,MIN(100,(1-(B150-1)/(H150*1.5))*100))*IF(A150="QB",'League Config'!$G$14,IF(A150="RB",'League Config'!$G$15,IF(A150="WR",'League Config'!$G$16,IF(A150="TE",'League Config'!$G$17,IF(A150="K",'League Config'!$G$18,'League Config'!$G$19))))))</x:f>
        <x:v>30</x:v>
      </x:c>
      <x:c r="M150" t="n">
        <x:f>IF(A150="K",'League Config'!$B$15,IF(A150="DST",'League Config'!$B$16,IF(A150="QB",'League Config'!$B$17,0)))</x:f>
        <x:v>0</x:v>
      </x:c>
      <x:c r="N150" s="48" t="n">
        <x:f>MIN(100,MAX(0,0.55*G150+0.30*K150+0.15*L150-M150))</x:f>
        <x:v>62.907</x:v>
      </x:c>
      <x:c r="O150" t="n">
        <x:f>RANK.EQ(N150,$N$5:$N$227,0)</x:f>
        <x:v>98</x:v>
      </x:c>
      <x:c r="P150" s="110" t="n">
        <x:v>143.4</x:v>
      </x:c>
      <x:c r="Q150" s="48" t="n">
        <x:f>P150-O150</x:f>
        <x:v>45.400000000000006</x:v>
      </x:c>
      <x:c r="R150" s="48" t="n">
        <x:f>MAX(40,G150-IF(U150="A",6,IF(U150="B",9,12)))</x:f>
        <x:v>62.879999999999995</x:v>
      </x:c>
      <x:c r="S150" s="48" t="n">
        <x:f>G150</x:f>
        <x:v>74.88</x:v>
      </x:c>
      <x:c r="T150" s="48" t="n">
        <x:f>MIN(100,G150+IF(U150="A",6,IF(U150="B",9,12)))</x:f>
        <x:v>86.88</x:v>
      </x:c>
      <x:c r="U150" t="str">
        <x:v>C</x:v>
      </x:c>
      <x:c r="V150" t="str">
        <x:v>HISTORY FALLBACK</x:v>
      </x:c>
      <x:c r="W150" s="109" t="str">
        <x:v>Available</x:v>
      </x:c>
      <x:c r="X150" t="n">
        <x:f>IF(W150&lt;&gt;"Available","",1+COUNTIFS($W$5:$W$227,"Available",$N$5:$N$227,"&gt;"&amp;N150))</x:f>
        <x:v>98</x:v>
      </x:c>
      <x:c r="Y150" s="98" t="str">
        <x:v>EXPECTATION: WR2/FLEX; dependable lineup option with matchup-driven ceiling.  WHY: He produced 11.0 PPR/FP points per game across 16 games. The workload/efficiency profile gives the model a rate-based reason to keep him here. Market price is favorable around ADP 143 versus model overall rank 110.  RISK: Target competition, quarterback efficiency and touchdown regression are the main downside paths.</x:v>
      </x:c>
      <x:c r="Z150" t="str">
        <x:v>ADP proxy — editable; based on positional draft cost</x:v>
      </x:c>
    </x:row>
    <x:row r="151">
      <x:c r="A151" t="str">
        <x:v>WR</x:v>
      </x:c>
      <x:c r="B151" t="n">
        <x:v>38</x:v>
      </x:c>
      <x:c r="C151" t="str">
        <x:v>Jordan Addison</x:v>
      </x:c>
      <x:c r="D151" s="48" t="n">
        <x:v>74.21</x:v>
      </x:c>
      <x:c r="E151" s="48" t="n">
        <x:f>SUMIFS('Manual Adjustments'!$G$5:$G$227,'Manual Adjustments'!$A$5:$A$227,A151,'Manual Adjustments'!$B$5:$B$227,C151)</x:f>
        <x:v>0</x:v>
      </x:c>
      <x:c r="F151" s="48" t="n">
        <x:f>IFERROR(SUMIFS('Rookie College Inputs'!$I$5:$I$13,'Rookie College Inputs'!$A$5:$A$13,C151),0)</x:f>
        <x:v>0</x:v>
      </x:c>
      <x:c r="G151" s="48" t="n">
        <x:f>MAX(40,MIN(100,D151+E151+F151))</x:f>
        <x:v>74.21</x:v>
      </x:c>
      <x:c r="H151" t="n">
        <x:f>IF(A151="QB",'League Config'!$H$5,IF(A151="RB",'League Config'!$H$6,IF(A151="WR",'League Config'!$H$7,IF(A151="TE",'League Config'!$H$8,IF(A151="K",'League Config'!$H$9,'League Config'!$H$10)))))</x:f>
        <x:v>33</x:v>
      </x:c>
      <x:c r="I151" s="48" t="n">
        <x:f>IF(A151="QB",'League Config'!$F$14,IF(A151="RB",'League Config'!$F$15,IF(A151="WR",'League Config'!$F$16,IF(A151="TE",'League Config'!$F$17,IF(A151="K",'League Config'!$F$18,'League Config'!$F$19)))))</x:f>
        <x:v>73.645</x:v>
      </x:c>
      <x:c r="J151" s="48" t="n">
        <x:f>G151-I151</x:f>
        <x:v>0.5649999999999977</x:v>
      </x:c>
      <x:c r="K151" s="48" t="n">
        <x:f>MAX(0,MIN(100,50+J151*6))</x:f>
        <x:v>53.389999999999986</x:v>
      </x:c>
      <x:c r="L151" s="48" t="n">
        <x:f>MIN(100,MAX(0,MIN(100,(1-(B151-1)/(H151*1.5))*100))*IF(A151="QB",'League Config'!$G$14,IF(A151="RB",'League Config'!$G$15,IF(A151="WR",'League Config'!$G$16,IF(A151="TE",'League Config'!$G$17,IF(A151="K",'League Config'!$G$18,'League Config'!$G$19))))))</x:f>
        <x:v>27.777777777777775</x:v>
      </x:c>
      <x:c r="M151" t="n">
        <x:f>IF(A151="K",'League Config'!$B$15,IF(A151="DST",'League Config'!$B$16,IF(A151="QB",'League Config'!$B$17,0)))</x:f>
        <x:v>0</x:v>
      </x:c>
      <x:c r="N151" s="48" t="n">
        <x:f>MIN(100,MAX(0,0.55*G151+0.30*K151+0.15*L151-M151))</x:f>
        <x:v>60.99916666666666</x:v>
      </x:c>
      <x:c r="O151" t="n">
        <x:f>RANK.EQ(N151,$N$5:$N$227,0)</x:f>
        <x:v>103</x:v>
      </x:c>
      <x:c r="P151" s="110" t="n">
        <x:v>147.29999999999998</x:v>
      </x:c>
      <x:c r="Q151" s="48" t="n">
        <x:f>P151-O151</x:f>
        <x:v>44.29999999999998</x:v>
      </x:c>
      <x:c r="R151" s="48" t="n">
        <x:f>MAX(40,G151-IF(U151="A",6,IF(U151="B",9,12)))</x:f>
        <x:v>62.209999999999994</x:v>
      </x:c>
      <x:c r="S151" s="48" t="n">
        <x:f>G151</x:f>
        <x:v>74.21</x:v>
      </x:c>
      <x:c r="T151" s="48" t="n">
        <x:f>MIN(100,G151+IF(U151="A",6,IF(U151="B",9,12)))</x:f>
        <x:v>86.21</x:v>
      </x:c>
      <x:c r="U151" t="str">
        <x:v>C</x:v>
      </x:c>
      <x:c r="V151" t="str">
        <x:v>HISTORY FALLBACK</x:v>
      </x:c>
      <x:c r="W151" s="109" t="str">
        <x:v>Available</x:v>
      </x:c>
      <x:c r="X151" t="n">
        <x:f>IF(W151&lt;&gt;"Available","",1+COUNTIFS($W$5:$W$227,"Available",$N$5:$N$227,"&gt;"&amp;N151))</x:f>
        <x:v>103</x:v>
      </x:c>
      <x:c r="Y151" s="98" t="str">
        <x:v>EXPECTATION: WR2/FLEX; dependable lineup option with matchup-driven ceiling.  WHY: He produced 9.6 PPR/FP points per game across 14 games. The workload/efficiency profile gives the model a rate-based reason to keep him here. Market price is favorable around ADP 147 versus model overall rank 114.  RISK: Target competition, quarterback efficiency and touchdown regression are the main downside paths.</x:v>
      </x:c>
      <x:c r="Z151" t="str">
        <x:v>ADP proxy — editable; based on positional draft cost</x:v>
      </x:c>
    </x:row>
    <x:row r="152">
      <x:c r="A152" t="str">
        <x:v>WR</x:v>
      </x:c>
      <x:c r="B152" t="n">
        <x:v>39</x:v>
      </x:c>
      <x:c r="C152" t="str">
        <x:v>Wan'Dale Robinson</x:v>
      </x:c>
      <x:c r="D152" s="48" t="n">
        <x:v>73.53999999999999</x:v>
      </x:c>
      <x:c r="E152" s="48" t="n">
        <x:f>SUMIFS('Manual Adjustments'!$G$5:$G$227,'Manual Adjustments'!$A$5:$A$227,A152,'Manual Adjustments'!$B$5:$B$227,C152)</x:f>
        <x:v>0</x:v>
      </x:c>
      <x:c r="F152" s="48" t="n">
        <x:f>IFERROR(SUMIFS('Rookie College Inputs'!$I$5:$I$13,'Rookie College Inputs'!$A$5:$A$13,C152),0)</x:f>
        <x:v>0</x:v>
      </x:c>
      <x:c r="G152" s="48" t="n">
        <x:f>MAX(40,MIN(100,D152+E152+F152))</x:f>
        <x:v>73.53999999999999</x:v>
      </x:c>
      <x:c r="H152" t="n">
        <x:f>IF(A152="QB",'League Config'!$H$5,IF(A152="RB",'League Config'!$H$6,IF(A152="WR",'League Config'!$H$7,IF(A152="TE",'League Config'!$H$8,IF(A152="K",'League Config'!$H$9,'League Config'!$H$10)))))</x:f>
        <x:v>33</x:v>
      </x:c>
      <x:c r="I152" s="48" t="n">
        <x:f>IF(A152="QB",'League Config'!$F$14,IF(A152="RB",'League Config'!$F$15,IF(A152="WR",'League Config'!$F$16,IF(A152="TE",'League Config'!$F$17,IF(A152="K",'League Config'!$F$18,'League Config'!$F$19)))))</x:f>
        <x:v>73.645</x:v>
      </x:c>
      <x:c r="J152" s="48" t="n">
        <x:f>G152-I152</x:f>
        <x:v>-0.10500000000000398</x:v>
      </x:c>
      <x:c r="K152" s="48" t="n">
        <x:f>MAX(0,MIN(100,50+J152*6))</x:f>
        <x:v>49.369999999999976</x:v>
      </x:c>
      <x:c r="L152" s="48" t="n">
        <x:f>MIN(100,MAX(0,MIN(100,(1-(B152-1)/(H152*1.5))*100))*IF(A152="QB",'League Config'!$G$14,IF(A152="RB",'League Config'!$G$15,IF(A152="WR",'League Config'!$G$16,IF(A152="TE",'League Config'!$G$17,IF(A152="K",'League Config'!$G$18,'League Config'!$G$19))))))</x:f>
        <x:v>25.555555555555564</x:v>
      </x:c>
      <x:c r="M152" t="n">
        <x:f>IF(A152="K",'League Config'!$B$15,IF(A152="DST",'League Config'!$B$16,IF(A152="QB",'League Config'!$B$17,0)))</x:f>
        <x:v>0</x:v>
      </x:c>
      <x:c r="N152" s="48" t="n">
        <x:f>MIN(100,MAX(0,0.55*G152+0.30*K152+0.15*L152-M152))</x:f>
        <x:v>59.091333333333324</x:v>
      </x:c>
      <x:c r="O152" t="n">
        <x:f>RANK.EQ(N152,$N$5:$N$227,0)</x:f>
        <x:v>106</x:v>
      </x:c>
      <x:c r="P152" s="110" t="n">
        <x:v>151.2</x:v>
      </x:c>
      <x:c r="Q152" s="48" t="n">
        <x:f>P152-O152</x:f>
        <x:v>45.19999999999999</x:v>
      </x:c>
      <x:c r="R152" s="48" t="n">
        <x:f>MAX(40,G152-IF(U152="A",6,IF(U152="B",9,12)))</x:f>
        <x:v>61.53999999999999</x:v>
      </x:c>
      <x:c r="S152" s="48" t="n">
        <x:f>G152</x:f>
        <x:v>73.53999999999999</x:v>
      </x:c>
      <x:c r="T152" s="48" t="n">
        <x:f>MIN(100,G152+IF(U152="A",6,IF(U152="B",9,12)))</x:f>
        <x:v>85.53999999999999</x:v>
      </x:c>
      <x:c r="U152" t="str">
        <x:v>C</x:v>
      </x:c>
      <x:c r="V152" t="str">
        <x:v>HISTORY FALLBACK</x:v>
      </x:c>
      <x:c r="W152" s="109" t="str">
        <x:v>Available</x:v>
      </x:c>
      <x:c r="X152" t="n">
        <x:f>IF(W152&lt;&gt;"Available","",1+COUNTIFS($W$5:$W$227,"Available",$N$5:$N$227,"&gt;"&amp;N152))</x:f>
        <x:v>106</x:v>
      </x:c>
      <x:c r="Y152" s="98" t="str">
        <x:v>EXPECTATION: WR2/FLEX; dependable lineup option with matchup-driven ceiling.  WHY: He produced 13.7 PPR/FP points per game across 16 games. The workload/efficiency profile gives the model a rate-based reason to keep him here. Market price is favorable around ADP 151 versus model overall rank 118.  RISK: Target competition, quarterback efficiency and touchdown regression are the main downside paths.</x:v>
      </x:c>
      <x:c r="Z152" t="str">
        <x:v>ADP proxy — editable; based on positional draft cost</x:v>
      </x:c>
    </x:row>
    <x:row r="153">
      <x:c r="A153" t="str">
        <x:v>WR</x:v>
      </x:c>
      <x:c r="B153" t="n">
        <x:v>40</x:v>
      </x:c>
      <x:c r="C153" t="str">
        <x:v>Brian Thomas Jr.</x:v>
      </x:c>
      <x:c r="D153" s="48" t="n">
        <x:v>66.9675</x:v>
      </x:c>
      <x:c r="E153" s="48" t="n">
        <x:f>SUMIFS('Manual Adjustments'!$G$5:$G$227,'Manual Adjustments'!$A$5:$A$227,A153,'Manual Adjustments'!$B$5:$B$227,C153)</x:f>
        <x:v>0</x:v>
      </x:c>
      <x:c r="F153" s="48" t="n">
        <x:f>IFERROR(SUMIFS('Rookie College Inputs'!$I$5:$I$13,'Rookie College Inputs'!$A$5:$A$13,C153),0)</x:f>
        <x:v>0</x:v>
      </x:c>
      <x:c r="G153" s="48" t="n">
        <x:f>MAX(40,MIN(100,D153+E153+F153))</x:f>
        <x:v>66.9675</x:v>
      </x:c>
      <x:c r="H153" t="n">
        <x:f>IF(A153="QB",'League Config'!$H$5,IF(A153="RB",'League Config'!$H$6,IF(A153="WR",'League Config'!$H$7,IF(A153="TE",'League Config'!$H$8,IF(A153="K",'League Config'!$H$9,'League Config'!$H$10)))))</x:f>
        <x:v>33</x:v>
      </x:c>
      <x:c r="I153" s="48" t="n">
        <x:f>IF(A153="QB",'League Config'!$F$14,IF(A153="RB",'League Config'!$F$15,IF(A153="WR",'League Config'!$F$16,IF(A153="TE",'League Config'!$F$17,IF(A153="K",'League Config'!$F$18,'League Config'!$F$19)))))</x:f>
        <x:v>73.645</x:v>
      </x:c>
      <x:c r="J153" s="48" t="n">
        <x:f>G153-I153</x:f>
        <x:v>-6.677499999999995</x:v>
      </x:c>
      <x:c r="K153" s="48" t="n">
        <x:f>MAX(0,MIN(100,50+J153*6))</x:f>
        <x:v>9.93500000000003</x:v>
      </x:c>
      <x:c r="L153" s="48" t="n">
        <x:f>MIN(100,MAX(0,MIN(100,(1-(B153-1)/(H153*1.5))*100))*IF(A153="QB",'League Config'!$G$14,IF(A153="RB",'League Config'!$G$15,IF(A153="WR",'League Config'!$G$16,IF(A153="TE",'League Config'!$G$17,IF(A153="K",'League Config'!$G$18,'League Config'!$G$19))))))</x:f>
        <x:v>23.33333333333334</x:v>
      </x:c>
      <x:c r="M153" t="n">
        <x:f>IF(A153="K",'League Config'!$B$15,IF(A153="DST",'League Config'!$B$16,IF(A153="QB",'League Config'!$B$17,0)))</x:f>
        <x:v>0</x:v>
      </x:c>
      <x:c r="N153" s="48" t="n">
        <x:f>MIN(100,MAX(0,0.55*G153+0.30*K153+0.15*L153-M153))</x:f>
        <x:v>43.31262500000001</x:v>
      </x:c>
      <x:c r="O153" t="n">
        <x:f>RANK.EQ(N153,$N$5:$N$227,0)</x:f>
        <x:v>147</x:v>
      </x:c>
      <x:c r="P153" s="110" t="n">
        <x:v>155.1</x:v>
      </x:c>
      <x:c r="Q153" s="48" t="n">
        <x:f>P153-O153</x:f>
        <x:v>8.099999999999994</x:v>
      </x:c>
      <x:c r="R153" s="48" t="n">
        <x:f>MAX(40,G153-IF(U153="A",6,IF(U153="B",9,12)))</x:f>
        <x:v>54.9675</x:v>
      </x:c>
      <x:c r="S153" s="48" t="n">
        <x:f>G153</x:f>
        <x:v>66.9675</x:v>
      </x:c>
      <x:c r="T153" s="48" t="n">
        <x:f>MIN(100,G153+IF(U153="A",6,IF(U153="B",9,12)))</x:f>
        <x:v>78.9675</x:v>
      </x:c>
      <x:c r="U153" t="str">
        <x:v>C</x:v>
      </x:c>
      <x:c r="V153" t="str">
        <x:v>HISTORY FALLBACK</x:v>
      </x:c>
      <x:c r="W153" s="109" t="str">
        <x:v>Available</x:v>
      </x:c>
      <x:c r="X153" t="n">
        <x:f>IF(W153&lt;&gt;"Available","",1+COUNTIFS($W$5:$W$227,"Available",$N$5:$N$227,"&gt;"&amp;N153))</x:f>
        <x:v>147</x:v>
      </x:c>
      <x:c r="Y153" s="98" t="str">
        <x:v>EXPECTATION: FLEX/bench receiver; needs target growth or efficiency spikes.  WHY: The 2026 opportunity and projection carry most of the grade because detailed 2025 rate data is incomplete.  RISK: Target competition, quarterback efficiency and touchdown regression are the main downside paths.</x:v>
      </x:c>
      <x:c r="Z153" t="str">
        <x:v>ADP proxy — editable; based on positional draft cost</x:v>
      </x:c>
    </x:row>
    <x:row r="154">
      <x:c r="A154" t="str">
        <x:v>WR</x:v>
      </x:c>
      <x:c r="B154" t="n">
        <x:v>41</x:v>
      </x:c>
      <x:c r="C154" t="str">
        <x:v>Makai Lemon</x:v>
      </x:c>
      <x:c r="D154" s="48" t="n">
        <x:v>72.2</x:v>
      </x:c>
      <x:c r="E154" s="48" t="n">
        <x:f>SUMIFS('Manual Adjustments'!$G$5:$G$227,'Manual Adjustments'!$A$5:$A$227,A154,'Manual Adjustments'!$B$5:$B$227,C154)</x:f>
        <x:v>-3</x:v>
      </x:c>
      <x:c r="F154" s="48" t="n">
        <x:f>IFERROR(SUMIFS('Rookie College Inputs'!$I$5:$I$13,'Rookie College Inputs'!$A$5:$A$13,C154),0)</x:f>
        <x:v>0</x:v>
      </x:c>
      <x:c r="G154" s="48" t="n">
        <x:f>MAX(40,MIN(100,D154+E154+F154))</x:f>
        <x:v>69.2</x:v>
      </x:c>
      <x:c r="H154" t="n">
        <x:f>IF(A154="QB",'League Config'!$H$5,IF(A154="RB",'League Config'!$H$6,IF(A154="WR",'League Config'!$H$7,IF(A154="TE",'League Config'!$H$8,IF(A154="K",'League Config'!$H$9,'League Config'!$H$10)))))</x:f>
        <x:v>33</x:v>
      </x:c>
      <x:c r="I154" s="48" t="n">
        <x:f>IF(A154="QB",'League Config'!$F$14,IF(A154="RB",'League Config'!$F$15,IF(A154="WR",'League Config'!$F$16,IF(A154="TE",'League Config'!$F$17,IF(A154="K",'League Config'!$F$18,'League Config'!$F$19)))))</x:f>
        <x:v>73.645</x:v>
      </x:c>
      <x:c r="J154" s="48" t="n">
        <x:f>G154-I154</x:f>
        <x:v>-4.444999999999993</x:v>
      </x:c>
      <x:c r="K154" s="48" t="n">
        <x:f>MAX(0,MIN(100,50+J154*6))</x:f>
        <x:v>23.33000000000004</x:v>
      </x:c>
      <x:c r="L154" s="48" t="n">
        <x:f>MIN(100,MAX(0,MIN(100,(1-(B154-1)/(H154*1.5))*100))*IF(A154="QB",'League Config'!$G$14,IF(A154="RB",'League Config'!$G$15,IF(A154="WR",'League Config'!$G$16,IF(A154="TE",'League Config'!$G$17,IF(A154="K",'League Config'!$G$18,'League Config'!$G$19))))))</x:f>
        <x:v>21.111111111111114</x:v>
      </x:c>
      <x:c r="M154" t="n">
        <x:f>IF(A154="K",'League Config'!$B$15,IF(A154="DST",'League Config'!$B$16,IF(A154="QB",'League Config'!$B$17,0)))</x:f>
        <x:v>0</x:v>
      </x:c>
      <x:c r="N154" s="48" t="n">
        <x:f>MIN(100,MAX(0,0.55*G154+0.30*K154+0.15*L154-M154))</x:f>
        <x:v>48.225666666666676</x:v>
      </x:c>
      <x:c r="O154" t="n">
        <x:f>RANK.EQ(N154,$N$5:$N$227,0)</x:f>
        <x:v>136</x:v>
      </x:c>
      <x:c r="P154" s="110" t="n">
        <x:v>159</x:v>
      </x:c>
      <x:c r="Q154" s="48" t="n">
        <x:f>P154-O154</x:f>
        <x:v>23</x:v>
      </x:c>
      <x:c r="R154" s="48" t="n">
        <x:f>MAX(40,G154-IF(U154="A",6,IF(U154="B",9,12)))</x:f>
        <x:v>57.2</x:v>
      </x:c>
      <x:c r="S154" s="48" t="n">
        <x:f>G154</x:f>
        <x:v>69.2</x:v>
      </x:c>
      <x:c r="T154" s="48" t="n">
        <x:f>MIN(100,G154+IF(U154="A",6,IF(U154="B",9,12)))</x:f>
        <x:v>81.2</x:v>
      </x:c>
      <x:c r="U154" t="str">
        <x:v>C</x:v>
      </x:c>
      <x:c r="V154" t="str">
        <x:v>HISTORY FALLBACK</x:v>
      </x:c>
      <x:c r="W154" s="109" t="str">
        <x:v>Available</x:v>
      </x:c>
      <x:c r="X154" t="n">
        <x:f>IF(W154&lt;&gt;"Available","",1+COUNTIFS($W$5:$W$227,"Available",$N$5:$N$227,"&gt;"&amp;N154))</x:f>
        <x:v>136</x:v>
      </x:c>
      <x:c r="Y154" s="98" t="str">
        <x:v>EXPECTATION: WR2/FLEX; dependable lineup option with matchup-driven ceiling.  WHY: Rookie score 89.2, backed by No. 20 draft capital and a 6.47 NFL prospect grade. The 2026 role projection is strong enough to replace missing NFL history. Market price is favorable around ADP 159 versus model overall rank 145.  RISK: NFL translation and exact weekly role are the main variables; preseason first-team usage can move this rating quickly.</x:v>
      </x:c>
      <x:c r="Z154" t="str">
        <x:v>ADP proxy — editable; based on positional draft cost</x:v>
      </x:c>
    </x:row>
    <x:row r="155">
      <x:c r="A155" t="str">
        <x:v>WR</x:v>
      </x:c>
      <x:c r="B155" t="n">
        <x:v>42</x:v>
      </x:c>
      <x:c r="C155" t="str">
        <x:v>Parker Washington</x:v>
      </x:c>
      <x:c r="D155" s="48" t="n">
        <x:v>71.53</x:v>
      </x:c>
      <x:c r="E155" s="48" t="n">
        <x:f>SUMIFS('Manual Adjustments'!$G$5:$G$227,'Manual Adjustments'!$A$5:$A$227,A155,'Manual Adjustments'!$B$5:$B$227,C155)</x:f>
        <x:v>0</x:v>
      </x:c>
      <x:c r="F155" s="48" t="n">
        <x:f>IFERROR(SUMIFS('Rookie College Inputs'!$I$5:$I$13,'Rookie College Inputs'!$A$5:$A$13,C155),0)</x:f>
        <x:v>0</x:v>
      </x:c>
      <x:c r="G155" s="48" t="n">
        <x:f>MAX(40,MIN(100,D155+E155+F155))</x:f>
        <x:v>71.53</x:v>
      </x:c>
      <x:c r="H155" t="n">
        <x:f>IF(A155="QB",'League Config'!$H$5,IF(A155="RB",'League Config'!$H$6,IF(A155="WR",'League Config'!$H$7,IF(A155="TE",'League Config'!$H$8,IF(A155="K",'League Config'!$H$9,'League Config'!$H$10)))))</x:f>
        <x:v>33</x:v>
      </x:c>
      <x:c r="I155" s="48" t="n">
        <x:f>IF(A155="QB",'League Config'!$F$14,IF(A155="RB",'League Config'!$F$15,IF(A155="WR",'League Config'!$F$16,IF(A155="TE",'League Config'!$F$17,IF(A155="K",'League Config'!$F$18,'League Config'!$F$19)))))</x:f>
        <x:v>73.645</x:v>
      </x:c>
      <x:c r="J155" s="48" t="n">
        <x:f>G155-I155</x:f>
        <x:v>-2.114999999999995</x:v>
      </x:c>
      <x:c r="K155" s="48" t="n">
        <x:f>MAX(0,MIN(100,50+J155*6))</x:f>
        <x:v>37.31000000000003</x:v>
      </x:c>
      <x:c r="L155" s="48" t="n">
        <x:f>MIN(100,MAX(0,MIN(100,(1-(B155-1)/(H155*1.5))*100))*IF(A155="QB",'League Config'!$G$14,IF(A155="RB",'League Config'!$G$15,IF(A155="WR",'League Config'!$G$16,IF(A155="TE",'League Config'!$G$17,IF(A155="K",'League Config'!$G$18,'League Config'!$G$19))))))</x:f>
        <x:v>18.88888888888889</x:v>
      </x:c>
      <x:c r="M155" t="n">
        <x:f>IF(A155="K",'League Config'!$B$15,IF(A155="DST",'League Config'!$B$16,IF(A155="QB",'League Config'!$B$17,0)))</x:f>
        <x:v>0</x:v>
      </x:c>
      <x:c r="N155" s="48" t="n">
        <x:f>MIN(100,MAX(0,0.55*G155+0.30*K155+0.15*L155-M155))</x:f>
        <x:v>53.367833333333344</x:v>
      </x:c>
      <x:c r="O155" t="n">
        <x:f>RANK.EQ(N155,$N$5:$N$227,0)</x:f>
        <x:v>119</x:v>
      </x:c>
      <x:c r="P155" s="110" t="n">
        <x:v>162.9</x:v>
      </x:c>
      <x:c r="Q155" s="48" t="n">
        <x:f>P155-O155</x:f>
        <x:v>43.900000000000006</x:v>
      </x:c>
      <x:c r="R155" s="48" t="n">
        <x:f>MAX(40,G155-IF(U155="A",6,IF(U155="B",9,12)))</x:f>
        <x:v>59.53</x:v>
      </x:c>
      <x:c r="S155" s="48" t="n">
        <x:f>G155</x:f>
        <x:v>71.53</x:v>
      </x:c>
      <x:c r="T155" s="48" t="n">
        <x:f>MIN(100,G155+IF(U155="A",6,IF(U155="B",9,12)))</x:f>
        <x:v>83.53</x:v>
      </x:c>
      <x:c r="U155" t="str">
        <x:v>C</x:v>
      </x:c>
      <x:c r="V155" t="str">
        <x:v>HISTORY FALLBACK</x:v>
      </x:c>
      <x:c r="W155" s="109" t="str">
        <x:v>Available</x:v>
      </x:c>
      <x:c r="X155" t="n">
        <x:f>IF(W155&lt;&gt;"Available","",1+COUNTIFS($W$5:$W$227,"Available",$N$5:$N$227,"&gt;"&amp;N155))</x:f>
        <x:v>119</x:v>
      </x:c>
      <x:c r="Y155" s="98" t="str">
        <x:v>EXPECTATION: FLEX/bench receiver; needs target growth or efficiency spikes.  WHY: He produced 11.5 PPR/FP points per game across 16 games. The workload/efficiency profile gives the model a rate-based reason to keep him here. Market price is favorable around ADP 163 versus model overall rank 133.  RISK: Target competition, quarterback efficiency and touchdown regression are the main downside paths.</x:v>
      </x:c>
      <x:c r="Z155" t="str">
        <x:v>ADP proxy — editable; based on positional draft cost</x:v>
      </x:c>
    </x:row>
    <x:row r="156">
      <x:c r="A156" t="str">
        <x:v>WR</x:v>
      </x:c>
      <x:c r="B156" t="n">
        <x:v>43</x:v>
      </x:c>
      <x:c r="C156" t="str">
        <x:v>Chris Godwin Jr.</x:v>
      </x:c>
      <x:c r="D156" s="48" t="n">
        <x:v>70.86</x:v>
      </x:c>
      <x:c r="E156" s="48" t="n">
        <x:f>SUMIFS('Manual Adjustments'!$G$5:$G$227,'Manual Adjustments'!$A$5:$A$227,A156,'Manual Adjustments'!$B$5:$B$227,C156)</x:f>
        <x:v>0</x:v>
      </x:c>
      <x:c r="F156" s="48" t="n">
        <x:f>IFERROR(SUMIFS('Rookie College Inputs'!$I$5:$I$13,'Rookie College Inputs'!$A$5:$A$13,C156),0)</x:f>
        <x:v>0</x:v>
      </x:c>
      <x:c r="G156" s="48" t="n">
        <x:f>MAX(40,MIN(100,D156+E156+F156))</x:f>
        <x:v>70.86</x:v>
      </x:c>
      <x:c r="H156" t="n">
        <x:f>IF(A156="QB",'League Config'!$H$5,IF(A156="RB",'League Config'!$H$6,IF(A156="WR",'League Config'!$H$7,IF(A156="TE",'League Config'!$H$8,IF(A156="K",'League Config'!$H$9,'League Config'!$H$10)))))</x:f>
        <x:v>33</x:v>
      </x:c>
      <x:c r="I156" s="48" t="n">
        <x:f>IF(A156="QB",'League Config'!$F$14,IF(A156="RB",'League Config'!$F$15,IF(A156="WR",'League Config'!$F$16,IF(A156="TE",'League Config'!$F$17,IF(A156="K",'League Config'!$F$18,'League Config'!$F$19)))))</x:f>
        <x:v>73.645</x:v>
      </x:c>
      <x:c r="J156" s="48" t="n">
        <x:f>G156-I156</x:f>
        <x:v>-2.7849999999999966</x:v>
      </x:c>
      <x:c r="K156" s="48" t="n">
        <x:f>MAX(0,MIN(100,50+J156*6))</x:f>
        <x:v>33.29000000000002</x:v>
      </x:c>
      <x:c r="L156" s="48" t="n">
        <x:f>MIN(100,MAX(0,MIN(100,(1-(B156-1)/(H156*1.5))*100))*IF(A156="QB",'League Config'!$G$14,IF(A156="RB",'League Config'!$G$15,IF(A156="WR",'League Config'!$G$16,IF(A156="TE",'League Config'!$G$17,IF(A156="K",'League Config'!$G$18,'League Config'!$G$19))))))</x:f>
        <x:v>16.666666666666664</x:v>
      </x:c>
      <x:c r="M156" t="n">
        <x:f>IF(A156="K",'League Config'!$B$15,IF(A156="DST",'League Config'!$B$16,IF(A156="QB",'League Config'!$B$17,0)))</x:f>
        <x:v>0</x:v>
      </x:c>
      <x:c r="N156" s="48" t="n">
        <x:f>MIN(100,MAX(0,0.55*G156+0.30*K156+0.15*L156-M156))</x:f>
        <x:v>51.46000000000001</x:v>
      </x:c>
      <x:c r="O156" t="n">
        <x:f>RANK.EQ(N156,$N$5:$N$227,0)</x:f>
        <x:v>126</x:v>
      </x:c>
      <x:c r="P156" s="110" t="n">
        <x:v>166.79999999999998</x:v>
      </x:c>
      <x:c r="Q156" s="48" t="n">
        <x:f>P156-O156</x:f>
        <x:v>40.79999999999998</x:v>
      </x:c>
      <x:c r="R156" s="48" t="n">
        <x:f>MAX(40,G156-IF(U156="A",6,IF(U156="B",9,12)))</x:f>
        <x:v>58.86</x:v>
      </x:c>
      <x:c r="S156" s="48" t="n">
        <x:f>G156</x:f>
        <x:v>70.86</x:v>
      </x:c>
      <x:c r="T156" s="48" t="n">
        <x:f>MIN(100,G156+IF(U156="A",6,IF(U156="B",9,12)))</x:f>
        <x:v>82.86</x:v>
      </x:c>
      <x:c r="U156" t="str">
        <x:v>C</x:v>
      </x:c>
      <x:c r="V156" t="str">
        <x:v>HISTORY FALLBACK</x:v>
      </x:c>
      <x:c r="W156" s="109" t="str">
        <x:v>Available</x:v>
      </x:c>
      <x:c r="X156" t="n">
        <x:f>IF(W156&lt;&gt;"Available","",1+COUNTIFS($W$5:$W$227,"Available",$N$5:$N$227,"&gt;"&amp;N156))</x:f>
        <x:v>126</x:v>
      </x:c>
      <x:c r="Y156" s="98" t="str">
        <x:v>EXPECTATION: FLEX/bench receiver; needs target growth or efficiency spikes.  WHY: The 2026 opportunity and projection carry most of the grade because detailed 2025 rate data is incomplete. Market price is favorable around ADP 167 versus model overall rank 137.  RISK: Evidence is thinner than for established veterans, so camp, depth-chart and role news can move the grade materially.</x:v>
      </x:c>
      <x:c r="Z156" t="str">
        <x:v>ADP proxy — editable; based on positional draft cost</x:v>
      </x:c>
    </x:row>
    <x:row r="157">
      <x:c r="A157" t="str">
        <x:v>WR</x:v>
      </x:c>
      <x:c r="B157" t="n">
        <x:v>44</x:v>
      </x:c>
      <x:c r="C157" t="str">
        <x:v>Quentin Johnston</x:v>
      </x:c>
      <x:c r="D157" s="48" t="n">
        <x:v>70.19</x:v>
      </x:c>
      <x:c r="E157" s="48" t="n">
        <x:f>SUMIFS('Manual Adjustments'!$G$5:$G$227,'Manual Adjustments'!$A$5:$A$227,A157,'Manual Adjustments'!$B$5:$B$227,C157)</x:f>
        <x:v>0</x:v>
      </x:c>
      <x:c r="F157" s="48" t="n">
        <x:f>IFERROR(SUMIFS('Rookie College Inputs'!$I$5:$I$13,'Rookie College Inputs'!$A$5:$A$13,C157),0)</x:f>
        <x:v>0</x:v>
      </x:c>
      <x:c r="G157" s="48" t="n">
        <x:f>MAX(40,MIN(100,D157+E157+F157))</x:f>
        <x:v>70.19</x:v>
      </x:c>
      <x:c r="H157" t="n">
        <x:f>IF(A157="QB",'League Config'!$H$5,IF(A157="RB",'League Config'!$H$6,IF(A157="WR",'League Config'!$H$7,IF(A157="TE",'League Config'!$H$8,IF(A157="K",'League Config'!$H$9,'League Config'!$H$10)))))</x:f>
        <x:v>33</x:v>
      </x:c>
      <x:c r="I157" s="48" t="n">
        <x:f>IF(A157="QB",'League Config'!$F$14,IF(A157="RB",'League Config'!$F$15,IF(A157="WR",'League Config'!$F$16,IF(A157="TE",'League Config'!$F$17,IF(A157="K",'League Config'!$F$18,'League Config'!$F$19)))))</x:f>
        <x:v>73.645</x:v>
      </x:c>
      <x:c r="J157" s="48" t="n">
        <x:f>G157-I157</x:f>
        <x:v>-3.4549999999999983</x:v>
      </x:c>
      <x:c r="K157" s="48" t="n">
        <x:f>MAX(0,MIN(100,50+J157*6))</x:f>
        <x:v>29.27000000000001</x:v>
      </x:c>
      <x:c r="L157" s="48" t="n">
        <x:f>MIN(100,MAX(0,MIN(100,(1-(B157-1)/(H157*1.5))*100))*IF(A157="QB",'League Config'!$G$14,IF(A157="RB",'League Config'!$G$15,IF(A157="WR",'League Config'!$G$16,IF(A157="TE",'League Config'!$G$17,IF(A157="K",'League Config'!$G$18,'League Config'!$G$19))))))</x:f>
        <x:v>14.444444444444441</x:v>
      </x:c>
      <x:c r="M157" t="n">
        <x:f>IF(A157="K",'League Config'!$B$15,IF(A157="DST",'League Config'!$B$16,IF(A157="QB",'League Config'!$B$17,0)))</x:f>
        <x:v>0</x:v>
      </x:c>
      <x:c r="N157" s="48" t="n">
        <x:f>MIN(100,MAX(0,0.55*G157+0.30*K157+0.15*L157-M157))</x:f>
        <x:v>49.55216666666667</x:v>
      </x:c>
      <x:c r="O157" t="n">
        <x:f>RANK.EQ(N157,$N$5:$N$227,0)</x:f>
        <x:v>131</x:v>
      </x:c>
      <x:c r="P157" s="110" t="n">
        <x:v>170.7</x:v>
      </x:c>
      <x:c r="Q157" s="48" t="n">
        <x:f>P157-O157</x:f>
        <x:v>39.69999999999999</x:v>
      </x:c>
      <x:c r="R157" s="48" t="n">
        <x:f>MAX(40,G157-IF(U157="A",6,IF(U157="B",9,12)))</x:f>
        <x:v>58.19</x:v>
      </x:c>
      <x:c r="S157" s="48" t="n">
        <x:f>G157</x:f>
        <x:v>70.19</x:v>
      </x:c>
      <x:c r="T157" s="48" t="n">
        <x:f>MIN(100,G157+IF(U157="A",6,IF(U157="B",9,12)))</x:f>
        <x:v>82.19</x:v>
      </x:c>
      <x:c r="U157" t="str">
        <x:v>C</x:v>
      </x:c>
      <x:c r="V157" t="str">
        <x:v>HISTORY FALLBACK</x:v>
      </x:c>
      <x:c r="W157" s="109" t="str">
        <x:v>Available</x:v>
      </x:c>
      <x:c r="X157" t="n">
        <x:f>IF(W157&lt;&gt;"Available","",1+COUNTIFS($W$5:$W$227,"Available",$N$5:$N$227,"&gt;"&amp;N157))</x:f>
        <x:v>131</x:v>
      </x:c>
      <x:c r="Y157" s="98" t="str">
        <x:v>EXPECTATION: FLEX/bench receiver; needs target growth or efficiency spikes.  WHY: He produced 12.2 PPR/FP points per game across 14 games. The workload/efficiency profile gives the model a rate-based reason to keep him here. Market price is favorable around ADP 171 versus model overall rank 142.  RISK: Target competition, quarterback efficiency and touchdown regression are the main downside paths.</x:v>
      </x:c>
      <x:c r="Z157" t="str">
        <x:v>ADP proxy — editable; based on positional draft cost</x:v>
      </x:c>
    </x:row>
    <x:row r="158">
      <x:c r="A158" t="str">
        <x:v>WR</x:v>
      </x:c>
      <x:c r="B158" t="n">
        <x:v>45</x:v>
      </x:c>
      <x:c r="C158" t="str">
        <x:v>Ricky Pearsall</x:v>
      </x:c>
      <x:c r="D158" s="48" t="n">
        <x:v>69.52</x:v>
      </x:c>
      <x:c r="E158" s="48" t="n">
        <x:f>SUMIFS('Manual Adjustments'!$G$5:$G$227,'Manual Adjustments'!$A$5:$A$227,A158,'Manual Adjustments'!$B$5:$B$227,C158)</x:f>
        <x:v>0</x:v>
      </x:c>
      <x:c r="F158" s="48" t="n">
        <x:f>IFERROR(SUMIFS('Rookie College Inputs'!$I$5:$I$13,'Rookie College Inputs'!$A$5:$A$13,C158),0)</x:f>
        <x:v>0</x:v>
      </x:c>
      <x:c r="G158" s="48" t="n">
        <x:f>MAX(40,MIN(100,D158+E158+F158))</x:f>
        <x:v>69.52</x:v>
      </x:c>
      <x:c r="H158" t="n">
        <x:f>IF(A158="QB",'League Config'!$H$5,IF(A158="RB",'League Config'!$H$6,IF(A158="WR",'League Config'!$H$7,IF(A158="TE",'League Config'!$H$8,IF(A158="K",'League Config'!$H$9,'League Config'!$H$10)))))</x:f>
        <x:v>33</x:v>
      </x:c>
      <x:c r="I158" s="48" t="n">
        <x:f>IF(A158="QB",'League Config'!$F$14,IF(A158="RB",'League Config'!$F$15,IF(A158="WR",'League Config'!$F$16,IF(A158="TE",'League Config'!$F$17,IF(A158="K",'League Config'!$F$18,'League Config'!$F$19)))))</x:f>
        <x:v>73.645</x:v>
      </x:c>
      <x:c r="J158" s="48" t="n">
        <x:f>G158-I158</x:f>
        <x:v>-4.125</x:v>
      </x:c>
      <x:c r="K158" s="48" t="n">
        <x:f>MAX(0,MIN(100,50+J158*6))</x:f>
        <x:v>25.25</x:v>
      </x:c>
      <x:c r="L158" s="48" t="n">
        <x:f>MIN(100,MAX(0,MIN(100,(1-(B158-1)/(H158*1.5))*100))*IF(A158="QB",'League Config'!$G$14,IF(A158="RB",'League Config'!$G$15,IF(A158="WR",'League Config'!$G$16,IF(A158="TE",'League Config'!$G$17,IF(A158="K",'League Config'!$G$18,'League Config'!$G$19))))))</x:f>
        <x:v>12.222222222222229</x:v>
      </x:c>
      <x:c r="M158" t="n">
        <x:f>IF(A158="K",'League Config'!$B$15,IF(A158="DST",'League Config'!$B$16,IF(A158="QB",'League Config'!$B$17,0)))</x:f>
        <x:v>0</x:v>
      </x:c>
      <x:c r="N158" s="48" t="n">
        <x:f>MIN(100,MAX(0,0.55*G158+0.30*K158+0.15*L158-M158))</x:f>
        <x:v>47.64433333333334</x:v>
      </x:c>
      <x:c r="O158" t="n">
        <x:f>RANK.EQ(N158,$N$5:$N$227,0)</x:f>
        <x:v>137</x:v>
      </x:c>
      <x:c r="P158" s="110" t="n">
        <x:v>174.6</x:v>
      </x:c>
      <x:c r="Q158" s="48" t="n">
        <x:f>P158-O158</x:f>
        <x:v>37.599999999999994</x:v>
      </x:c>
      <x:c r="R158" s="48" t="n">
        <x:f>MAX(40,G158-IF(U158="A",6,IF(U158="B",9,12)))</x:f>
        <x:v>57.519999999999996</x:v>
      </x:c>
      <x:c r="S158" s="48" t="n">
        <x:f>G158</x:f>
        <x:v>69.52</x:v>
      </x:c>
      <x:c r="T158" s="48" t="n">
        <x:f>MIN(100,G158+IF(U158="A",6,IF(U158="B",9,12)))</x:f>
        <x:v>81.52</x:v>
      </x:c>
      <x:c r="U158" t="str">
        <x:v>C</x:v>
      </x:c>
      <x:c r="V158" t="str">
        <x:v>HISTORY FALLBACK</x:v>
      </x:c>
      <x:c r="W158" s="109" t="str">
        <x:v>Available</x:v>
      </x:c>
      <x:c r="X158" t="n">
        <x:f>IF(W158&lt;&gt;"Available","",1+COUNTIFS($W$5:$W$227,"Available",$N$5:$N$227,"&gt;"&amp;N158))</x:f>
        <x:v>137</x:v>
      </x:c>
      <x:c r="Y158" s="98" t="str">
        <x:v>EXPECTATION: FLEX/bench receiver; needs target growth or efficiency spikes.  WHY: The 2026 opportunity and projection carry most of the grade because detailed 2025 rate data is incomplete. Market price is favorable around ADP 175 versus model overall rank 150.  RISK: Evidence is thinner than for established veterans, so camp, depth-chart and role news can move the grade materially.</x:v>
      </x:c>
      <x:c r="Z158" t="str">
        <x:v>ADP proxy — editable; based on positional draft cost</x:v>
      </x:c>
    </x:row>
    <x:row r="159">
      <x:c r="A159" t="str">
        <x:v>WR</x:v>
      </x:c>
      <x:c r="B159" t="n">
        <x:v>46</x:v>
      </x:c>
      <x:c r="C159" t="str">
        <x:v>Michael Wilson</x:v>
      </x:c>
      <x:c r="D159" s="48" t="n">
        <x:v>68.85</x:v>
      </x:c>
      <x:c r="E159" s="48" t="n">
        <x:f>SUMIFS('Manual Adjustments'!$G$5:$G$227,'Manual Adjustments'!$A$5:$A$227,A159,'Manual Adjustments'!$B$5:$B$227,C159)</x:f>
        <x:v>0</x:v>
      </x:c>
      <x:c r="F159" s="48" t="n">
        <x:f>IFERROR(SUMIFS('Rookie College Inputs'!$I$5:$I$13,'Rookie College Inputs'!$A$5:$A$13,C159),0)</x:f>
        <x:v>0</x:v>
      </x:c>
      <x:c r="G159" s="48" t="n">
        <x:f>MAX(40,MIN(100,D159+E159+F159))</x:f>
        <x:v>68.85</x:v>
      </x:c>
      <x:c r="H159" t="n">
        <x:f>IF(A159="QB",'League Config'!$H$5,IF(A159="RB",'League Config'!$H$6,IF(A159="WR",'League Config'!$H$7,IF(A159="TE",'League Config'!$H$8,IF(A159="K",'League Config'!$H$9,'League Config'!$H$10)))))</x:f>
        <x:v>33</x:v>
      </x:c>
      <x:c r="I159" s="48" t="n">
        <x:f>IF(A159="QB",'League Config'!$F$14,IF(A159="RB",'League Config'!$F$15,IF(A159="WR",'League Config'!$F$16,IF(A159="TE",'League Config'!$F$17,IF(A159="K",'League Config'!$F$18,'League Config'!$F$19)))))</x:f>
        <x:v>73.645</x:v>
      </x:c>
      <x:c r="J159" s="48" t="n">
        <x:f>G159-I159</x:f>
        <x:v>-4.795000000000002</x:v>
      </x:c>
      <x:c r="K159" s="48" t="n">
        <x:f>MAX(0,MIN(100,50+J159*6))</x:f>
        <x:v>21.22999999999999</x:v>
      </x:c>
      <x:c r="L159" s="48" t="n">
        <x:f>MIN(100,MAX(0,MIN(100,(1-(B159-1)/(H159*1.5))*100))*IF(A159="QB",'League Config'!$G$14,IF(A159="RB",'League Config'!$G$15,IF(A159="WR",'League Config'!$G$16,IF(A159="TE",'League Config'!$G$17,IF(A159="K",'League Config'!$G$18,'League Config'!$G$19))))))</x:f>
        <x:v>10.000000000000004</x:v>
      </x:c>
      <x:c r="M159" t="n">
        <x:f>IF(A159="K",'League Config'!$B$15,IF(A159="DST",'League Config'!$B$16,IF(A159="QB",'League Config'!$B$17,0)))</x:f>
        <x:v>0</x:v>
      </x:c>
      <x:c r="N159" s="48" t="n">
        <x:f>MIN(100,MAX(0,0.55*G159+0.30*K159+0.15*L159-M159))</x:f>
        <x:v>45.7365</x:v>
      </x:c>
      <x:c r="O159" t="n">
        <x:f>RANK.EQ(N159,$N$5:$N$227,0)</x:f>
        <x:v>140</x:v>
      </x:c>
      <x:c r="P159" s="110" t="n">
        <x:v>178.5</x:v>
      </x:c>
      <x:c r="Q159" s="48" t="n">
        <x:f>P159-O159</x:f>
        <x:v>38.5</x:v>
      </x:c>
      <x:c r="R159" s="48" t="n">
        <x:f>MAX(40,G159-IF(U159="A",6,IF(U159="B",9,12)))</x:f>
        <x:v>56.849999999999994</x:v>
      </x:c>
      <x:c r="S159" s="48" t="n">
        <x:f>G159</x:f>
        <x:v>68.85</x:v>
      </x:c>
      <x:c r="T159" s="48" t="n">
        <x:f>MIN(100,G159+IF(U159="A",6,IF(U159="B",9,12)))</x:f>
        <x:v>80.85</x:v>
      </x:c>
      <x:c r="U159" t="str">
        <x:v>C</x:v>
      </x:c>
      <x:c r="V159" t="str">
        <x:v>HISTORY FALLBACK</x:v>
      </x:c>
      <x:c r="W159" s="109" t="str">
        <x:v>Available</x:v>
      </x:c>
      <x:c r="X159" t="n">
        <x:f>IF(W159&lt;&gt;"Available","",1+COUNTIFS($W$5:$W$227,"Available",$N$5:$N$227,"&gt;"&amp;N159))</x:f>
        <x:v>140</x:v>
      </x:c>
      <x:c r="Y159" s="98" t="str">
        <x:v>EXPECTATION: FLEX/bench receiver; needs target growth or efficiency spikes.  WHY: He produced 13.0 PPR/FP points per game across 17 games. The workload/efficiency profile gives the model a rate-based reason to keep him here. Market price is favorable around ADP 178 versus model overall rank 153.  RISK: Target competition, quarterback efficiency and touchdown regression are the main downside paths.</x:v>
      </x:c>
      <x:c r="Z159" t="str">
        <x:v>ADP proxy — editable; based on positional draft cost</x:v>
      </x:c>
    </x:row>
    <x:row r="160">
      <x:c r="A160" t="str">
        <x:v>WR</x:v>
      </x:c>
      <x:c r="B160" t="n">
        <x:v>47</x:v>
      </x:c>
      <x:c r="C160" t="str">
        <x:v>Xavier Worthy</x:v>
      </x:c>
      <x:c r="D160" s="48" t="n">
        <x:v>68.18</x:v>
      </x:c>
      <x:c r="E160" s="48" t="n">
        <x:f>SUMIFS('Manual Adjustments'!$G$5:$G$227,'Manual Adjustments'!$A$5:$A$227,A160,'Manual Adjustments'!$B$5:$B$227,C160)</x:f>
        <x:v>0</x:v>
      </x:c>
      <x:c r="F160" s="48" t="n">
        <x:f>IFERROR(SUMIFS('Rookie College Inputs'!$I$5:$I$13,'Rookie College Inputs'!$A$5:$A$13,C160),0)</x:f>
        <x:v>0</x:v>
      </x:c>
      <x:c r="G160" s="48" t="n">
        <x:f>MAX(40,MIN(100,D160+E160+F160))</x:f>
        <x:v>68.18</x:v>
      </x:c>
      <x:c r="H160" t="n">
        <x:f>IF(A160="QB",'League Config'!$H$5,IF(A160="RB",'League Config'!$H$6,IF(A160="WR",'League Config'!$H$7,IF(A160="TE",'League Config'!$H$8,IF(A160="K",'League Config'!$H$9,'League Config'!$H$10)))))</x:f>
        <x:v>33</x:v>
      </x:c>
      <x:c r="I160" s="48" t="n">
        <x:f>IF(A160="QB",'League Config'!$F$14,IF(A160="RB",'League Config'!$F$15,IF(A160="WR",'League Config'!$F$16,IF(A160="TE",'League Config'!$F$17,IF(A160="K",'League Config'!$F$18,'League Config'!$F$19)))))</x:f>
        <x:v>73.645</x:v>
      </x:c>
      <x:c r="J160" s="48" t="n">
        <x:f>G160-I160</x:f>
        <x:v>-5.464999999999989</x:v>
      </x:c>
      <x:c r="K160" s="48" t="n">
        <x:f>MAX(0,MIN(100,50+J160*6))</x:f>
        <x:v>17.210000000000065</x:v>
      </x:c>
      <x:c r="L160" s="48" t="n">
        <x:f>MIN(100,MAX(0,MIN(100,(1-(B160-1)/(H160*1.5))*100))*IF(A160="QB",'League Config'!$G$14,IF(A160="RB",'League Config'!$G$15,IF(A160="WR",'League Config'!$G$16,IF(A160="TE",'League Config'!$G$17,IF(A160="K",'League Config'!$G$18,'League Config'!$G$19))))))</x:f>
        <x:v>7.7777777777777795</x:v>
      </x:c>
      <x:c r="M160" t="n">
        <x:f>IF(A160="K",'League Config'!$B$15,IF(A160="DST",'League Config'!$B$16,IF(A160="QB",'League Config'!$B$17,0)))</x:f>
        <x:v>0</x:v>
      </x:c>
      <x:c r="N160" s="48" t="n">
        <x:f>MIN(100,MAX(0,0.55*G160+0.30*K160+0.15*L160-M160))</x:f>
        <x:v>43.82866666666669</x:v>
      </x:c>
      <x:c r="O160" t="n">
        <x:f>RANK.EQ(N160,$N$5:$N$227,0)</x:f>
        <x:v>144</x:v>
      </x:c>
      <x:c r="P160" s="110" t="n">
        <x:v>182.4</x:v>
      </x:c>
      <x:c r="Q160" s="48" t="n">
        <x:f>P160-O160</x:f>
        <x:v>38.400000000000006</x:v>
      </x:c>
      <x:c r="R160" s="48" t="n">
        <x:f>MAX(40,G160-IF(U160="A",6,IF(U160="B",9,12)))</x:f>
        <x:v>56.18000000000001</x:v>
      </x:c>
      <x:c r="S160" s="48" t="n">
        <x:f>G160</x:f>
        <x:v>68.18</x:v>
      </x:c>
      <x:c r="T160" s="48" t="n">
        <x:f>MIN(100,G160+IF(U160="A",6,IF(U160="B",9,12)))</x:f>
        <x:v>80.18</x:v>
      </x:c>
      <x:c r="U160" t="str">
        <x:v>C</x:v>
      </x:c>
      <x:c r="V160" t="str">
        <x:v>HISTORY FALLBACK</x:v>
      </x:c>
      <x:c r="W160" s="109" t="str">
        <x:v>Available</x:v>
      </x:c>
      <x:c r="X160" t="n">
        <x:f>IF(W160&lt;&gt;"Available","",1+COUNTIFS($W$5:$W$227,"Available",$N$5:$N$227,"&gt;"&amp;N160))</x:f>
        <x:v>144</x:v>
      </x:c>
      <x:c r="Y160" s="98" t="str">
        <x:v>EXPECTATION: FLEX/bench receiver; needs target growth or efficiency spikes.  WHY: He produced 7.9 PPR/FP points per game across 14 games. The workload/efficiency profile gives the model a rate-based reason to keep him here. Market price is favorable around ADP 182 versus model overall rank 155.  RISK: Target competition, quarterback efficiency and touchdown regression are the main downside paths.</x:v>
      </x:c>
      <x:c r="Z160" t="str">
        <x:v>ADP proxy — editable; based on positional draft cost</x:v>
      </x:c>
    </x:row>
    <x:row r="161">
      <x:c r="A161" t="str">
        <x:v>WR</x:v>
      </x:c>
      <x:c r="B161" t="n">
        <x:v>48</x:v>
      </x:c>
      <x:c r="C161" t="str">
        <x:v>Matthew Golden</x:v>
      </x:c>
      <x:c r="D161" s="48" t="n">
        <x:v>67.50999999999999</x:v>
      </x:c>
      <x:c r="E161" s="48" t="n">
        <x:f>SUMIFS('Manual Adjustments'!$G$5:$G$227,'Manual Adjustments'!$A$5:$A$227,A161,'Manual Adjustments'!$B$5:$B$227,C161)</x:f>
        <x:v>0</x:v>
      </x:c>
      <x:c r="F161" s="48" t="n">
        <x:f>IFERROR(SUMIFS('Rookie College Inputs'!$I$5:$I$13,'Rookie College Inputs'!$A$5:$A$13,C161),0)</x:f>
        <x:v>0</x:v>
      </x:c>
      <x:c r="G161" s="48" t="n">
        <x:f>MAX(40,MIN(100,D161+E161+F161))</x:f>
        <x:v>67.50999999999999</x:v>
      </x:c>
      <x:c r="H161" t="n">
        <x:f>IF(A161="QB",'League Config'!$H$5,IF(A161="RB",'League Config'!$H$6,IF(A161="WR",'League Config'!$H$7,IF(A161="TE",'League Config'!$H$8,IF(A161="K",'League Config'!$H$9,'League Config'!$H$10)))))</x:f>
        <x:v>33</x:v>
      </x:c>
      <x:c r="I161" s="48" t="n">
        <x:f>IF(A161="QB",'League Config'!$F$14,IF(A161="RB",'League Config'!$F$15,IF(A161="WR",'League Config'!$F$16,IF(A161="TE",'League Config'!$F$17,IF(A161="K",'League Config'!$F$18,'League Config'!$F$19)))))</x:f>
        <x:v>73.645</x:v>
      </x:c>
      <x:c r="J161" s="48" t="n">
        <x:f>G161-I161</x:f>
        <x:v>-6.135000000000005</x:v>
      </x:c>
      <x:c r="K161" s="48" t="n">
        <x:f>MAX(0,MIN(100,50+J161*6))</x:f>
        <x:v>13.18999999999997</x:v>
      </x:c>
      <x:c r="L161" s="48" t="n">
        <x:f>MIN(100,MAX(0,MIN(100,(1-(B161-1)/(H161*1.5))*100))*IF(A161="QB",'League Config'!$G$14,IF(A161="RB",'League Config'!$G$15,IF(A161="WR",'League Config'!$G$16,IF(A161="TE",'League Config'!$G$17,IF(A161="K",'League Config'!$G$18,'League Config'!$G$19))))))</x:f>
        <x:v>5.555555555555555</x:v>
      </x:c>
      <x:c r="M161" t="n">
        <x:f>IF(A161="K",'League Config'!$B$15,IF(A161="DST",'League Config'!$B$16,IF(A161="QB",'League Config'!$B$17,0)))</x:f>
        <x:v>0</x:v>
      </x:c>
      <x:c r="N161" s="48" t="n">
        <x:f>MIN(100,MAX(0,0.55*G161+0.30*K161+0.15*L161-M161))</x:f>
        <x:v>41.92083333333333</x:v>
      </x:c>
      <x:c r="O161" t="n">
        <x:f>RANK.EQ(N161,$N$5:$N$227,0)</x:f>
        <x:v>149</x:v>
      </x:c>
      <x:c r="P161" s="110" t="n">
        <x:v>186.29999999999998</x:v>
      </x:c>
      <x:c r="Q161" s="48" t="n">
        <x:f>P161-O161</x:f>
        <x:v>37.29999999999998</x:v>
      </x:c>
      <x:c r="R161" s="48" t="n">
        <x:f>MAX(40,G161-IF(U161="A",6,IF(U161="B",9,12)))</x:f>
        <x:v>55.50999999999999</x:v>
      </x:c>
      <x:c r="S161" s="48" t="n">
        <x:f>G161</x:f>
        <x:v>67.50999999999999</x:v>
      </x:c>
      <x:c r="T161" s="48" t="n">
        <x:f>MIN(100,G161+IF(U161="A",6,IF(U161="B",9,12)))</x:f>
        <x:v>79.50999999999999</x:v>
      </x:c>
      <x:c r="U161" t="str">
        <x:v>C</x:v>
      </x:c>
      <x:c r="V161" t="str">
        <x:v>HISTORY FALLBACK</x:v>
      </x:c>
      <x:c r="W161" s="109" t="str">
        <x:v>Available</x:v>
      </x:c>
      <x:c r="X161" t="n">
        <x:f>IF(W161&lt;&gt;"Available","",1+COUNTIFS($W$5:$W$227,"Available",$N$5:$N$227,"&gt;"&amp;N161))</x:f>
        <x:v>149</x:v>
      </x:c>
      <x:c r="Y161" s="98" t="str">
        <x:v>EXPECTATION: FLEX/bench receiver; needs target growth or efficiency spikes.  WHY: The 2026 opportunity and projection carry most of the grade because detailed 2025 rate data is incomplete. Market price is favorable around ADP 186 versus model overall rank 159.  RISK: Evidence is thinner than for established veterans, so camp, depth-chart and role news can move the grade materially.</x:v>
      </x:c>
      <x:c r="Z161" t="str">
        <x:v>ADP proxy — editable; based on positional draft cost</x:v>
      </x:c>
    </x:row>
    <x:row r="162">
      <x:c r="A162" t="str">
        <x:v>WR</x:v>
      </x:c>
      <x:c r="B162" t="n">
        <x:v>49</x:v>
      </x:c>
      <x:c r="C162" t="str">
        <x:v>Josh Downs</x:v>
      </x:c>
      <x:c r="D162" s="48" t="n">
        <x:v>66.84</x:v>
      </x:c>
      <x:c r="E162" s="48" t="n">
        <x:f>SUMIFS('Manual Adjustments'!$G$5:$G$227,'Manual Adjustments'!$A$5:$A$227,A162,'Manual Adjustments'!$B$5:$B$227,C162)</x:f>
        <x:v>0</x:v>
      </x:c>
      <x:c r="F162" s="48" t="n">
        <x:f>IFERROR(SUMIFS('Rookie College Inputs'!$I$5:$I$13,'Rookie College Inputs'!$A$5:$A$13,C162),0)</x:f>
        <x:v>0</x:v>
      </x:c>
      <x:c r="G162" s="48" t="n">
        <x:f>MAX(40,MIN(100,D162+E162+F162))</x:f>
        <x:v>66.84</x:v>
      </x:c>
      <x:c r="H162" t="n">
        <x:f>IF(A162="QB",'League Config'!$H$5,IF(A162="RB",'League Config'!$H$6,IF(A162="WR",'League Config'!$H$7,IF(A162="TE",'League Config'!$H$8,IF(A162="K",'League Config'!$H$9,'League Config'!$H$10)))))</x:f>
        <x:v>33</x:v>
      </x:c>
      <x:c r="I162" s="48" t="n">
        <x:f>IF(A162="QB",'League Config'!$F$14,IF(A162="RB",'League Config'!$F$15,IF(A162="WR",'League Config'!$F$16,IF(A162="TE",'League Config'!$F$17,IF(A162="K",'League Config'!$F$18,'League Config'!$F$19)))))</x:f>
        <x:v>73.645</x:v>
      </x:c>
      <x:c r="J162" s="48" t="n">
        <x:f>G162-I162</x:f>
        <x:v>-6.804999999999993</x:v>
      </x:c>
      <x:c r="K162" s="48" t="n">
        <x:f>MAX(0,MIN(100,50+J162*6))</x:f>
        <x:v>9.170000000000044</x:v>
      </x:c>
      <x:c r="L162" s="48" t="n">
        <x:f>MIN(100,MAX(0,MIN(100,(1-(B162-1)/(H162*1.5))*100))*IF(A162="QB",'League Config'!$G$14,IF(A162="RB",'League Config'!$G$15,IF(A162="WR",'League Config'!$G$16,IF(A162="TE",'League Config'!$G$17,IF(A162="K",'League Config'!$G$18,'League Config'!$G$19))))))</x:f>
        <x:v>3.333333333333331</x:v>
      </x:c>
      <x:c r="M162" t="n">
        <x:f>IF(A162="K",'League Config'!$B$15,IF(A162="DST",'League Config'!$B$16,IF(A162="QB",'League Config'!$B$17,0)))</x:f>
        <x:v>0</x:v>
      </x:c>
      <x:c r="N162" s="48" t="n">
        <x:f>MIN(100,MAX(0,0.55*G162+0.30*K162+0.15*L162-M162))</x:f>
        <x:v>40.01300000000002</x:v>
      </x:c>
      <x:c r="O162" t="n">
        <x:f>RANK.EQ(N162,$N$5:$N$227,0)</x:f>
        <x:v>156</x:v>
      </x:c>
      <x:c r="P162" s="110" t="n">
        <x:v>190.2</x:v>
      </x:c>
      <x:c r="Q162" s="48" t="n">
        <x:f>P162-O162</x:f>
        <x:v>34.19999999999999</x:v>
      </x:c>
      <x:c r="R162" s="48" t="n">
        <x:f>MAX(40,G162-IF(U162="A",6,IF(U162="B",9,12)))</x:f>
        <x:v>54.84</x:v>
      </x:c>
      <x:c r="S162" s="48" t="n">
        <x:f>G162</x:f>
        <x:v>66.84</x:v>
      </x:c>
      <x:c r="T162" s="48" t="n">
        <x:f>MIN(100,G162+IF(U162="A",6,IF(U162="B",9,12)))</x:f>
        <x:v>78.84</x:v>
      </x:c>
      <x:c r="U162" t="str">
        <x:v>C</x:v>
      </x:c>
      <x:c r="V162" t="str">
        <x:v>HISTORY FALLBACK</x:v>
      </x:c>
      <x:c r="W162" s="109" t="str">
        <x:v>Available</x:v>
      </x:c>
      <x:c r="X162" t="n">
        <x:f>IF(W162&lt;&gt;"Available","",1+COUNTIFS($W$5:$W$227,"Available",$N$5:$N$227,"&gt;"&amp;N162))</x:f>
        <x:v>156</x:v>
      </x:c>
      <x:c r="Y162" s="98" t="str">
        <x:v>EXPECTATION: FLEX/bench receiver; needs target growth or efficiency spikes.  WHY: He produced 8.5 PPR/FP points per game across 16 games. The workload/efficiency profile gives the model a rate-based reason to keep him here. Market price is favorable around ADP 190 versus model overall rank 162.  RISK: Target competition, quarterback efficiency and touchdown regression are the main downside paths.</x:v>
      </x:c>
      <x:c r="Z162" t="str">
        <x:v>ADP proxy — editable; based on positional draft cost</x:v>
      </x:c>
    </x:row>
    <x:row r="163">
      <x:c r="A163" t="str">
        <x:v>WR</x:v>
      </x:c>
      <x:c r="B163" t="n">
        <x:v>50</x:v>
      </x:c>
      <x:c r="C163" t="str">
        <x:v>Jayden Reed</x:v>
      </x:c>
      <x:c r="D163" s="48" t="n">
        <x:v>66.16999999999999</x:v>
      </x:c>
      <x:c r="E163" s="48" t="n">
        <x:f>SUMIFS('Manual Adjustments'!$G$5:$G$227,'Manual Adjustments'!$A$5:$A$227,A163,'Manual Adjustments'!$B$5:$B$227,C163)</x:f>
        <x:v>0</x:v>
      </x:c>
      <x:c r="F163" s="48" t="n">
        <x:f>IFERROR(SUMIFS('Rookie College Inputs'!$I$5:$I$13,'Rookie College Inputs'!$A$5:$A$13,C163),0)</x:f>
        <x:v>0</x:v>
      </x:c>
      <x:c r="G163" s="48" t="n">
        <x:f>MAX(40,MIN(100,D163+E163+F163))</x:f>
        <x:v>66.16999999999999</x:v>
      </x:c>
      <x:c r="H163" t="n">
        <x:f>IF(A163="QB",'League Config'!$H$5,IF(A163="RB",'League Config'!$H$6,IF(A163="WR",'League Config'!$H$7,IF(A163="TE",'League Config'!$H$8,IF(A163="K",'League Config'!$H$9,'League Config'!$H$10)))))</x:f>
        <x:v>33</x:v>
      </x:c>
      <x:c r="I163" s="48" t="n">
        <x:f>IF(A163="QB",'League Config'!$F$14,IF(A163="RB",'League Config'!$F$15,IF(A163="WR",'League Config'!$F$16,IF(A163="TE",'League Config'!$F$17,IF(A163="K",'League Config'!$F$18,'League Config'!$F$19)))))</x:f>
        <x:v>73.645</x:v>
      </x:c>
      <x:c r="J163" s="48" t="n">
        <x:f>G163-I163</x:f>
        <x:v>-7.4750000000000085</x:v>
      </x:c>
      <x:c r="K163" s="48" t="n">
        <x:f>MAX(0,MIN(100,50+J163*6))</x:f>
        <x:v>5.149999999999949</x:v>
      </x:c>
      <x:c r="L163" s="48" t="n">
        <x:f>MIN(100,MAX(0,MIN(100,(1-(B163-1)/(H163*1.5))*100))*IF(A163="QB",'League Config'!$G$14,IF(A163="RB",'League Config'!$G$15,IF(A163="WR",'League Config'!$G$16,IF(A163="TE",'League Config'!$G$17,IF(A163="K",'League Config'!$G$18,'League Config'!$G$19))))))</x:f>
        <x:v>1.111111111111106</x:v>
      </x:c>
      <x:c r="M163" t="n">
        <x:f>IF(A163="K",'League Config'!$B$15,IF(A163="DST",'League Config'!$B$16,IF(A163="QB",'League Config'!$B$17,0)))</x:f>
        <x:v>0</x:v>
      </x:c>
      <x:c r="N163" s="48" t="n">
        <x:f>MIN(100,MAX(0,0.55*G163+0.30*K163+0.15*L163-M163))</x:f>
        <x:v>38.10516666666665</x:v>
      </x:c>
      <x:c r="O163" t="n">
        <x:f>RANK.EQ(N163,$N$5:$N$227,0)</x:f>
        <x:v>161</x:v>
      </x:c>
      <x:c r="P163" s="110" t="n">
        <x:v>194.1</x:v>
      </x:c>
      <x:c r="Q163" s="48" t="n">
        <x:f>P163-O163</x:f>
        <x:v>33.099999999999994</x:v>
      </x:c>
      <x:c r="R163" s="48" t="n">
        <x:f>MAX(40,G163-IF(U163="A",6,IF(U163="B",9,12)))</x:f>
        <x:v>54.16999999999999</x:v>
      </x:c>
      <x:c r="S163" s="48" t="n">
        <x:f>G163</x:f>
        <x:v>66.16999999999999</x:v>
      </x:c>
      <x:c r="T163" s="48" t="n">
        <x:f>MIN(100,G163+IF(U163="A",6,IF(U163="B",9,12)))</x:f>
        <x:v>78.16999999999999</x:v>
      </x:c>
      <x:c r="U163" t="str">
        <x:v>C</x:v>
      </x:c>
      <x:c r="V163" t="str">
        <x:v>HISTORY FALLBACK</x:v>
      </x:c>
      <x:c r="W163" s="109" t="str">
        <x:v>Available</x:v>
      </x:c>
      <x:c r="X163" t="n">
        <x:f>IF(W163&lt;&gt;"Available","",1+COUNTIFS($W$5:$W$227,"Available",$N$5:$N$227,"&gt;"&amp;N163))</x:f>
        <x:v>161</x:v>
      </x:c>
      <x:c r="Y163" s="98" t="str">
        <x:v>EXPECTATION: FLEX/bench receiver; needs target growth or efficiency spikes.  WHY: The 2026 opportunity and projection carry most of the grade because detailed 2025 rate data is incomplete. Market price is favorable around ADP 194 versus model overall rank 167.  RISK: Evidence is thinner than for established veterans, so camp, depth-chart and role news can move the grade materially.</x:v>
      </x:c>
      <x:c r="Z163" t="str">
        <x:v>ADP proxy — editable; based on positional draft cost</x:v>
      </x:c>
    </x:row>
    <x:row r="164">
      <x:c r="A164" t="str">
        <x:v>WR</x:v>
      </x:c>
      <x:c r="B164" t="n">
        <x:v>51</x:v>
      </x:c>
      <x:c r="C164" t="str">
        <x:v>Khalil Shakir</x:v>
      </x:c>
      <x:c r="D164" s="48" t="n">
        <x:v>65.5</x:v>
      </x:c>
      <x:c r="E164" s="48" t="n">
        <x:f>SUMIFS('Manual Adjustments'!$G$5:$G$227,'Manual Adjustments'!$A$5:$A$227,A164,'Manual Adjustments'!$B$5:$B$227,C164)</x:f>
        <x:v>0</x:v>
      </x:c>
      <x:c r="F164" s="48" t="n">
        <x:f>IFERROR(SUMIFS('Rookie College Inputs'!$I$5:$I$13,'Rookie College Inputs'!$A$5:$A$13,C164),0)</x:f>
        <x:v>0</x:v>
      </x:c>
      <x:c r="G164" s="48" t="n">
        <x:f>MAX(40,MIN(100,D164+E164+F164))</x:f>
        <x:v>65.5</x:v>
      </x:c>
      <x:c r="H164" t="n">
        <x:f>IF(A164="QB",'League Config'!$H$5,IF(A164="RB",'League Config'!$H$6,IF(A164="WR",'League Config'!$H$7,IF(A164="TE",'League Config'!$H$8,IF(A164="K",'League Config'!$H$9,'League Config'!$H$10)))))</x:f>
        <x:v>33</x:v>
      </x:c>
      <x:c r="I164" s="48" t="n">
        <x:f>IF(A164="QB",'League Config'!$F$14,IF(A164="RB",'League Config'!$F$15,IF(A164="WR",'League Config'!$F$16,IF(A164="TE",'League Config'!$F$17,IF(A164="K",'League Config'!$F$18,'League Config'!$F$19)))))</x:f>
        <x:v>73.645</x:v>
      </x:c>
      <x:c r="J164" s="48" t="n">
        <x:f>G164-I164</x:f>
        <x:v>-8.144999999999996</x:v>
      </x:c>
      <x:c r="K164" s="48" t="n">
        <x:f>MAX(0,MIN(100,50+J164*6))</x:f>
        <x:v>1.1300000000000239</x:v>
      </x:c>
      <x:c r="L164" s="48" t="n">
        <x:f>MIN(100,MAX(0,MIN(100,(1-(B164-1)/(H164*1.5))*100))*IF(A164="QB",'League Config'!$G$14,IF(A164="RB",'League Config'!$G$15,IF(A164="WR",'League Config'!$G$16,IF(A164="TE",'League Config'!$G$17,IF(A164="K",'League Config'!$G$18,'League Config'!$G$19))))))</x:f>
        <x:v>0</x:v>
      </x:c>
      <x:c r="M164" t="n">
        <x:f>IF(A164="K",'League Config'!$B$15,IF(A164="DST",'League Config'!$B$16,IF(A164="QB",'League Config'!$B$17,0)))</x:f>
        <x:v>0</x:v>
      </x:c>
      <x:c r="N164" s="48" t="n">
        <x:f>MIN(100,MAX(0,0.55*G164+0.30*K164+0.15*L164-M164))</x:f>
        <x:v>36.36400000000001</x:v>
      </x:c>
      <x:c r="O164" t="n">
        <x:f>RANK.EQ(N164,$N$5:$N$227,0)</x:f>
        <x:v>169</x:v>
      </x:c>
      <x:c r="P164" s="110" t="n">
        <x:v>198</x:v>
      </x:c>
      <x:c r="Q164" s="48" t="n">
        <x:f>P164-O164</x:f>
        <x:v>29</x:v>
      </x:c>
      <x:c r="R164" s="48" t="n">
        <x:f>MAX(40,G164-IF(U164="A",6,IF(U164="B",9,12)))</x:f>
        <x:v>53.5</x:v>
      </x:c>
      <x:c r="S164" s="48" t="n">
        <x:f>G164</x:f>
        <x:v>65.5</x:v>
      </x:c>
      <x:c r="T164" s="48" t="n">
        <x:f>MIN(100,G164+IF(U164="A",6,IF(U164="B",9,12)))</x:f>
        <x:v>77.5</x:v>
      </x:c>
      <x:c r="U164" t="str">
        <x:v>C</x:v>
      </x:c>
      <x:c r="V164" t="str">
        <x:v>HISTORY FALLBACK</x:v>
      </x:c>
      <x:c r="W164" s="109" t="str">
        <x:v>Available</x:v>
      </x:c>
      <x:c r="X164" t="n">
        <x:f>IF(W164&lt;&gt;"Available","",1+COUNTIFS($W$5:$W$227,"Available",$N$5:$N$227,"&gt;"&amp;N164))</x:f>
        <x:v>169</x:v>
      </x:c>
      <x:c r="Y164" s="98" t="str">
        <x:v>EXPECTATION: Late-round bench upside; role growth is required for weekly relevance.  WHY: He produced 10.4 PPR/FP points per game across 16 games. The workload/efficiency profile gives the model a rate-based reason to keep him here. Market price is favorable around ADP 198 versus model overall rank 171.  RISK: Target competition, quarterback efficiency and touchdown regression are the main downside paths.</x:v>
      </x:c>
      <x:c r="Z164" t="str">
        <x:v>ADP proxy — editable; based on positional draft cost</x:v>
      </x:c>
    </x:row>
    <x:row r="165">
      <x:c r="A165" t="str">
        <x:v>WR</x:v>
      </x:c>
      <x:c r="B165" t="n">
        <x:v>52</x:v>
      </x:c>
      <x:c r="C165" t="str">
        <x:v>Jalin Hyatt</x:v>
      </x:c>
      <x:c r="D165" s="48" t="n">
        <x:v>64.83</x:v>
      </x:c>
      <x:c r="E165" s="48" t="n">
        <x:f>SUMIFS('Manual Adjustments'!$G$5:$G$227,'Manual Adjustments'!$A$5:$A$227,A165,'Manual Adjustments'!$B$5:$B$227,C165)</x:f>
        <x:v>0</x:v>
      </x:c>
      <x:c r="F165" s="48" t="n">
        <x:f>IFERROR(SUMIFS('Rookie College Inputs'!$I$5:$I$13,'Rookie College Inputs'!$A$5:$A$13,C165),0)</x:f>
        <x:v>0</x:v>
      </x:c>
      <x:c r="G165" s="48" t="n">
        <x:f>MAX(40,MIN(100,D165+E165+F165))</x:f>
        <x:v>64.83</x:v>
      </x:c>
      <x:c r="H165" t="n">
        <x:f>IF(A165="QB",'League Config'!$H$5,IF(A165="RB",'League Config'!$H$6,IF(A165="WR",'League Config'!$H$7,IF(A165="TE",'League Config'!$H$8,IF(A165="K",'League Config'!$H$9,'League Config'!$H$10)))))</x:f>
        <x:v>33</x:v>
      </x:c>
      <x:c r="I165" s="48" t="n">
        <x:f>IF(A165="QB",'League Config'!$F$14,IF(A165="RB",'League Config'!$F$15,IF(A165="WR",'League Config'!$F$16,IF(A165="TE",'League Config'!$F$17,IF(A165="K",'League Config'!$F$18,'League Config'!$F$19)))))</x:f>
        <x:v>73.645</x:v>
      </x:c>
      <x:c r="J165" s="48" t="n">
        <x:f>G165-I165</x:f>
        <x:v>-8.814999999999998</x:v>
      </x:c>
      <x:c r="K165" s="48" t="n">
        <x:f>MAX(0,MIN(100,50+J165*6))</x:f>
        <x:v>0</x:v>
      </x:c>
      <x:c r="L165" s="48" t="n">
        <x:f>MIN(100,MAX(0,MIN(100,(1-(B165-1)/(H165*1.5))*100))*IF(A165="QB",'League Config'!$G$14,IF(A165="RB",'League Config'!$G$15,IF(A165="WR",'League Config'!$G$16,IF(A165="TE",'League Config'!$G$17,IF(A165="K",'League Config'!$G$18,'League Config'!$G$19))))))</x:f>
        <x:v>0</x:v>
      </x:c>
      <x:c r="M165" t="n">
        <x:f>IF(A165="K",'League Config'!$B$15,IF(A165="DST",'League Config'!$B$16,IF(A165="QB",'League Config'!$B$17,0)))</x:f>
        <x:v>0</x:v>
      </x:c>
      <x:c r="N165" s="48" t="n">
        <x:f>MIN(100,MAX(0,0.55*G165+0.30*K165+0.15*L165-M165))</x:f>
        <x:v>35.6565</x:v>
      </x:c>
      <x:c r="O165" t="n">
        <x:f>RANK.EQ(N165,$N$5:$N$227,0)</x:f>
        <x:v>174</x:v>
      </x:c>
      <x:c r="P165" s="110" t="n">
        <x:v>201.9</x:v>
      </x:c>
      <x:c r="Q165" s="48" t="n">
        <x:f>P165-O165</x:f>
        <x:v>27.900000000000006</x:v>
      </x:c>
      <x:c r="R165" s="48" t="n">
        <x:f>MAX(40,G165-IF(U165="A",6,IF(U165="B",9,12)))</x:f>
        <x:v>52.83</x:v>
      </x:c>
      <x:c r="S165" s="48" t="n">
        <x:f>G165</x:f>
        <x:v>64.83</x:v>
      </x:c>
      <x:c r="T165" s="48" t="n">
        <x:f>MIN(100,G165+IF(U165="A",6,IF(U165="B",9,12)))</x:f>
        <x:v>76.83</x:v>
      </x:c>
      <x:c r="U165" t="str">
        <x:v>C</x:v>
      </x:c>
      <x:c r="V165" t="str">
        <x:v>HISTORY FALLBACK</x:v>
      </x:c>
      <x:c r="W165" s="109" t="str">
        <x:v>Available</x:v>
      </x:c>
      <x:c r="X165" t="n">
        <x:f>IF(W165&lt;&gt;"Available","",1+COUNTIFS($W$5:$W$227,"Available",$N$5:$N$227,"&gt;"&amp;N165))</x:f>
        <x:v>174</x:v>
      </x:c>
      <x:c r="Y165" s="98" t="str">
        <x:v>EXPECTATION: Late-round bench upside; role growth is required for weekly relevance.  WHY: The 2026 opportunity and projection carry most of the grade because detailed 2025 rate data is incomplete. Market price is favorable around ADP 202 versus model overall rank 174.  RISK: Evidence is thinner than for established veterans, so camp, depth-chart and role news can move the grade materially.</x:v>
      </x:c>
      <x:c r="Z165" t="str">
        <x:v>ADP proxy — editable; based on positional draft cost</x:v>
      </x:c>
    </x:row>
    <x:row r="166">
      <x:c r="A166" t="str">
        <x:v>WR</x:v>
      </x:c>
      <x:c r="B166" t="n">
        <x:v>53</x:v>
      </x:c>
      <x:c r="C166" t="str">
        <x:v>Romeo Doubs</x:v>
      </x:c>
      <x:c r="D166" s="48" t="n">
        <x:v>64.16</x:v>
      </x:c>
      <x:c r="E166" s="48" t="n">
        <x:f>SUMIFS('Manual Adjustments'!$G$5:$G$227,'Manual Adjustments'!$A$5:$A$227,A166,'Manual Adjustments'!$B$5:$B$227,C166)</x:f>
        <x:v>0</x:v>
      </x:c>
      <x:c r="F166" s="48" t="n">
        <x:f>IFERROR(SUMIFS('Rookie College Inputs'!$I$5:$I$13,'Rookie College Inputs'!$A$5:$A$13,C166),0)</x:f>
        <x:v>0</x:v>
      </x:c>
      <x:c r="G166" s="48" t="n">
        <x:f>MAX(40,MIN(100,D166+E166+F166))</x:f>
        <x:v>64.16</x:v>
      </x:c>
      <x:c r="H166" t="n">
        <x:f>IF(A166="QB",'League Config'!$H$5,IF(A166="RB",'League Config'!$H$6,IF(A166="WR",'League Config'!$H$7,IF(A166="TE",'League Config'!$H$8,IF(A166="K",'League Config'!$H$9,'League Config'!$H$10)))))</x:f>
        <x:v>33</x:v>
      </x:c>
      <x:c r="I166" s="48" t="n">
        <x:f>IF(A166="QB",'League Config'!$F$14,IF(A166="RB",'League Config'!$F$15,IF(A166="WR",'League Config'!$F$16,IF(A166="TE",'League Config'!$F$17,IF(A166="K",'League Config'!$F$18,'League Config'!$F$19)))))</x:f>
        <x:v>73.645</x:v>
      </x:c>
      <x:c r="J166" s="48" t="n">
        <x:f>G166-I166</x:f>
        <x:v>-9.485</x:v>
      </x:c>
      <x:c r="K166" s="48" t="n">
        <x:f>MAX(0,MIN(100,50+J166*6))</x:f>
        <x:v>0</x:v>
      </x:c>
      <x:c r="L166" s="48" t="n">
        <x:f>MIN(100,MAX(0,MIN(100,(1-(B166-1)/(H166*1.5))*100))*IF(A166="QB",'League Config'!$G$14,IF(A166="RB",'League Config'!$G$15,IF(A166="WR",'League Config'!$G$16,IF(A166="TE",'League Config'!$G$17,IF(A166="K",'League Config'!$G$18,'League Config'!$G$19))))))</x:f>
        <x:v>0</x:v>
      </x:c>
      <x:c r="M166" t="n">
        <x:f>IF(A166="K",'League Config'!$B$15,IF(A166="DST",'League Config'!$B$16,IF(A166="QB",'League Config'!$B$17,0)))</x:f>
        <x:v>0</x:v>
      </x:c>
      <x:c r="N166" s="48" t="n">
        <x:f>MIN(100,MAX(0,0.55*G166+0.30*K166+0.15*L166-M166))</x:f>
        <x:v>35.288000000000004</x:v>
      </x:c>
      <x:c r="O166" t="n">
        <x:f>RANK.EQ(N166,$N$5:$N$227,0)</x:f>
        <x:v>178</x:v>
      </x:c>
      <x:c r="P166" s="110" t="n">
        <x:v>205.79999999999998</x:v>
      </x:c>
      <x:c r="Q166" s="48" t="n">
        <x:f>P166-O166</x:f>
        <x:v>27.799999999999983</x:v>
      </x:c>
      <x:c r="R166" s="48" t="n">
        <x:f>MAX(40,G166-IF(U166="A",6,IF(U166="B",9,12)))</x:f>
        <x:v>52.16</x:v>
      </x:c>
      <x:c r="S166" s="48" t="n">
        <x:f>G166</x:f>
        <x:v>64.16</x:v>
      </x:c>
      <x:c r="T166" s="48" t="n">
        <x:f>MIN(100,G166+IF(U166="A",6,IF(U166="B",9,12)))</x:f>
        <x:v>76.16</x:v>
      </x:c>
      <x:c r="U166" t="str">
        <x:v>C</x:v>
      </x:c>
      <x:c r="V166" t="str">
        <x:v>HISTORY FALLBACK</x:v>
      </x:c>
      <x:c r="W166" s="109" t="str">
        <x:v>Available</x:v>
      </x:c>
      <x:c r="X166" t="n">
        <x:f>IF(W166&lt;&gt;"Available","",1+COUNTIFS($W$5:$W$227,"Available",$N$5:$N$227,"&gt;"&amp;N166))</x:f>
        <x:v>178</x:v>
      </x:c>
      <x:c r="Y166" s="98" t="str">
        <x:v>EXPECTATION: Late-round bench upside; role growth is required for weekly relevance.  WHY: He produced 10.3 PPR/FP points per game across 16 games. The workload/efficiency profile gives the model a rate-based reason to keep him here. Market price is favorable around ADP 206 versus model overall rank 178.  RISK: Target competition, quarterback efficiency and touchdown regression are the main downside paths.</x:v>
      </x:c>
      <x:c r="Z166" t="str">
        <x:v>ADP proxy — editable; based on positional draft cost</x:v>
      </x:c>
    </x:row>
    <x:row r="167">
      <x:c r="A167" t="str">
        <x:v>WR</x:v>
      </x:c>
      <x:c r="B167" t="n">
        <x:v>54</x:v>
      </x:c>
      <x:c r="C167" t="str">
        <x:v>Jalen Coker</x:v>
      </x:c>
      <x:c r="D167" s="48" t="n">
        <x:v>63.489999999999995</x:v>
      </x:c>
      <x:c r="E167" s="48" t="n">
        <x:f>SUMIFS('Manual Adjustments'!$G$5:$G$227,'Manual Adjustments'!$A$5:$A$227,A167,'Manual Adjustments'!$B$5:$B$227,C167)</x:f>
        <x:v>0</x:v>
      </x:c>
      <x:c r="F167" s="48" t="n">
        <x:f>IFERROR(SUMIFS('Rookie College Inputs'!$I$5:$I$13,'Rookie College Inputs'!$A$5:$A$13,C167),0)</x:f>
        <x:v>0</x:v>
      </x:c>
      <x:c r="G167" s="48" t="n">
        <x:f>MAX(40,MIN(100,D167+E167+F167))</x:f>
        <x:v>63.489999999999995</x:v>
      </x:c>
      <x:c r="H167" t="n">
        <x:f>IF(A167="QB",'League Config'!$H$5,IF(A167="RB",'League Config'!$H$6,IF(A167="WR",'League Config'!$H$7,IF(A167="TE",'League Config'!$H$8,IF(A167="K",'League Config'!$H$9,'League Config'!$H$10)))))</x:f>
        <x:v>33</x:v>
      </x:c>
      <x:c r="I167" s="48" t="n">
        <x:f>IF(A167="QB",'League Config'!$F$14,IF(A167="RB",'League Config'!$F$15,IF(A167="WR",'League Config'!$F$16,IF(A167="TE",'League Config'!$F$17,IF(A167="K",'League Config'!$F$18,'League Config'!$F$19)))))</x:f>
        <x:v>73.645</x:v>
      </x:c>
      <x:c r="J167" s="48" t="n">
        <x:f>G167-I167</x:f>
        <x:v>-10.155000000000001</x:v>
      </x:c>
      <x:c r="K167" s="48" t="n">
        <x:f>MAX(0,MIN(100,50+J167*6))</x:f>
        <x:v>0</x:v>
      </x:c>
      <x:c r="L167" s="48" t="n">
        <x:f>MIN(100,MAX(0,MIN(100,(1-(B167-1)/(H167*1.5))*100))*IF(A167="QB",'League Config'!$G$14,IF(A167="RB",'League Config'!$G$15,IF(A167="WR",'League Config'!$G$16,IF(A167="TE",'League Config'!$G$17,IF(A167="K",'League Config'!$G$18,'League Config'!$G$19))))))</x:f>
        <x:v>0</x:v>
      </x:c>
      <x:c r="M167" t="n">
        <x:f>IF(A167="K",'League Config'!$B$15,IF(A167="DST",'League Config'!$B$16,IF(A167="QB",'League Config'!$B$17,0)))</x:f>
        <x:v>0</x:v>
      </x:c>
      <x:c r="N167" s="48" t="n">
        <x:f>MIN(100,MAX(0,0.55*G167+0.30*K167+0.15*L167-M167))</x:f>
        <x:v>34.9195</x:v>
      </x:c>
      <x:c r="O167" t="n">
        <x:f>RANK.EQ(N167,$N$5:$N$227,0)</x:f>
        <x:v>179</x:v>
      </x:c>
      <x:c r="P167" s="110" t="n">
        <x:v>209.7</x:v>
      </x:c>
      <x:c r="Q167" s="48" t="n">
        <x:f>P167-O167</x:f>
        <x:v>30.69999999999999</x:v>
      </x:c>
      <x:c r="R167" s="48" t="n">
        <x:f>MAX(40,G167-IF(U167="A",6,IF(U167="B",9,12)))</x:f>
        <x:v>51.489999999999995</x:v>
      </x:c>
      <x:c r="S167" s="48" t="n">
        <x:f>G167</x:f>
        <x:v>63.489999999999995</x:v>
      </x:c>
      <x:c r="T167" s="48" t="n">
        <x:f>MIN(100,G167+IF(U167="A",6,IF(U167="B",9,12)))</x:f>
        <x:v>75.49</x:v>
      </x:c>
      <x:c r="U167" t="str">
        <x:v>C</x:v>
      </x:c>
      <x:c r="V167" t="str">
        <x:v>HISTORY FALLBACK</x:v>
      </x:c>
      <x:c r="W167" s="109" t="str">
        <x:v>Available</x:v>
      </x:c>
      <x:c r="X167" t="n">
        <x:f>IF(W167&lt;&gt;"Available","",1+COUNTIFS($W$5:$W$227,"Available",$N$5:$N$227,"&gt;"&amp;N167))</x:f>
        <x:v>179</x:v>
      </x:c>
      <x:c r="Y167" s="98" t="str">
        <x:v>EXPECTATION: Late-round bench upside; role growth is required for weekly relevance.  WHY: He produced 8.2 PPR/FP points per game across 11 games. The workload/efficiency profile gives the model a rate-based reason to keep him here. Market price is favorable around ADP 210 versus model overall rank 179.  RISK: Target competition, quarterback efficiency and touchdown regression are the main downside paths.</x:v>
      </x:c>
      <x:c r="Z167" t="str">
        <x:v>ADP proxy — editable; based on positional draft cost</x:v>
      </x:c>
    </x:row>
    <x:row r="168">
      <x:c r="A168" t="str">
        <x:v>WR</x:v>
      </x:c>
      <x:c r="B168" t="n">
        <x:v>55</x:v>
      </x:c>
      <x:c r="C168" t="str">
        <x:v>KC Concepcion</x:v>
      </x:c>
      <x:c r="D168" s="48" t="n">
        <x:v>62.82</x:v>
      </x:c>
      <x:c r="E168" s="48" t="n">
        <x:f>SUMIFS('Manual Adjustments'!$G$5:$G$227,'Manual Adjustments'!$A$5:$A$227,A168,'Manual Adjustments'!$B$5:$B$227,C168)</x:f>
        <x:v>0</x:v>
      </x:c>
      <x:c r="F168" s="48" t="n">
        <x:f>IFERROR(SUMIFS('Rookie College Inputs'!$I$5:$I$13,'Rookie College Inputs'!$A$5:$A$13,C168),0)</x:f>
        <x:v>0</x:v>
      </x:c>
      <x:c r="G168" s="48" t="n">
        <x:f>MAX(40,MIN(100,D168+E168+F168))</x:f>
        <x:v>62.82</x:v>
      </x:c>
      <x:c r="H168" t="n">
        <x:f>IF(A168="QB",'League Config'!$H$5,IF(A168="RB",'League Config'!$H$6,IF(A168="WR",'League Config'!$H$7,IF(A168="TE",'League Config'!$H$8,IF(A168="K",'League Config'!$H$9,'League Config'!$H$10)))))</x:f>
        <x:v>33</x:v>
      </x:c>
      <x:c r="I168" s="48" t="n">
        <x:f>IF(A168="QB",'League Config'!$F$14,IF(A168="RB",'League Config'!$F$15,IF(A168="WR",'League Config'!$F$16,IF(A168="TE",'League Config'!$F$17,IF(A168="K",'League Config'!$F$18,'League Config'!$F$19)))))</x:f>
        <x:v>73.645</x:v>
      </x:c>
      <x:c r="J168" s="48" t="n">
        <x:f>G168-I168</x:f>
        <x:v>-10.824999999999996</x:v>
      </x:c>
      <x:c r="K168" s="48" t="n">
        <x:f>MAX(0,MIN(100,50+J168*6))</x:f>
        <x:v>0</x:v>
      </x:c>
      <x:c r="L168" s="48" t="n">
        <x:f>MIN(100,MAX(0,MIN(100,(1-(B168-1)/(H168*1.5))*100))*IF(A168="QB",'League Config'!$G$14,IF(A168="RB",'League Config'!$G$15,IF(A168="WR",'League Config'!$G$16,IF(A168="TE",'League Config'!$G$17,IF(A168="K",'League Config'!$G$18,'League Config'!$G$19))))))</x:f>
        <x:v>0</x:v>
      </x:c>
      <x:c r="M168" t="n">
        <x:f>IF(A168="K",'League Config'!$B$15,IF(A168="DST",'League Config'!$B$16,IF(A168="QB",'League Config'!$B$17,0)))</x:f>
        <x:v>0</x:v>
      </x:c>
      <x:c r="N168" s="48" t="n">
        <x:f>MIN(100,MAX(0,0.55*G168+0.30*K168+0.15*L168-M168))</x:f>
        <x:v>34.551</x:v>
      </x:c>
      <x:c r="O168" t="n">
        <x:f>RANK.EQ(N168,$N$5:$N$227,0)</x:f>
        <x:v>181</x:v>
      </x:c>
      <x:c r="P168" s="110" t="n">
        <x:v>213.6</x:v>
      </x:c>
      <x:c r="Q168" s="48" t="n">
        <x:f>P168-O168</x:f>
        <x:v>32.599999999999994</x:v>
      </x:c>
      <x:c r="R168" s="48" t="n">
        <x:f>MAX(40,G168-IF(U168="A",6,IF(U168="B",9,12)))</x:f>
        <x:v>50.82</x:v>
      </x:c>
      <x:c r="S168" s="48" t="n">
        <x:f>G168</x:f>
        <x:v>62.82</x:v>
      </x:c>
      <x:c r="T168" s="48" t="n">
        <x:f>MIN(100,G168+IF(U168="A",6,IF(U168="B",9,12)))</x:f>
        <x:v>74.82</x:v>
      </x:c>
      <x:c r="U168" t="str">
        <x:v>C</x:v>
      </x:c>
      <x:c r="V168" t="str">
        <x:v>HISTORY FALLBACK</x:v>
      </x:c>
      <x:c r="W168" s="109" t="str">
        <x:v>Available</x:v>
      </x:c>
      <x:c r="X168" t="n">
        <x:f>IF(W168&lt;&gt;"Available","",1+COUNTIFS($W$5:$W$227,"Available",$N$5:$N$227,"&gt;"&amp;N168))</x:f>
        <x:v>181</x:v>
      </x:c>
      <x:c r="Y168" s="98" t="str">
        <x:v>EXPECTATION: Late-round bench upside; role growth is required for weekly relevance.  WHY: Rookie score 85.3, backed by No. 24 draft capital and a 6.42 NFL prospect grade. The 2026 role projection is strong enough to replace missing NFL history. Market price is favorable around ADP 214 versus model overall rank 181.  RISK: NFL translation and exact weekly role are the main variables; preseason first-team usage can move this rating quickly.</x:v>
      </x:c>
      <x:c r="Z168" t="str">
        <x:v>ADP proxy — editable; based on positional draft cost</x:v>
      </x:c>
    </x:row>
    <x:row r="169">
      <x:c r="A169" t="str">
        <x:v>WR</x:v>
      </x:c>
      <x:c r="B169" t="n">
        <x:v>56</x:v>
      </x:c>
      <x:c r="C169" t="str">
        <x:v>Rashid Shaheed</x:v>
      </x:c>
      <x:c r="D169" s="48" t="n">
        <x:v>62.15</x:v>
      </x:c>
      <x:c r="E169" s="48" t="n">
        <x:f>SUMIFS('Manual Adjustments'!$G$5:$G$227,'Manual Adjustments'!$A$5:$A$227,A169,'Manual Adjustments'!$B$5:$B$227,C169)</x:f>
        <x:v>0</x:v>
      </x:c>
      <x:c r="F169" s="48" t="n">
        <x:f>IFERROR(SUMIFS('Rookie College Inputs'!$I$5:$I$13,'Rookie College Inputs'!$A$5:$A$13,C169),0)</x:f>
        <x:v>0</x:v>
      </x:c>
      <x:c r="G169" s="48" t="n">
        <x:f>MAX(40,MIN(100,D169+E169+F169))</x:f>
        <x:v>62.15</x:v>
      </x:c>
      <x:c r="H169" t="n">
        <x:f>IF(A169="QB",'League Config'!$H$5,IF(A169="RB",'League Config'!$H$6,IF(A169="WR",'League Config'!$H$7,IF(A169="TE",'League Config'!$H$8,IF(A169="K",'League Config'!$H$9,'League Config'!$H$10)))))</x:f>
        <x:v>33</x:v>
      </x:c>
      <x:c r="I169" s="48" t="n">
        <x:f>IF(A169="QB",'League Config'!$F$14,IF(A169="RB",'League Config'!$F$15,IF(A169="WR",'League Config'!$F$16,IF(A169="TE",'League Config'!$F$17,IF(A169="K",'League Config'!$F$18,'League Config'!$F$19)))))</x:f>
        <x:v>73.645</x:v>
      </x:c>
      <x:c r="J169" s="48" t="n">
        <x:f>G169-I169</x:f>
        <x:v>-11.494999999999997</x:v>
      </x:c>
      <x:c r="K169" s="48" t="n">
        <x:f>MAX(0,MIN(100,50+J169*6))</x:f>
        <x:v>0</x:v>
      </x:c>
      <x:c r="L169" s="48" t="n">
        <x:f>MIN(100,MAX(0,MIN(100,(1-(B169-1)/(H169*1.5))*100))*IF(A169="QB",'League Config'!$G$14,IF(A169="RB",'League Config'!$G$15,IF(A169="WR",'League Config'!$G$16,IF(A169="TE",'League Config'!$G$17,IF(A169="K",'League Config'!$G$18,'League Config'!$G$19))))))</x:f>
        <x:v>0</x:v>
      </x:c>
      <x:c r="M169" t="n">
        <x:f>IF(A169="K",'League Config'!$B$15,IF(A169="DST",'League Config'!$B$16,IF(A169="QB",'League Config'!$B$17,0)))</x:f>
        <x:v>0</x:v>
      </x:c>
      <x:c r="N169" s="48" t="n">
        <x:f>MIN(100,MAX(0,0.55*G169+0.30*K169+0.15*L169-M169))</x:f>
        <x:v>34.182500000000005</x:v>
      </x:c>
      <x:c r="O169" t="n">
        <x:f>RANK.EQ(N169,$N$5:$N$227,0)</x:f>
        <x:v>184</x:v>
      </x:c>
      <x:c r="P169" s="110" t="n">
        <x:v>217.5</x:v>
      </x:c>
      <x:c r="Q169" s="48" t="n">
        <x:f>P169-O169</x:f>
        <x:v>33.5</x:v>
      </x:c>
      <x:c r="R169" s="48" t="n">
        <x:f>MAX(40,G169-IF(U169="A",6,IF(U169="B",9,12)))</x:f>
        <x:v>50.15</x:v>
      </x:c>
      <x:c r="S169" s="48" t="n">
        <x:f>G169</x:f>
        <x:v>62.15</x:v>
      </x:c>
      <x:c r="T169" s="48" t="n">
        <x:f>MIN(100,G169+IF(U169="A",6,IF(U169="B",9,12)))</x:f>
        <x:v>74.15</x:v>
      </x:c>
      <x:c r="U169" t="str">
        <x:v>C</x:v>
      </x:c>
      <x:c r="V169" t="str">
        <x:v>HISTORY FALLBACK</x:v>
      </x:c>
      <x:c r="W169" s="109" t="str">
        <x:v>Available</x:v>
      </x:c>
      <x:c r="X169" t="n">
        <x:f>IF(W169&lt;&gt;"Available","",1+COUNTIFS($W$5:$W$227,"Available",$N$5:$N$227,"&gt;"&amp;N169))</x:f>
        <x:v>184</x:v>
      </x:c>
      <x:c r="Y169" s="98" t="str">
        <x:v>EXPECTATION: Late-round bench upside; role growth is required for weekly relevance.  WHY: He produced 8.7 PPR/FP points per game across 18 games. The workload/efficiency profile gives the model a rate-based reason to keep him here. Market price is favorable around ADP 218 versus model overall rank 184.  RISK: Target competition, quarterback efficiency and touchdown regression are the main downside paths.</x:v>
      </x:c>
      <x:c r="Z169" t="str">
        <x:v>ADP proxy — editable; based on positional draft cost</x:v>
      </x:c>
    </x:row>
    <x:row r="170">
      <x:c r="A170" t="str">
        <x:v>WR</x:v>
      </x:c>
      <x:c r="B170" t="n">
        <x:v>57</x:v>
      </x:c>
      <x:c r="C170" t="str">
        <x:v>Calvin Ridley</x:v>
      </x:c>
      <x:c r="D170" s="48" t="n">
        <x:v>61.48</x:v>
      </x:c>
      <x:c r="E170" s="48" t="n">
        <x:f>SUMIFS('Manual Adjustments'!$G$5:$G$227,'Manual Adjustments'!$A$5:$A$227,A170,'Manual Adjustments'!$B$5:$B$227,C170)</x:f>
        <x:v>0</x:v>
      </x:c>
      <x:c r="F170" s="48" t="n">
        <x:f>IFERROR(SUMIFS('Rookie College Inputs'!$I$5:$I$13,'Rookie College Inputs'!$A$5:$A$13,C170),0)</x:f>
        <x:v>0</x:v>
      </x:c>
      <x:c r="G170" s="48" t="n">
        <x:f>MAX(40,MIN(100,D170+E170+F170))</x:f>
        <x:v>61.48</x:v>
      </x:c>
      <x:c r="H170" t="n">
        <x:f>IF(A170="QB",'League Config'!$H$5,IF(A170="RB",'League Config'!$H$6,IF(A170="WR",'League Config'!$H$7,IF(A170="TE",'League Config'!$H$8,IF(A170="K",'League Config'!$H$9,'League Config'!$H$10)))))</x:f>
        <x:v>33</x:v>
      </x:c>
      <x:c r="I170" s="48" t="n">
        <x:f>IF(A170="QB",'League Config'!$F$14,IF(A170="RB",'League Config'!$F$15,IF(A170="WR",'League Config'!$F$16,IF(A170="TE",'League Config'!$F$17,IF(A170="K",'League Config'!$F$18,'League Config'!$F$19)))))</x:f>
        <x:v>73.645</x:v>
      </x:c>
      <x:c r="J170" s="48" t="n">
        <x:f>G170-I170</x:f>
        <x:v>-12.165</x:v>
      </x:c>
      <x:c r="K170" s="48" t="n">
        <x:f>MAX(0,MIN(100,50+J170*6))</x:f>
        <x:v>0</x:v>
      </x:c>
      <x:c r="L170" s="48" t="n">
        <x:f>MIN(100,MAX(0,MIN(100,(1-(B170-1)/(H170*1.5))*100))*IF(A170="QB",'League Config'!$G$14,IF(A170="RB",'League Config'!$G$15,IF(A170="WR",'League Config'!$G$16,IF(A170="TE",'League Config'!$G$17,IF(A170="K",'League Config'!$G$18,'League Config'!$G$19))))))</x:f>
        <x:v>0</x:v>
      </x:c>
      <x:c r="M170" t="n">
        <x:f>IF(A170="K",'League Config'!$B$15,IF(A170="DST",'League Config'!$B$16,IF(A170="QB",'League Config'!$B$17,0)))</x:f>
        <x:v>0</x:v>
      </x:c>
      <x:c r="N170" s="48" t="n">
        <x:f>MIN(100,MAX(0,0.55*G170+0.30*K170+0.15*L170-M170))</x:f>
        <x:v>33.814</x:v>
      </x:c>
      <x:c r="O170" t="n">
        <x:f>RANK.EQ(N170,$N$5:$N$227,0)</x:f>
        <x:v>185</x:v>
      </x:c>
      <x:c r="P170" s="110" t="n">
        <x:v>221.4</x:v>
      </x:c>
      <x:c r="Q170" s="48" t="n">
        <x:f>P170-O170</x:f>
        <x:v>36.400000000000006</x:v>
      </x:c>
      <x:c r="R170" s="48" t="n">
        <x:f>MAX(40,G170-IF(U170="A",6,IF(U170="B",9,12)))</x:f>
        <x:v>49.48</x:v>
      </x:c>
      <x:c r="S170" s="48" t="n">
        <x:f>G170</x:f>
        <x:v>61.48</x:v>
      </x:c>
      <x:c r="T170" s="48" t="n">
        <x:f>MIN(100,G170+IF(U170="A",6,IF(U170="B",9,12)))</x:f>
        <x:v>73.47999999999999</x:v>
      </x:c>
      <x:c r="U170" t="str">
        <x:v>C</x:v>
      </x:c>
      <x:c r="V170" t="str">
        <x:v>HISTORY FALLBACK</x:v>
      </x:c>
      <x:c r="W170" s="109" t="str">
        <x:v>Available</x:v>
      </x:c>
      <x:c r="X170" t="n">
        <x:f>IF(W170&lt;&gt;"Available","",1+COUNTIFS($W$5:$W$227,"Available",$N$5:$N$227,"&gt;"&amp;N170))</x:f>
        <x:v>185</x:v>
      </x:c>
      <x:c r="Y170" s="98" t="str">
        <x:v>EXPECTATION: Late-round bench upside; role growth is required for weekly relevance.  WHY: The 2026 opportunity and projection carry most of the grade because detailed 2025 rate data is incomplete. Market price is favorable around ADP 221 versus model overall rank 185.  RISK: Evidence is thinner than for established veterans, so camp, depth-chart and role news can move the grade materially.</x:v>
      </x:c>
      <x:c r="Z170" t="str">
        <x:v>ADP proxy — editable; based on positional draft cost</x:v>
      </x:c>
    </x:row>
    <x:row r="171">
      <x:c r="A171" t="str">
        <x:v>WR</x:v>
      </x:c>
      <x:c r="B171" t="n">
        <x:v>58</x:v>
      </x:c>
      <x:c r="C171" t="str">
        <x:v>Omar Cooper Jr.</x:v>
      </x:c>
      <x:c r="D171" s="48" t="n">
        <x:v>60.809999999999995</x:v>
      </x:c>
      <x:c r="E171" s="48" t="n">
        <x:f>SUMIFS('Manual Adjustments'!$G$5:$G$227,'Manual Adjustments'!$A$5:$A$227,A171,'Manual Adjustments'!$B$5:$B$227,C171)</x:f>
        <x:v>0</x:v>
      </x:c>
      <x:c r="F171" s="48" t="n">
        <x:f>IFERROR(SUMIFS('Rookie College Inputs'!$I$5:$I$13,'Rookie College Inputs'!$A$5:$A$13,C171),0)</x:f>
        <x:v>0</x:v>
      </x:c>
      <x:c r="G171" s="48" t="n">
        <x:f>MAX(40,MIN(100,D171+E171+F171))</x:f>
        <x:v>60.809999999999995</x:v>
      </x:c>
      <x:c r="H171" t="n">
        <x:f>IF(A171="QB",'League Config'!$H$5,IF(A171="RB",'League Config'!$H$6,IF(A171="WR",'League Config'!$H$7,IF(A171="TE",'League Config'!$H$8,IF(A171="K",'League Config'!$H$9,'League Config'!$H$10)))))</x:f>
        <x:v>33</x:v>
      </x:c>
      <x:c r="I171" s="48" t="n">
        <x:f>IF(A171="QB",'League Config'!$F$14,IF(A171="RB",'League Config'!$F$15,IF(A171="WR",'League Config'!$F$16,IF(A171="TE",'League Config'!$F$17,IF(A171="K",'League Config'!$F$18,'League Config'!$F$19)))))</x:f>
        <x:v>73.645</x:v>
      </x:c>
      <x:c r="J171" s="48" t="n">
        <x:f>G171-I171</x:f>
        <x:v>-12.835</x:v>
      </x:c>
      <x:c r="K171" s="48" t="n">
        <x:f>MAX(0,MIN(100,50+J171*6))</x:f>
        <x:v>0</x:v>
      </x:c>
      <x:c r="L171" s="48" t="n">
        <x:f>MIN(100,MAX(0,MIN(100,(1-(B171-1)/(H171*1.5))*100))*IF(A171="QB",'League Config'!$G$14,IF(A171="RB",'League Config'!$G$15,IF(A171="WR",'League Config'!$G$16,IF(A171="TE",'League Config'!$G$17,IF(A171="K",'League Config'!$G$18,'League Config'!$G$19))))))</x:f>
        <x:v>0</x:v>
      </x:c>
      <x:c r="M171" t="n">
        <x:f>IF(A171="K",'League Config'!$B$15,IF(A171="DST",'League Config'!$B$16,IF(A171="QB",'League Config'!$B$17,0)))</x:f>
        <x:v>0</x:v>
      </x:c>
      <x:c r="N171" s="48" t="n">
        <x:f>MIN(100,MAX(0,0.55*G171+0.30*K171+0.15*L171-M171))</x:f>
        <x:v>33.4455</x:v>
      </x:c>
      <x:c r="O171" t="n">
        <x:f>RANK.EQ(N171,$N$5:$N$227,0)</x:f>
        <x:v>186</x:v>
      </x:c>
      <x:c r="P171" s="110" t="n">
        <x:v>225.29999999999998</x:v>
      </x:c>
      <x:c r="Q171" s="48" t="n">
        <x:f>P171-O171</x:f>
        <x:v>39.29999999999998</x:v>
      </x:c>
      <x:c r="R171" s="48" t="n">
        <x:f>MAX(40,G171-IF(U171="A",6,IF(U171="B",9,12)))</x:f>
        <x:v>48.809999999999995</x:v>
      </x:c>
      <x:c r="S171" s="48" t="n">
        <x:f>G171</x:f>
        <x:v>60.809999999999995</x:v>
      </x:c>
      <x:c r="T171" s="48" t="n">
        <x:f>MIN(100,G171+IF(U171="A",6,IF(U171="B",9,12)))</x:f>
        <x:v>72.81</x:v>
      </x:c>
      <x:c r="U171" t="str">
        <x:v>C</x:v>
      </x:c>
      <x:c r="V171" t="str">
        <x:v>HISTORY FALLBACK</x:v>
      </x:c>
      <x:c r="W171" s="109" t="str">
        <x:v>Available</x:v>
      </x:c>
      <x:c r="X171" t="n">
        <x:f>IF(W171&lt;&gt;"Available","",1+COUNTIFS($W$5:$W$227,"Available",$N$5:$N$227,"&gt;"&amp;N171))</x:f>
        <x:v>186</x:v>
      </x:c>
      <x:c r="Y171" s="98" t="str">
        <x:v>EXPECTATION: Late-round bench upside; role growth is required for weekly relevance.  WHY: Rookie score 82.1, backed by No. 30 draft capital and a 6.39 NFL prospect grade. The 2026 role projection is strong enough to replace missing NFL history. Market price is favorable around ADP 225 versus model overall rank 186.  RISK: NFL translation and exact weekly role are the main variables; preseason first-team usage can move this rating quickly.</x:v>
      </x:c>
      <x:c r="Z171" t="str">
        <x:v>ADP proxy — editable; based on positional draft cost</x:v>
      </x:c>
    </x:row>
    <x:row r="172">
      <x:c r="A172" t="str">
        <x:v>WR</x:v>
      </x:c>
      <x:c r="B172" t="n">
        <x:v>59</x:v>
      </x:c>
      <x:c r="C172" t="str">
        <x:v>Jerry Jeudy</x:v>
      </x:c>
      <x:c r="D172" s="48" t="n">
        <x:v>60.14</x:v>
      </x:c>
      <x:c r="E172" s="48" t="n">
        <x:f>SUMIFS('Manual Adjustments'!$G$5:$G$227,'Manual Adjustments'!$A$5:$A$227,A172,'Manual Adjustments'!$B$5:$B$227,C172)</x:f>
        <x:v>0</x:v>
      </x:c>
      <x:c r="F172" s="48" t="n">
        <x:f>IFERROR(SUMIFS('Rookie College Inputs'!$I$5:$I$13,'Rookie College Inputs'!$A$5:$A$13,C172),0)</x:f>
        <x:v>0</x:v>
      </x:c>
      <x:c r="G172" s="48" t="n">
        <x:f>MAX(40,MIN(100,D172+E172+F172))</x:f>
        <x:v>60.14</x:v>
      </x:c>
      <x:c r="H172" t="n">
        <x:f>IF(A172="QB",'League Config'!$H$5,IF(A172="RB",'League Config'!$H$6,IF(A172="WR",'League Config'!$H$7,IF(A172="TE",'League Config'!$H$8,IF(A172="K",'League Config'!$H$9,'League Config'!$H$10)))))</x:f>
        <x:v>33</x:v>
      </x:c>
      <x:c r="I172" s="48" t="n">
        <x:f>IF(A172="QB",'League Config'!$F$14,IF(A172="RB",'League Config'!$F$15,IF(A172="WR",'League Config'!$F$16,IF(A172="TE",'League Config'!$F$17,IF(A172="K",'League Config'!$F$18,'League Config'!$F$19)))))</x:f>
        <x:v>73.645</x:v>
      </x:c>
      <x:c r="J172" s="48" t="n">
        <x:f>G172-I172</x:f>
        <x:v>-13.504999999999995</x:v>
      </x:c>
      <x:c r="K172" s="48" t="n">
        <x:f>MAX(0,MIN(100,50+J172*6))</x:f>
        <x:v>0</x:v>
      </x:c>
      <x:c r="L172" s="48" t="n">
        <x:f>MIN(100,MAX(0,MIN(100,(1-(B172-1)/(H172*1.5))*100))*IF(A172="QB",'League Config'!$G$14,IF(A172="RB",'League Config'!$G$15,IF(A172="WR",'League Config'!$G$16,IF(A172="TE",'League Config'!$G$17,IF(A172="K",'League Config'!$G$18,'League Config'!$G$19))))))</x:f>
        <x:v>0</x:v>
      </x:c>
      <x:c r="M172" t="n">
        <x:f>IF(A172="K",'League Config'!$B$15,IF(A172="DST",'League Config'!$B$16,IF(A172="QB",'League Config'!$B$17,0)))</x:f>
        <x:v>0</x:v>
      </x:c>
      <x:c r="N172" s="48" t="n">
        <x:f>MIN(100,MAX(0,0.55*G172+0.30*K172+0.15*L172-M172))</x:f>
        <x:v>33.077000000000005</x:v>
      </x:c>
      <x:c r="O172" t="n">
        <x:f>RANK.EQ(N172,$N$5:$N$227,0)</x:f>
        <x:v>189</x:v>
      </x:c>
      <x:c r="P172" s="110" t="n">
        <x:v>229.2</x:v>
      </x:c>
      <x:c r="Q172" s="48" t="n">
        <x:f>P172-O172</x:f>
        <x:v>40.19999999999999</x:v>
      </x:c>
      <x:c r="R172" s="48" t="n">
        <x:f>MAX(40,G172-IF(U172="A",6,IF(U172="B",9,12)))</x:f>
        <x:v>48.14</x:v>
      </x:c>
      <x:c r="S172" s="48" t="n">
        <x:f>G172</x:f>
        <x:v>60.14</x:v>
      </x:c>
      <x:c r="T172" s="48" t="n">
        <x:f>MIN(100,G172+IF(U172="A",6,IF(U172="B",9,12)))</x:f>
        <x:v>72.14</x:v>
      </x:c>
      <x:c r="U172" t="str">
        <x:v>C</x:v>
      </x:c>
      <x:c r="V172" t="str">
        <x:v>HISTORY FALLBACK</x:v>
      </x:c>
      <x:c r="W172" s="109" t="str">
        <x:v>Available</x:v>
      </x:c>
      <x:c r="X172" t="n">
        <x:f>IF(W172&lt;&gt;"Available","",1+COUNTIFS($W$5:$W$227,"Available",$N$5:$N$227,"&gt;"&amp;N172))</x:f>
        <x:v>189</x:v>
      </x:c>
      <x:c r="Y172" s="98" t="str">
        <x:v>EXPECTATION: Late-round bench upside; role growth is required for weekly relevance.  WHY: He produced 7.1 PPR/FP points per game across 17 games. The workload/efficiency profile gives the model a rate-based reason to keep him here. Market price is favorable around ADP 229 versus model overall rank 189.  RISK: Target competition, quarterback efficiency and touchdown regression are the main downside paths.</x:v>
      </x:c>
      <x:c r="Z172" t="str">
        <x:v>ADP proxy — editable; based on positional draft cost</x:v>
      </x:c>
    </x:row>
    <x:row r="173">
      <x:c r="A173" t="str">
        <x:v>WR</x:v>
      </x:c>
      <x:c r="B173" t="n">
        <x:v>60</x:v>
      </x:c>
      <x:c r="C173" t="str">
        <x:v>Jalen Nailor</x:v>
      </x:c>
      <x:c r="D173" s="48" t="n">
        <x:v>59.47</x:v>
      </x:c>
      <x:c r="E173" s="48" t="n">
        <x:f>SUMIFS('Manual Adjustments'!$G$5:$G$227,'Manual Adjustments'!$A$5:$A$227,A173,'Manual Adjustments'!$B$5:$B$227,C173)</x:f>
        <x:v>0</x:v>
      </x:c>
      <x:c r="F173" s="48" t="n">
        <x:f>IFERROR(SUMIFS('Rookie College Inputs'!$I$5:$I$13,'Rookie College Inputs'!$A$5:$A$13,C173),0)</x:f>
        <x:v>0</x:v>
      </x:c>
      <x:c r="G173" s="48" t="n">
        <x:f>MAX(40,MIN(100,D173+E173+F173))</x:f>
        <x:v>59.47</x:v>
      </x:c>
      <x:c r="H173" t="n">
        <x:f>IF(A173="QB",'League Config'!$H$5,IF(A173="RB",'League Config'!$H$6,IF(A173="WR",'League Config'!$H$7,IF(A173="TE",'League Config'!$H$8,IF(A173="K",'League Config'!$H$9,'League Config'!$H$10)))))</x:f>
        <x:v>33</x:v>
      </x:c>
      <x:c r="I173" s="48" t="n">
        <x:f>IF(A173="QB",'League Config'!$F$14,IF(A173="RB",'League Config'!$F$15,IF(A173="WR",'League Config'!$F$16,IF(A173="TE",'League Config'!$F$17,IF(A173="K",'League Config'!$F$18,'League Config'!$F$19)))))</x:f>
        <x:v>73.645</x:v>
      </x:c>
      <x:c r="J173" s="48" t="n">
        <x:f>G173-I173</x:f>
        <x:v>-14.174999999999997</x:v>
      </x:c>
      <x:c r="K173" s="48" t="n">
        <x:f>MAX(0,MIN(100,50+J173*6))</x:f>
        <x:v>0</x:v>
      </x:c>
      <x:c r="L173" s="48" t="n">
        <x:f>MIN(100,MAX(0,MIN(100,(1-(B173-1)/(H173*1.5))*100))*IF(A173="QB",'League Config'!$G$14,IF(A173="RB",'League Config'!$G$15,IF(A173="WR",'League Config'!$G$16,IF(A173="TE",'League Config'!$G$17,IF(A173="K",'League Config'!$G$18,'League Config'!$G$19))))))</x:f>
        <x:v>0</x:v>
      </x:c>
      <x:c r="M173" t="n">
        <x:f>IF(A173="K",'League Config'!$B$15,IF(A173="DST",'League Config'!$B$16,IF(A173="QB",'League Config'!$B$17,0)))</x:f>
        <x:v>0</x:v>
      </x:c>
      <x:c r="N173" s="48" t="n">
        <x:f>MIN(100,MAX(0,0.55*G173+0.30*K173+0.15*L173-M173))</x:f>
        <x:v>32.7085</x:v>
      </x:c>
      <x:c r="O173" t="n">
        <x:f>RANK.EQ(N173,$N$5:$N$227,0)</x:f>
        <x:v>190</x:v>
      </x:c>
      <x:c r="P173" s="110" t="n">
        <x:v>233.1</x:v>
      </x:c>
      <x:c r="Q173" s="48" t="n">
        <x:f>P173-O173</x:f>
        <x:v>43.099999999999994</x:v>
      </x:c>
      <x:c r="R173" s="48" t="n">
        <x:f>MAX(40,G173-IF(U173="A",6,IF(U173="B",9,12)))</x:f>
        <x:v>47.47</x:v>
      </x:c>
      <x:c r="S173" s="48" t="n">
        <x:f>G173</x:f>
        <x:v>59.47</x:v>
      </x:c>
      <x:c r="T173" s="48" t="n">
        <x:f>MIN(100,G173+IF(U173="A",6,IF(U173="B",9,12)))</x:f>
        <x:v>71.47</x:v>
      </x:c>
      <x:c r="U173" t="str">
        <x:v>C</x:v>
      </x:c>
      <x:c r="V173" t="str">
        <x:v>HISTORY FALLBACK</x:v>
      </x:c>
      <x:c r="W173" s="109" t="str">
        <x:v>Available</x:v>
      </x:c>
      <x:c r="X173" t="n">
        <x:f>IF(W173&lt;&gt;"Available","",1+COUNTIFS($W$5:$W$227,"Available",$N$5:$N$227,"&gt;"&amp;N173))</x:f>
        <x:v>190</x:v>
      </x:c>
      <x:c r="Y173" s="98" t="str">
        <x:v>EXPECTATION: Late-round bench upside; role growth is required for weekly relevance.  WHY: He produced 5.9 PPR/FP points per game across 17 games. The workload/efficiency profile gives the model a rate-based reason to keep him here. Market price is favorable around ADP 233 versus model overall rank 190.  RISK: Target competition, quarterback efficiency and touchdown regression are the main downside paths.</x:v>
      </x:c>
      <x:c r="Z173" t="str">
        <x:v>ADP proxy — editable; based on positional draft cost</x:v>
      </x:c>
    </x:row>
    <x:row r="174">
      <x:c r="A174" t="str">
        <x:v>WR</x:v>
      </x:c>
      <x:c r="B174" t="n">
        <x:v>61</x:v>
      </x:c>
      <x:c r="C174" t="str">
        <x:v>Jalen McMillan</x:v>
      </x:c>
      <x:c r="D174" s="48" t="n">
        <x:v>58.8</x:v>
      </x:c>
      <x:c r="E174" s="48" t="n">
        <x:f>SUMIFS('Manual Adjustments'!$G$5:$G$227,'Manual Adjustments'!$A$5:$A$227,A174,'Manual Adjustments'!$B$5:$B$227,C174)</x:f>
        <x:v>0</x:v>
      </x:c>
      <x:c r="F174" s="48" t="n">
        <x:f>IFERROR(SUMIFS('Rookie College Inputs'!$I$5:$I$13,'Rookie College Inputs'!$A$5:$A$13,C174),0)</x:f>
        <x:v>0</x:v>
      </x:c>
      <x:c r="G174" s="48" t="n">
        <x:f>MAX(40,MIN(100,D174+E174+F174))</x:f>
        <x:v>58.8</x:v>
      </x:c>
      <x:c r="H174" t="n">
        <x:f>IF(A174="QB",'League Config'!$H$5,IF(A174="RB",'League Config'!$H$6,IF(A174="WR",'League Config'!$H$7,IF(A174="TE",'League Config'!$H$8,IF(A174="K",'League Config'!$H$9,'League Config'!$H$10)))))</x:f>
        <x:v>33</x:v>
      </x:c>
      <x:c r="I174" s="48" t="n">
        <x:f>IF(A174="QB",'League Config'!$F$14,IF(A174="RB",'League Config'!$F$15,IF(A174="WR",'League Config'!$F$16,IF(A174="TE",'League Config'!$F$17,IF(A174="K",'League Config'!$F$18,'League Config'!$F$19)))))</x:f>
        <x:v>73.645</x:v>
      </x:c>
      <x:c r="J174" s="48" t="n">
        <x:f>G174-I174</x:f>
        <x:v>-14.844999999999999</x:v>
      </x:c>
      <x:c r="K174" s="48" t="n">
        <x:f>MAX(0,MIN(100,50+J174*6))</x:f>
        <x:v>0</x:v>
      </x:c>
      <x:c r="L174" s="48" t="n">
        <x:f>MIN(100,MAX(0,MIN(100,(1-(B174-1)/(H174*1.5))*100))*IF(A174="QB",'League Config'!$G$14,IF(A174="RB",'League Config'!$G$15,IF(A174="WR",'League Config'!$G$16,IF(A174="TE",'League Config'!$G$17,IF(A174="K",'League Config'!$G$18,'League Config'!$G$19))))))</x:f>
        <x:v>0</x:v>
      </x:c>
      <x:c r="M174" t="n">
        <x:f>IF(A174="K",'League Config'!$B$15,IF(A174="DST",'League Config'!$B$16,IF(A174="QB",'League Config'!$B$17,0)))</x:f>
        <x:v>0</x:v>
      </x:c>
      <x:c r="N174" s="48" t="n">
        <x:f>MIN(100,MAX(0,0.55*G174+0.30*K174+0.15*L174-M174))</x:f>
        <x:v>32.34</x:v>
      </x:c>
      <x:c r="O174" t="n">
        <x:f>RANK.EQ(N174,$N$5:$N$227,0)</x:f>
        <x:v>192</x:v>
      </x:c>
      <x:c r="P174" s="110" t="n">
        <x:v>237</x:v>
      </x:c>
      <x:c r="Q174" s="48" t="n">
        <x:f>P174-O174</x:f>
        <x:v>45</x:v>
      </x:c>
      <x:c r="R174" s="48" t="n">
        <x:f>MAX(40,G174-IF(U174="A",6,IF(U174="B",9,12)))</x:f>
        <x:v>46.8</x:v>
      </x:c>
      <x:c r="S174" s="48" t="n">
        <x:f>G174</x:f>
        <x:v>58.8</x:v>
      </x:c>
      <x:c r="T174" s="48" t="n">
        <x:f>MIN(100,G174+IF(U174="A",6,IF(U174="B",9,12)))</x:f>
        <x:v>70.8</x:v>
      </x:c>
      <x:c r="U174" t="str">
        <x:v>C</x:v>
      </x:c>
      <x:c r="V174" t="str">
        <x:v>HISTORY FALLBACK</x:v>
      </x:c>
      <x:c r="W174" s="109" t="str">
        <x:v>Available</x:v>
      </x:c>
      <x:c r="X174" t="n">
        <x:f>IF(W174&lt;&gt;"Available","",1+COUNTIFS($W$5:$W$227,"Available",$N$5:$N$227,"&gt;"&amp;N174))</x:f>
        <x:v>192</x:v>
      </x:c>
      <x:c r="Y174" s="98" t="str">
        <x:v>EXPECTATION: Late-round bench upside; role growth is required for weekly relevance.  WHY: The 2026 opportunity and projection carry most of the grade because detailed 2025 rate data is incomplete. Market price is favorable around ADP 237 versus model overall rank 192.  RISK: Evidence is thinner than for established veterans, so camp, depth-chart and role news can move the grade materially.</x:v>
      </x:c>
      <x:c r="Z174" t="str">
        <x:v>ADP proxy — editable; based on positional draft cost</x:v>
      </x:c>
    </x:row>
    <x:row r="175">
      <x:c r="A175" t="str">
        <x:v>WR</x:v>
      </x:c>
      <x:c r="B175" t="n">
        <x:v>62</x:v>
      </x:c>
      <x:c r="C175" t="str">
        <x:v>Adonai Mitchell</x:v>
      </x:c>
      <x:c r="D175" s="48" t="n">
        <x:v>58.129999999999995</x:v>
      </x:c>
      <x:c r="E175" s="48" t="n">
        <x:f>SUMIFS('Manual Adjustments'!$G$5:$G$227,'Manual Adjustments'!$A$5:$A$227,A175,'Manual Adjustments'!$B$5:$B$227,C175)</x:f>
        <x:v>0</x:v>
      </x:c>
      <x:c r="F175" s="48" t="n">
        <x:f>IFERROR(SUMIFS('Rookie College Inputs'!$I$5:$I$13,'Rookie College Inputs'!$A$5:$A$13,C175),0)</x:f>
        <x:v>0</x:v>
      </x:c>
      <x:c r="G175" s="48" t="n">
        <x:f>MAX(40,MIN(100,D175+E175+F175))</x:f>
        <x:v>58.129999999999995</x:v>
      </x:c>
      <x:c r="H175" t="n">
        <x:f>IF(A175="QB",'League Config'!$H$5,IF(A175="RB",'League Config'!$H$6,IF(A175="WR",'League Config'!$H$7,IF(A175="TE",'League Config'!$H$8,IF(A175="K",'League Config'!$H$9,'League Config'!$H$10)))))</x:f>
        <x:v>33</x:v>
      </x:c>
      <x:c r="I175" s="48" t="n">
        <x:f>IF(A175="QB",'League Config'!$F$14,IF(A175="RB",'League Config'!$F$15,IF(A175="WR",'League Config'!$F$16,IF(A175="TE",'League Config'!$F$17,IF(A175="K",'League Config'!$F$18,'League Config'!$F$19)))))</x:f>
        <x:v>73.645</x:v>
      </x:c>
      <x:c r="J175" s="48" t="n">
        <x:f>G175-I175</x:f>
        <x:v>-15.515</x:v>
      </x:c>
      <x:c r="K175" s="48" t="n">
        <x:f>MAX(0,MIN(100,50+J175*6))</x:f>
        <x:v>0</x:v>
      </x:c>
      <x:c r="L175" s="48" t="n">
        <x:f>MIN(100,MAX(0,MIN(100,(1-(B175-1)/(H175*1.5))*100))*IF(A175="QB",'League Config'!$G$14,IF(A175="RB",'League Config'!$G$15,IF(A175="WR",'League Config'!$G$16,IF(A175="TE",'League Config'!$G$17,IF(A175="K",'League Config'!$G$18,'League Config'!$G$19))))))</x:f>
        <x:v>0</x:v>
      </x:c>
      <x:c r="M175" t="n">
        <x:f>IF(A175="K",'League Config'!$B$15,IF(A175="DST",'League Config'!$B$16,IF(A175="QB",'League Config'!$B$17,0)))</x:f>
        <x:v>0</x:v>
      </x:c>
      <x:c r="N175" s="48" t="n">
        <x:f>MIN(100,MAX(0,0.55*G175+0.30*K175+0.15*L175-M175))</x:f>
        <x:v>31.9715</x:v>
      </x:c>
      <x:c r="O175" t="n">
        <x:f>RANK.EQ(N175,$N$5:$N$227,0)</x:f>
        <x:v>193</x:v>
      </x:c>
      <x:c r="P175" s="110" t="n">
        <x:v>240.9</x:v>
      </x:c>
      <x:c r="Q175" s="48" t="n">
        <x:f>P175-O175</x:f>
        <x:v>47.900000000000006</x:v>
      </x:c>
      <x:c r="R175" s="48" t="n">
        <x:f>MAX(40,G175-IF(U175="A",6,IF(U175="B",9,12)))</x:f>
        <x:v>46.129999999999995</x:v>
      </x:c>
      <x:c r="S175" s="48" t="n">
        <x:f>G175</x:f>
        <x:v>58.129999999999995</x:v>
      </x:c>
      <x:c r="T175" s="48" t="n">
        <x:f>MIN(100,G175+IF(U175="A",6,IF(U175="B",9,12)))</x:f>
        <x:v>70.13</x:v>
      </x:c>
      <x:c r="U175" t="str">
        <x:v>C</x:v>
      </x:c>
      <x:c r="V175" t="str">
        <x:v>HISTORY FALLBACK</x:v>
      </x:c>
      <x:c r="W175" s="109" t="str">
        <x:v>Available</x:v>
      </x:c>
      <x:c r="X175" t="n">
        <x:f>IF(W175&lt;&gt;"Available","",1+COUNTIFS($W$5:$W$227,"Available",$N$5:$N$227,"&gt;"&amp;N175))</x:f>
        <x:v>193</x:v>
      </x:c>
      <x:c r="Y175" s="98" t="str">
        <x:v>EXPECTATION: Late-round bench upside; role growth is required for weekly relevance.  WHY: The 2026 opportunity and projection carry most of the grade because detailed 2025 rate data is incomplete. Market price is favorable around ADP 241 versus model overall rank 193.  RISK: Evidence is thinner than for established veterans, so camp, depth-chart and role news can move the grade materially.</x:v>
      </x:c>
      <x:c r="Z175" t="str">
        <x:v>ADP proxy — editable; based on positional draft cost</x:v>
      </x:c>
    </x:row>
    <x:row r="176">
      <x:c r="A176" t="str">
        <x:v>WR</x:v>
      </x:c>
      <x:c r="B176" t="n">
        <x:v>63</x:v>
      </x:c>
      <x:c r="C176" t="str">
        <x:v>Isaac TeSlaa</x:v>
      </x:c>
      <x:c r="D176" s="48" t="n">
        <x:v>57.46</x:v>
      </x:c>
      <x:c r="E176" s="48" t="n">
        <x:f>SUMIFS('Manual Adjustments'!$G$5:$G$227,'Manual Adjustments'!$A$5:$A$227,A176,'Manual Adjustments'!$B$5:$B$227,C176)</x:f>
        <x:v>0</x:v>
      </x:c>
      <x:c r="F176" s="48" t="n">
        <x:f>IFERROR(SUMIFS('Rookie College Inputs'!$I$5:$I$13,'Rookie College Inputs'!$A$5:$A$13,C176),0)</x:f>
        <x:v>0</x:v>
      </x:c>
      <x:c r="G176" s="48" t="n">
        <x:f>MAX(40,MIN(100,D176+E176+F176))</x:f>
        <x:v>57.46</x:v>
      </x:c>
      <x:c r="H176" t="n">
        <x:f>IF(A176="QB",'League Config'!$H$5,IF(A176="RB",'League Config'!$H$6,IF(A176="WR",'League Config'!$H$7,IF(A176="TE",'League Config'!$H$8,IF(A176="K",'League Config'!$H$9,'League Config'!$H$10)))))</x:f>
        <x:v>33</x:v>
      </x:c>
      <x:c r="I176" s="48" t="n">
        <x:f>IF(A176="QB",'League Config'!$F$14,IF(A176="RB",'League Config'!$F$15,IF(A176="WR",'League Config'!$F$16,IF(A176="TE",'League Config'!$F$17,IF(A176="K",'League Config'!$F$18,'League Config'!$F$19)))))</x:f>
        <x:v>73.645</x:v>
      </x:c>
      <x:c r="J176" s="48" t="n">
        <x:f>G176-I176</x:f>
        <x:v>-16.184999999999995</x:v>
      </x:c>
      <x:c r="K176" s="48" t="n">
        <x:f>MAX(0,MIN(100,50+J176*6))</x:f>
        <x:v>0</x:v>
      </x:c>
      <x:c r="L176" s="48" t="n">
        <x:f>MIN(100,MAX(0,MIN(100,(1-(B176-1)/(H176*1.5))*100))*IF(A176="QB",'League Config'!$G$14,IF(A176="RB",'League Config'!$G$15,IF(A176="WR",'League Config'!$G$16,IF(A176="TE",'League Config'!$G$17,IF(A176="K",'League Config'!$G$18,'League Config'!$G$19))))))</x:f>
        <x:v>0</x:v>
      </x:c>
      <x:c r="M176" t="n">
        <x:f>IF(A176="K",'League Config'!$B$15,IF(A176="DST",'League Config'!$B$16,IF(A176="QB",'League Config'!$B$17,0)))</x:f>
        <x:v>0</x:v>
      </x:c>
      <x:c r="N176" s="48" t="n">
        <x:f>MIN(100,MAX(0,0.55*G176+0.30*K176+0.15*L176-M176))</x:f>
        <x:v>31.603</x:v>
      </x:c>
      <x:c r="O176" t="n">
        <x:f>RANK.EQ(N176,$N$5:$N$227,0)</x:f>
        <x:v>194</x:v>
      </x:c>
      <x:c r="P176" s="110" t="n">
        <x:v>244.79999999999998</x:v>
      </x:c>
      <x:c r="Q176" s="48" t="n">
        <x:f>P176-O176</x:f>
        <x:v>50.79999999999998</x:v>
      </x:c>
      <x:c r="R176" s="48" t="n">
        <x:f>MAX(40,G176-IF(U176="A",6,IF(U176="B",9,12)))</x:f>
        <x:v>45.46</x:v>
      </x:c>
      <x:c r="S176" s="48" t="n">
        <x:f>G176</x:f>
        <x:v>57.46</x:v>
      </x:c>
      <x:c r="T176" s="48" t="n">
        <x:f>MIN(100,G176+IF(U176="A",6,IF(U176="B",9,12)))</x:f>
        <x:v>69.46000000000001</x:v>
      </x:c>
      <x:c r="U176" t="str">
        <x:v>C</x:v>
      </x:c>
      <x:c r="V176" t="str">
        <x:v>HISTORY FALLBACK</x:v>
      </x:c>
      <x:c r="W176" s="109" t="str">
        <x:v>Available</x:v>
      </x:c>
      <x:c r="X176" t="n">
        <x:f>IF(W176&lt;&gt;"Available","",1+COUNTIFS($W$5:$W$227,"Available",$N$5:$N$227,"&gt;"&amp;N176))</x:f>
        <x:v>194</x:v>
      </x:c>
      <x:c r="Y176" s="98" t="str">
        <x:v>EXPECTATION: Late-round bench upside; role growth is required for weekly relevance.  WHY: He produced 4.4 PPR/FP points per game across 17 games. The workload/efficiency profile gives the model a rate-based reason to keep him here. Market price is favorable around ADP 245 versus model overall rank 194.  RISK: Target competition, quarterback efficiency and touchdown regression are the main downside paths.</x:v>
      </x:c>
      <x:c r="Z176" t="str">
        <x:v>ADP proxy — editable; based on positional draft cost</x:v>
      </x:c>
    </x:row>
    <x:row r="177">
      <x:c r="A177" t="str">
        <x:v>WR</x:v>
      </x:c>
      <x:c r="B177" t="n">
        <x:v>64</x:v>
      </x:c>
      <x:c r="C177" t="str">
        <x:v>Denzel Boston</x:v>
      </x:c>
      <x:c r="D177" s="48" t="n">
        <x:v>56.79</x:v>
      </x:c>
      <x:c r="E177" s="48" t="n">
        <x:f>SUMIFS('Manual Adjustments'!$G$5:$G$227,'Manual Adjustments'!$A$5:$A$227,A177,'Manual Adjustments'!$B$5:$B$227,C177)</x:f>
        <x:v>0</x:v>
      </x:c>
      <x:c r="F177" s="48" t="n">
        <x:f>IFERROR(SUMIFS('Rookie College Inputs'!$I$5:$I$13,'Rookie College Inputs'!$A$5:$A$13,C177),0)</x:f>
        <x:v>0</x:v>
      </x:c>
      <x:c r="G177" s="48" t="n">
        <x:f>MAX(40,MIN(100,D177+E177+F177))</x:f>
        <x:v>56.79</x:v>
      </x:c>
      <x:c r="H177" t="n">
        <x:f>IF(A177="QB",'League Config'!$H$5,IF(A177="RB",'League Config'!$H$6,IF(A177="WR",'League Config'!$H$7,IF(A177="TE",'League Config'!$H$8,IF(A177="K",'League Config'!$H$9,'League Config'!$H$10)))))</x:f>
        <x:v>33</x:v>
      </x:c>
      <x:c r="I177" s="48" t="n">
        <x:f>IF(A177="QB",'League Config'!$F$14,IF(A177="RB",'League Config'!$F$15,IF(A177="WR",'League Config'!$F$16,IF(A177="TE",'League Config'!$F$17,IF(A177="K",'League Config'!$F$18,'League Config'!$F$19)))))</x:f>
        <x:v>73.645</x:v>
      </x:c>
      <x:c r="J177" s="48" t="n">
        <x:f>G177-I177</x:f>
        <x:v>-16.854999999999997</x:v>
      </x:c>
      <x:c r="K177" s="48" t="n">
        <x:f>MAX(0,MIN(100,50+J177*6))</x:f>
        <x:v>0</x:v>
      </x:c>
      <x:c r="L177" s="48" t="n">
        <x:f>MIN(100,MAX(0,MIN(100,(1-(B177-1)/(H177*1.5))*100))*IF(A177="QB",'League Config'!$G$14,IF(A177="RB",'League Config'!$G$15,IF(A177="WR",'League Config'!$G$16,IF(A177="TE",'League Config'!$G$17,IF(A177="K",'League Config'!$G$18,'League Config'!$G$19))))))</x:f>
        <x:v>0</x:v>
      </x:c>
      <x:c r="M177" t="n">
        <x:f>IF(A177="K",'League Config'!$B$15,IF(A177="DST",'League Config'!$B$16,IF(A177="QB",'League Config'!$B$17,0)))</x:f>
        <x:v>0</x:v>
      </x:c>
      <x:c r="N177" s="48" t="n">
        <x:f>MIN(100,MAX(0,0.55*G177+0.30*K177+0.15*L177-M177))</x:f>
        <x:v>31.2345</x:v>
      </x:c>
      <x:c r="O177" t="n">
        <x:f>RANK.EQ(N177,$N$5:$N$227,0)</x:f>
        <x:v>196</x:v>
      </x:c>
      <x:c r="P177" s="110" t="n">
        <x:v>248.7</x:v>
      </x:c>
      <x:c r="Q177" s="48" t="n">
        <x:f>P177-O177</x:f>
        <x:v>52.69999999999999</x:v>
      </x:c>
      <x:c r="R177" s="48" t="n">
        <x:f>MAX(40,G177-IF(U177="A",6,IF(U177="B",9,12)))</x:f>
        <x:v>44.79</x:v>
      </x:c>
      <x:c r="S177" s="48" t="n">
        <x:f>G177</x:f>
        <x:v>56.79</x:v>
      </x:c>
      <x:c r="T177" s="48" t="n">
        <x:f>MIN(100,G177+IF(U177="A",6,IF(U177="B",9,12)))</x:f>
        <x:v>68.78999999999999</x:v>
      </x:c>
      <x:c r="U177" t="str">
        <x:v>C</x:v>
      </x:c>
      <x:c r="V177" t="str">
        <x:v>HISTORY FALLBACK</x:v>
      </x:c>
      <x:c r="W177" s="109" t="str">
        <x:v>Available</x:v>
      </x:c>
      <x:c r="X177" t="n">
        <x:f>IF(W177&lt;&gt;"Available","",1+COUNTIFS($W$5:$W$227,"Available",$N$5:$N$227,"&gt;"&amp;N177))</x:f>
        <x:v>196</x:v>
      </x:c>
      <x:c r="Y177" s="98" t="str">
        <x:v>EXPECTATION: Late-round bench upside; role growth is required for weekly relevance.  WHY: Rookie score 79.3, backed by No. 39 draft capital and a 6.40 NFL prospect grade. The 2026 role projection is strong enough to replace missing NFL history. Market price is favorable around ADP 249 versus model overall rank 196.  RISK: NFL translation and exact weekly role are the main variables; preseason first-team usage can move this rating quickly.</x:v>
      </x:c>
      <x:c r="Z177" t="str">
        <x:v>ADP proxy — editable; based on positional draft cost</x:v>
      </x:c>
    </x:row>
    <x:row r="178">
      <x:c r="A178" t="str">
        <x:v>WR</x:v>
      </x:c>
      <x:c r="B178" t="n">
        <x:v>65</x:v>
      </x:c>
      <x:c r="C178" t="str">
        <x:v>Tre Tucker</x:v>
      </x:c>
      <x:c r="D178" s="48" t="n">
        <x:v>56.12</x:v>
      </x:c>
      <x:c r="E178" s="48" t="n">
        <x:f>SUMIFS('Manual Adjustments'!$G$5:$G$227,'Manual Adjustments'!$A$5:$A$227,A178,'Manual Adjustments'!$B$5:$B$227,C178)</x:f>
        <x:v>0</x:v>
      </x:c>
      <x:c r="F178" s="48" t="n">
        <x:f>IFERROR(SUMIFS('Rookie College Inputs'!$I$5:$I$13,'Rookie College Inputs'!$A$5:$A$13,C178),0)</x:f>
        <x:v>0</x:v>
      </x:c>
      <x:c r="G178" s="48" t="n">
        <x:f>MAX(40,MIN(100,D178+E178+F178))</x:f>
        <x:v>56.12</x:v>
      </x:c>
      <x:c r="H178" t="n">
        <x:f>IF(A178="QB",'League Config'!$H$5,IF(A178="RB",'League Config'!$H$6,IF(A178="WR",'League Config'!$H$7,IF(A178="TE",'League Config'!$H$8,IF(A178="K",'League Config'!$H$9,'League Config'!$H$10)))))</x:f>
        <x:v>33</x:v>
      </x:c>
      <x:c r="I178" s="48" t="n">
        <x:f>IF(A178="QB",'League Config'!$F$14,IF(A178="RB",'League Config'!$F$15,IF(A178="WR",'League Config'!$F$16,IF(A178="TE",'League Config'!$F$17,IF(A178="K",'League Config'!$F$18,'League Config'!$F$19)))))</x:f>
        <x:v>73.645</x:v>
      </x:c>
      <x:c r="J178" s="48" t="n">
        <x:f>G178-I178</x:f>
        <x:v>-17.525</x:v>
      </x:c>
      <x:c r="K178" s="48" t="n">
        <x:f>MAX(0,MIN(100,50+J178*6))</x:f>
        <x:v>0</x:v>
      </x:c>
      <x:c r="L178" s="48" t="n">
        <x:f>MIN(100,MAX(0,MIN(100,(1-(B178-1)/(H178*1.5))*100))*IF(A178="QB",'League Config'!$G$14,IF(A178="RB",'League Config'!$G$15,IF(A178="WR",'League Config'!$G$16,IF(A178="TE",'League Config'!$G$17,IF(A178="K",'League Config'!$G$18,'League Config'!$G$19))))))</x:f>
        <x:v>0</x:v>
      </x:c>
      <x:c r="M178" t="n">
        <x:f>IF(A178="K",'League Config'!$B$15,IF(A178="DST",'League Config'!$B$16,IF(A178="QB",'League Config'!$B$17,0)))</x:f>
        <x:v>0</x:v>
      </x:c>
      <x:c r="N178" s="48" t="n">
        <x:f>MIN(100,MAX(0,0.55*G178+0.30*K178+0.15*L178-M178))</x:f>
        <x:v>30.866</x:v>
      </x:c>
      <x:c r="O178" t="n">
        <x:f>RANK.EQ(N178,$N$5:$N$227,0)</x:f>
        <x:v>197</x:v>
      </x:c>
      <x:c r="P178" s="110" t="n">
        <x:v>252.6</x:v>
      </x:c>
      <x:c r="Q178" s="48" t="n">
        <x:f>P178-O178</x:f>
        <x:v>55.599999999999994</x:v>
      </x:c>
      <x:c r="R178" s="48" t="n">
        <x:f>MAX(40,G178-IF(U178="A",6,IF(U178="B",9,12)))</x:f>
        <x:v>44.12</x:v>
      </x:c>
      <x:c r="S178" s="48" t="n">
        <x:f>G178</x:f>
        <x:v>56.12</x:v>
      </x:c>
      <x:c r="T178" s="48" t="n">
        <x:f>MIN(100,G178+IF(U178="A",6,IF(U178="B",9,12)))</x:f>
        <x:v>68.12</x:v>
      </x:c>
      <x:c r="U178" t="str">
        <x:v>C</x:v>
      </x:c>
      <x:c r="V178" t="str">
        <x:v>HISTORY FALLBACK</x:v>
      </x:c>
      <x:c r="W178" s="109" t="str">
        <x:v>Available</x:v>
      </x:c>
      <x:c r="X178" t="n">
        <x:f>IF(W178&lt;&gt;"Available","",1+COUNTIFS($W$5:$W$227,"Available",$N$5:$N$227,"&gt;"&amp;N178))</x:f>
        <x:v>197</x:v>
      </x:c>
      <x:c r="Y178" s="98" t="str">
        <x:v>EXPECTATION: Late-round bench upside; role growth is required for weekly relevance.  WHY: He produced 9.6 PPR/FP points per game across 17 games. The workload/efficiency profile gives the model a rate-based reason to keep him here. Market price is favorable around ADP 253 versus model overall rank 197.  RISK: Target competition, quarterback efficiency and touchdown regression are the main downside paths.</x:v>
      </x:c>
      <x:c r="Z178" t="str">
        <x:v>ADP proxy — editable; based on positional draft cost</x:v>
      </x:c>
    </x:row>
    <x:row r="179">
      <x:c r="A179" t="str">
        <x:v>WR</x:v>
      </x:c>
      <x:c r="B179" t="n">
        <x:v>66</x:v>
      </x:c>
      <x:c r="C179" t="str">
        <x:v>Antonio Williams</x:v>
      </x:c>
      <x:c r="D179" s="48" t="n">
        <x:v>55.449999999999996</x:v>
      </x:c>
      <x:c r="E179" s="48" t="n">
        <x:f>SUMIFS('Manual Adjustments'!$G$5:$G$227,'Manual Adjustments'!$A$5:$A$227,A179,'Manual Adjustments'!$B$5:$B$227,C179)</x:f>
        <x:v>0</x:v>
      </x:c>
      <x:c r="F179" s="48" t="n">
        <x:f>IFERROR(SUMIFS('Rookie College Inputs'!$I$5:$I$13,'Rookie College Inputs'!$A$5:$A$13,C179),0)</x:f>
        <x:v>0</x:v>
      </x:c>
      <x:c r="G179" s="48" t="n">
        <x:f>MAX(40,MIN(100,D179+E179+F179))</x:f>
        <x:v>55.449999999999996</x:v>
      </x:c>
      <x:c r="H179" t="n">
        <x:f>IF(A179="QB",'League Config'!$H$5,IF(A179="RB",'League Config'!$H$6,IF(A179="WR",'League Config'!$H$7,IF(A179="TE",'League Config'!$H$8,IF(A179="K",'League Config'!$H$9,'League Config'!$H$10)))))</x:f>
        <x:v>33</x:v>
      </x:c>
      <x:c r="I179" s="48" t="n">
        <x:f>IF(A179="QB",'League Config'!$F$14,IF(A179="RB",'League Config'!$F$15,IF(A179="WR",'League Config'!$F$16,IF(A179="TE",'League Config'!$F$17,IF(A179="K",'League Config'!$F$18,'League Config'!$F$19)))))</x:f>
        <x:v>73.645</x:v>
      </x:c>
      <x:c r="J179" s="48" t="n">
        <x:f>G179-I179</x:f>
        <x:v>-18.195</x:v>
      </x:c>
      <x:c r="K179" s="48" t="n">
        <x:f>MAX(0,MIN(100,50+J179*6))</x:f>
        <x:v>0</x:v>
      </x:c>
      <x:c r="L179" s="48" t="n">
        <x:f>MIN(100,MAX(0,MIN(100,(1-(B179-1)/(H179*1.5))*100))*IF(A179="QB",'League Config'!$G$14,IF(A179="RB",'League Config'!$G$15,IF(A179="WR",'League Config'!$G$16,IF(A179="TE",'League Config'!$G$17,IF(A179="K",'League Config'!$G$18,'League Config'!$G$19))))))</x:f>
        <x:v>0</x:v>
      </x:c>
      <x:c r="M179" t="n">
        <x:f>IF(A179="K",'League Config'!$B$15,IF(A179="DST",'League Config'!$B$16,IF(A179="QB",'League Config'!$B$17,0)))</x:f>
        <x:v>0</x:v>
      </x:c>
      <x:c r="N179" s="48" t="n">
        <x:f>MIN(100,MAX(0,0.55*G179+0.30*K179+0.15*L179-M179))</x:f>
        <x:v>30.4975</x:v>
      </x:c>
      <x:c r="O179" t="n">
        <x:f>RANK.EQ(N179,$N$5:$N$227,0)</x:f>
        <x:v>198</x:v>
      </x:c>
      <x:c r="P179" s="110" t="n">
        <x:v>256.5</x:v>
      </x:c>
      <x:c r="Q179" s="48" t="n">
        <x:f>P179-O179</x:f>
        <x:v>58.5</x:v>
      </x:c>
      <x:c r="R179" s="48" t="n">
        <x:f>MAX(40,G179-IF(U179="A",6,IF(U179="B",9,12)))</x:f>
        <x:v>43.449999999999996</x:v>
      </x:c>
      <x:c r="S179" s="48" t="n">
        <x:f>G179</x:f>
        <x:v>55.449999999999996</x:v>
      </x:c>
      <x:c r="T179" s="48" t="n">
        <x:f>MIN(100,G179+IF(U179="A",6,IF(U179="B",9,12)))</x:f>
        <x:v>67.44999999999999</x:v>
      </x:c>
      <x:c r="U179" t="str">
        <x:v>C</x:v>
      </x:c>
      <x:c r="V179" t="str">
        <x:v>HISTORY FALLBACK</x:v>
      </x:c>
      <x:c r="W179" s="109" t="str">
        <x:v>Available</x:v>
      </x:c>
      <x:c r="X179" t="n">
        <x:f>IF(W179&lt;&gt;"Available","",1+COUNTIFS($W$5:$W$227,"Available",$N$5:$N$227,"&gt;"&amp;N179))</x:f>
        <x:v>198</x:v>
      </x:c>
      <x:c r="Y179" s="98" t="str">
        <x:v>EXPECTATION: Late-round bench upside; role growth is required for weekly relevance.  WHY: The 2026 opportunity and projection carry most of the grade because detailed 2025 rate data is incomplete. Market price is favorable around ADP 256 versus model overall rank 198.  RISK: Evidence is thinner than for established veterans, so camp, depth-chart and role news can move the grade materially.</x:v>
      </x:c>
      <x:c r="Z179" t="str">
        <x:v>ADP proxy — editable; based on positional draft cost</x:v>
      </x:c>
    </x:row>
    <x:row r="180">
      <x:c r="A180" t="str">
        <x:v>WR</x:v>
      </x:c>
      <x:c r="B180" t="n">
        <x:v>67</x:v>
      </x:c>
      <x:c r="C180" t="str">
        <x:v>Travis Hunter</x:v>
      </x:c>
      <x:c r="D180" s="48" t="n">
        <x:v>54.779999999999994</x:v>
      </x:c>
      <x:c r="E180" s="48" t="n">
        <x:f>SUMIFS('Manual Adjustments'!$G$5:$G$227,'Manual Adjustments'!$A$5:$A$227,A180,'Manual Adjustments'!$B$5:$B$227,C180)</x:f>
        <x:v>0</x:v>
      </x:c>
      <x:c r="F180" s="48" t="n">
        <x:f>IFERROR(SUMIFS('Rookie College Inputs'!$I$5:$I$13,'Rookie College Inputs'!$A$5:$A$13,C180),0)</x:f>
        <x:v>0</x:v>
      </x:c>
      <x:c r="G180" s="48" t="n">
        <x:f>MAX(40,MIN(100,D180+E180+F180))</x:f>
        <x:v>54.779999999999994</x:v>
      </x:c>
      <x:c r="H180" t="n">
        <x:f>IF(A180="QB",'League Config'!$H$5,IF(A180="RB",'League Config'!$H$6,IF(A180="WR",'League Config'!$H$7,IF(A180="TE",'League Config'!$H$8,IF(A180="K",'League Config'!$H$9,'League Config'!$H$10)))))</x:f>
        <x:v>33</x:v>
      </x:c>
      <x:c r="I180" s="48" t="n">
        <x:f>IF(A180="QB",'League Config'!$F$14,IF(A180="RB",'League Config'!$F$15,IF(A180="WR",'League Config'!$F$16,IF(A180="TE",'League Config'!$F$17,IF(A180="K",'League Config'!$F$18,'League Config'!$F$19)))))</x:f>
        <x:v>73.645</x:v>
      </x:c>
      <x:c r="J180" s="48" t="n">
        <x:f>G180-I180</x:f>
        <x:v>-18.865000000000002</x:v>
      </x:c>
      <x:c r="K180" s="48" t="n">
        <x:f>MAX(0,MIN(100,50+J180*6))</x:f>
        <x:v>0</x:v>
      </x:c>
      <x:c r="L180" s="48" t="n">
        <x:f>MIN(100,MAX(0,MIN(100,(1-(B180-1)/(H180*1.5))*100))*IF(A180="QB",'League Config'!$G$14,IF(A180="RB",'League Config'!$G$15,IF(A180="WR",'League Config'!$G$16,IF(A180="TE",'League Config'!$G$17,IF(A180="K",'League Config'!$G$18,'League Config'!$G$19))))))</x:f>
        <x:v>0</x:v>
      </x:c>
      <x:c r="M180" t="n">
        <x:f>IF(A180="K",'League Config'!$B$15,IF(A180="DST",'League Config'!$B$16,IF(A180="QB",'League Config'!$B$17,0)))</x:f>
        <x:v>0</x:v>
      </x:c>
      <x:c r="N180" s="48" t="n">
        <x:f>MIN(100,MAX(0,0.55*G180+0.30*K180+0.15*L180-M180))</x:f>
        <x:v>30.128999999999998</x:v>
      </x:c>
      <x:c r="O180" t="n">
        <x:f>RANK.EQ(N180,$N$5:$N$227,0)</x:f>
        <x:v>201</x:v>
      </x:c>
      <x:c r="P180" s="110" t="n">
        <x:v>260.4</x:v>
      </x:c>
      <x:c r="Q180" s="48" t="n">
        <x:f>P180-O180</x:f>
        <x:v>59.39999999999998</x:v>
      </x:c>
      <x:c r="R180" s="48" t="n">
        <x:f>MAX(40,G180-IF(U180="A",6,IF(U180="B",9,12)))</x:f>
        <x:v>42.779999999999994</x:v>
      </x:c>
      <x:c r="S180" s="48" t="n">
        <x:f>G180</x:f>
        <x:v>54.779999999999994</x:v>
      </x:c>
      <x:c r="T180" s="48" t="n">
        <x:f>MIN(100,G180+IF(U180="A",6,IF(U180="B",9,12)))</x:f>
        <x:v>66.78</x:v>
      </x:c>
      <x:c r="U180" t="str">
        <x:v>C</x:v>
      </x:c>
      <x:c r="V180" t="str">
        <x:v>HISTORY FALLBACK</x:v>
      </x:c>
      <x:c r="W180" s="109" t="str">
        <x:v>Available</x:v>
      </x:c>
      <x:c r="X180" t="n">
        <x:f>IF(W180&lt;&gt;"Available","",1+COUNTIFS($W$5:$W$227,"Available",$N$5:$N$227,"&gt;"&amp;N180))</x:f>
        <x:v>201</x:v>
      </x:c>
      <x:c r="Y180" s="98" t="str">
        <x:v>EXPECTATION: Late-round bench upside; role growth is required for weekly relevance.  WHY: The 2026 opportunity and projection carry most of the grade because detailed 2025 rate data is incomplete. Market price is favorable around ADP 260 versus model overall rank 201.  RISK: Evidence is thinner than for established veterans, so camp, depth-chart and role news can move the grade materially.</x:v>
      </x:c>
      <x:c r="Z180" t="str">
        <x:v>ADP proxy — editable; based on positional draft cost</x:v>
      </x:c>
    </x:row>
    <x:row r="181">
      <x:c r="A181" t="str">
        <x:v>WR</x:v>
      </x:c>
      <x:c r="B181" t="n">
        <x:v>68</x:v>
      </x:c>
      <x:c r="C181" t="str">
        <x:v>Ryan Flournoy</x:v>
      </x:c>
      <x:c r="D181" s="48" t="n">
        <x:v>54.11</x:v>
      </x:c>
      <x:c r="E181" s="48" t="n">
        <x:f>SUMIFS('Manual Adjustments'!$G$5:$G$227,'Manual Adjustments'!$A$5:$A$227,A181,'Manual Adjustments'!$B$5:$B$227,C181)</x:f>
        <x:v>0</x:v>
      </x:c>
      <x:c r="F181" s="48" t="n">
        <x:f>IFERROR(SUMIFS('Rookie College Inputs'!$I$5:$I$13,'Rookie College Inputs'!$A$5:$A$13,C181),0)</x:f>
        <x:v>0</x:v>
      </x:c>
      <x:c r="G181" s="48" t="n">
        <x:f>MAX(40,MIN(100,D181+E181+F181))</x:f>
        <x:v>54.11</x:v>
      </x:c>
      <x:c r="H181" t="n">
        <x:f>IF(A181="QB",'League Config'!$H$5,IF(A181="RB",'League Config'!$H$6,IF(A181="WR",'League Config'!$H$7,IF(A181="TE",'League Config'!$H$8,IF(A181="K",'League Config'!$H$9,'League Config'!$H$10)))))</x:f>
        <x:v>33</x:v>
      </x:c>
      <x:c r="I181" s="48" t="n">
        <x:f>IF(A181="QB",'League Config'!$F$14,IF(A181="RB",'League Config'!$F$15,IF(A181="WR",'League Config'!$F$16,IF(A181="TE",'League Config'!$F$17,IF(A181="K",'League Config'!$F$18,'League Config'!$F$19)))))</x:f>
        <x:v>73.645</x:v>
      </x:c>
      <x:c r="J181" s="48" t="n">
        <x:f>G181-I181</x:f>
        <x:v>-19.534999999999997</x:v>
      </x:c>
      <x:c r="K181" s="48" t="n">
        <x:f>MAX(0,MIN(100,50+J181*6))</x:f>
        <x:v>0</x:v>
      </x:c>
      <x:c r="L181" s="48" t="n">
        <x:f>MIN(100,MAX(0,MIN(100,(1-(B181-1)/(H181*1.5))*100))*IF(A181="QB",'League Config'!$G$14,IF(A181="RB",'League Config'!$G$15,IF(A181="WR",'League Config'!$G$16,IF(A181="TE",'League Config'!$G$17,IF(A181="K",'League Config'!$G$18,'League Config'!$G$19))))))</x:f>
        <x:v>0</x:v>
      </x:c>
      <x:c r="M181" t="n">
        <x:f>IF(A181="K",'League Config'!$B$15,IF(A181="DST",'League Config'!$B$16,IF(A181="QB",'League Config'!$B$17,0)))</x:f>
        <x:v>0</x:v>
      </x:c>
      <x:c r="N181" s="48" t="n">
        <x:f>MIN(100,MAX(0,0.55*G181+0.30*K181+0.15*L181-M181))</x:f>
        <x:v>29.7605</x:v>
      </x:c>
      <x:c r="O181" t="n">
        <x:f>RANK.EQ(N181,$N$5:$N$227,0)</x:f>
        <x:v>202</x:v>
      </x:c>
      <x:c r="P181" s="110" t="n">
        <x:v>264.3</x:v>
      </x:c>
      <x:c r="Q181" s="48" t="n">
        <x:f>P181-O181</x:f>
        <x:v>62.30000000000001</x:v>
      </x:c>
      <x:c r="R181" s="48" t="n">
        <x:f>MAX(40,G181-IF(U181="A",6,IF(U181="B",9,12)))</x:f>
        <x:v>42.11</x:v>
      </x:c>
      <x:c r="S181" s="48" t="n">
        <x:f>G181</x:f>
        <x:v>54.11</x:v>
      </x:c>
      <x:c r="T181" s="48" t="n">
        <x:f>MIN(100,G181+IF(U181="A",6,IF(U181="B",9,12)))</x:f>
        <x:v>66.11</x:v>
      </x:c>
      <x:c r="U181" t="str">
        <x:v>C</x:v>
      </x:c>
      <x:c r="V181" t="str">
        <x:v>HISTORY FALLBACK</x:v>
      </x:c>
      <x:c r="W181" s="109" t="str">
        <x:v>Available</x:v>
      </x:c>
      <x:c r="X181" t="n">
        <x:f>IF(W181&lt;&gt;"Available","",1+COUNTIFS($W$5:$W$227,"Available",$N$5:$N$227,"&gt;"&amp;N181))</x:f>
        <x:v>202</x:v>
      </x:c>
      <x:c r="Y181" s="98" t="str">
        <x:v>EXPECTATION: Late-round bench upside; role growth is required for weekly relevance.  WHY: He produced 7.6 PPR/FP points per game across 15 games. The workload/efficiency profile gives the model a rate-based reason to keep him here. Market price is favorable around ADP 264 versus model overall rank 202.  RISK: Target competition, quarterback efficiency and touchdown regression are the main downside paths.</x:v>
      </x:c>
      <x:c r="Z181" t="str">
        <x:v>ADP proxy — editable; based on positional draft cost</x:v>
      </x:c>
    </x:row>
    <x:row r="182">
      <x:c r="A182" t="str">
        <x:v>WR</x:v>
      </x:c>
      <x:c r="B182" t="n">
        <x:v>69</x:v>
      </x:c>
      <x:c r="C182" t="str">
        <x:v>Jauan Jennings</x:v>
      </x:c>
      <x:c r="D182" s="48" t="n">
        <x:v>53.44</x:v>
      </x:c>
      <x:c r="E182" s="48" t="n">
        <x:f>SUMIFS('Manual Adjustments'!$G$5:$G$227,'Manual Adjustments'!$A$5:$A$227,A182,'Manual Adjustments'!$B$5:$B$227,C182)</x:f>
        <x:v>0</x:v>
      </x:c>
      <x:c r="F182" s="48" t="n">
        <x:f>IFERROR(SUMIFS('Rookie College Inputs'!$I$5:$I$13,'Rookie College Inputs'!$A$5:$A$13,C182),0)</x:f>
        <x:v>0</x:v>
      </x:c>
      <x:c r="G182" s="48" t="n">
        <x:f>MAX(40,MIN(100,D182+E182+F182))</x:f>
        <x:v>53.44</x:v>
      </x:c>
      <x:c r="H182" t="n">
        <x:f>IF(A182="QB",'League Config'!$H$5,IF(A182="RB",'League Config'!$H$6,IF(A182="WR",'League Config'!$H$7,IF(A182="TE",'League Config'!$H$8,IF(A182="K",'League Config'!$H$9,'League Config'!$H$10)))))</x:f>
        <x:v>33</x:v>
      </x:c>
      <x:c r="I182" s="48" t="n">
        <x:f>IF(A182="QB",'League Config'!$F$14,IF(A182="RB",'League Config'!$F$15,IF(A182="WR",'League Config'!$F$16,IF(A182="TE",'League Config'!$F$17,IF(A182="K",'League Config'!$F$18,'League Config'!$F$19)))))</x:f>
        <x:v>73.645</x:v>
      </x:c>
      <x:c r="J182" s="48" t="n">
        <x:f>G182-I182</x:f>
        <x:v>-20.205</x:v>
      </x:c>
      <x:c r="K182" s="48" t="n">
        <x:f>MAX(0,MIN(100,50+J182*6))</x:f>
        <x:v>0</x:v>
      </x:c>
      <x:c r="L182" s="48" t="n">
        <x:f>MIN(100,MAX(0,MIN(100,(1-(B182-1)/(H182*1.5))*100))*IF(A182="QB",'League Config'!$G$14,IF(A182="RB",'League Config'!$G$15,IF(A182="WR",'League Config'!$G$16,IF(A182="TE",'League Config'!$G$17,IF(A182="K",'League Config'!$G$18,'League Config'!$G$19))))))</x:f>
        <x:v>0</x:v>
      </x:c>
      <x:c r="M182" t="n">
        <x:f>IF(A182="K",'League Config'!$B$15,IF(A182="DST",'League Config'!$B$16,IF(A182="QB",'League Config'!$B$17,0)))</x:f>
        <x:v>0</x:v>
      </x:c>
      <x:c r="N182" s="48" t="n">
        <x:f>MIN(100,MAX(0,0.55*G182+0.30*K182+0.15*L182-M182))</x:f>
        <x:v>29.392</x:v>
      </x:c>
      <x:c r="O182" t="n">
        <x:f>RANK.EQ(N182,$N$5:$N$227,0)</x:f>
        <x:v>204</x:v>
      </x:c>
      <x:c r="P182" s="110" t="n">
        <x:v>268.2</x:v>
      </x:c>
      <x:c r="Q182" s="48" t="n">
        <x:f>P182-O182</x:f>
        <x:v>64.19999999999999</x:v>
      </x:c>
      <x:c r="R182" s="48" t="n">
        <x:f>MAX(40,G182-IF(U182="A",6,IF(U182="B",9,12)))</x:f>
        <x:v>41.44</x:v>
      </x:c>
      <x:c r="S182" s="48" t="n">
        <x:f>G182</x:f>
        <x:v>53.44</x:v>
      </x:c>
      <x:c r="T182" s="48" t="n">
        <x:f>MIN(100,G182+IF(U182="A",6,IF(U182="B",9,12)))</x:f>
        <x:v>65.44</x:v>
      </x:c>
      <x:c r="U182" t="str">
        <x:v>C</x:v>
      </x:c>
      <x:c r="V182" t="str">
        <x:v>HISTORY FALLBACK</x:v>
      </x:c>
      <x:c r="W182" s="109" t="str">
        <x:v>Available</x:v>
      </x:c>
      <x:c r="X182" t="n">
        <x:f>IF(W182&lt;&gt;"Available","",1+COUNTIFS($W$5:$W$227,"Available",$N$5:$N$227,"&gt;"&amp;N182))</x:f>
        <x:v>204</x:v>
      </x:c>
      <x:c r="Y182" s="98" t="str">
        <x:v>EXPECTATION: Late-round bench upside; role growth is required for weekly relevance.  WHY: He produced 11.6 PPR/FP points per game across 15 games. The workload/efficiency profile gives the model a rate-based reason to keep him here. Market price is favorable around ADP 268 versus model overall rank 204.  RISK: Target competition, quarterback efficiency and touchdown regression are the main downside paths.</x:v>
      </x:c>
      <x:c r="Z182" t="str">
        <x:v>ADP proxy — editable; based on positional draft cost</x:v>
      </x:c>
    </x:row>
    <x:row r="183">
      <x:c r="A183" t="str">
        <x:v>WR</x:v>
      </x:c>
      <x:c r="B183" t="n">
        <x:v>70</x:v>
      </x:c>
      <x:c r="C183" t="str">
        <x:v>Darnell Mooney</x:v>
      </x:c>
      <x:c r="D183" s="48" t="n">
        <x:v>52.769999999999996</x:v>
      </x:c>
      <x:c r="E183" s="48" t="n">
        <x:f>SUMIFS('Manual Adjustments'!$G$5:$G$227,'Manual Adjustments'!$A$5:$A$227,A183,'Manual Adjustments'!$B$5:$B$227,C183)</x:f>
        <x:v>0</x:v>
      </x:c>
      <x:c r="F183" s="48" t="n">
        <x:f>IFERROR(SUMIFS('Rookie College Inputs'!$I$5:$I$13,'Rookie College Inputs'!$A$5:$A$13,C183),0)</x:f>
        <x:v>0</x:v>
      </x:c>
      <x:c r="G183" s="48" t="n">
        <x:f>MAX(40,MIN(100,D183+E183+F183))</x:f>
        <x:v>52.769999999999996</x:v>
      </x:c>
      <x:c r="H183" t="n">
        <x:f>IF(A183="QB",'League Config'!$H$5,IF(A183="RB",'League Config'!$H$6,IF(A183="WR",'League Config'!$H$7,IF(A183="TE",'League Config'!$H$8,IF(A183="K",'League Config'!$H$9,'League Config'!$H$10)))))</x:f>
        <x:v>33</x:v>
      </x:c>
      <x:c r="I183" s="48" t="n">
        <x:f>IF(A183="QB",'League Config'!$F$14,IF(A183="RB",'League Config'!$F$15,IF(A183="WR",'League Config'!$F$16,IF(A183="TE",'League Config'!$F$17,IF(A183="K",'League Config'!$F$18,'League Config'!$F$19)))))</x:f>
        <x:v>73.645</x:v>
      </x:c>
      <x:c r="J183" s="48" t="n">
        <x:f>G183-I183</x:f>
        <x:v>-20.875</x:v>
      </x:c>
      <x:c r="K183" s="48" t="n">
        <x:f>MAX(0,MIN(100,50+J183*6))</x:f>
        <x:v>0</x:v>
      </x:c>
      <x:c r="L183" s="48" t="n">
        <x:f>MIN(100,MAX(0,MIN(100,(1-(B183-1)/(H183*1.5))*100))*IF(A183="QB",'League Config'!$G$14,IF(A183="RB",'League Config'!$G$15,IF(A183="WR",'League Config'!$G$16,IF(A183="TE",'League Config'!$G$17,IF(A183="K",'League Config'!$G$18,'League Config'!$G$19))))))</x:f>
        <x:v>0</x:v>
      </x:c>
      <x:c r="M183" t="n">
        <x:f>IF(A183="K",'League Config'!$B$15,IF(A183="DST",'League Config'!$B$16,IF(A183="QB",'League Config'!$B$17,0)))</x:f>
        <x:v>0</x:v>
      </x:c>
      <x:c r="N183" s="48" t="n">
        <x:f>MIN(100,MAX(0,0.55*G183+0.30*K183+0.15*L183-M183))</x:f>
        <x:v>29.0235</x:v>
      </x:c>
      <x:c r="O183" t="n">
        <x:f>RANK.EQ(N183,$N$5:$N$227,0)</x:f>
        <x:v>205</x:v>
      </x:c>
      <x:c r="P183" s="110" t="n">
        <x:v>272.09999999999997</x:v>
      </x:c>
      <x:c r="Q183" s="48" t="n">
        <x:f>P183-O183</x:f>
        <x:v>67.09999999999997</x:v>
      </x:c>
      <x:c r="R183" s="48" t="n">
        <x:f>MAX(40,G183-IF(U183="A",6,IF(U183="B",9,12)))</x:f>
        <x:v>40.769999999999996</x:v>
      </x:c>
      <x:c r="S183" s="48" t="n">
        <x:f>G183</x:f>
        <x:v>52.769999999999996</x:v>
      </x:c>
      <x:c r="T183" s="48" t="n">
        <x:f>MIN(100,G183+IF(U183="A",6,IF(U183="B",9,12)))</x:f>
        <x:v>64.77</x:v>
      </x:c>
      <x:c r="U183" t="str">
        <x:v>C</x:v>
      </x:c>
      <x:c r="V183" t="str">
        <x:v>HISTORY FALLBACK</x:v>
      </x:c>
      <x:c r="W183" s="109" t="str">
        <x:v>Available</x:v>
      </x:c>
      <x:c r="X183" t="n">
        <x:f>IF(W183&lt;&gt;"Available","",1+COUNTIFS($W$5:$W$227,"Available",$N$5:$N$227,"&gt;"&amp;N183))</x:f>
        <x:v>205</x:v>
      </x:c>
      <x:c r="Y183" s="98" t="str">
        <x:v>EXPECTATION: Late-round bench upside; role growth is required for weekly relevance.  WHY: The 2026 opportunity and projection carry most of the grade because detailed 2025 rate data is incomplete. Market price is favorable around ADP 272 versus model overall rank 205.  RISK: Evidence is thinner than for established veterans, so camp, depth-chart and role news can move the grade materially.</x:v>
      </x:c>
      <x:c r="Z183" t="str">
        <x:v>ADP proxy — editable; based on positional draft cost</x:v>
      </x:c>
    </x:row>
    <x:row r="184">
      <x:c r="A184" t="str">
        <x:v>K</x:v>
      </x:c>
      <x:c r="B184" t="n">
        <x:v>1</x:v>
      </x:c>
      <x:c r="C184" t="str">
        <x:v>Brandon Aubrey</x:v>
      </x:c>
      <x:c r="D184" s="48" t="n">
        <x:v>94</x:v>
      </x:c>
      <x:c r="E184" s="48" t="n">
        <x:f>SUMIFS('Manual Adjustments'!$G$5:$G$227,'Manual Adjustments'!$A$5:$A$227,A184,'Manual Adjustments'!$B$5:$B$227,C184)</x:f>
        <x:v>0</x:v>
      </x:c>
      <x:c r="F184" s="48" t="n">
        <x:f>IFERROR(SUMIFS('Rookie College Inputs'!$I$5:$I$13,'Rookie College Inputs'!$A$5:$A$13,C184),0)</x:f>
        <x:v>0</x:v>
      </x:c>
      <x:c r="G184" s="48" t="n">
        <x:f>MAX(40,MIN(100,D184+E184+F184))</x:f>
        <x:v>94</x:v>
      </x:c>
      <x:c r="H184" t="n">
        <x:f>IF(A184="QB",'League Config'!$H$5,IF(A184="RB",'League Config'!$H$6,IF(A184="WR",'League Config'!$H$7,IF(A184="TE",'League Config'!$H$8,IF(A184="K",'League Config'!$H$9,'League Config'!$H$10)))))</x:f>
        <x:v>10</x:v>
      </x:c>
      <x:c r="I184" s="48" t="n">
        <x:f>IF(A184="QB",'League Config'!$F$14,IF(A184="RB",'League Config'!$F$15,IF(A184="WR",'League Config'!$F$16,IF(A184="TE",'League Config'!$F$17,IF(A184="K",'League Config'!$F$18,'League Config'!$F$19)))))</x:f>
        <x:v>74.2</x:v>
      </x:c>
      <x:c r="J184" s="48" t="n">
        <x:f>G184-I184</x:f>
        <x:v>19.799999999999997</x:v>
      </x:c>
      <x:c r="K184" s="48" t="n">
        <x:f>MAX(0,MIN(100,50+J184*6))</x:f>
        <x:v>100</x:v>
      </x:c>
      <x:c r="L184" s="48" t="n">
        <x:f>MIN(100,MAX(0,MIN(100,(1-(B184-1)/(H184*1.5))*100))*IF(A184="QB",'League Config'!$G$14,IF(A184="RB",'League Config'!$G$15,IF(A184="WR",'League Config'!$G$16,IF(A184="TE",'League Config'!$G$17,IF(A184="K",'League Config'!$G$18,'League Config'!$G$19))))))</x:f>
        <x:v>55.00000000000001</x:v>
      </x:c>
      <x:c r="M184" t="n">
        <x:f>IF(A184="K",'League Config'!$B$15,IF(A184="DST",'League Config'!$B$16,IF(A184="QB",'League Config'!$B$17,0)))</x:f>
        <x:v>18</x:v>
      </x:c>
      <x:c r="N184" s="48" t="n">
        <x:f>MIN(100,MAX(0,0.55*G184+0.30*K184+0.15*L184-M184))</x:f>
        <x:v>71.95</x:v>
      </x:c>
      <x:c r="O184" t="n">
        <x:f>RANK.EQ(N184,$N$5:$N$227,0)</x:f>
        <x:v>67</x:v>
      </x:c>
      <x:c r="P184" s="110" t="n">
        <x:v>155</x:v>
      </x:c>
      <x:c r="Q184" s="48" t="n">
        <x:f>P184-O184</x:f>
        <x:v>88</x:v>
      </x:c>
      <x:c r="R184" s="48" t="n">
        <x:f>MAX(40,G184-IF(U184="A",6,IF(U184="B",9,12)))</x:f>
        <x:v>85</x:v>
      </x:c>
      <x:c r="S184" s="48" t="n">
        <x:f>G184</x:f>
        <x:v>94</x:v>
      </x:c>
      <x:c r="T184" s="48" t="n">
        <x:f>MIN(100,G184+IF(U184="A",6,IF(U184="B",9,12)))</x:f>
        <x:v>100</x:v>
      </x:c>
      <x:c r="U184" t="str">
        <x:v>B</x:v>
      </x:c>
      <x:c r="V184" t="str">
        <x:v>KICKER MODEL</x:v>
      </x:c>
      <x:c r="W184" s="109" t="str">
        <x:v>Available</x:v>
      </x:c>
      <x:c r="X184" t="n">
        <x:f>IF(W184&lt;&gt;"Available","",1+COUNTIFS($W$5:$W$227,"Available",$N$5:$N$227,"&gt;"&amp;N184))</x:f>
        <x:v>67</x:v>
      </x:c>
      <x:c r="Y184" s="98" t="str">
        <x:v>EXPECTATION: Top-tier kicker option, but still a final-round target.  WHY: Ranks near the top of the current kicker pool, but kicker week-to-week separation is small in a 10-team league.  RISK: Kicker scoring is volatile and replaceable on waivers; do not pay meaningful draft capital.</x:v>
      </x:c>
      <x:c r="Z184" t="str">
        <x:v>https://www.fantasypros.com/nfl/rankings/k-cheatsheets.php</x:v>
      </x:c>
    </x:row>
    <x:row r="185">
      <x:c r="A185" t="str">
        <x:v>K</x:v>
      </x:c>
      <x:c r="B185" t="n">
        <x:v>2</x:v>
      </x:c>
      <x:c r="C185" t="str">
        <x:v>Ka'imi Fairbairn</x:v>
      </x:c>
      <x:c r="D185" s="48" t="n">
        <x:v>91.8</x:v>
      </x:c>
      <x:c r="E185" s="48" t="n">
        <x:f>SUMIFS('Manual Adjustments'!$G$5:$G$227,'Manual Adjustments'!$A$5:$A$227,A185,'Manual Adjustments'!$B$5:$B$227,C185)</x:f>
        <x:v>0</x:v>
      </x:c>
      <x:c r="F185" s="48" t="n">
        <x:f>IFERROR(SUMIFS('Rookie College Inputs'!$I$5:$I$13,'Rookie College Inputs'!$A$5:$A$13,C185),0)</x:f>
        <x:v>0</x:v>
      </x:c>
      <x:c r="G185" s="48" t="n">
        <x:f>MAX(40,MIN(100,D185+E185+F185))</x:f>
        <x:v>91.8</x:v>
      </x:c>
      <x:c r="H185" t="n">
        <x:f>IF(A185="QB",'League Config'!$H$5,IF(A185="RB",'League Config'!$H$6,IF(A185="WR",'League Config'!$H$7,IF(A185="TE",'League Config'!$H$8,IF(A185="K",'League Config'!$H$9,'League Config'!$H$10)))))</x:f>
        <x:v>10</x:v>
      </x:c>
      <x:c r="I185" s="48" t="n">
        <x:f>IF(A185="QB",'League Config'!$F$14,IF(A185="RB",'League Config'!$F$15,IF(A185="WR",'League Config'!$F$16,IF(A185="TE",'League Config'!$F$17,IF(A185="K",'League Config'!$F$18,'League Config'!$F$19)))))</x:f>
        <x:v>74.2</x:v>
      </x:c>
      <x:c r="J185" s="48" t="n">
        <x:f>G185-I185</x:f>
        <x:v>17.599999999999994</x:v>
      </x:c>
      <x:c r="K185" s="48" t="n">
        <x:f>MAX(0,MIN(100,50+J185*6))</x:f>
        <x:v>100</x:v>
      </x:c>
      <x:c r="L185" s="48" t="n">
        <x:f>MIN(100,MAX(0,MIN(100,(1-(B185-1)/(H185*1.5))*100))*IF(A185="QB",'League Config'!$G$14,IF(A185="RB",'League Config'!$G$15,IF(A185="WR",'League Config'!$G$16,IF(A185="TE",'League Config'!$G$17,IF(A185="K",'League Config'!$G$18,'League Config'!$G$19))))))</x:f>
        <x:v>51.333333333333336</x:v>
      </x:c>
      <x:c r="M185" t="n">
        <x:f>IF(A185="K",'League Config'!$B$15,IF(A185="DST",'League Config'!$B$16,IF(A185="QB",'League Config'!$B$17,0)))</x:f>
        <x:v>18</x:v>
      </x:c>
      <x:c r="N185" s="48" t="n">
        <x:f>MIN(100,MAX(0,0.55*G185+0.30*K185+0.15*L185-M185))</x:f>
        <x:v>70.19000000000001</x:v>
      </x:c>
      <x:c r="O185" t="n">
        <x:f>RANK.EQ(N185,$N$5:$N$227,0)</x:f>
        <x:v>70</x:v>
      </x:c>
      <x:c r="P185" s="110" t="n">
        <x:v>160</x:v>
      </x:c>
      <x:c r="Q185" s="48" t="n">
        <x:f>P185-O185</x:f>
        <x:v>90</x:v>
      </x:c>
      <x:c r="R185" s="48" t="n">
        <x:f>MAX(40,G185-IF(U185="A",6,IF(U185="B",9,12)))</x:f>
        <x:v>82.8</x:v>
      </x:c>
      <x:c r="S185" s="48" t="n">
        <x:f>G185</x:f>
        <x:v>91.8</x:v>
      </x:c>
      <x:c r="T185" s="48" t="n">
        <x:f>MIN(100,G185+IF(U185="A",6,IF(U185="B",9,12)))</x:f>
        <x:v>100</x:v>
      </x:c>
      <x:c r="U185" t="str">
        <x:v>B</x:v>
      </x:c>
      <x:c r="V185" t="str">
        <x:v>KICKER MODEL</x:v>
      </x:c>
      <x:c r="W185" s="109" t="str">
        <x:v>Available</x:v>
      </x:c>
      <x:c r="X185" t="n">
        <x:f>IF(W185&lt;&gt;"Available","",1+COUNTIFS($W$5:$W$227,"Available",$N$5:$N$227,"&gt;"&amp;N185))</x:f>
        <x:v>70</x:v>
      </x:c>
      <x:c r="Y185" s="98" t="str">
        <x:v>EXPECTATION: Top-tier kicker option, but still a final-round target.  WHY: Ranks near the top of the current kicker pool, but kicker week-to-week separation is small in a 10-team league.  RISK: Kicker scoring is volatile and replaceable on waivers; do not pay meaningful draft capital.</x:v>
      </x:c>
      <x:c r="Z185" t="str">
        <x:v>https://www.fantasypros.com/nfl/rankings/k-cheatsheets.php</x:v>
      </x:c>
    </x:row>
    <x:row r="186">
      <x:c r="A186" t="str">
        <x:v>K</x:v>
      </x:c>
      <x:c r="B186" t="n">
        <x:v>3</x:v>
      </x:c>
      <x:c r="C186" t="str">
        <x:v>Cameron Dicker</x:v>
      </x:c>
      <x:c r="D186" s="48" t="n">
        <x:v>89.6</x:v>
      </x:c>
      <x:c r="E186" s="48" t="n">
        <x:f>SUMIFS('Manual Adjustments'!$G$5:$G$227,'Manual Adjustments'!$A$5:$A$227,A186,'Manual Adjustments'!$B$5:$B$227,C186)</x:f>
        <x:v>0</x:v>
      </x:c>
      <x:c r="F186" s="48" t="n">
        <x:f>IFERROR(SUMIFS('Rookie College Inputs'!$I$5:$I$13,'Rookie College Inputs'!$A$5:$A$13,C186),0)</x:f>
        <x:v>0</x:v>
      </x:c>
      <x:c r="G186" s="48" t="n">
        <x:f>MAX(40,MIN(100,D186+E186+F186))</x:f>
        <x:v>89.6</x:v>
      </x:c>
      <x:c r="H186" t="n">
        <x:f>IF(A186="QB",'League Config'!$H$5,IF(A186="RB",'League Config'!$H$6,IF(A186="WR",'League Config'!$H$7,IF(A186="TE",'League Config'!$H$8,IF(A186="K",'League Config'!$H$9,'League Config'!$H$10)))))</x:f>
        <x:v>10</x:v>
      </x:c>
      <x:c r="I186" s="48" t="n">
        <x:f>IF(A186="QB",'League Config'!$F$14,IF(A186="RB",'League Config'!$F$15,IF(A186="WR",'League Config'!$F$16,IF(A186="TE",'League Config'!$F$17,IF(A186="K",'League Config'!$F$18,'League Config'!$F$19)))))</x:f>
        <x:v>74.2</x:v>
      </x:c>
      <x:c r="J186" s="48" t="n">
        <x:f>G186-I186</x:f>
        <x:v>15.399999999999991</x:v>
      </x:c>
      <x:c r="K186" s="48" t="n">
        <x:f>MAX(0,MIN(100,50+J186*6))</x:f>
        <x:v>100</x:v>
      </x:c>
      <x:c r="L186" s="48" t="n">
        <x:f>MIN(100,MAX(0,MIN(100,(1-(B186-1)/(H186*1.5))*100))*IF(A186="QB",'League Config'!$G$14,IF(A186="RB",'League Config'!$G$15,IF(A186="WR",'League Config'!$G$16,IF(A186="TE",'League Config'!$G$17,IF(A186="K",'League Config'!$G$18,'League Config'!$G$19))))))</x:f>
        <x:v>47.66666666666667</x:v>
      </x:c>
      <x:c r="M186" t="n">
        <x:f>IF(A186="K",'League Config'!$B$15,IF(A186="DST",'League Config'!$B$16,IF(A186="QB",'League Config'!$B$17,0)))</x:f>
        <x:v>18</x:v>
      </x:c>
      <x:c r="N186" s="48" t="n">
        <x:f>MIN(100,MAX(0,0.55*G186+0.30*K186+0.15*L186-M186))</x:f>
        <x:v>68.43</x:v>
      </x:c>
      <x:c r="O186" t="n">
        <x:f>RANK.EQ(N186,$N$5:$N$227,0)</x:f>
        <x:v>78</x:v>
      </x:c>
      <x:c r="P186" s="110" t="n">
        <x:v>165</x:v>
      </x:c>
      <x:c r="Q186" s="48" t="n">
        <x:f>P186-O186</x:f>
        <x:v>87</x:v>
      </x:c>
      <x:c r="R186" s="48" t="n">
        <x:f>MAX(40,G186-IF(U186="A",6,IF(U186="B",9,12)))</x:f>
        <x:v>80.6</x:v>
      </x:c>
      <x:c r="S186" s="48" t="n">
        <x:f>G186</x:f>
        <x:v>89.6</x:v>
      </x:c>
      <x:c r="T186" s="48" t="n">
        <x:f>MIN(100,G186+IF(U186="A",6,IF(U186="B",9,12)))</x:f>
        <x:v>98.6</x:v>
      </x:c>
      <x:c r="U186" t="str">
        <x:v>B</x:v>
      </x:c>
      <x:c r="V186" t="str">
        <x:v>KICKER MODEL</x:v>
      </x:c>
      <x:c r="W186" s="109" t="str">
        <x:v>Available</x:v>
      </x:c>
      <x:c r="X186" t="n">
        <x:f>IF(W186&lt;&gt;"Available","",1+COUNTIFS($W$5:$W$227,"Available",$N$5:$N$227,"&gt;"&amp;N186))</x:f>
        <x:v>78</x:v>
      </x:c>
      <x:c r="Y186" s="98" t="str">
        <x:v>EXPECTATION: Top-tier kicker option, but still a final-round target.  WHY: Ranks near the top of the current kicker pool, but kicker week-to-week separation is small in a 10-team league.  RISK: Kicker scoring is volatile and replaceable on waivers; do not pay meaningful draft capital.</x:v>
      </x:c>
      <x:c r="Z186" t="str">
        <x:v>https://www.fantasypros.com/nfl/rankings/k-cheatsheets.php</x:v>
      </x:c>
    </x:row>
    <x:row r="187">
      <x:c r="A187" t="str">
        <x:v>K</x:v>
      </x:c>
      <x:c r="B187" t="n">
        <x:v>4</x:v>
      </x:c>
      <x:c r="C187" t="str">
        <x:v>Jason Myers</x:v>
      </x:c>
      <x:c r="D187" s="48" t="n">
        <x:v>87.4</x:v>
      </x:c>
      <x:c r="E187" s="48" t="n">
        <x:f>SUMIFS('Manual Adjustments'!$G$5:$G$227,'Manual Adjustments'!$A$5:$A$227,A187,'Manual Adjustments'!$B$5:$B$227,C187)</x:f>
        <x:v>0</x:v>
      </x:c>
      <x:c r="F187" s="48" t="n">
        <x:f>IFERROR(SUMIFS('Rookie College Inputs'!$I$5:$I$13,'Rookie College Inputs'!$A$5:$A$13,C187),0)</x:f>
        <x:v>0</x:v>
      </x:c>
      <x:c r="G187" s="48" t="n">
        <x:f>MAX(40,MIN(100,D187+E187+F187))</x:f>
        <x:v>87.4</x:v>
      </x:c>
      <x:c r="H187" t="n">
        <x:f>IF(A187="QB",'League Config'!$H$5,IF(A187="RB",'League Config'!$H$6,IF(A187="WR",'League Config'!$H$7,IF(A187="TE",'League Config'!$H$8,IF(A187="K",'League Config'!$H$9,'League Config'!$H$10)))))</x:f>
        <x:v>10</x:v>
      </x:c>
      <x:c r="I187" s="48" t="n">
        <x:f>IF(A187="QB",'League Config'!$F$14,IF(A187="RB",'League Config'!$F$15,IF(A187="WR",'League Config'!$F$16,IF(A187="TE",'League Config'!$F$17,IF(A187="K",'League Config'!$F$18,'League Config'!$F$19)))))</x:f>
        <x:v>74.2</x:v>
      </x:c>
      <x:c r="J187" s="48" t="n">
        <x:f>G187-I187</x:f>
        <x:v>13.200000000000003</x:v>
      </x:c>
      <x:c r="K187" s="48" t="n">
        <x:f>MAX(0,MIN(100,50+J187*6))</x:f>
        <x:v>100</x:v>
      </x:c>
      <x:c r="L187" s="48" t="n">
        <x:f>MIN(100,MAX(0,MIN(100,(1-(B187-1)/(H187*1.5))*100))*IF(A187="QB",'League Config'!$G$14,IF(A187="RB",'League Config'!$G$15,IF(A187="WR",'League Config'!$G$16,IF(A187="TE",'League Config'!$G$17,IF(A187="K",'League Config'!$G$18,'League Config'!$G$19))))))</x:f>
        <x:v>44</x:v>
      </x:c>
      <x:c r="M187" t="n">
        <x:f>IF(A187="K",'League Config'!$B$15,IF(A187="DST",'League Config'!$B$16,IF(A187="QB",'League Config'!$B$17,0)))</x:f>
        <x:v>18</x:v>
      </x:c>
      <x:c r="N187" s="48" t="n">
        <x:f>MIN(100,MAX(0,0.55*G187+0.30*K187+0.15*L187-M187))</x:f>
        <x:v>66.67</x:v>
      </x:c>
      <x:c r="O187" t="n">
        <x:f>RANK.EQ(N187,$N$5:$N$227,0)</x:f>
        <x:v>84</x:v>
      </x:c>
      <x:c r="P187" s="110" t="n">
        <x:v>170</x:v>
      </x:c>
      <x:c r="Q187" s="48" t="n">
        <x:f>P187-O187</x:f>
        <x:v>86</x:v>
      </x:c>
      <x:c r="R187" s="48" t="n">
        <x:f>MAX(40,G187-IF(U187="A",6,IF(U187="B",9,12)))</x:f>
        <x:v>78.4</x:v>
      </x:c>
      <x:c r="S187" s="48" t="n">
        <x:f>G187</x:f>
        <x:v>87.4</x:v>
      </x:c>
      <x:c r="T187" s="48" t="n">
        <x:f>MIN(100,G187+IF(U187="A",6,IF(U187="B",9,12)))</x:f>
        <x:v>96.4</x:v>
      </x:c>
      <x:c r="U187" t="str">
        <x:v>B</x:v>
      </x:c>
      <x:c r="V187" t="str">
        <x:v>KICKER MODEL</x:v>
      </x:c>
      <x:c r="W187" s="109" t="str">
        <x:v>Available</x:v>
      </x:c>
      <x:c r="X187" t="n">
        <x:f>IF(W187&lt;&gt;"Available","",1+COUNTIFS($W$5:$W$227,"Available",$N$5:$N$227,"&gt;"&amp;N187))</x:f>
        <x:v>84</x:v>
      </x:c>
      <x:c r="Y187" s="98" t="str">
        <x:v>EXPECTATION: Top-tier kicker option, but still a final-round target.  WHY: Ranks near the top of the current kicker pool, but kicker week-to-week separation is small in a 10-team league.  RISK: Kicker scoring is volatile and replaceable on waivers; do not pay meaningful draft capital.</x:v>
      </x:c>
      <x:c r="Z187" t="str">
        <x:v>https://www.fantasypros.com/nfl/rankings/k-cheatsheets.php</x:v>
      </x:c>
    </x:row>
    <x:row r="188">
      <x:c r="A188" t="str">
        <x:v>K</x:v>
      </x:c>
      <x:c r="B188" t="n">
        <x:v>5</x:v>
      </x:c>
      <x:c r="C188" t="str">
        <x:v>Cam Little</x:v>
      </x:c>
      <x:c r="D188" s="48" t="n">
        <x:v>85.2</x:v>
      </x:c>
      <x:c r="E188" s="48" t="n">
        <x:f>SUMIFS('Manual Adjustments'!$G$5:$G$227,'Manual Adjustments'!$A$5:$A$227,A188,'Manual Adjustments'!$B$5:$B$227,C188)</x:f>
        <x:v>0</x:v>
      </x:c>
      <x:c r="F188" s="48" t="n">
        <x:f>IFERROR(SUMIFS('Rookie College Inputs'!$I$5:$I$13,'Rookie College Inputs'!$A$5:$A$13,C188),0)</x:f>
        <x:v>0</x:v>
      </x:c>
      <x:c r="G188" s="48" t="n">
        <x:f>MAX(40,MIN(100,D188+E188+F188))</x:f>
        <x:v>85.2</x:v>
      </x:c>
      <x:c r="H188" t="n">
        <x:f>IF(A188="QB",'League Config'!$H$5,IF(A188="RB",'League Config'!$H$6,IF(A188="WR",'League Config'!$H$7,IF(A188="TE",'League Config'!$H$8,IF(A188="K",'League Config'!$H$9,'League Config'!$H$10)))))</x:f>
        <x:v>10</x:v>
      </x:c>
      <x:c r="I188" s="48" t="n">
        <x:f>IF(A188="QB",'League Config'!$F$14,IF(A188="RB",'League Config'!$F$15,IF(A188="WR",'League Config'!$F$16,IF(A188="TE",'League Config'!$F$17,IF(A188="K",'League Config'!$F$18,'League Config'!$F$19)))))</x:f>
        <x:v>74.2</x:v>
      </x:c>
      <x:c r="J188" s="48" t="n">
        <x:f>G188-I188</x:f>
        <x:v>11</x:v>
      </x:c>
      <x:c r="K188" s="48" t="n">
        <x:f>MAX(0,MIN(100,50+J188*6))</x:f>
        <x:v>100</x:v>
      </x:c>
      <x:c r="L188" s="48" t="n">
        <x:f>MIN(100,MAX(0,MIN(100,(1-(B188-1)/(H188*1.5))*100))*IF(A188="QB",'League Config'!$G$14,IF(A188="RB",'League Config'!$G$15,IF(A188="WR",'League Config'!$G$16,IF(A188="TE",'League Config'!$G$17,IF(A188="K",'League Config'!$G$18,'League Config'!$G$19))))))</x:f>
        <x:v>40.33333333333334</x:v>
      </x:c>
      <x:c r="M188" t="n">
        <x:f>IF(A188="K",'League Config'!$B$15,IF(A188="DST",'League Config'!$B$16,IF(A188="QB",'League Config'!$B$17,0)))</x:f>
        <x:v>18</x:v>
      </x:c>
      <x:c r="N188" s="48" t="n">
        <x:f>MIN(100,MAX(0,0.55*G188+0.30*K188+0.15*L188-M188))</x:f>
        <x:v>64.91000000000001</x:v>
      </x:c>
      <x:c r="O188" t="n">
        <x:f>RANK.EQ(N188,$N$5:$N$227,0)</x:f>
        <x:v>89</x:v>
      </x:c>
      <x:c r="P188" s="110" t="n">
        <x:v>175</x:v>
      </x:c>
      <x:c r="Q188" s="48" t="n">
        <x:f>P188-O188</x:f>
        <x:v>86</x:v>
      </x:c>
      <x:c r="R188" s="48" t="n">
        <x:f>MAX(40,G188-IF(U188="A",6,IF(U188="B",9,12)))</x:f>
        <x:v>76.2</x:v>
      </x:c>
      <x:c r="S188" s="48" t="n">
        <x:f>G188</x:f>
        <x:v>85.2</x:v>
      </x:c>
      <x:c r="T188" s="48" t="n">
        <x:f>MIN(100,G188+IF(U188="A",6,IF(U188="B",9,12)))</x:f>
        <x:v>94.2</x:v>
      </x:c>
      <x:c r="U188" t="str">
        <x:v>B</x:v>
      </x:c>
      <x:c r="V188" t="str">
        <x:v>KICKER MODEL</x:v>
      </x:c>
      <x:c r="W188" s="109" t="str">
        <x:v>Available</x:v>
      </x:c>
      <x:c r="X188" t="n">
        <x:f>IF(W188&lt;&gt;"Available","",1+COUNTIFS($W$5:$W$227,"Available",$N$5:$N$227,"&gt;"&amp;N188))</x:f>
        <x:v>89</x:v>
      </x:c>
      <x:c r="Y188" s="98" t="str">
        <x:v>EXPECTATION: Top-tier kicker option, but still a final-round target.  WHY: Ranks near the top of the current kicker pool, but kicker week-to-week separation is small in a 10-team league.  RISK: Kicker scoring is volatile and replaceable on waivers; do not pay meaningful draft capital.</x:v>
      </x:c>
      <x:c r="Z188" t="str">
        <x:v>https://www.fantasypros.com/nfl/rankings/k-cheatsheets.php</x:v>
      </x:c>
    </x:row>
    <x:row r="189">
      <x:c r="A189" t="str">
        <x:v>K</x:v>
      </x:c>
      <x:c r="B189" t="n">
        <x:v>6</x:v>
      </x:c>
      <x:c r="C189" t="str">
        <x:v>Eddy Pineiro</x:v>
      </x:c>
      <x:c r="D189" s="48" t="n">
        <x:v>83</x:v>
      </x:c>
      <x:c r="E189" s="48" t="n">
        <x:f>SUMIFS('Manual Adjustments'!$G$5:$G$227,'Manual Adjustments'!$A$5:$A$227,A189,'Manual Adjustments'!$B$5:$B$227,C189)</x:f>
        <x:v>0</x:v>
      </x:c>
      <x:c r="F189" s="48" t="n">
        <x:f>IFERROR(SUMIFS('Rookie College Inputs'!$I$5:$I$13,'Rookie College Inputs'!$A$5:$A$13,C189),0)</x:f>
        <x:v>0</x:v>
      </x:c>
      <x:c r="G189" s="48" t="n">
        <x:f>MAX(40,MIN(100,D189+E189+F189))</x:f>
        <x:v>83</x:v>
      </x:c>
      <x:c r="H189" t="n">
        <x:f>IF(A189="QB",'League Config'!$H$5,IF(A189="RB",'League Config'!$H$6,IF(A189="WR",'League Config'!$H$7,IF(A189="TE",'League Config'!$H$8,IF(A189="K",'League Config'!$H$9,'League Config'!$H$10)))))</x:f>
        <x:v>10</x:v>
      </x:c>
      <x:c r="I189" s="48" t="n">
        <x:f>IF(A189="QB",'League Config'!$F$14,IF(A189="RB",'League Config'!$F$15,IF(A189="WR",'League Config'!$F$16,IF(A189="TE",'League Config'!$F$17,IF(A189="K",'League Config'!$F$18,'League Config'!$F$19)))))</x:f>
        <x:v>74.2</x:v>
      </x:c>
      <x:c r="J189" s="48" t="n">
        <x:f>G189-I189</x:f>
        <x:v>8.799999999999997</x:v>
      </x:c>
      <x:c r="K189" s="48" t="n">
        <x:f>MAX(0,MIN(100,50+J189*6))</x:f>
        <x:v>100</x:v>
      </x:c>
      <x:c r="L189" s="48" t="n">
        <x:f>MIN(100,MAX(0,MIN(100,(1-(B189-1)/(H189*1.5))*100))*IF(A189="QB",'League Config'!$G$14,IF(A189="RB",'League Config'!$G$15,IF(A189="WR",'League Config'!$G$16,IF(A189="TE",'League Config'!$G$17,IF(A189="K",'League Config'!$G$18,'League Config'!$G$19))))))</x:f>
        <x:v>36.66666666666667</x:v>
      </x:c>
      <x:c r="M189" t="n">
        <x:f>IF(A189="K",'League Config'!$B$15,IF(A189="DST",'League Config'!$B$16,IF(A189="QB",'League Config'!$B$17,0)))</x:f>
        <x:v>18</x:v>
      </x:c>
      <x:c r="N189" s="48" t="n">
        <x:f>MIN(100,MAX(0,0.55*G189+0.30*K189+0.15*L189-M189))</x:f>
        <x:v>63.150000000000006</x:v>
      </x:c>
      <x:c r="O189" t="n">
        <x:f>RANK.EQ(N189,$N$5:$N$227,0)</x:f>
        <x:v>96</x:v>
      </x:c>
      <x:c r="P189" s="110" t="n">
        <x:v>180</x:v>
      </x:c>
      <x:c r="Q189" s="48" t="n">
        <x:f>P189-O189</x:f>
        <x:v>84</x:v>
      </x:c>
      <x:c r="R189" s="48" t="n">
        <x:f>MAX(40,G189-IF(U189="A",6,IF(U189="B",9,12)))</x:f>
        <x:v>74</x:v>
      </x:c>
      <x:c r="S189" s="48" t="n">
        <x:f>G189</x:f>
        <x:v>83</x:v>
      </x:c>
      <x:c r="T189" s="48" t="n">
        <x:f>MIN(100,G189+IF(U189="A",6,IF(U189="B",9,12)))</x:f>
        <x:v>92</x:v>
      </x:c>
      <x:c r="U189" t="str">
        <x:v>B</x:v>
      </x:c>
      <x:c r="V189" t="str">
        <x:v>KICKER MODEL</x:v>
      </x:c>
      <x:c r="W189" s="109" t="str">
        <x:v>Available</x:v>
      </x:c>
      <x:c r="X189" t="n">
        <x:f>IF(W189&lt;&gt;"Available","",1+COUNTIFS($W$5:$W$227,"Available",$N$5:$N$227,"&gt;"&amp;N189))</x:f>
        <x:v>96</x:v>
      </x:c>
      <x:c r="Y189" s="98" t="str">
        <x:v>EXPECTATION: Late-round kicker; treat as replaceable unless scoring strongly rewards distance.  WHY: Ranks near the top of the current kicker pool, but kicker week-to-week separation is small in a 10-team league.  RISK: Kicker scoring is volatile and replaceable on waivers; do not pay meaningful draft capital.</x:v>
      </x:c>
      <x:c r="Z189" t="str">
        <x:v>https://www.fantasypros.com/nfl/rankings/k-cheatsheets.php</x:v>
      </x:c>
    </x:row>
    <x:row r="190">
      <x:c r="A190" t="str">
        <x:v>K</x:v>
      </x:c>
      <x:c r="B190" t="n">
        <x:v>7</x:v>
      </x:c>
      <x:c r="C190" t="str">
        <x:v>Tyler Loop</x:v>
      </x:c>
      <x:c r="D190" s="48" t="n">
        <x:v>80.8</x:v>
      </x:c>
      <x:c r="E190" s="48" t="n">
        <x:f>SUMIFS('Manual Adjustments'!$G$5:$G$227,'Manual Adjustments'!$A$5:$A$227,A190,'Manual Adjustments'!$B$5:$B$227,C190)</x:f>
        <x:v>0</x:v>
      </x:c>
      <x:c r="F190" s="48" t="n">
        <x:f>IFERROR(SUMIFS('Rookie College Inputs'!$I$5:$I$13,'Rookie College Inputs'!$A$5:$A$13,C190),0)</x:f>
        <x:v>0</x:v>
      </x:c>
      <x:c r="G190" s="48" t="n">
        <x:f>MAX(40,MIN(100,D190+E190+F190))</x:f>
        <x:v>80.8</x:v>
      </x:c>
      <x:c r="H190" t="n">
        <x:f>IF(A190="QB",'League Config'!$H$5,IF(A190="RB",'League Config'!$H$6,IF(A190="WR",'League Config'!$H$7,IF(A190="TE",'League Config'!$H$8,IF(A190="K",'League Config'!$H$9,'League Config'!$H$10)))))</x:f>
        <x:v>10</x:v>
      </x:c>
      <x:c r="I190" s="48" t="n">
        <x:f>IF(A190="QB",'League Config'!$F$14,IF(A190="RB",'League Config'!$F$15,IF(A190="WR",'League Config'!$F$16,IF(A190="TE",'League Config'!$F$17,IF(A190="K",'League Config'!$F$18,'League Config'!$F$19)))))</x:f>
        <x:v>74.2</x:v>
      </x:c>
      <x:c r="J190" s="48" t="n">
        <x:f>G190-I190</x:f>
        <x:v>6.599999999999994</x:v>
      </x:c>
      <x:c r="K190" s="48" t="n">
        <x:f>MAX(0,MIN(100,50+J190*6))</x:f>
        <x:v>89.59999999999997</x:v>
      </x:c>
      <x:c r="L190" s="48" t="n">
        <x:f>MIN(100,MAX(0,MIN(100,(1-(B190-1)/(H190*1.5))*100))*IF(A190="QB",'League Config'!$G$14,IF(A190="RB",'League Config'!$G$15,IF(A190="WR",'League Config'!$G$16,IF(A190="TE",'League Config'!$G$17,IF(A190="K",'League Config'!$G$18,'League Config'!$G$19))))))</x:f>
        <x:v>33</x:v>
      </x:c>
      <x:c r="M190" t="n">
        <x:f>IF(A190="K",'League Config'!$B$15,IF(A190="DST",'League Config'!$B$16,IF(A190="QB",'League Config'!$B$17,0)))</x:f>
        <x:v>18</x:v>
      </x:c>
      <x:c r="N190" s="48" t="n">
        <x:f>MIN(100,MAX(0,0.55*G190+0.30*K190+0.15*L190-M190))</x:f>
        <x:v>58.269999999999996</x:v>
      </x:c>
      <x:c r="O190" t="n">
        <x:f>RANK.EQ(N190,$N$5:$N$227,0)</x:f>
        <x:v>111</x:v>
      </x:c>
      <x:c r="P190" s="110" t="n">
        <x:v>185</x:v>
      </x:c>
      <x:c r="Q190" s="48" t="n">
        <x:f>P190-O190</x:f>
        <x:v>74</x:v>
      </x:c>
      <x:c r="R190" s="48" t="n">
        <x:f>MAX(40,G190-IF(U190="A",6,IF(U190="B",9,12)))</x:f>
        <x:v>71.8</x:v>
      </x:c>
      <x:c r="S190" s="48" t="n">
        <x:f>G190</x:f>
        <x:v>80.8</x:v>
      </x:c>
      <x:c r="T190" s="48" t="n">
        <x:f>MIN(100,G190+IF(U190="A",6,IF(U190="B",9,12)))</x:f>
        <x:v>89.8</x:v>
      </x:c>
      <x:c r="U190" t="str">
        <x:v>B</x:v>
      </x:c>
      <x:c r="V190" t="str">
        <x:v>KICKER MODEL</x:v>
      </x:c>
      <x:c r="W190" s="109" t="str">
        <x:v>Available</x:v>
      </x:c>
      <x:c r="X190" t="n">
        <x:f>IF(W190&lt;&gt;"Available","",1+COUNTIFS($W$5:$W$227,"Available",$N$5:$N$227,"&gt;"&amp;N190))</x:f>
        <x:v>111</x:v>
      </x:c>
      <x:c r="Y190" s="98" t="str">
        <x:v>EXPECTATION: Late-round kicker; treat as replaceable unless scoring strongly rewards distance.  WHY: Ranks near the top of the current kicker pool, but kicker week-to-week separation is small in a 10-team league.  RISK: Kicker scoring is volatile and replaceable on waivers; do not pay meaningful draft capital.</x:v>
      </x:c>
      <x:c r="Z190" t="str">
        <x:v>https://www.fantasypros.com/nfl/rankings/k-cheatsheets.php</x:v>
      </x:c>
    </x:row>
    <x:row r="191">
      <x:c r="A191" t="str">
        <x:v>K</x:v>
      </x:c>
      <x:c r="B191" t="n">
        <x:v>8</x:v>
      </x:c>
      <x:c r="C191" t="str">
        <x:v>Harrison Mevis</x:v>
      </x:c>
      <x:c r="D191" s="48" t="n">
        <x:v>78.6</x:v>
      </x:c>
      <x:c r="E191" s="48" t="n">
        <x:f>SUMIFS('Manual Adjustments'!$G$5:$G$227,'Manual Adjustments'!$A$5:$A$227,A191,'Manual Adjustments'!$B$5:$B$227,C191)</x:f>
        <x:v>0</x:v>
      </x:c>
      <x:c r="F191" s="48" t="n">
        <x:f>IFERROR(SUMIFS('Rookie College Inputs'!$I$5:$I$13,'Rookie College Inputs'!$A$5:$A$13,C191),0)</x:f>
        <x:v>0</x:v>
      </x:c>
      <x:c r="G191" s="48" t="n">
        <x:f>MAX(40,MIN(100,D191+E191+F191))</x:f>
        <x:v>78.6</x:v>
      </x:c>
      <x:c r="H191" t="n">
        <x:f>IF(A191="QB",'League Config'!$H$5,IF(A191="RB",'League Config'!$H$6,IF(A191="WR",'League Config'!$H$7,IF(A191="TE",'League Config'!$H$8,IF(A191="K",'League Config'!$H$9,'League Config'!$H$10)))))</x:f>
        <x:v>10</x:v>
      </x:c>
      <x:c r="I191" s="48" t="n">
        <x:f>IF(A191="QB",'League Config'!$F$14,IF(A191="RB",'League Config'!$F$15,IF(A191="WR",'League Config'!$F$16,IF(A191="TE",'League Config'!$F$17,IF(A191="K",'League Config'!$F$18,'League Config'!$F$19)))))</x:f>
        <x:v>74.2</x:v>
      </x:c>
      <x:c r="J191" s="48" t="n">
        <x:f>G191-I191</x:f>
        <x:v>4.3999999999999915</x:v>
      </x:c>
      <x:c r="K191" s="48" t="n">
        <x:f>MAX(0,MIN(100,50+J191*6))</x:f>
        <x:v>76.39999999999995</x:v>
      </x:c>
      <x:c r="L191" s="48" t="n">
        <x:f>MIN(100,MAX(0,MIN(100,(1-(B191-1)/(H191*1.5))*100))*IF(A191="QB",'League Config'!$G$14,IF(A191="RB",'League Config'!$G$15,IF(A191="WR",'League Config'!$G$16,IF(A191="TE",'League Config'!$G$17,IF(A191="K",'League Config'!$G$18,'League Config'!$G$19))))))</x:f>
        <x:v>29.333333333333336</x:v>
      </x:c>
      <x:c r="M191" t="n">
        <x:f>IF(A191="K",'League Config'!$B$15,IF(A191="DST",'League Config'!$B$16,IF(A191="QB",'League Config'!$B$17,0)))</x:f>
        <x:v>18</x:v>
      </x:c>
      <x:c r="N191" s="48" t="n">
        <x:f>MIN(100,MAX(0,0.55*G191+0.30*K191+0.15*L191-M191))</x:f>
        <x:v>52.54999999999998</x:v>
      </x:c>
      <x:c r="O191" t="n">
        <x:f>RANK.EQ(N191,$N$5:$N$227,0)</x:f>
        <x:v>123</x:v>
      </x:c>
      <x:c r="P191" s="110" t="n">
        <x:v>190</x:v>
      </x:c>
      <x:c r="Q191" s="48" t="n">
        <x:f>P191-O191</x:f>
        <x:v>67</x:v>
      </x:c>
      <x:c r="R191" s="48" t="n">
        <x:f>MAX(40,G191-IF(U191="A",6,IF(U191="B",9,12)))</x:f>
        <x:v>69.6</x:v>
      </x:c>
      <x:c r="S191" s="48" t="n">
        <x:f>G191</x:f>
        <x:v>78.6</x:v>
      </x:c>
      <x:c r="T191" s="48" t="n">
        <x:f>MIN(100,G191+IF(U191="A",6,IF(U191="B",9,12)))</x:f>
        <x:v>87.6</x:v>
      </x:c>
      <x:c r="U191" t="str">
        <x:v>B</x:v>
      </x:c>
      <x:c r="V191" t="str">
        <x:v>KICKER MODEL</x:v>
      </x:c>
      <x:c r="W191" s="109" t="str">
        <x:v>Available</x:v>
      </x:c>
      <x:c r="X191" t="n">
        <x:f>IF(W191&lt;&gt;"Available","",1+COUNTIFS($W$5:$W$227,"Available",$N$5:$N$227,"&gt;"&amp;N191))</x:f>
        <x:v>123</x:v>
      </x:c>
      <x:c r="Y191" s="98" t="str">
        <x:v>EXPECTATION: Late-round kicker; treat as replaceable unless scoring strongly rewards distance.  WHY: Ranks near the top of the current kicker pool, but kicker week-to-week separation is small in a 10-team league.  RISK: Kicker scoring is volatile and replaceable on waivers; do not pay meaningful draft capital.</x:v>
      </x:c>
      <x:c r="Z191" t="str">
        <x:v>https://www.fantasypros.com/nfl/rankings/k-cheatsheets.php</x:v>
      </x:c>
    </x:row>
    <x:row r="192">
      <x:c r="A192" t="str">
        <x:v>K</x:v>
      </x:c>
      <x:c r="B192" t="n">
        <x:v>9</x:v>
      </x:c>
      <x:c r="C192" t="str">
        <x:v>Chase McLaughlin</x:v>
      </x:c>
      <x:c r="D192" s="48" t="n">
        <x:v>76.4</x:v>
      </x:c>
      <x:c r="E192" s="48" t="n">
        <x:f>SUMIFS('Manual Adjustments'!$G$5:$G$227,'Manual Adjustments'!$A$5:$A$227,A192,'Manual Adjustments'!$B$5:$B$227,C192)</x:f>
        <x:v>0</x:v>
      </x:c>
      <x:c r="F192" s="48" t="n">
        <x:f>IFERROR(SUMIFS('Rookie College Inputs'!$I$5:$I$13,'Rookie College Inputs'!$A$5:$A$13,C192),0)</x:f>
        <x:v>0</x:v>
      </x:c>
      <x:c r="G192" s="48" t="n">
        <x:f>MAX(40,MIN(100,D192+E192+F192))</x:f>
        <x:v>76.4</x:v>
      </x:c>
      <x:c r="H192" t="n">
        <x:f>IF(A192="QB",'League Config'!$H$5,IF(A192="RB",'League Config'!$H$6,IF(A192="WR",'League Config'!$H$7,IF(A192="TE",'League Config'!$H$8,IF(A192="K",'League Config'!$H$9,'League Config'!$H$10)))))</x:f>
        <x:v>10</x:v>
      </x:c>
      <x:c r="I192" s="48" t="n">
        <x:f>IF(A192="QB",'League Config'!$F$14,IF(A192="RB",'League Config'!$F$15,IF(A192="WR",'League Config'!$F$16,IF(A192="TE",'League Config'!$F$17,IF(A192="K",'League Config'!$F$18,'League Config'!$F$19)))))</x:f>
        <x:v>74.2</x:v>
      </x:c>
      <x:c r="J192" s="48" t="n">
        <x:f>G192-I192</x:f>
        <x:v>2.200000000000003</x:v>
      </x:c>
      <x:c r="K192" s="48" t="n">
        <x:f>MAX(0,MIN(100,50+J192*6))</x:f>
        <x:v>63.20000000000002</x:v>
      </x:c>
      <x:c r="L192" s="48" t="n">
        <x:f>MIN(100,MAX(0,MIN(100,(1-(B192-1)/(H192*1.5))*100))*IF(A192="QB",'League Config'!$G$14,IF(A192="RB",'League Config'!$G$15,IF(A192="WR",'League Config'!$G$16,IF(A192="TE",'League Config'!$G$17,IF(A192="K",'League Config'!$G$18,'League Config'!$G$19))))))</x:f>
        <x:v>25.666666666666668</x:v>
      </x:c>
      <x:c r="M192" t="n">
        <x:f>IF(A192="K",'League Config'!$B$15,IF(A192="DST",'League Config'!$B$16,IF(A192="QB",'League Config'!$B$17,0)))</x:f>
        <x:v>18</x:v>
      </x:c>
      <x:c r="N192" s="48" t="n">
        <x:f>MIN(100,MAX(0,0.55*G192+0.30*K192+0.15*L192-M192))</x:f>
        <x:v>46.83</x:v>
      </x:c>
      <x:c r="O192" t="n">
        <x:f>RANK.EQ(N192,$N$5:$N$227,0)</x:f>
        <x:v>138</x:v>
      </x:c>
      <x:c r="P192" s="110" t="n">
        <x:v>195</x:v>
      </x:c>
      <x:c r="Q192" s="48" t="n">
        <x:f>P192-O192</x:f>
        <x:v>57</x:v>
      </x:c>
      <x:c r="R192" s="48" t="n">
        <x:f>MAX(40,G192-IF(U192="A",6,IF(U192="B",9,12)))</x:f>
        <x:v>67.4</x:v>
      </x:c>
      <x:c r="S192" s="48" t="n">
        <x:f>G192</x:f>
        <x:v>76.4</x:v>
      </x:c>
      <x:c r="T192" s="48" t="n">
        <x:f>MIN(100,G192+IF(U192="A",6,IF(U192="B",9,12)))</x:f>
        <x:v>85.4</x:v>
      </x:c>
      <x:c r="U192" t="str">
        <x:v>B</x:v>
      </x:c>
      <x:c r="V192" t="str">
        <x:v>KICKER MODEL</x:v>
      </x:c>
      <x:c r="W192" s="109" t="str">
        <x:v>Available</x:v>
      </x:c>
      <x:c r="X192" t="n">
        <x:f>IF(W192&lt;&gt;"Available","",1+COUNTIFS($W$5:$W$227,"Available",$N$5:$N$227,"&gt;"&amp;N192))</x:f>
        <x:v>138</x:v>
      </x:c>
      <x:c r="Y192" s="98" t="str">
        <x:v>EXPECTATION: Late-round kicker; treat as replaceable unless scoring strongly rewards distance.  WHY: Ranks near the top of the current kicker pool, but kicker week-to-week separation is small in a 10-team league.  RISK: Kicker scoring is volatile and replaceable on waivers; do not pay meaningful draft capital.</x:v>
      </x:c>
      <x:c r="Z192" t="str">
        <x:v>https://www.fantasypros.com/nfl/rankings/k-cheatsheets.php</x:v>
      </x:c>
    </x:row>
    <x:row r="193">
      <x:c r="A193" t="str">
        <x:v>K</x:v>
      </x:c>
      <x:c r="B193" t="n">
        <x:v>10</x:v>
      </x:c>
      <x:c r="C193" t="str">
        <x:v>Cairo Santos</x:v>
      </x:c>
      <x:c r="D193" s="48" t="n">
        <x:v>74.2</x:v>
      </x:c>
      <x:c r="E193" s="48" t="n">
        <x:f>SUMIFS('Manual Adjustments'!$G$5:$G$227,'Manual Adjustments'!$A$5:$A$227,A193,'Manual Adjustments'!$B$5:$B$227,C193)</x:f>
        <x:v>0</x:v>
      </x:c>
      <x:c r="F193" s="48" t="n">
        <x:f>IFERROR(SUMIFS('Rookie College Inputs'!$I$5:$I$13,'Rookie College Inputs'!$A$5:$A$13,C193),0)</x:f>
        <x:v>0</x:v>
      </x:c>
      <x:c r="G193" s="48" t="n">
        <x:f>MAX(40,MIN(100,D193+E193+F193))</x:f>
        <x:v>74.2</x:v>
      </x:c>
      <x:c r="H193" t="n">
        <x:f>IF(A193="QB",'League Config'!$H$5,IF(A193="RB",'League Config'!$H$6,IF(A193="WR",'League Config'!$H$7,IF(A193="TE",'League Config'!$H$8,IF(A193="K",'League Config'!$H$9,'League Config'!$H$10)))))</x:f>
        <x:v>10</x:v>
      </x:c>
      <x:c r="I193" s="48" t="n">
        <x:f>IF(A193="QB",'League Config'!$F$14,IF(A193="RB",'League Config'!$F$15,IF(A193="WR",'League Config'!$F$16,IF(A193="TE",'League Config'!$F$17,IF(A193="K",'League Config'!$F$18,'League Config'!$F$19)))))</x:f>
        <x:v>74.2</x:v>
      </x:c>
      <x:c r="J193" s="48" t="n">
        <x:f>G193-I193</x:f>
        <x:v>0</x:v>
      </x:c>
      <x:c r="K193" s="48" t="n">
        <x:f>MAX(0,MIN(100,50+J193*6))</x:f>
        <x:v>50</x:v>
      </x:c>
      <x:c r="L193" s="48" t="n">
        <x:f>MIN(100,MAX(0,MIN(100,(1-(B193-1)/(H193*1.5))*100))*IF(A193="QB",'League Config'!$G$14,IF(A193="RB",'League Config'!$G$15,IF(A193="WR",'League Config'!$G$16,IF(A193="TE",'League Config'!$G$17,IF(A193="K",'League Config'!$G$18,'League Config'!$G$19))))))</x:f>
        <x:v>22</x:v>
      </x:c>
      <x:c r="M193" t="n">
        <x:f>IF(A193="K",'League Config'!$B$15,IF(A193="DST",'League Config'!$B$16,IF(A193="QB",'League Config'!$B$17,0)))</x:f>
        <x:v>18</x:v>
      </x:c>
      <x:c r="N193" s="48" t="n">
        <x:f>MIN(100,MAX(0,0.55*G193+0.30*K193+0.15*L193-M193))</x:f>
        <x:v>41.11</x:v>
      </x:c>
      <x:c r="O193" t="n">
        <x:f>RANK.EQ(N193,$N$5:$N$227,0)</x:f>
        <x:v>153</x:v>
      </x:c>
      <x:c r="P193" s="110" t="n">
        <x:v>200</x:v>
      </x:c>
      <x:c r="Q193" s="48" t="n">
        <x:f>P193-O193</x:f>
        <x:v>47</x:v>
      </x:c>
      <x:c r="R193" s="48" t="n">
        <x:f>MAX(40,G193-IF(U193="A",6,IF(U193="B",9,12)))</x:f>
        <x:v>65.2</x:v>
      </x:c>
      <x:c r="S193" s="48" t="n">
        <x:f>G193</x:f>
        <x:v>74.2</x:v>
      </x:c>
      <x:c r="T193" s="48" t="n">
        <x:f>MIN(100,G193+IF(U193="A",6,IF(U193="B",9,12)))</x:f>
        <x:v>83.2</x:v>
      </x:c>
      <x:c r="U193" t="str">
        <x:v>B</x:v>
      </x:c>
      <x:c r="V193" t="str">
        <x:v>KICKER MODEL</x:v>
      </x:c>
      <x:c r="W193" s="109" t="str">
        <x:v>Available</x:v>
      </x:c>
      <x:c r="X193" t="n">
        <x:f>IF(W193&lt;&gt;"Available","",1+COUNTIFS($W$5:$W$227,"Available",$N$5:$N$227,"&gt;"&amp;N193))</x:f>
        <x:v>153</x:v>
      </x:c>
      <x:c r="Y193" s="98" t="str">
        <x:v>EXPECTATION: Late-round kicker; treat as replaceable unless scoring strongly rewards distance.  WHY: Ranks near the top of the current kicker pool, but kicker week-to-week separation is small in a 10-team league.  RISK: Kicker scoring is volatile and replaceable on waivers; do not pay meaningful draft capital.</x:v>
      </x:c>
      <x:c r="Z193" t="str">
        <x:v>https://www.fantasypros.com/nfl/rankings/k-cheatsheets.php</x:v>
      </x:c>
    </x:row>
    <x:row r="194">
      <x:c r="A194" t="str">
        <x:v>K</x:v>
      </x:c>
      <x:c r="B194" t="n">
        <x:v>11</x:v>
      </x:c>
      <x:c r="C194" t="str">
        <x:v>Andy Borregales</x:v>
      </x:c>
      <x:c r="D194" s="48" t="n">
        <x:v>72</x:v>
      </x:c>
      <x:c r="E194" s="48" t="n">
        <x:f>SUMIFS('Manual Adjustments'!$G$5:$G$227,'Manual Adjustments'!$A$5:$A$227,A194,'Manual Adjustments'!$B$5:$B$227,C194)</x:f>
        <x:v>0</x:v>
      </x:c>
      <x:c r="F194" s="48" t="n">
        <x:f>IFERROR(SUMIFS('Rookie College Inputs'!$I$5:$I$13,'Rookie College Inputs'!$A$5:$A$13,C194),0)</x:f>
        <x:v>0</x:v>
      </x:c>
      <x:c r="G194" s="48" t="n">
        <x:f>MAX(40,MIN(100,D194+E194+F194))</x:f>
        <x:v>72</x:v>
      </x:c>
      <x:c r="H194" t="n">
        <x:f>IF(A194="QB",'League Config'!$H$5,IF(A194="RB",'League Config'!$H$6,IF(A194="WR",'League Config'!$H$7,IF(A194="TE",'League Config'!$H$8,IF(A194="K",'League Config'!$H$9,'League Config'!$H$10)))))</x:f>
        <x:v>10</x:v>
      </x:c>
      <x:c r="I194" s="48" t="n">
        <x:f>IF(A194="QB",'League Config'!$F$14,IF(A194="RB",'League Config'!$F$15,IF(A194="WR",'League Config'!$F$16,IF(A194="TE",'League Config'!$F$17,IF(A194="K",'League Config'!$F$18,'League Config'!$F$19)))))</x:f>
        <x:v>74.2</x:v>
      </x:c>
      <x:c r="J194" s="48" t="n">
        <x:f>G194-I194</x:f>
        <x:v>-2.200000000000003</x:v>
      </x:c>
      <x:c r="K194" s="48" t="n">
        <x:f>MAX(0,MIN(100,50+J194*6))</x:f>
        <x:v>36.79999999999998</x:v>
      </x:c>
      <x:c r="L194" s="48" t="n">
        <x:f>MIN(100,MAX(0,MIN(100,(1-(B194-1)/(H194*1.5))*100))*IF(A194="QB",'League Config'!$G$14,IF(A194="RB",'League Config'!$G$15,IF(A194="WR",'League Config'!$G$16,IF(A194="TE",'League Config'!$G$17,IF(A194="K",'League Config'!$G$18,'League Config'!$G$19))))))</x:f>
        <x:v>18.333333333333336</x:v>
      </x:c>
      <x:c r="M194" t="n">
        <x:f>IF(A194="K",'League Config'!$B$15,IF(A194="DST",'League Config'!$B$16,IF(A194="QB",'League Config'!$B$17,0)))</x:f>
        <x:v>18</x:v>
      </x:c>
      <x:c r="N194" s="48" t="n">
        <x:f>MIN(100,MAX(0,0.55*G194+0.30*K194+0.15*L194-M194))</x:f>
        <x:v>35.38999999999999</x:v>
      </x:c>
      <x:c r="O194" t="n">
        <x:f>RANK.EQ(N194,$N$5:$N$227,0)</x:f>
        <x:v>176</x:v>
      </x:c>
      <x:c r="P194" s="110" t="n">
        <x:v>205</x:v>
      </x:c>
      <x:c r="Q194" s="48" t="n">
        <x:f>P194-O194</x:f>
        <x:v>29</x:v>
      </x:c>
      <x:c r="R194" s="48" t="n">
        <x:f>MAX(40,G194-IF(U194="A",6,IF(U194="B",9,12)))</x:f>
        <x:v>63</x:v>
      </x:c>
      <x:c r="S194" s="48" t="n">
        <x:f>G194</x:f>
        <x:v>72</x:v>
      </x:c>
      <x:c r="T194" s="48" t="n">
        <x:f>MIN(100,G194+IF(U194="A",6,IF(U194="B",9,12)))</x:f>
        <x:v>81</x:v>
      </x:c>
      <x:c r="U194" t="str">
        <x:v>B</x:v>
      </x:c>
      <x:c r="V194" t="str">
        <x:v>KICKER MODEL</x:v>
      </x:c>
      <x:c r="W194" s="109" t="str">
        <x:v>Available</x:v>
      </x:c>
      <x:c r="X194" t="n">
        <x:f>IF(W194&lt;&gt;"Available","",1+COUNTIFS($W$5:$W$227,"Available",$N$5:$N$227,"&gt;"&amp;N194))</x:f>
        <x:v>176</x:v>
      </x:c>
      <x:c r="Y194" s="98" t="str">
        <x:v>EXPECTATION: Late-round kicker; treat as replaceable unless scoring strongly rewards distance.  WHY: Ranks near the top of the current kicker pool, but kicker week-to-week separation is small in a 10-team league.  RISK: Kicker scoring is volatile and replaceable on waivers; do not pay meaningful draft capital.</x:v>
      </x:c>
      <x:c r="Z194" t="str">
        <x:v>https://www.fantasypros.com/nfl/rankings/k-cheatsheets.php</x:v>
      </x:c>
    </x:row>
    <x:row r="195">
      <x:c r="A195" t="str">
        <x:v>K</x:v>
      </x:c>
      <x:c r="B195" t="n">
        <x:v>12</x:v>
      </x:c>
      <x:c r="C195" t="str">
        <x:v>Evan McPherson</x:v>
      </x:c>
      <x:c r="D195" s="48" t="n">
        <x:v>69.8</x:v>
      </x:c>
      <x:c r="E195" s="48" t="n">
        <x:f>SUMIFS('Manual Adjustments'!$G$5:$G$227,'Manual Adjustments'!$A$5:$A$227,A195,'Manual Adjustments'!$B$5:$B$227,C195)</x:f>
        <x:v>0</x:v>
      </x:c>
      <x:c r="F195" s="48" t="n">
        <x:f>IFERROR(SUMIFS('Rookie College Inputs'!$I$5:$I$13,'Rookie College Inputs'!$A$5:$A$13,C195),0)</x:f>
        <x:v>0</x:v>
      </x:c>
      <x:c r="G195" s="48" t="n">
        <x:f>MAX(40,MIN(100,D195+E195+F195))</x:f>
        <x:v>69.8</x:v>
      </x:c>
      <x:c r="H195" t="n">
        <x:f>IF(A195="QB",'League Config'!$H$5,IF(A195="RB",'League Config'!$H$6,IF(A195="WR",'League Config'!$H$7,IF(A195="TE",'League Config'!$H$8,IF(A195="K",'League Config'!$H$9,'League Config'!$H$10)))))</x:f>
        <x:v>10</x:v>
      </x:c>
      <x:c r="I195" s="48" t="n">
        <x:f>IF(A195="QB",'League Config'!$F$14,IF(A195="RB",'League Config'!$F$15,IF(A195="WR",'League Config'!$F$16,IF(A195="TE",'League Config'!$F$17,IF(A195="K",'League Config'!$F$18,'League Config'!$F$19)))))</x:f>
        <x:v>74.2</x:v>
      </x:c>
      <x:c r="J195" s="48" t="n">
        <x:f>G195-I195</x:f>
        <x:v>-4.400000000000006</x:v>
      </x:c>
      <x:c r="K195" s="48" t="n">
        <x:f>MAX(0,MIN(100,50+J195*6))</x:f>
        <x:v>23.599999999999966</x:v>
      </x:c>
      <x:c r="L195" s="48" t="n">
        <x:f>MIN(100,MAX(0,MIN(100,(1-(B195-1)/(H195*1.5))*100))*IF(A195="QB",'League Config'!$G$14,IF(A195="RB",'League Config'!$G$15,IF(A195="WR",'League Config'!$G$16,IF(A195="TE",'League Config'!$G$17,IF(A195="K",'League Config'!$G$18,'League Config'!$G$19))))))</x:f>
        <x:v>14.66666666666667</x:v>
      </x:c>
      <x:c r="M195" t="n">
        <x:f>IF(A195="K",'League Config'!$B$15,IF(A195="DST",'League Config'!$B$16,IF(A195="QB",'League Config'!$B$17,0)))</x:f>
        <x:v>18</x:v>
      </x:c>
      <x:c r="N195" s="48" t="n">
        <x:f>MIN(100,MAX(0,0.55*G195+0.30*K195+0.15*L195-M195))</x:f>
        <x:v>29.669999999999995</x:v>
      </x:c>
      <x:c r="O195" t="n">
        <x:f>RANK.EQ(N195,$N$5:$N$227,0)</x:f>
        <x:v>203</x:v>
      </x:c>
      <x:c r="P195" s="110" t="n">
        <x:v>210</x:v>
      </x:c>
      <x:c r="Q195" s="48" t="n">
        <x:f>P195-O195</x:f>
        <x:v>7</x:v>
      </x:c>
      <x:c r="R195" s="48" t="n">
        <x:f>MAX(40,G195-IF(U195="A",6,IF(U195="B",9,12)))</x:f>
        <x:v>60.8</x:v>
      </x:c>
      <x:c r="S195" s="48" t="n">
        <x:f>G195</x:f>
        <x:v>69.8</x:v>
      </x:c>
      <x:c r="T195" s="48" t="n">
        <x:f>MIN(100,G195+IF(U195="A",6,IF(U195="B",9,12)))</x:f>
        <x:v>78.8</x:v>
      </x:c>
      <x:c r="U195" t="str">
        <x:v>B</x:v>
      </x:c>
      <x:c r="V195" t="str">
        <x:v>KICKER MODEL</x:v>
      </x:c>
      <x:c r="W195" s="109" t="str">
        <x:v>Available</x:v>
      </x:c>
      <x:c r="X195" t="n">
        <x:f>IF(W195&lt;&gt;"Available","",1+COUNTIFS($W$5:$W$227,"Available",$N$5:$N$227,"&gt;"&amp;N195))</x:f>
        <x:v>203</x:v>
      </x:c>
      <x:c r="Y195" s="98" t="str">
        <x:v>EXPECTATION: Late-round kicker; treat as replaceable unless scoring strongly rewards distance.  WHY: Ranks near the top of the current kicker pool, but kicker week-to-week separation is small in a 10-team league.  RISK: Kicker scoring is volatile and replaceable on waivers; do not pay meaningful draft capital.</x:v>
      </x:c>
      <x:c r="Z195" t="str">
        <x:v>https://www.fantasypros.com/nfl/rankings/k-cheatsheets.php</x:v>
      </x:c>
    </x:row>
    <x:row r="196">
      <x:c r="A196" t="str">
        <x:v>DST</x:v>
      </x:c>
      <x:c r="B196" t="n">
        <x:v>1</x:v>
      </x:c>
      <x:c r="C196" t="str">
        <x:v>Houston Texans</x:v>
      </x:c>
      <x:c r="D196" s="48" t="n">
        <x:v>93</x:v>
      </x:c>
      <x:c r="E196" s="48" t="n">
        <x:f>SUMIFS('Manual Adjustments'!$G$5:$G$227,'Manual Adjustments'!$A$5:$A$227,A196,'Manual Adjustments'!$B$5:$B$227,C196)</x:f>
        <x:v>0</x:v>
      </x:c>
      <x:c r="F196" s="48" t="n">
        <x:f>IFERROR(SUMIFS('Rookie College Inputs'!$I$5:$I$13,'Rookie College Inputs'!$A$5:$A$13,C196),0)</x:f>
        <x:v>0</x:v>
      </x:c>
      <x:c r="G196" s="48" t="n">
        <x:f>MAX(40,MIN(100,D196+E196+F196))</x:f>
        <x:v>93</x:v>
      </x:c>
      <x:c r="H196" t="n">
        <x:f>IF(A196="QB",'League Config'!$H$5,IF(A196="RB",'League Config'!$H$6,IF(A196="WR",'League Config'!$H$7,IF(A196="TE",'League Config'!$H$8,IF(A196="K",'League Config'!$H$9,'League Config'!$H$10)))))</x:f>
        <x:v>10</x:v>
      </x:c>
      <x:c r="I196" s="48" t="n">
        <x:f>IF(A196="QB",'League Config'!$F$14,IF(A196="RB",'League Config'!$F$15,IF(A196="WR",'League Config'!$F$16,IF(A196="TE",'League Config'!$F$17,IF(A196="K",'League Config'!$F$18,'League Config'!$F$19)))))</x:f>
        <x:v>83.1</x:v>
      </x:c>
      <x:c r="J196" s="48" t="n">
        <x:f>G196-I196</x:f>
        <x:v>9.900000000000006</x:v>
      </x:c>
      <x:c r="K196" s="48" t="n">
        <x:f>MAX(0,MIN(100,50+J196*6))</x:f>
        <x:v>100</x:v>
      </x:c>
      <x:c r="L196" s="48" t="n">
        <x:f>MIN(100,MAX(0,MIN(100,(1-(B196-1)/(H196*1.5))*100))*IF(A196="QB",'League Config'!$G$14,IF(A196="RB",'League Config'!$G$15,IF(A196="WR",'League Config'!$G$16,IF(A196="TE",'League Config'!$G$17,IF(A196="K",'League Config'!$G$18,'League Config'!$G$19))))))</x:f>
        <x:v>50</x:v>
      </x:c>
      <x:c r="M196" t="n">
        <x:f>IF(A196="K",'League Config'!$B$15,IF(A196="DST",'League Config'!$B$16,IF(A196="QB",'League Config'!$B$17,0)))</x:f>
        <x:v>20</x:v>
      </x:c>
      <x:c r="N196" s="48" t="n">
        <x:f>MIN(100,MAX(0,0.55*G196+0.30*K196+0.15*L196-M196))</x:f>
        <x:v>68.65</x:v>
      </x:c>
      <x:c r="O196" t="n">
        <x:f>RANK.EQ(N196,$N$5:$N$227,0)</x:f>
        <x:v>76</x:v>
      </x:c>
      <x:c r="P196" s="110" t="n">
        <x:v>160</x:v>
      </x:c>
      <x:c r="Q196" s="48" t="n">
        <x:f>P196-O196</x:f>
        <x:v>84</x:v>
      </x:c>
      <x:c r="R196" s="48" t="n">
        <x:f>MAX(40,G196-IF(U196="A",6,IF(U196="B",9,12)))</x:f>
        <x:v>84</x:v>
      </x:c>
      <x:c r="S196" s="48" t="n">
        <x:f>G196</x:f>
        <x:v>93</x:v>
      </x:c>
      <x:c r="T196" s="48" t="n">
        <x:f>MIN(100,G196+IF(U196="A",6,IF(U196="B",9,12)))</x:f>
        <x:v>100</x:v>
      </x:c>
      <x:c r="U196" t="str">
        <x:v>B</x:v>
      </x:c>
      <x:c r="V196" t="str">
        <x:v>DST MODEL</x:v>
      </x:c>
      <x:c r="W196" s="109" t="str">
        <x:v>Available</x:v>
      </x:c>
      <x:c r="X196" t="n">
        <x:f>IF(W196&lt;&gt;"Available","",1+COUNTIFS($W$5:$W$227,"Available",$N$5:$N$227,"&gt;"&amp;N196))</x:f>
        <x:v>76</x:v>
      </x:c>
      <x:c r="Y196" s="98" t="str">
        <x:v>EXPECTATION: Elite DST target if available in the final rounds; otherwise streaming remains viable.  WHY: The unit grades well relative to the current DST pool, but the model intentionally keeps defense behind core skill positions.  RISK: DST scoring is highly opponent- and turnover-dependent, making season-long rank fragile.</x:v>
      </x:c>
      <x:c r="Z196" t="str">
        <x:v>https://www.fantasypros.com/nfl/rankings/dst-cheatsheets.php</x:v>
      </x:c>
    </x:row>
    <x:row r="197">
      <x:c r="A197" t="str">
        <x:v>DST</x:v>
      </x:c>
      <x:c r="B197" t="n">
        <x:v>2</x:v>
      </x:c>
      <x:c r="C197" t="str">
        <x:v>Denver Broncos</x:v>
      </x:c>
      <x:c r="D197" s="48" t="n">
        <x:v>91.9</x:v>
      </x:c>
      <x:c r="E197" s="48" t="n">
        <x:f>SUMIFS('Manual Adjustments'!$G$5:$G$227,'Manual Adjustments'!$A$5:$A$227,A197,'Manual Adjustments'!$B$5:$B$227,C197)</x:f>
        <x:v>0</x:v>
      </x:c>
      <x:c r="F197" s="48" t="n">
        <x:f>IFERROR(SUMIFS('Rookie College Inputs'!$I$5:$I$13,'Rookie College Inputs'!$A$5:$A$13,C197),0)</x:f>
        <x:v>0</x:v>
      </x:c>
      <x:c r="G197" s="48" t="n">
        <x:f>MAX(40,MIN(100,D197+E197+F197))</x:f>
        <x:v>91.9</x:v>
      </x:c>
      <x:c r="H197" t="n">
        <x:f>IF(A197="QB",'League Config'!$H$5,IF(A197="RB",'League Config'!$H$6,IF(A197="WR",'League Config'!$H$7,IF(A197="TE",'League Config'!$H$8,IF(A197="K",'League Config'!$H$9,'League Config'!$H$10)))))</x:f>
        <x:v>10</x:v>
      </x:c>
      <x:c r="I197" s="48" t="n">
        <x:f>IF(A197="QB",'League Config'!$F$14,IF(A197="RB",'League Config'!$F$15,IF(A197="WR",'League Config'!$F$16,IF(A197="TE",'League Config'!$F$17,IF(A197="K",'League Config'!$F$18,'League Config'!$F$19)))))</x:f>
        <x:v>83.1</x:v>
      </x:c>
      <x:c r="J197" s="48" t="n">
        <x:f>G197-I197</x:f>
        <x:v>8.800000000000011</x:v>
      </x:c>
      <x:c r="K197" s="48" t="n">
        <x:f>MAX(0,MIN(100,50+J197*6))</x:f>
        <x:v>100</x:v>
      </x:c>
      <x:c r="L197" s="48" t="n">
        <x:f>MIN(100,MAX(0,MIN(100,(1-(B197-1)/(H197*1.5))*100))*IF(A197="QB",'League Config'!$G$14,IF(A197="RB",'League Config'!$G$15,IF(A197="WR",'League Config'!$G$16,IF(A197="TE",'League Config'!$G$17,IF(A197="K",'League Config'!$G$18,'League Config'!$G$19))))))</x:f>
        <x:v>46.666666666666664</x:v>
      </x:c>
      <x:c r="M197" t="n">
        <x:f>IF(A197="K",'League Config'!$B$15,IF(A197="DST",'League Config'!$B$16,IF(A197="QB",'League Config'!$B$17,0)))</x:f>
        <x:v>20</x:v>
      </x:c>
      <x:c r="N197" s="48" t="n">
        <x:f>MIN(100,MAX(0,0.55*G197+0.30*K197+0.15*L197-M197))</x:f>
        <x:v>67.54500000000002</x:v>
      </x:c>
      <x:c r="O197" t="n">
        <x:f>RANK.EQ(N197,$N$5:$N$227,0)</x:f>
        <x:v>81</x:v>
      </x:c>
      <x:c r="P197" s="110" t="n">
        <x:v>164</x:v>
      </x:c>
      <x:c r="Q197" s="48" t="n">
        <x:f>P197-O197</x:f>
        <x:v>83</x:v>
      </x:c>
      <x:c r="R197" s="48" t="n">
        <x:f>MAX(40,G197-IF(U197="A",6,IF(U197="B",9,12)))</x:f>
        <x:v>82.9</x:v>
      </x:c>
      <x:c r="S197" s="48" t="n">
        <x:f>G197</x:f>
        <x:v>91.9</x:v>
      </x:c>
      <x:c r="T197" s="48" t="n">
        <x:f>MIN(100,G197+IF(U197="A",6,IF(U197="B",9,12)))</x:f>
        <x:v>100</x:v>
      </x:c>
      <x:c r="U197" t="str">
        <x:v>B</x:v>
      </x:c>
      <x:c r="V197" t="str">
        <x:v>DST MODEL</x:v>
      </x:c>
      <x:c r="W197" s="109" t="str">
        <x:v>Available</x:v>
      </x:c>
      <x:c r="X197" t="n">
        <x:f>IF(W197&lt;&gt;"Available","",1+COUNTIFS($W$5:$W$227,"Available",$N$5:$N$227,"&gt;"&amp;N197))</x:f>
        <x:v>81</x:v>
      </x:c>
      <x:c r="Y197" s="98" t="str">
        <x:v>EXPECTATION: Elite DST target if available in the final rounds; otherwise streaming remains viable.  WHY: The unit grades well relative to the current DST pool, but the model intentionally keeps defense behind core skill positions.  RISK: DST scoring is highly opponent- and turnover-dependent, making season-long rank fragile.</x:v>
      </x:c>
      <x:c r="Z197" t="str">
        <x:v>https://www.fantasypros.com/nfl/rankings/dst-cheatsheets.php</x:v>
      </x:c>
    </x:row>
    <x:row r="198">
      <x:c r="A198" t="str">
        <x:v>DST</x:v>
      </x:c>
      <x:c r="B198" t="n">
        <x:v>3</x:v>
      </x:c>
      <x:c r="C198" t="str">
        <x:v>Seattle Seahawks</x:v>
      </x:c>
      <x:c r="D198" s="48" t="n">
        <x:v>90.8</x:v>
      </x:c>
      <x:c r="E198" s="48" t="n">
        <x:f>SUMIFS('Manual Adjustments'!$G$5:$G$227,'Manual Adjustments'!$A$5:$A$227,A198,'Manual Adjustments'!$B$5:$B$227,C198)</x:f>
        <x:v>0</x:v>
      </x:c>
      <x:c r="F198" s="48" t="n">
        <x:f>IFERROR(SUMIFS('Rookie College Inputs'!$I$5:$I$13,'Rookie College Inputs'!$A$5:$A$13,C198),0)</x:f>
        <x:v>0</x:v>
      </x:c>
      <x:c r="G198" s="48" t="n">
        <x:f>MAX(40,MIN(100,D198+E198+F198))</x:f>
        <x:v>90.8</x:v>
      </x:c>
      <x:c r="H198" t="n">
        <x:f>IF(A198="QB",'League Config'!$H$5,IF(A198="RB",'League Config'!$H$6,IF(A198="WR",'League Config'!$H$7,IF(A198="TE",'League Config'!$H$8,IF(A198="K",'League Config'!$H$9,'League Config'!$H$10)))))</x:f>
        <x:v>10</x:v>
      </x:c>
      <x:c r="I198" s="48" t="n">
        <x:f>IF(A198="QB",'League Config'!$F$14,IF(A198="RB",'League Config'!$F$15,IF(A198="WR",'League Config'!$F$16,IF(A198="TE",'League Config'!$F$17,IF(A198="K",'League Config'!$F$18,'League Config'!$F$19)))))</x:f>
        <x:v>83.1</x:v>
      </x:c>
      <x:c r="J198" s="48" t="n">
        <x:f>G198-I198</x:f>
        <x:v>7.700000000000003</x:v>
      </x:c>
      <x:c r="K198" s="48" t="n">
        <x:f>MAX(0,MIN(100,50+J198*6))</x:f>
        <x:v>96.20000000000002</x:v>
      </x:c>
      <x:c r="L198" s="48" t="n">
        <x:f>MIN(100,MAX(0,MIN(100,(1-(B198-1)/(H198*1.5))*100))*IF(A198="QB",'League Config'!$G$14,IF(A198="RB",'League Config'!$G$15,IF(A198="WR",'League Config'!$G$16,IF(A198="TE",'League Config'!$G$17,IF(A198="K",'League Config'!$G$18,'League Config'!$G$19))))))</x:f>
        <x:v>43.333333333333336</x:v>
      </x:c>
      <x:c r="M198" t="n">
        <x:f>IF(A198="K",'League Config'!$B$15,IF(A198="DST",'League Config'!$B$16,IF(A198="QB",'League Config'!$B$17,0)))</x:f>
        <x:v>20</x:v>
      </x:c>
      <x:c r="N198" s="48" t="n">
        <x:f>MIN(100,MAX(0,0.55*G198+0.30*K198+0.15*L198-M198))</x:f>
        <x:v>65.30000000000001</x:v>
      </x:c>
      <x:c r="O198" t="n">
        <x:f>RANK.EQ(N198,$N$5:$N$227,0)</x:f>
        <x:v>87</x:v>
      </x:c>
      <x:c r="P198" s="110" t="n">
        <x:v>168</x:v>
      </x:c>
      <x:c r="Q198" s="48" t="n">
        <x:f>P198-O198</x:f>
        <x:v>81</x:v>
      </x:c>
      <x:c r="R198" s="48" t="n">
        <x:f>MAX(40,G198-IF(U198="A",6,IF(U198="B",9,12)))</x:f>
        <x:v>81.8</x:v>
      </x:c>
      <x:c r="S198" s="48" t="n">
        <x:f>G198</x:f>
        <x:v>90.8</x:v>
      </x:c>
      <x:c r="T198" s="48" t="n">
        <x:f>MIN(100,G198+IF(U198="A",6,IF(U198="B",9,12)))</x:f>
        <x:v>99.8</x:v>
      </x:c>
      <x:c r="U198" t="str">
        <x:v>B</x:v>
      </x:c>
      <x:c r="V198" t="str">
        <x:v>DST MODEL</x:v>
      </x:c>
      <x:c r="W198" s="109" t="str">
        <x:v>Available</x:v>
      </x:c>
      <x:c r="X198" t="n">
        <x:f>IF(W198&lt;&gt;"Available","",1+COUNTIFS($W$5:$W$227,"Available",$N$5:$N$227,"&gt;"&amp;N198))</x:f>
        <x:v>87</x:v>
      </x:c>
      <x:c r="Y198" s="98" t="str">
        <x:v>EXPECTATION: Elite DST target if available in the final rounds; otherwise streaming remains viable.  WHY: The unit grades well relative to the current DST pool, but the model intentionally keeps defense behind core skill positions.  RISK: DST scoring is highly opponent- and turnover-dependent, making season-long rank fragile.</x:v>
      </x:c>
      <x:c r="Z198" t="str">
        <x:v>https://www.fantasypros.com/nfl/rankings/dst-cheatsheets.php</x:v>
      </x:c>
    </x:row>
    <x:row r="199">
      <x:c r="A199" t="str">
        <x:v>DST</x:v>
      </x:c>
      <x:c r="B199" t="n">
        <x:v>4</x:v>
      </x:c>
      <x:c r="C199" t="str">
        <x:v>Los Angeles Rams</x:v>
      </x:c>
      <x:c r="D199" s="48" t="n">
        <x:v>89.7</x:v>
      </x:c>
      <x:c r="E199" s="48" t="n">
        <x:f>SUMIFS('Manual Adjustments'!$G$5:$G$227,'Manual Adjustments'!$A$5:$A$227,A199,'Manual Adjustments'!$B$5:$B$227,C199)</x:f>
        <x:v>0</x:v>
      </x:c>
      <x:c r="F199" s="48" t="n">
        <x:f>IFERROR(SUMIFS('Rookie College Inputs'!$I$5:$I$13,'Rookie College Inputs'!$A$5:$A$13,C199),0)</x:f>
        <x:v>0</x:v>
      </x:c>
      <x:c r="G199" s="48" t="n">
        <x:f>MAX(40,MIN(100,D199+E199+F199))</x:f>
        <x:v>89.7</x:v>
      </x:c>
      <x:c r="H199" t="n">
        <x:f>IF(A199="QB",'League Config'!$H$5,IF(A199="RB",'League Config'!$H$6,IF(A199="WR",'League Config'!$H$7,IF(A199="TE",'League Config'!$H$8,IF(A199="K",'League Config'!$H$9,'League Config'!$H$10)))))</x:f>
        <x:v>10</x:v>
      </x:c>
      <x:c r="I199" s="48" t="n">
        <x:f>IF(A199="QB",'League Config'!$F$14,IF(A199="RB",'League Config'!$F$15,IF(A199="WR",'League Config'!$F$16,IF(A199="TE",'League Config'!$F$17,IF(A199="K",'League Config'!$F$18,'League Config'!$F$19)))))</x:f>
        <x:v>83.1</x:v>
      </x:c>
      <x:c r="J199" s="48" t="n">
        <x:f>G199-I199</x:f>
        <x:v>6.6000000000000085</x:v>
      </x:c>
      <x:c r="K199" s="48" t="n">
        <x:f>MAX(0,MIN(100,50+J199*6))</x:f>
        <x:v>89.60000000000005</x:v>
      </x:c>
      <x:c r="L199" s="48" t="n">
        <x:f>MIN(100,MAX(0,MIN(100,(1-(B199-1)/(H199*1.5))*100))*IF(A199="QB",'League Config'!$G$14,IF(A199="RB",'League Config'!$G$15,IF(A199="WR",'League Config'!$G$16,IF(A199="TE",'League Config'!$G$17,IF(A199="K",'League Config'!$G$18,'League Config'!$G$19))))))</x:f>
        <x:v>40</x:v>
      </x:c>
      <x:c r="M199" t="n">
        <x:f>IF(A199="K",'League Config'!$B$15,IF(A199="DST",'League Config'!$B$16,IF(A199="QB",'League Config'!$B$17,0)))</x:f>
        <x:v>20</x:v>
      </x:c>
      <x:c r="N199" s="48" t="n">
        <x:f>MIN(100,MAX(0,0.55*G199+0.30*K199+0.15*L199-M199))</x:f>
        <x:v>62.21500000000002</x:v>
      </x:c>
      <x:c r="O199" t="n">
        <x:f>RANK.EQ(N199,$N$5:$N$227,0)</x:f>
        <x:v>99</x:v>
      </x:c>
      <x:c r="P199" s="110" t="n">
        <x:v>172</x:v>
      </x:c>
      <x:c r="Q199" s="48" t="n">
        <x:f>P199-O199</x:f>
        <x:v>73</x:v>
      </x:c>
      <x:c r="R199" s="48" t="n">
        <x:f>MAX(40,G199-IF(U199="A",6,IF(U199="B",9,12)))</x:f>
        <x:v>80.7</x:v>
      </x:c>
      <x:c r="S199" s="48" t="n">
        <x:f>G199</x:f>
        <x:v>89.7</x:v>
      </x:c>
      <x:c r="T199" s="48" t="n">
        <x:f>MIN(100,G199+IF(U199="A",6,IF(U199="B",9,12)))</x:f>
        <x:v>98.7</x:v>
      </x:c>
      <x:c r="U199" t="str">
        <x:v>B</x:v>
      </x:c>
      <x:c r="V199" t="str">
        <x:v>DST MODEL</x:v>
      </x:c>
      <x:c r="W199" s="109" t="str">
        <x:v>Available</x:v>
      </x:c>
      <x:c r="X199" t="n">
        <x:f>IF(W199&lt;&gt;"Available","",1+COUNTIFS($W$5:$W$227,"Available",$N$5:$N$227,"&gt;"&amp;N199))</x:f>
        <x:v>99</x:v>
      </x:c>
      <x:c r="Y199" s="98" t="str">
        <x:v>EXPECTATION: Elite DST target if available in the final rounds; otherwise streaming remains viable.  WHY: The unit grades well relative to the current DST pool, but the model intentionally keeps defense behind core skill positions.  RISK: DST scoring is highly opponent- and turnover-dependent, making season-long rank fragile.</x:v>
      </x:c>
      <x:c r="Z199" t="str">
        <x:v>https://www.fantasypros.com/nfl/rankings/dst-cheatsheets.php</x:v>
      </x:c>
    </x:row>
    <x:row r="200">
      <x:c r="A200" t="str">
        <x:v>DST</x:v>
      </x:c>
      <x:c r="B200" t="n">
        <x:v>5</x:v>
      </x:c>
      <x:c r="C200" t="str">
        <x:v>Philadelphia Eagles</x:v>
      </x:c>
      <x:c r="D200" s="48" t="n">
        <x:v>88.6</x:v>
      </x:c>
      <x:c r="E200" s="48" t="n">
        <x:f>SUMIFS('Manual Adjustments'!$G$5:$G$227,'Manual Adjustments'!$A$5:$A$227,A200,'Manual Adjustments'!$B$5:$B$227,C200)</x:f>
        <x:v>0</x:v>
      </x:c>
      <x:c r="F200" s="48" t="n">
        <x:f>IFERROR(SUMIFS('Rookie College Inputs'!$I$5:$I$13,'Rookie College Inputs'!$A$5:$A$13,C200),0)</x:f>
        <x:v>0</x:v>
      </x:c>
      <x:c r="G200" s="48" t="n">
        <x:f>MAX(40,MIN(100,D200+E200+F200))</x:f>
        <x:v>88.6</x:v>
      </x:c>
      <x:c r="H200" t="n">
        <x:f>IF(A200="QB",'League Config'!$H$5,IF(A200="RB",'League Config'!$H$6,IF(A200="WR",'League Config'!$H$7,IF(A200="TE",'League Config'!$H$8,IF(A200="K",'League Config'!$H$9,'League Config'!$H$10)))))</x:f>
        <x:v>10</x:v>
      </x:c>
      <x:c r="I200" s="48" t="n">
        <x:f>IF(A200="QB",'League Config'!$F$14,IF(A200="RB",'League Config'!$F$15,IF(A200="WR",'League Config'!$F$16,IF(A200="TE",'League Config'!$F$17,IF(A200="K",'League Config'!$F$18,'League Config'!$F$19)))))</x:f>
        <x:v>83.1</x:v>
      </x:c>
      <x:c r="J200" s="48" t="n">
        <x:f>G200-I200</x:f>
        <x:v>5.5</x:v>
      </x:c>
      <x:c r="K200" s="48" t="n">
        <x:f>MAX(0,MIN(100,50+J200*6))</x:f>
        <x:v>83</x:v>
      </x:c>
      <x:c r="L200" s="48" t="n">
        <x:f>MIN(100,MAX(0,MIN(100,(1-(B200-1)/(H200*1.5))*100))*IF(A200="QB",'League Config'!$G$14,IF(A200="RB",'League Config'!$G$15,IF(A200="WR",'League Config'!$G$16,IF(A200="TE",'League Config'!$G$17,IF(A200="K",'League Config'!$G$18,'League Config'!$G$19))))))</x:f>
        <x:v>36.66666666666667</x:v>
      </x:c>
      <x:c r="M200" t="n">
        <x:f>IF(A200="K",'League Config'!$B$15,IF(A200="DST",'League Config'!$B$16,IF(A200="QB",'League Config'!$B$17,0)))</x:f>
        <x:v>20</x:v>
      </x:c>
      <x:c r="N200" s="48" t="n">
        <x:f>MIN(100,MAX(0,0.55*G200+0.30*K200+0.15*L200-M200))</x:f>
        <x:v>59.129999999999995</x:v>
      </x:c>
      <x:c r="O200" t="n">
        <x:f>RANK.EQ(N200,$N$5:$N$227,0)</x:f>
        <x:v>105</x:v>
      </x:c>
      <x:c r="P200" s="110" t="n">
        <x:v>176</x:v>
      </x:c>
      <x:c r="Q200" s="48" t="n">
        <x:f>P200-O200</x:f>
        <x:v>71</x:v>
      </x:c>
      <x:c r="R200" s="48" t="n">
        <x:f>MAX(40,G200-IF(U200="A",6,IF(U200="B",9,12)))</x:f>
        <x:v>79.6</x:v>
      </x:c>
      <x:c r="S200" s="48" t="n">
        <x:f>G200</x:f>
        <x:v>88.6</x:v>
      </x:c>
      <x:c r="T200" s="48" t="n">
        <x:f>MIN(100,G200+IF(U200="A",6,IF(U200="B",9,12)))</x:f>
        <x:v>97.6</x:v>
      </x:c>
      <x:c r="U200" t="str">
        <x:v>B</x:v>
      </x:c>
      <x:c r="V200" t="str">
        <x:v>DST MODEL</x:v>
      </x:c>
      <x:c r="W200" s="109" t="str">
        <x:v>Available</x:v>
      </x:c>
      <x:c r="X200" t="n">
        <x:f>IF(W200&lt;&gt;"Available","",1+COUNTIFS($W$5:$W$227,"Available",$N$5:$N$227,"&gt;"&amp;N200))</x:f>
        <x:v>105</x:v>
      </x:c>
      <x:c r="Y200" s="98" t="str">
        <x:v>EXPECTATION: Elite DST target if available in the final rounds; otherwise streaming remains viable.  WHY: The unit grades well relative to the current DST pool, but the model intentionally keeps defense behind core skill positions.  RISK: DST scoring is highly opponent- and turnover-dependent, making season-long rank fragile.</x:v>
      </x:c>
      <x:c r="Z200" t="str">
        <x:v>https://www.fantasypros.com/nfl/rankings/dst-cheatsheets.php</x:v>
      </x:c>
    </x:row>
    <x:row r="201">
      <x:c r="A201" t="str">
        <x:v>DST</x:v>
      </x:c>
      <x:c r="B201" t="n">
        <x:v>6</x:v>
      </x:c>
      <x:c r="C201" t="str">
        <x:v>Minnesota Vikings</x:v>
      </x:c>
      <x:c r="D201" s="48" t="n">
        <x:v>87.5</x:v>
      </x:c>
      <x:c r="E201" s="48" t="n">
        <x:f>SUMIFS('Manual Adjustments'!$G$5:$G$227,'Manual Adjustments'!$A$5:$A$227,A201,'Manual Adjustments'!$B$5:$B$227,C201)</x:f>
        <x:v>0</x:v>
      </x:c>
      <x:c r="F201" s="48" t="n">
        <x:f>IFERROR(SUMIFS('Rookie College Inputs'!$I$5:$I$13,'Rookie College Inputs'!$A$5:$A$13,C201),0)</x:f>
        <x:v>0</x:v>
      </x:c>
      <x:c r="G201" s="48" t="n">
        <x:f>MAX(40,MIN(100,D201+E201+F201))</x:f>
        <x:v>87.5</x:v>
      </x:c>
      <x:c r="H201" t="n">
        <x:f>IF(A201="QB",'League Config'!$H$5,IF(A201="RB",'League Config'!$H$6,IF(A201="WR",'League Config'!$H$7,IF(A201="TE",'League Config'!$H$8,IF(A201="K",'League Config'!$H$9,'League Config'!$H$10)))))</x:f>
        <x:v>10</x:v>
      </x:c>
      <x:c r="I201" s="48" t="n">
        <x:f>IF(A201="QB",'League Config'!$F$14,IF(A201="RB",'League Config'!$F$15,IF(A201="WR",'League Config'!$F$16,IF(A201="TE",'League Config'!$F$17,IF(A201="K",'League Config'!$F$18,'League Config'!$F$19)))))</x:f>
        <x:v>83.1</x:v>
      </x:c>
      <x:c r="J201" s="48" t="n">
        <x:f>G201-I201</x:f>
        <x:v>4.400000000000006</x:v>
      </x:c>
      <x:c r="K201" s="48" t="n">
        <x:f>MAX(0,MIN(100,50+J201*6))</x:f>
        <x:v>76.40000000000003</x:v>
      </x:c>
      <x:c r="L201" s="48" t="n">
        <x:f>MIN(100,MAX(0,MIN(100,(1-(B201-1)/(H201*1.5))*100))*IF(A201="QB",'League Config'!$G$14,IF(A201="RB",'League Config'!$G$15,IF(A201="WR",'League Config'!$G$16,IF(A201="TE",'League Config'!$G$17,IF(A201="K",'League Config'!$G$18,'League Config'!$G$19))))))</x:f>
        <x:v>33.333333333333336</x:v>
      </x:c>
      <x:c r="M201" t="n">
        <x:f>IF(A201="K",'League Config'!$B$15,IF(A201="DST",'League Config'!$B$16,IF(A201="QB",'League Config'!$B$17,0)))</x:f>
        <x:v>20</x:v>
      </x:c>
      <x:c r="N201" s="48" t="n">
        <x:f>MIN(100,MAX(0,0.55*G201+0.30*K201+0.15*L201-M201))</x:f>
        <x:v>56.045000000000016</x:v>
      </x:c>
      <x:c r="O201" t="n">
        <x:f>RANK.EQ(N201,$N$5:$N$227,0)</x:f>
        <x:v>116</x:v>
      </x:c>
      <x:c r="P201" s="110" t="n">
        <x:v>180</x:v>
      </x:c>
      <x:c r="Q201" s="48" t="n">
        <x:f>P201-O201</x:f>
        <x:v>64</x:v>
      </x:c>
      <x:c r="R201" s="48" t="n">
        <x:f>MAX(40,G201-IF(U201="A",6,IF(U201="B",9,12)))</x:f>
        <x:v>78.5</x:v>
      </x:c>
      <x:c r="S201" s="48" t="n">
        <x:f>G201</x:f>
        <x:v>87.5</x:v>
      </x:c>
      <x:c r="T201" s="48" t="n">
        <x:f>MIN(100,G201+IF(U201="A",6,IF(U201="B",9,12)))</x:f>
        <x:v>96.5</x:v>
      </x:c>
      <x:c r="U201" t="str">
        <x:v>B</x:v>
      </x:c>
      <x:c r="V201" t="str">
        <x:v>DST MODEL</x:v>
      </x:c>
      <x:c r="W201" s="109" t="str">
        <x:v>Available</x:v>
      </x:c>
      <x:c r="X201" t="n">
        <x:f>IF(W201&lt;&gt;"Available","",1+COUNTIFS($W$5:$W$227,"Available",$N$5:$N$227,"&gt;"&amp;N201))</x:f>
        <x:v>116</x:v>
      </x:c>
      <x:c r="Y201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1" t="str">
        <x:v>https://www.fantasypros.com/nfl/rankings/dst-cheatsheets.php</x:v>
      </x:c>
    </x:row>
    <x:row r="202">
      <x:c r="A202" t="str">
        <x:v>DST</x:v>
      </x:c>
      <x:c r="B202" t="n">
        <x:v>7</x:v>
      </x:c>
      <x:c r="C202" t="str">
        <x:v>New England Patriots</x:v>
      </x:c>
      <x:c r="D202" s="48" t="n">
        <x:v>86.4</x:v>
      </x:c>
      <x:c r="E202" s="48" t="n">
        <x:f>SUMIFS('Manual Adjustments'!$G$5:$G$227,'Manual Adjustments'!$A$5:$A$227,A202,'Manual Adjustments'!$B$5:$B$227,C202)</x:f>
        <x:v>0</x:v>
      </x:c>
      <x:c r="F202" s="48" t="n">
        <x:f>IFERROR(SUMIFS('Rookie College Inputs'!$I$5:$I$13,'Rookie College Inputs'!$A$5:$A$13,C202),0)</x:f>
        <x:v>0</x:v>
      </x:c>
      <x:c r="G202" s="48" t="n">
        <x:f>MAX(40,MIN(100,D202+E202+F202))</x:f>
        <x:v>86.4</x:v>
      </x:c>
      <x:c r="H202" t="n">
        <x:f>IF(A202="QB",'League Config'!$H$5,IF(A202="RB",'League Config'!$H$6,IF(A202="WR",'League Config'!$H$7,IF(A202="TE",'League Config'!$H$8,IF(A202="K",'League Config'!$H$9,'League Config'!$H$10)))))</x:f>
        <x:v>10</x:v>
      </x:c>
      <x:c r="I202" s="48" t="n">
        <x:f>IF(A202="QB",'League Config'!$F$14,IF(A202="RB",'League Config'!$F$15,IF(A202="WR",'League Config'!$F$16,IF(A202="TE",'League Config'!$F$17,IF(A202="K",'League Config'!$F$18,'League Config'!$F$19)))))</x:f>
        <x:v>83.1</x:v>
      </x:c>
      <x:c r="J202" s="48" t="n">
        <x:f>G202-I202</x:f>
        <x:v>3.3000000000000114</x:v>
      </x:c>
      <x:c r="K202" s="48" t="n">
        <x:f>MAX(0,MIN(100,50+J202*6))</x:f>
        <x:v>69.80000000000007</x:v>
      </x:c>
      <x:c r="L202" s="48" t="n">
        <x:f>MIN(100,MAX(0,MIN(100,(1-(B202-1)/(H202*1.5))*100))*IF(A202="QB",'League Config'!$G$14,IF(A202="RB",'League Config'!$G$15,IF(A202="WR",'League Config'!$G$16,IF(A202="TE",'League Config'!$G$17,IF(A202="K",'League Config'!$G$18,'League Config'!$G$19))))))</x:f>
        <x:v>30</x:v>
      </x:c>
      <x:c r="M202" t="n">
        <x:f>IF(A202="K",'League Config'!$B$15,IF(A202="DST",'League Config'!$B$16,IF(A202="QB",'League Config'!$B$17,0)))</x:f>
        <x:v>20</x:v>
      </x:c>
      <x:c r="N202" s="48" t="n">
        <x:f>MIN(100,MAX(0,0.55*G202+0.30*K202+0.15*L202-M202))</x:f>
        <x:v>52.960000000000036</x:v>
      </x:c>
      <x:c r="O202" t="n">
        <x:f>RANK.EQ(N202,$N$5:$N$227,0)</x:f>
        <x:v>120</x:v>
      </x:c>
      <x:c r="P202" s="110" t="n">
        <x:v>184</x:v>
      </x:c>
      <x:c r="Q202" s="48" t="n">
        <x:f>P202-O202</x:f>
        <x:v>64</x:v>
      </x:c>
      <x:c r="R202" s="48" t="n">
        <x:f>MAX(40,G202-IF(U202="A",6,IF(U202="B",9,12)))</x:f>
        <x:v>77.4</x:v>
      </x:c>
      <x:c r="S202" s="48" t="n">
        <x:f>G202</x:f>
        <x:v>86.4</x:v>
      </x:c>
      <x:c r="T202" s="48" t="n">
        <x:f>MIN(100,G202+IF(U202="A",6,IF(U202="B",9,12)))</x:f>
        <x:v>95.4</x:v>
      </x:c>
      <x:c r="U202" t="str">
        <x:v>B</x:v>
      </x:c>
      <x:c r="V202" t="str">
        <x:v>DST MODEL</x:v>
      </x:c>
      <x:c r="W202" s="109" t="str">
        <x:v>Available</x:v>
      </x:c>
      <x:c r="X202" t="n">
        <x:f>IF(W202&lt;&gt;"Available","",1+COUNTIFS($W$5:$W$227,"Available",$N$5:$N$227,"&gt;"&amp;N202))</x:f>
        <x:v>120</x:v>
      </x:c>
      <x:c r="Y202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2" t="str">
        <x:v>https://www.fantasypros.com/nfl/rankings/dst-cheatsheets.php</x:v>
      </x:c>
    </x:row>
    <x:row r="203">
      <x:c r="A203" t="str">
        <x:v>DST</x:v>
      </x:c>
      <x:c r="B203" t="n">
        <x:v>8</x:v>
      </x:c>
      <x:c r="C203" t="str">
        <x:v>Jacksonville Jaguars</x:v>
      </x:c>
      <x:c r="D203" s="48" t="n">
        <x:v>85.3</x:v>
      </x:c>
      <x:c r="E203" s="48" t="n">
        <x:f>SUMIFS('Manual Adjustments'!$G$5:$G$227,'Manual Adjustments'!$A$5:$A$227,A203,'Manual Adjustments'!$B$5:$B$227,C203)</x:f>
        <x:v>0</x:v>
      </x:c>
      <x:c r="F203" s="48" t="n">
        <x:f>IFERROR(SUMIFS('Rookie College Inputs'!$I$5:$I$13,'Rookie College Inputs'!$A$5:$A$13,C203),0)</x:f>
        <x:v>0</x:v>
      </x:c>
      <x:c r="G203" s="48" t="n">
        <x:f>MAX(40,MIN(100,D203+E203+F203))</x:f>
        <x:v>85.3</x:v>
      </x:c>
      <x:c r="H203" t="n">
        <x:f>IF(A203="QB",'League Config'!$H$5,IF(A203="RB",'League Config'!$H$6,IF(A203="WR",'League Config'!$H$7,IF(A203="TE",'League Config'!$H$8,IF(A203="K",'League Config'!$H$9,'League Config'!$H$10)))))</x:f>
        <x:v>10</x:v>
      </x:c>
      <x:c r="I203" s="48" t="n">
        <x:f>IF(A203="QB",'League Config'!$F$14,IF(A203="RB",'League Config'!$F$15,IF(A203="WR",'League Config'!$F$16,IF(A203="TE",'League Config'!$F$17,IF(A203="K",'League Config'!$F$18,'League Config'!$F$19)))))</x:f>
        <x:v>83.1</x:v>
      </x:c>
      <x:c r="J203" s="48" t="n">
        <x:f>G203-I203</x:f>
        <x:v>2.200000000000003</x:v>
      </x:c>
      <x:c r="K203" s="48" t="n">
        <x:f>MAX(0,MIN(100,50+J203*6))</x:f>
        <x:v>63.20000000000002</x:v>
      </x:c>
      <x:c r="L203" s="48" t="n">
        <x:f>MIN(100,MAX(0,MIN(100,(1-(B203-1)/(H203*1.5))*100))*IF(A203="QB",'League Config'!$G$14,IF(A203="RB",'League Config'!$G$15,IF(A203="WR",'League Config'!$G$16,IF(A203="TE",'League Config'!$G$17,IF(A203="K",'League Config'!$G$18,'League Config'!$G$19))))))</x:f>
        <x:v>26.666666666666668</x:v>
      </x:c>
      <x:c r="M203" t="n">
        <x:f>IF(A203="K",'League Config'!$B$15,IF(A203="DST",'League Config'!$B$16,IF(A203="QB",'League Config'!$B$17,0)))</x:f>
        <x:v>20</x:v>
      </x:c>
      <x:c r="N203" s="48" t="n">
        <x:f>MIN(100,MAX(0,0.55*G203+0.30*K203+0.15*L203-M203))</x:f>
        <x:v>49.875</x:v>
      </x:c>
      <x:c r="O203" t="n">
        <x:f>RANK.EQ(N203,$N$5:$N$227,0)</x:f>
        <x:v>128</x:v>
      </x:c>
      <x:c r="P203" s="110" t="n">
        <x:v>188</x:v>
      </x:c>
      <x:c r="Q203" s="48" t="n">
        <x:f>P203-O203</x:f>
        <x:v>60</x:v>
      </x:c>
      <x:c r="R203" s="48" t="n">
        <x:f>MAX(40,G203-IF(U203="A",6,IF(U203="B",9,12)))</x:f>
        <x:v>76.3</x:v>
      </x:c>
      <x:c r="S203" s="48" t="n">
        <x:f>G203</x:f>
        <x:v>85.3</x:v>
      </x:c>
      <x:c r="T203" s="48" t="n">
        <x:f>MIN(100,G203+IF(U203="A",6,IF(U203="B",9,12)))</x:f>
        <x:v>94.3</x:v>
      </x:c>
      <x:c r="U203" t="str">
        <x:v>B</x:v>
      </x:c>
      <x:c r="V203" t="str">
        <x:v>DST MODEL</x:v>
      </x:c>
      <x:c r="W203" s="109" t="str">
        <x:v>Available</x:v>
      </x:c>
      <x:c r="X203" t="n">
        <x:f>IF(W203&lt;&gt;"Available","",1+COUNTIFS($W$5:$W$227,"Available",$N$5:$N$227,"&gt;"&amp;N203))</x:f>
        <x:v>128</x:v>
      </x:c>
      <x:c r="Y203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3" t="str">
        <x:v>https://www.fantasypros.com/nfl/rankings/dst-cheatsheets.php</x:v>
      </x:c>
    </x:row>
    <x:row r="204">
      <x:c r="A204" t="str">
        <x:v>DST</x:v>
      </x:c>
      <x:c r="B204" t="n">
        <x:v>9</x:v>
      </x:c>
      <x:c r="C204" t="str">
        <x:v>Pittsburgh Steelers</x:v>
      </x:c>
      <x:c r="D204" s="48" t="n">
        <x:v>84.2</x:v>
      </x:c>
      <x:c r="E204" s="48" t="n">
        <x:f>SUMIFS('Manual Adjustments'!$G$5:$G$227,'Manual Adjustments'!$A$5:$A$227,A204,'Manual Adjustments'!$B$5:$B$227,C204)</x:f>
        <x:v>0</x:v>
      </x:c>
      <x:c r="F204" s="48" t="n">
        <x:f>IFERROR(SUMIFS('Rookie College Inputs'!$I$5:$I$13,'Rookie College Inputs'!$A$5:$A$13,C204),0)</x:f>
        <x:v>0</x:v>
      </x:c>
      <x:c r="G204" s="48" t="n">
        <x:f>MAX(40,MIN(100,D204+E204+F204))</x:f>
        <x:v>84.2</x:v>
      </x:c>
      <x:c r="H204" t="n">
        <x:f>IF(A204="QB",'League Config'!$H$5,IF(A204="RB",'League Config'!$H$6,IF(A204="WR",'League Config'!$H$7,IF(A204="TE",'League Config'!$H$8,IF(A204="K",'League Config'!$H$9,'League Config'!$H$10)))))</x:f>
        <x:v>10</x:v>
      </x:c>
      <x:c r="I204" s="48" t="n">
        <x:f>IF(A204="QB",'League Config'!$F$14,IF(A204="RB",'League Config'!$F$15,IF(A204="WR",'League Config'!$F$16,IF(A204="TE",'League Config'!$F$17,IF(A204="K",'League Config'!$F$18,'League Config'!$F$19)))))</x:f>
        <x:v>83.1</x:v>
      </x:c>
      <x:c r="J204" s="48" t="n">
        <x:f>G204-I204</x:f>
        <x:v>1.1000000000000085</x:v>
      </x:c>
      <x:c r="K204" s="48" t="n">
        <x:f>MAX(0,MIN(100,50+J204*6))</x:f>
        <x:v>56.60000000000005</x:v>
      </x:c>
      <x:c r="L204" s="48" t="n">
        <x:f>MIN(100,MAX(0,MIN(100,(1-(B204-1)/(H204*1.5))*100))*IF(A204="QB",'League Config'!$G$14,IF(A204="RB",'League Config'!$G$15,IF(A204="WR",'League Config'!$G$16,IF(A204="TE",'League Config'!$G$17,IF(A204="K",'League Config'!$G$18,'League Config'!$G$19))))))</x:f>
        <x:v>23.333333333333332</x:v>
      </x:c>
      <x:c r="M204" t="n">
        <x:f>IF(A204="K",'League Config'!$B$15,IF(A204="DST",'League Config'!$B$16,IF(A204="QB",'League Config'!$B$17,0)))</x:f>
        <x:v>20</x:v>
      </x:c>
      <x:c r="N204" s="48" t="n">
        <x:f>MIN(100,MAX(0,0.55*G204+0.30*K204+0.15*L204-M204))</x:f>
        <x:v>46.79000000000002</x:v>
      </x:c>
      <x:c r="O204" t="n">
        <x:f>RANK.EQ(N204,$N$5:$N$227,0)</x:f>
        <x:v>139</x:v>
      </x:c>
      <x:c r="P204" s="110" t="n">
        <x:v>192</x:v>
      </x:c>
      <x:c r="Q204" s="48" t="n">
        <x:f>P204-O204</x:f>
        <x:v>53</x:v>
      </x:c>
      <x:c r="R204" s="48" t="n">
        <x:f>MAX(40,G204-IF(U204="A",6,IF(U204="B",9,12)))</x:f>
        <x:v>75.2</x:v>
      </x:c>
      <x:c r="S204" s="48" t="n">
        <x:f>G204</x:f>
        <x:v>84.2</x:v>
      </x:c>
      <x:c r="T204" s="48" t="n">
        <x:f>MIN(100,G204+IF(U204="A",6,IF(U204="B",9,12)))</x:f>
        <x:v>93.2</x:v>
      </x:c>
      <x:c r="U204" t="str">
        <x:v>B</x:v>
      </x:c>
      <x:c r="V204" t="str">
        <x:v>DST MODEL</x:v>
      </x:c>
      <x:c r="W204" s="109" t="str">
        <x:v>Available</x:v>
      </x:c>
      <x:c r="X204" t="n">
        <x:f>IF(W204&lt;&gt;"Available","",1+COUNTIFS($W$5:$W$227,"Available",$N$5:$N$227,"&gt;"&amp;N204))</x:f>
        <x:v>139</x:v>
      </x:c>
      <x:c r="Y204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4" t="str">
        <x:v>https://www.fantasypros.com/nfl/rankings/dst-cheatsheets.php</x:v>
      </x:c>
    </x:row>
    <x:row r="205">
      <x:c r="A205" t="str">
        <x:v>DST</x:v>
      </x:c>
      <x:c r="B205" t="n">
        <x:v>10</x:v>
      </x:c>
      <x:c r="C205" t="str">
        <x:v>Los Angeles Chargers</x:v>
      </x:c>
      <x:c r="D205" s="48" t="n">
        <x:v>83.1</x:v>
      </x:c>
      <x:c r="E205" s="48" t="n">
        <x:f>SUMIFS('Manual Adjustments'!$G$5:$G$227,'Manual Adjustments'!$A$5:$A$227,A205,'Manual Adjustments'!$B$5:$B$227,C205)</x:f>
        <x:v>0</x:v>
      </x:c>
      <x:c r="F205" s="48" t="n">
        <x:f>IFERROR(SUMIFS('Rookie College Inputs'!$I$5:$I$13,'Rookie College Inputs'!$A$5:$A$13,C205),0)</x:f>
        <x:v>0</x:v>
      </x:c>
      <x:c r="G205" s="48" t="n">
        <x:f>MAX(40,MIN(100,D205+E205+F205))</x:f>
        <x:v>83.1</x:v>
      </x:c>
      <x:c r="H205" t="n">
        <x:f>IF(A205="QB",'League Config'!$H$5,IF(A205="RB",'League Config'!$H$6,IF(A205="WR",'League Config'!$H$7,IF(A205="TE",'League Config'!$H$8,IF(A205="K",'League Config'!$H$9,'League Config'!$H$10)))))</x:f>
        <x:v>10</x:v>
      </x:c>
      <x:c r="I205" s="48" t="n">
        <x:f>IF(A205="QB",'League Config'!$F$14,IF(A205="RB",'League Config'!$F$15,IF(A205="WR",'League Config'!$F$16,IF(A205="TE",'League Config'!$F$17,IF(A205="K",'League Config'!$F$18,'League Config'!$F$19)))))</x:f>
        <x:v>83.1</x:v>
      </x:c>
      <x:c r="J205" s="48" t="n">
        <x:f>G205-I205</x:f>
        <x:v>0</x:v>
      </x:c>
      <x:c r="K205" s="48" t="n">
        <x:f>MAX(0,MIN(100,50+J205*6))</x:f>
        <x:v>50</x:v>
      </x:c>
      <x:c r="L205" s="48" t="n">
        <x:f>MIN(100,MAX(0,MIN(100,(1-(B205-1)/(H205*1.5))*100))*IF(A205="QB",'League Config'!$G$14,IF(A205="RB",'League Config'!$G$15,IF(A205="WR",'League Config'!$G$16,IF(A205="TE",'League Config'!$G$17,IF(A205="K",'League Config'!$G$18,'League Config'!$G$19))))))</x:f>
        <x:v>20</x:v>
      </x:c>
      <x:c r="M205" t="n">
        <x:f>IF(A205="K",'League Config'!$B$15,IF(A205="DST",'League Config'!$B$16,IF(A205="QB",'League Config'!$B$17,0)))</x:f>
        <x:v>20</x:v>
      </x:c>
      <x:c r="N205" s="48" t="n">
        <x:f>MIN(100,MAX(0,0.55*G205+0.30*K205+0.15*L205-M205))</x:f>
        <x:v>43.705</x:v>
      </x:c>
      <x:c r="O205" t="n">
        <x:f>RANK.EQ(N205,$N$5:$N$227,0)</x:f>
        <x:v>145</x:v>
      </x:c>
      <x:c r="P205" s="110" t="n">
        <x:v>196</x:v>
      </x:c>
      <x:c r="Q205" s="48" t="n">
        <x:f>P205-O205</x:f>
        <x:v>51</x:v>
      </x:c>
      <x:c r="R205" s="48" t="n">
        <x:f>MAX(40,G205-IF(U205="A",6,IF(U205="B",9,12)))</x:f>
        <x:v>74.1</x:v>
      </x:c>
      <x:c r="S205" s="48" t="n">
        <x:f>G205</x:f>
        <x:v>83.1</x:v>
      </x:c>
      <x:c r="T205" s="48" t="n">
        <x:f>MIN(100,G205+IF(U205="A",6,IF(U205="B",9,12)))</x:f>
        <x:v>92.1</x:v>
      </x:c>
      <x:c r="U205" t="str">
        <x:v>B</x:v>
      </x:c>
      <x:c r="V205" t="str">
        <x:v>DST MODEL</x:v>
      </x:c>
      <x:c r="W205" s="109" t="str">
        <x:v>Available</x:v>
      </x:c>
      <x:c r="X205" t="n">
        <x:f>IF(W205&lt;&gt;"Available","",1+COUNTIFS($W$5:$W$227,"Available",$N$5:$N$227,"&gt;"&amp;N205))</x:f>
        <x:v>145</x:v>
      </x:c>
      <x:c r="Y205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5" t="str">
        <x:v>https://www.fantasypros.com/nfl/rankings/dst-cheatsheets.php</x:v>
      </x:c>
    </x:row>
    <x:row r="206">
      <x:c r="A206" t="str">
        <x:v>DST</x:v>
      </x:c>
      <x:c r="B206" t="n">
        <x:v>11</x:v>
      </x:c>
      <x:c r="C206" t="str">
        <x:v>Baltimore Ravens</x:v>
      </x:c>
      <x:c r="D206" s="48" t="n">
        <x:v>82</x:v>
      </x:c>
      <x:c r="E206" s="48" t="n">
        <x:f>SUMIFS('Manual Adjustments'!$G$5:$G$227,'Manual Adjustments'!$A$5:$A$227,A206,'Manual Adjustments'!$B$5:$B$227,C206)</x:f>
        <x:v>0</x:v>
      </x:c>
      <x:c r="F206" s="48" t="n">
        <x:f>IFERROR(SUMIFS('Rookie College Inputs'!$I$5:$I$13,'Rookie College Inputs'!$A$5:$A$13,C206),0)</x:f>
        <x:v>0</x:v>
      </x:c>
      <x:c r="G206" s="48" t="n">
        <x:f>MAX(40,MIN(100,D206+E206+F206))</x:f>
        <x:v>82</x:v>
      </x:c>
      <x:c r="H206" t="n">
        <x:f>IF(A206="QB",'League Config'!$H$5,IF(A206="RB",'League Config'!$H$6,IF(A206="WR",'League Config'!$H$7,IF(A206="TE",'League Config'!$H$8,IF(A206="K",'League Config'!$H$9,'League Config'!$H$10)))))</x:f>
        <x:v>10</x:v>
      </x:c>
      <x:c r="I206" s="48" t="n">
        <x:f>IF(A206="QB",'League Config'!$F$14,IF(A206="RB",'League Config'!$F$15,IF(A206="WR",'League Config'!$F$16,IF(A206="TE",'League Config'!$F$17,IF(A206="K",'League Config'!$F$18,'League Config'!$F$19)))))</x:f>
        <x:v>83.1</x:v>
      </x:c>
      <x:c r="J206" s="48" t="n">
        <x:f>G206-I206</x:f>
        <x:v>-1.0999999999999943</x:v>
      </x:c>
      <x:c r="K206" s="48" t="n">
        <x:f>MAX(0,MIN(100,50+J206*6))</x:f>
        <x:v>43.400000000000034</x:v>
      </x:c>
      <x:c r="L206" s="48" t="n">
        <x:f>MIN(100,MAX(0,MIN(100,(1-(B206-1)/(H206*1.5))*100))*IF(A206="QB",'League Config'!$G$14,IF(A206="RB",'League Config'!$G$15,IF(A206="WR",'League Config'!$G$16,IF(A206="TE",'League Config'!$G$17,IF(A206="K",'League Config'!$G$18,'League Config'!$G$19))))))</x:f>
        <x:v>16.666666666666668</x:v>
      </x:c>
      <x:c r="M206" t="n">
        <x:f>IF(A206="K",'League Config'!$B$15,IF(A206="DST",'League Config'!$B$16,IF(A206="QB",'League Config'!$B$17,0)))</x:f>
        <x:v>20</x:v>
      </x:c>
      <x:c r="N206" s="48" t="n">
        <x:f>MIN(100,MAX(0,0.55*G206+0.30*K206+0.15*L206-M206))</x:f>
        <x:v>40.62000000000001</x:v>
      </x:c>
      <x:c r="O206" t="n">
        <x:f>RANK.EQ(N206,$N$5:$N$227,0)</x:f>
        <x:v>155</x:v>
      </x:c>
      <x:c r="P206" s="110" t="n">
        <x:v>200</x:v>
      </x:c>
      <x:c r="Q206" s="48" t="n">
        <x:f>P206-O206</x:f>
        <x:v>45</x:v>
      </x:c>
      <x:c r="R206" s="48" t="n">
        <x:f>MAX(40,G206-IF(U206="A",6,IF(U206="B",9,12)))</x:f>
        <x:v>73</x:v>
      </x:c>
      <x:c r="S206" s="48" t="n">
        <x:f>G206</x:f>
        <x:v>82</x:v>
      </x:c>
      <x:c r="T206" s="48" t="n">
        <x:f>MIN(100,G206+IF(U206="A",6,IF(U206="B",9,12)))</x:f>
        <x:v>91</x:v>
      </x:c>
      <x:c r="U206" t="str">
        <x:v>B</x:v>
      </x:c>
      <x:c r="V206" t="str">
        <x:v>DST MODEL</x:v>
      </x:c>
      <x:c r="W206" s="109" t="str">
        <x:v>Available</x:v>
      </x:c>
      <x:c r="X206" t="n">
        <x:f>IF(W206&lt;&gt;"Available","",1+COUNTIFS($W$5:$W$227,"Available",$N$5:$N$227,"&gt;"&amp;N206))</x:f>
        <x:v>155</x:v>
      </x:c>
      <x:c r="Y206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6" t="str">
        <x:v>https://www.fantasypros.com/nfl/rankings/dst-cheatsheets.php</x:v>
      </x:c>
    </x:row>
    <x:row r="207">
      <x:c r="A207" t="str">
        <x:v>DST</x:v>
      </x:c>
      <x:c r="B207" t="n">
        <x:v>12</x:v>
      </x:c>
      <x:c r="C207" t="str">
        <x:v>Green Bay Packers</x:v>
      </x:c>
      <x:c r="D207" s="48" t="n">
        <x:v>80.9</x:v>
      </x:c>
      <x:c r="E207" s="48" t="n">
        <x:f>SUMIFS('Manual Adjustments'!$G$5:$G$227,'Manual Adjustments'!$A$5:$A$227,A207,'Manual Adjustments'!$B$5:$B$227,C207)</x:f>
        <x:v>0</x:v>
      </x:c>
      <x:c r="F207" s="48" t="n">
        <x:f>IFERROR(SUMIFS('Rookie College Inputs'!$I$5:$I$13,'Rookie College Inputs'!$A$5:$A$13,C207),0)</x:f>
        <x:v>0</x:v>
      </x:c>
      <x:c r="G207" s="48" t="n">
        <x:f>MAX(40,MIN(100,D207+E207+F207))</x:f>
        <x:v>80.9</x:v>
      </x:c>
      <x:c r="H207" t="n">
        <x:f>IF(A207="QB",'League Config'!$H$5,IF(A207="RB",'League Config'!$H$6,IF(A207="WR",'League Config'!$H$7,IF(A207="TE",'League Config'!$H$8,IF(A207="K",'League Config'!$H$9,'League Config'!$H$10)))))</x:f>
        <x:v>10</x:v>
      </x:c>
      <x:c r="I207" s="48" t="n">
        <x:f>IF(A207="QB",'League Config'!$F$14,IF(A207="RB",'League Config'!$F$15,IF(A207="WR",'League Config'!$F$16,IF(A207="TE",'League Config'!$F$17,IF(A207="K",'League Config'!$F$18,'League Config'!$F$19)))))</x:f>
        <x:v>83.1</x:v>
      </x:c>
      <x:c r="J207" s="48" t="n">
        <x:f>G207-I207</x:f>
        <x:v>-2.1999999999999886</x:v>
      </x:c>
      <x:c r="K207" s="48" t="n">
        <x:f>MAX(0,MIN(100,50+J207*6))</x:f>
        <x:v>36.80000000000007</x:v>
      </x:c>
      <x:c r="L207" s="48" t="n">
        <x:f>MIN(100,MAX(0,MIN(100,(1-(B207-1)/(H207*1.5))*100))*IF(A207="QB",'League Config'!$G$14,IF(A207="RB",'League Config'!$G$15,IF(A207="WR",'League Config'!$G$16,IF(A207="TE",'League Config'!$G$17,IF(A207="K",'League Config'!$G$18,'League Config'!$G$19))))))</x:f>
        <x:v>13.333333333333336</x:v>
      </x:c>
      <x:c r="M207" t="n">
        <x:f>IF(A207="K",'League Config'!$B$15,IF(A207="DST",'League Config'!$B$16,IF(A207="QB",'League Config'!$B$17,0)))</x:f>
        <x:v>20</x:v>
      </x:c>
      <x:c r="N207" s="48" t="n">
        <x:f>MIN(100,MAX(0,0.55*G207+0.30*K207+0.15*L207-M207))</x:f>
        <x:v>37.535000000000025</x:v>
      </x:c>
      <x:c r="O207" t="n">
        <x:f>RANK.EQ(N207,$N$5:$N$227,0)</x:f>
        <x:v>163</x:v>
      </x:c>
      <x:c r="P207" s="110" t="n">
        <x:v>204</x:v>
      </x:c>
      <x:c r="Q207" s="48" t="n">
        <x:f>P207-O207</x:f>
        <x:v>41</x:v>
      </x:c>
      <x:c r="R207" s="48" t="n">
        <x:f>MAX(40,G207-IF(U207="A",6,IF(U207="B",9,12)))</x:f>
        <x:v>71.9</x:v>
      </x:c>
      <x:c r="S207" s="48" t="n">
        <x:f>G207</x:f>
        <x:v>80.9</x:v>
      </x:c>
      <x:c r="T207" s="48" t="n">
        <x:f>MIN(100,G207+IF(U207="A",6,IF(U207="B",9,12)))</x:f>
        <x:v>89.9</x:v>
      </x:c>
      <x:c r="U207" t="str">
        <x:v>B</x:v>
      </x:c>
      <x:c r="V207" t="str">
        <x:v>DST MODEL</x:v>
      </x:c>
      <x:c r="W207" s="109" t="str">
        <x:v>Available</x:v>
      </x:c>
      <x:c r="X207" t="n">
        <x:f>IF(W207&lt;&gt;"Available","",1+COUNTIFS($W$5:$W$227,"Available",$N$5:$N$227,"&gt;"&amp;N207))</x:f>
        <x:v>163</x:v>
      </x:c>
      <x:c r="Y207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7" t="str">
        <x:v>https://www.fantasypros.com/nfl/rankings/dst-cheatsheets.php</x:v>
      </x:c>
    </x:row>
    <x:row r="208">
      <x:c r="A208" t="str">
        <x:v>DST</x:v>
      </x:c>
      <x:c r="B208" t="n">
        <x:v>13</x:v>
      </x:c>
      <x:c r="C208" t="str">
        <x:v>Detroit Lions</x:v>
      </x:c>
      <x:c r="D208" s="48" t="n">
        <x:v>79.8</x:v>
      </x:c>
      <x:c r="E208" s="48" t="n">
        <x:f>SUMIFS('Manual Adjustments'!$G$5:$G$227,'Manual Adjustments'!$A$5:$A$227,A208,'Manual Adjustments'!$B$5:$B$227,C208)</x:f>
        <x:v>0</x:v>
      </x:c>
      <x:c r="F208" s="48" t="n">
        <x:f>IFERROR(SUMIFS('Rookie College Inputs'!$I$5:$I$13,'Rookie College Inputs'!$A$5:$A$13,C208),0)</x:f>
        <x:v>0</x:v>
      </x:c>
      <x:c r="G208" s="48" t="n">
        <x:f>MAX(40,MIN(100,D208+E208+F208))</x:f>
        <x:v>79.8</x:v>
      </x:c>
      <x:c r="H208" t="n">
        <x:f>IF(A208="QB",'League Config'!$H$5,IF(A208="RB",'League Config'!$H$6,IF(A208="WR",'League Config'!$H$7,IF(A208="TE",'League Config'!$H$8,IF(A208="K",'League Config'!$H$9,'League Config'!$H$10)))))</x:f>
        <x:v>10</x:v>
      </x:c>
      <x:c r="I208" s="48" t="n">
        <x:f>IF(A208="QB",'League Config'!$F$14,IF(A208="RB",'League Config'!$F$15,IF(A208="WR",'League Config'!$F$16,IF(A208="TE",'League Config'!$F$17,IF(A208="K",'League Config'!$F$18,'League Config'!$F$19)))))</x:f>
        <x:v>83.1</x:v>
      </x:c>
      <x:c r="J208" s="48" t="n">
        <x:f>G208-I208</x:f>
        <x:v>-3.299999999999997</x:v>
      </x:c>
      <x:c r="K208" s="48" t="n">
        <x:f>MAX(0,MIN(100,50+J208*6))</x:f>
        <x:v>30.200000000000017</x:v>
      </x:c>
      <x:c r="L208" s="48" t="n">
        <x:f>MIN(100,MAX(0,MIN(100,(1-(B208-1)/(H208*1.5))*100))*IF(A208="QB",'League Config'!$G$14,IF(A208="RB",'League Config'!$G$15,IF(A208="WR",'League Config'!$G$16,IF(A208="TE",'League Config'!$G$17,IF(A208="K",'League Config'!$G$18,'League Config'!$G$19))))))</x:f>
        <x:v>9.999999999999998</x:v>
      </x:c>
      <x:c r="M208" t="n">
        <x:f>IF(A208="K",'League Config'!$B$15,IF(A208="DST",'League Config'!$B$16,IF(A208="QB",'League Config'!$B$17,0)))</x:f>
        <x:v>20</x:v>
      </x:c>
      <x:c r="N208" s="48" t="n">
        <x:f>MIN(100,MAX(0,0.55*G208+0.30*K208+0.15*L208-M208))</x:f>
        <x:v>34.45</x:v>
      </x:c>
      <x:c r="O208" t="n">
        <x:f>RANK.EQ(N208,$N$5:$N$227,0)</x:f>
        <x:v>182</x:v>
      </x:c>
      <x:c r="P208" s="110" t="n">
        <x:v>208</x:v>
      </x:c>
      <x:c r="Q208" s="48" t="n">
        <x:f>P208-O208</x:f>
        <x:v>26</x:v>
      </x:c>
      <x:c r="R208" s="48" t="n">
        <x:f>MAX(40,G208-IF(U208="A",6,IF(U208="B",9,12)))</x:f>
        <x:v>70.8</x:v>
      </x:c>
      <x:c r="S208" s="48" t="n">
        <x:f>G208</x:f>
        <x:v>79.8</x:v>
      </x:c>
      <x:c r="T208" s="48" t="n">
        <x:f>MIN(100,G208+IF(U208="A",6,IF(U208="B",9,12)))</x:f>
        <x:v>88.8</x:v>
      </x:c>
      <x:c r="U208" t="str">
        <x:v>B</x:v>
      </x:c>
      <x:c r="V208" t="str">
        <x:v>DST MODEL</x:v>
      </x:c>
      <x:c r="W208" s="109" t="str">
        <x:v>Available</x:v>
      </x:c>
      <x:c r="X208" t="n">
        <x:f>IF(W208&lt;&gt;"Available","",1+COUNTIFS($W$5:$W$227,"Available",$N$5:$N$227,"&gt;"&amp;N208))</x:f>
        <x:v>182</x:v>
      </x:c>
      <x:c r="Y208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8" t="str">
        <x:v>https://www.fantasypros.com/nfl/rankings/dst-cheatsheets.php</x:v>
      </x:c>
    </x:row>
    <x:row r="209">
      <x:c r="A209" t="str">
        <x:v>DST</x:v>
      </x:c>
      <x:c r="B209" t="n">
        <x:v>14</x:v>
      </x:c>
      <x:c r="C209" t="str">
        <x:v>Buffalo Bills</x:v>
      </x:c>
      <x:c r="D209" s="48" t="n">
        <x:v>78.7</x:v>
      </x:c>
      <x:c r="E209" s="48" t="n">
        <x:f>SUMIFS('Manual Adjustments'!$G$5:$G$227,'Manual Adjustments'!$A$5:$A$227,A209,'Manual Adjustments'!$B$5:$B$227,C209)</x:f>
        <x:v>0</x:v>
      </x:c>
      <x:c r="F209" s="48" t="n">
        <x:f>IFERROR(SUMIFS('Rookie College Inputs'!$I$5:$I$13,'Rookie College Inputs'!$A$5:$A$13,C209),0)</x:f>
        <x:v>0</x:v>
      </x:c>
      <x:c r="G209" s="48" t="n">
        <x:f>MAX(40,MIN(100,D209+E209+F209))</x:f>
        <x:v>78.7</x:v>
      </x:c>
      <x:c r="H209" t="n">
        <x:f>IF(A209="QB",'League Config'!$H$5,IF(A209="RB",'League Config'!$H$6,IF(A209="WR",'League Config'!$H$7,IF(A209="TE",'League Config'!$H$8,IF(A209="K",'League Config'!$H$9,'League Config'!$H$10)))))</x:f>
        <x:v>10</x:v>
      </x:c>
      <x:c r="I209" s="48" t="n">
        <x:f>IF(A209="QB",'League Config'!$F$14,IF(A209="RB",'League Config'!$F$15,IF(A209="WR",'League Config'!$F$16,IF(A209="TE",'League Config'!$F$17,IF(A209="K",'League Config'!$F$18,'League Config'!$F$19)))))</x:f>
        <x:v>83.1</x:v>
      </x:c>
      <x:c r="J209" s="48" t="n">
        <x:f>G209-I209</x:f>
        <x:v>-4.3999999999999915</x:v>
      </x:c>
      <x:c r="K209" s="48" t="n">
        <x:f>MAX(0,MIN(100,50+J209*6))</x:f>
        <x:v>23.60000000000005</x:v>
      </x:c>
      <x:c r="L209" s="48" t="n">
        <x:f>MIN(100,MAX(0,MIN(100,(1-(B209-1)/(H209*1.5))*100))*IF(A209="QB",'League Config'!$G$14,IF(A209="RB",'League Config'!$G$15,IF(A209="WR",'League Config'!$G$16,IF(A209="TE",'League Config'!$G$17,IF(A209="K",'League Config'!$G$18,'League Config'!$G$19))))))</x:f>
        <x:v>6.666666666666665</x:v>
      </x:c>
      <x:c r="M209" t="n">
        <x:f>IF(A209="K",'League Config'!$B$15,IF(A209="DST",'League Config'!$B$16,IF(A209="QB",'League Config'!$B$17,0)))</x:f>
        <x:v>20</x:v>
      </x:c>
      <x:c r="N209" s="48" t="n">
        <x:f>MIN(100,MAX(0,0.55*G209+0.30*K209+0.15*L209-M209))</x:f>
        <x:v>31.365000000000016</x:v>
      </x:c>
      <x:c r="O209" t="n">
        <x:f>RANK.EQ(N209,$N$5:$N$227,0)</x:f>
        <x:v>195</x:v>
      </x:c>
      <x:c r="P209" s="110" t="n">
        <x:v>212</x:v>
      </x:c>
      <x:c r="Q209" s="48" t="n">
        <x:f>P209-O209</x:f>
        <x:v>17</x:v>
      </x:c>
      <x:c r="R209" s="48" t="n">
        <x:f>MAX(40,G209-IF(U209="A",6,IF(U209="B",9,12)))</x:f>
        <x:v>69.7</x:v>
      </x:c>
      <x:c r="S209" s="48" t="n">
        <x:f>G209</x:f>
        <x:v>78.7</x:v>
      </x:c>
      <x:c r="T209" s="48" t="n">
        <x:f>MIN(100,G209+IF(U209="A",6,IF(U209="B",9,12)))</x:f>
        <x:v>87.7</x:v>
      </x:c>
      <x:c r="U209" t="str">
        <x:v>B</x:v>
      </x:c>
      <x:c r="V209" t="str">
        <x:v>DST MODEL</x:v>
      </x:c>
      <x:c r="W209" s="109" t="str">
        <x:v>Available</x:v>
      </x:c>
      <x:c r="X209" t="n">
        <x:f>IF(W209&lt;&gt;"Available","",1+COUNTIFS($W$5:$W$227,"Available",$N$5:$N$227,"&gt;"&amp;N209))</x:f>
        <x:v>195</x:v>
      </x:c>
      <x:c r="Y209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09" t="str">
        <x:v>https://www.fantasypros.com/nfl/rankings/dst-cheatsheets.php</x:v>
      </x:c>
    </x:row>
    <x:row r="210">
      <x:c r="A210" t="str">
        <x:v>DST</x:v>
      </x:c>
      <x:c r="B210" t="n">
        <x:v>15</x:v>
      </x:c>
      <x:c r="C210" t="str">
        <x:v>Kansas City Chiefs</x:v>
      </x:c>
      <x:c r="D210" s="48" t="n">
        <x:v>77.6</x:v>
      </x:c>
      <x:c r="E210" s="48" t="n">
        <x:f>SUMIFS('Manual Adjustments'!$G$5:$G$227,'Manual Adjustments'!$A$5:$A$227,A210,'Manual Adjustments'!$B$5:$B$227,C210)</x:f>
        <x:v>0</x:v>
      </x:c>
      <x:c r="F210" s="48" t="n">
        <x:f>IFERROR(SUMIFS('Rookie College Inputs'!$I$5:$I$13,'Rookie College Inputs'!$A$5:$A$13,C210),0)</x:f>
        <x:v>0</x:v>
      </x:c>
      <x:c r="G210" s="48" t="n">
        <x:f>MAX(40,MIN(100,D210+E210+F210))</x:f>
        <x:v>77.6</x:v>
      </x:c>
      <x:c r="H210" t="n">
        <x:f>IF(A210="QB",'League Config'!$H$5,IF(A210="RB",'League Config'!$H$6,IF(A210="WR",'League Config'!$H$7,IF(A210="TE",'League Config'!$H$8,IF(A210="K",'League Config'!$H$9,'League Config'!$H$10)))))</x:f>
        <x:v>10</x:v>
      </x:c>
      <x:c r="I210" s="48" t="n">
        <x:f>IF(A210="QB",'League Config'!$F$14,IF(A210="RB",'League Config'!$F$15,IF(A210="WR",'League Config'!$F$16,IF(A210="TE",'League Config'!$F$17,IF(A210="K",'League Config'!$F$18,'League Config'!$F$19)))))</x:f>
        <x:v>83.1</x:v>
      </x:c>
      <x:c r="J210" s="48" t="n">
        <x:f>G210-I210</x:f>
        <x:v>-5.5</x:v>
      </x:c>
      <x:c r="K210" s="48" t="n">
        <x:f>MAX(0,MIN(100,50+J210*6))</x:f>
        <x:v>17</x:v>
      </x:c>
      <x:c r="L210" s="48" t="n">
        <x:f>MIN(100,MAX(0,MIN(100,(1-(B210-1)/(H210*1.5))*100))*IF(A210="QB",'League Config'!$G$14,IF(A210="RB",'League Config'!$G$15,IF(A210="WR",'League Config'!$G$16,IF(A210="TE",'League Config'!$G$17,IF(A210="K",'League Config'!$G$18,'League Config'!$G$19))))))</x:f>
        <x:v>3.3333333333333326</x:v>
      </x:c>
      <x:c r="M210" t="n">
        <x:f>IF(A210="K",'League Config'!$B$15,IF(A210="DST",'League Config'!$B$16,IF(A210="QB",'League Config'!$B$17,0)))</x:f>
        <x:v>20</x:v>
      </x:c>
      <x:c r="N210" s="48" t="n">
        <x:f>MIN(100,MAX(0,0.55*G210+0.30*K210+0.15*L210-M210))</x:f>
        <x:v>28.28</x:v>
      </x:c>
      <x:c r="O210" t="n">
        <x:f>RANK.EQ(N210,$N$5:$N$227,0)</x:f>
        <x:v>206</x:v>
      </x:c>
      <x:c r="P210" s="110" t="n">
        <x:v>216</x:v>
      </x:c>
      <x:c r="Q210" s="48" t="n">
        <x:f>P210-O210</x:f>
        <x:v>10</x:v>
      </x:c>
      <x:c r="R210" s="48" t="n">
        <x:f>MAX(40,G210-IF(U210="A",6,IF(U210="B",9,12)))</x:f>
        <x:v>68.6</x:v>
      </x:c>
      <x:c r="S210" s="48" t="n">
        <x:f>G210</x:f>
        <x:v>77.6</x:v>
      </x:c>
      <x:c r="T210" s="48" t="n">
        <x:f>MIN(100,G210+IF(U210="A",6,IF(U210="B",9,12)))</x:f>
        <x:v>86.6</x:v>
      </x:c>
      <x:c r="U210" t="str">
        <x:v>B</x:v>
      </x:c>
      <x:c r="V210" t="str">
        <x:v>DST MODEL</x:v>
      </x:c>
      <x:c r="W210" s="109" t="str">
        <x:v>Available</x:v>
      </x:c>
      <x:c r="X210" t="n">
        <x:f>IF(W210&lt;&gt;"Available","",1+COUNTIFS($W$5:$W$227,"Available",$N$5:$N$227,"&gt;"&amp;N210))</x:f>
        <x:v>206</x:v>
      </x:c>
      <x:c r="Y210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0" t="str">
        <x:v>https://www.fantasypros.com/nfl/rankings/dst-cheatsheets.php</x:v>
      </x:c>
    </x:row>
    <x:row r="211">
      <x:c r="A211" t="str">
        <x:v>DST</x:v>
      </x:c>
      <x:c r="B211" t="n">
        <x:v>16</x:v>
      </x:c>
      <x:c r="C211" t="str">
        <x:v>Cleveland Browns</x:v>
      </x:c>
      <x:c r="D211" s="48" t="n">
        <x:v>76.5</x:v>
      </x:c>
      <x:c r="E211" s="48" t="n">
        <x:f>SUMIFS('Manual Adjustments'!$G$5:$G$227,'Manual Adjustments'!$A$5:$A$227,A211,'Manual Adjustments'!$B$5:$B$227,C211)</x:f>
        <x:v>0</x:v>
      </x:c>
      <x:c r="F211" s="48" t="n">
        <x:f>IFERROR(SUMIFS('Rookie College Inputs'!$I$5:$I$13,'Rookie College Inputs'!$A$5:$A$13,C211),0)</x:f>
        <x:v>0</x:v>
      </x:c>
      <x:c r="G211" s="48" t="n">
        <x:f>MAX(40,MIN(100,D211+E211+F211))</x:f>
        <x:v>76.5</x:v>
      </x:c>
      <x:c r="H211" t="n">
        <x:f>IF(A211="QB",'League Config'!$H$5,IF(A211="RB",'League Config'!$H$6,IF(A211="WR",'League Config'!$H$7,IF(A211="TE",'League Config'!$H$8,IF(A211="K",'League Config'!$H$9,'League Config'!$H$10)))))</x:f>
        <x:v>10</x:v>
      </x:c>
      <x:c r="I211" s="48" t="n">
        <x:f>IF(A211="QB",'League Config'!$F$14,IF(A211="RB",'League Config'!$F$15,IF(A211="WR",'League Config'!$F$16,IF(A211="TE",'League Config'!$F$17,IF(A211="K",'League Config'!$F$18,'League Config'!$F$19)))))</x:f>
        <x:v>83.1</x:v>
      </x:c>
      <x:c r="J211" s="48" t="n">
        <x:f>G211-I211</x:f>
        <x:v>-6.599999999999994</x:v>
      </x:c>
      <x:c r="K211" s="48" t="n">
        <x:f>MAX(0,MIN(100,50+J211*6))</x:f>
        <x:v>10.400000000000034</x:v>
      </x:c>
      <x:c r="L211" s="48" t="n">
        <x:f>MIN(100,MAX(0,MIN(100,(1-(B211-1)/(H211*1.5))*100))*IF(A211="QB",'League Config'!$G$14,IF(A211="RB",'League Config'!$G$15,IF(A211="WR",'League Config'!$G$16,IF(A211="TE",'League Config'!$G$17,IF(A211="K",'League Config'!$G$18,'League Config'!$G$19))))))</x:f>
        <x:v>0</x:v>
      </x:c>
      <x:c r="M211" t="n">
        <x:f>IF(A211="K",'League Config'!$B$15,IF(A211="DST",'League Config'!$B$16,IF(A211="QB",'League Config'!$B$17,0)))</x:f>
        <x:v>20</x:v>
      </x:c>
      <x:c r="N211" s="48" t="n">
        <x:f>MIN(100,MAX(0,0.55*G211+0.30*K211+0.15*L211-M211))</x:f>
        <x:v>25.195000000000014</x:v>
      </x:c>
      <x:c r="O211" t="n">
        <x:f>RANK.EQ(N211,$N$5:$N$227,0)</x:f>
        <x:v>207</x:v>
      </x:c>
      <x:c r="P211" s="110" t="n">
        <x:v>220</x:v>
      </x:c>
      <x:c r="Q211" s="48" t="n">
        <x:f>P211-O211</x:f>
        <x:v>13</x:v>
      </x:c>
      <x:c r="R211" s="48" t="n">
        <x:f>MAX(40,G211-IF(U211="A",6,IF(U211="B",9,12)))</x:f>
        <x:v>67.5</x:v>
      </x:c>
      <x:c r="S211" s="48" t="n">
        <x:f>G211</x:f>
        <x:v>76.5</x:v>
      </x:c>
      <x:c r="T211" s="48" t="n">
        <x:f>MIN(100,G211+IF(U211="A",6,IF(U211="B",9,12)))</x:f>
        <x:v>85.5</x:v>
      </x:c>
      <x:c r="U211" t="str">
        <x:v>B</x:v>
      </x:c>
      <x:c r="V211" t="str">
        <x:v>DST MODEL</x:v>
      </x:c>
      <x:c r="W211" s="109" t="str">
        <x:v>Available</x:v>
      </x:c>
      <x:c r="X211" t="n">
        <x:f>IF(W211&lt;&gt;"Available","",1+COUNTIFS($W$5:$W$227,"Available",$N$5:$N$227,"&gt;"&amp;N211))</x:f>
        <x:v>207</x:v>
      </x:c>
      <x:c r="Y211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1" t="str">
        <x:v>https://www.fantasypros.com/nfl/rankings/dst-cheatsheets.php</x:v>
      </x:c>
    </x:row>
    <x:row r="212">
      <x:c r="A212" t="str">
        <x:v>DST</x:v>
      </x:c>
      <x:c r="B212" t="n">
        <x:v>17</x:v>
      </x:c>
      <x:c r="C212" t="str">
        <x:v>San Francisco 49ers</x:v>
      </x:c>
      <x:c r="D212" s="48" t="n">
        <x:v>75.4</x:v>
      </x:c>
      <x:c r="E212" s="48" t="n">
        <x:f>SUMIFS('Manual Adjustments'!$G$5:$G$227,'Manual Adjustments'!$A$5:$A$227,A212,'Manual Adjustments'!$B$5:$B$227,C212)</x:f>
        <x:v>0</x:v>
      </x:c>
      <x:c r="F212" s="48" t="n">
        <x:f>IFERROR(SUMIFS('Rookie College Inputs'!$I$5:$I$13,'Rookie College Inputs'!$A$5:$A$13,C212),0)</x:f>
        <x:v>0</x:v>
      </x:c>
      <x:c r="G212" s="48" t="n">
        <x:f>MAX(40,MIN(100,D212+E212+F212))</x:f>
        <x:v>75.4</x:v>
      </x:c>
      <x:c r="H212" t="n">
        <x:f>IF(A212="QB",'League Config'!$H$5,IF(A212="RB",'League Config'!$H$6,IF(A212="WR",'League Config'!$H$7,IF(A212="TE",'League Config'!$H$8,IF(A212="K",'League Config'!$H$9,'League Config'!$H$10)))))</x:f>
        <x:v>10</x:v>
      </x:c>
      <x:c r="I212" s="48" t="n">
        <x:f>IF(A212="QB",'League Config'!$F$14,IF(A212="RB",'League Config'!$F$15,IF(A212="WR",'League Config'!$F$16,IF(A212="TE",'League Config'!$F$17,IF(A212="K",'League Config'!$F$18,'League Config'!$F$19)))))</x:f>
        <x:v>83.1</x:v>
      </x:c>
      <x:c r="J212" s="48" t="n">
        <x:f>G212-I212</x:f>
        <x:v>-7.699999999999989</x:v>
      </x:c>
      <x:c r="K212" s="48" t="n">
        <x:f>MAX(0,MIN(100,50+J212*6))</x:f>
        <x:v>3.800000000000068</x:v>
      </x:c>
      <x:c r="L212" s="48" t="n">
        <x:f>MIN(100,MAX(0,MIN(100,(1-(B212-1)/(H212*1.5))*100))*IF(A212="QB",'League Config'!$G$14,IF(A212="RB",'League Config'!$G$15,IF(A212="WR",'League Config'!$G$16,IF(A212="TE",'League Config'!$G$17,IF(A212="K",'League Config'!$G$18,'League Config'!$G$19))))))</x:f>
        <x:v>0</x:v>
      </x:c>
      <x:c r="M212" t="n">
        <x:f>IF(A212="K",'League Config'!$B$15,IF(A212="DST",'League Config'!$B$16,IF(A212="QB",'League Config'!$B$17,0)))</x:f>
        <x:v>20</x:v>
      </x:c>
      <x:c r="N212" s="48" t="n">
        <x:f>MIN(100,MAX(0,0.55*G212+0.30*K212+0.15*L212-M212))</x:f>
        <x:v>22.610000000000028</x:v>
      </x:c>
      <x:c r="O212" t="n">
        <x:f>RANK.EQ(N212,$N$5:$N$227,0)</x:f>
        <x:v>208</x:v>
      </x:c>
      <x:c r="P212" s="110" t="n">
        <x:v>224</x:v>
      </x:c>
      <x:c r="Q212" s="48" t="n">
        <x:f>P212-O212</x:f>
        <x:v>16</x:v>
      </x:c>
      <x:c r="R212" s="48" t="n">
        <x:f>MAX(40,G212-IF(U212="A",6,IF(U212="B",9,12)))</x:f>
        <x:v>66.4</x:v>
      </x:c>
      <x:c r="S212" s="48" t="n">
        <x:f>G212</x:f>
        <x:v>75.4</x:v>
      </x:c>
      <x:c r="T212" s="48" t="n">
        <x:f>MIN(100,G212+IF(U212="A",6,IF(U212="B",9,12)))</x:f>
        <x:v>84.4</x:v>
      </x:c>
      <x:c r="U212" t="str">
        <x:v>B</x:v>
      </x:c>
      <x:c r="V212" t="str">
        <x:v>DST MODEL</x:v>
      </x:c>
      <x:c r="W212" s="109" t="str">
        <x:v>Available</x:v>
      </x:c>
      <x:c r="X212" t="n">
        <x:f>IF(W212&lt;&gt;"Available","",1+COUNTIFS($W$5:$W$227,"Available",$N$5:$N$227,"&gt;"&amp;N212))</x:f>
        <x:v>208</x:v>
      </x:c>
      <x:c r="Y212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2" t="str">
        <x:v>https://www.fantasypros.com/nfl/rankings/dst-cheatsheets.php</x:v>
      </x:c>
    </x:row>
    <x:row r="213">
      <x:c r="A213" t="str">
        <x:v>DST</x:v>
      </x:c>
      <x:c r="B213" t="n">
        <x:v>18</x:v>
      </x:c>
      <x:c r="C213" t="str">
        <x:v>New Orleans Saints</x:v>
      </x:c>
      <x:c r="D213" s="48" t="n">
        <x:v>74.3</x:v>
      </x:c>
      <x:c r="E213" s="48" t="n">
        <x:f>SUMIFS('Manual Adjustments'!$G$5:$G$227,'Manual Adjustments'!$A$5:$A$227,A213,'Manual Adjustments'!$B$5:$B$227,C213)</x:f>
        <x:v>0</x:v>
      </x:c>
      <x:c r="F213" s="48" t="n">
        <x:f>IFERROR(SUMIFS('Rookie College Inputs'!$I$5:$I$13,'Rookie College Inputs'!$A$5:$A$13,C213),0)</x:f>
        <x:v>0</x:v>
      </x:c>
      <x:c r="G213" s="48" t="n">
        <x:f>MAX(40,MIN(100,D213+E213+F213))</x:f>
        <x:v>74.3</x:v>
      </x:c>
      <x:c r="H213" t="n">
        <x:f>IF(A213="QB",'League Config'!$H$5,IF(A213="RB",'League Config'!$H$6,IF(A213="WR",'League Config'!$H$7,IF(A213="TE",'League Config'!$H$8,IF(A213="K",'League Config'!$H$9,'League Config'!$H$10)))))</x:f>
        <x:v>10</x:v>
      </x:c>
      <x:c r="I213" s="48" t="n">
        <x:f>IF(A213="QB",'League Config'!$F$14,IF(A213="RB",'League Config'!$F$15,IF(A213="WR",'League Config'!$F$16,IF(A213="TE",'League Config'!$F$17,IF(A213="K",'League Config'!$F$18,'League Config'!$F$19)))))</x:f>
        <x:v>83.1</x:v>
      </x:c>
      <x:c r="J213" s="48" t="n">
        <x:f>G213-I213</x:f>
        <x:v>-8.799999999999997</x:v>
      </x:c>
      <x:c r="K213" s="48" t="n">
        <x:f>MAX(0,MIN(100,50+J213*6))</x:f>
        <x:v>0</x:v>
      </x:c>
      <x:c r="L213" s="48" t="n">
        <x:f>MIN(100,MAX(0,MIN(100,(1-(B213-1)/(H213*1.5))*100))*IF(A213="QB",'League Config'!$G$14,IF(A213="RB",'League Config'!$G$15,IF(A213="WR",'League Config'!$G$16,IF(A213="TE",'League Config'!$G$17,IF(A213="K",'League Config'!$G$18,'League Config'!$G$19))))))</x:f>
        <x:v>0</x:v>
      </x:c>
      <x:c r="M213" t="n">
        <x:f>IF(A213="K",'League Config'!$B$15,IF(A213="DST",'League Config'!$B$16,IF(A213="QB",'League Config'!$B$17,0)))</x:f>
        <x:v>20</x:v>
      </x:c>
      <x:c r="N213" s="48" t="n">
        <x:f>MIN(100,MAX(0,0.55*G213+0.30*K213+0.15*L213-M213))</x:f>
        <x:v>20.865000000000002</x:v>
      </x:c>
      <x:c r="O213" t="n">
        <x:f>RANK.EQ(N213,$N$5:$N$227,0)</x:f>
        <x:v>209</x:v>
      </x:c>
      <x:c r="P213" s="110" t="n">
        <x:v>228</x:v>
      </x:c>
      <x:c r="Q213" s="48" t="n">
        <x:f>P213-O213</x:f>
        <x:v>19</x:v>
      </x:c>
      <x:c r="R213" s="48" t="n">
        <x:f>MAX(40,G213-IF(U213="A",6,IF(U213="B",9,12)))</x:f>
        <x:v>65.3</x:v>
      </x:c>
      <x:c r="S213" s="48" t="n">
        <x:f>G213</x:f>
        <x:v>74.3</x:v>
      </x:c>
      <x:c r="T213" s="48" t="n">
        <x:f>MIN(100,G213+IF(U213="A",6,IF(U213="B",9,12)))</x:f>
        <x:v>83.3</x:v>
      </x:c>
      <x:c r="U213" t="str">
        <x:v>B</x:v>
      </x:c>
      <x:c r="V213" t="str">
        <x:v>DST MODEL</x:v>
      </x:c>
      <x:c r="W213" s="109" t="str">
        <x:v>Available</x:v>
      </x:c>
      <x:c r="X213" t="n">
        <x:f>IF(W213&lt;&gt;"Available","",1+COUNTIFS($W$5:$W$227,"Available",$N$5:$N$227,"&gt;"&amp;N213))</x:f>
        <x:v>209</x:v>
      </x:c>
      <x:c r="Y213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3" t="str">
        <x:v>https://www.fantasypros.com/nfl/rankings/dst-cheatsheets.php</x:v>
      </x:c>
    </x:row>
    <x:row r="214">
      <x:c r="A214" t="str">
        <x:v>DST</x:v>
      </x:c>
      <x:c r="B214" t="n">
        <x:v>19</x:v>
      </x:c>
      <x:c r="C214" t="str">
        <x:v>Atlanta Falcons</x:v>
      </x:c>
      <x:c r="D214" s="48" t="n">
        <x:v>73.2</x:v>
      </x:c>
      <x:c r="E214" s="48" t="n">
        <x:f>SUMIFS('Manual Adjustments'!$G$5:$G$227,'Manual Adjustments'!$A$5:$A$227,A214,'Manual Adjustments'!$B$5:$B$227,C214)</x:f>
        <x:v>0</x:v>
      </x:c>
      <x:c r="F214" s="48" t="n">
        <x:f>IFERROR(SUMIFS('Rookie College Inputs'!$I$5:$I$13,'Rookie College Inputs'!$A$5:$A$13,C214),0)</x:f>
        <x:v>0</x:v>
      </x:c>
      <x:c r="G214" s="48" t="n">
        <x:f>MAX(40,MIN(100,D214+E214+F214))</x:f>
        <x:v>73.2</x:v>
      </x:c>
      <x:c r="H214" t="n">
        <x:f>IF(A214="QB",'League Config'!$H$5,IF(A214="RB",'League Config'!$H$6,IF(A214="WR",'League Config'!$H$7,IF(A214="TE",'League Config'!$H$8,IF(A214="K",'League Config'!$H$9,'League Config'!$H$10)))))</x:f>
        <x:v>10</x:v>
      </x:c>
      <x:c r="I214" s="48" t="n">
        <x:f>IF(A214="QB",'League Config'!$F$14,IF(A214="RB",'League Config'!$F$15,IF(A214="WR",'League Config'!$F$16,IF(A214="TE",'League Config'!$F$17,IF(A214="K",'League Config'!$F$18,'League Config'!$F$19)))))</x:f>
        <x:v>83.1</x:v>
      </x:c>
      <x:c r="J214" s="48" t="n">
        <x:f>G214-I214</x:f>
        <x:v>-9.899999999999991</x:v>
      </x:c>
      <x:c r="K214" s="48" t="n">
        <x:f>MAX(0,MIN(100,50+J214*6))</x:f>
        <x:v>0</x:v>
      </x:c>
      <x:c r="L214" s="48" t="n">
        <x:f>MIN(100,MAX(0,MIN(100,(1-(B214-1)/(H214*1.5))*100))*IF(A214="QB",'League Config'!$G$14,IF(A214="RB",'League Config'!$G$15,IF(A214="WR",'League Config'!$G$16,IF(A214="TE",'League Config'!$G$17,IF(A214="K",'League Config'!$G$18,'League Config'!$G$19))))))</x:f>
        <x:v>0</x:v>
      </x:c>
      <x:c r="M214" t="n">
        <x:f>IF(A214="K",'League Config'!$B$15,IF(A214="DST",'League Config'!$B$16,IF(A214="QB",'League Config'!$B$17,0)))</x:f>
        <x:v>20</x:v>
      </x:c>
      <x:c r="N214" s="48" t="n">
        <x:f>MIN(100,MAX(0,0.55*G214+0.30*K214+0.15*L214-M214))</x:f>
        <x:v>20.260000000000005</x:v>
      </x:c>
      <x:c r="O214" t="n">
        <x:f>RANK.EQ(N214,$N$5:$N$227,0)</x:f>
        <x:v>210</x:v>
      </x:c>
      <x:c r="P214" s="110" t="n">
        <x:v>232</x:v>
      </x:c>
      <x:c r="Q214" s="48" t="n">
        <x:f>P214-O214</x:f>
        <x:v>22</x:v>
      </x:c>
      <x:c r="R214" s="48" t="n">
        <x:f>MAX(40,G214-IF(U214="A",6,IF(U214="B",9,12)))</x:f>
        <x:v>64.2</x:v>
      </x:c>
      <x:c r="S214" s="48" t="n">
        <x:f>G214</x:f>
        <x:v>73.2</x:v>
      </x:c>
      <x:c r="T214" s="48" t="n">
        <x:f>MIN(100,G214+IF(U214="A",6,IF(U214="B",9,12)))</x:f>
        <x:v>82.2</x:v>
      </x:c>
      <x:c r="U214" t="str">
        <x:v>B</x:v>
      </x:c>
      <x:c r="V214" t="str">
        <x:v>DST MODEL</x:v>
      </x:c>
      <x:c r="W214" s="109" t="str">
        <x:v>Available</x:v>
      </x:c>
      <x:c r="X214" t="n">
        <x:f>IF(W214&lt;&gt;"Available","",1+COUNTIFS($W$5:$W$227,"Available",$N$5:$N$227,"&gt;"&amp;N214))</x:f>
        <x:v>210</x:v>
      </x:c>
      <x:c r="Y214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4" t="str">
        <x:v>https://www.fantasypros.com/nfl/rankings/dst-cheatsheets.php</x:v>
      </x:c>
    </x:row>
    <x:row r="215">
      <x:c r="A215" t="str">
        <x:v>DST</x:v>
      </x:c>
      <x:c r="B215" t="n">
        <x:v>20</x:v>
      </x:c>
      <x:c r="C215" t="str">
        <x:v>Chicago Bears</x:v>
      </x:c>
      <x:c r="D215" s="48" t="n">
        <x:v>72.1</x:v>
      </x:c>
      <x:c r="E215" s="48" t="n">
        <x:f>SUMIFS('Manual Adjustments'!$G$5:$G$227,'Manual Adjustments'!$A$5:$A$227,A215,'Manual Adjustments'!$B$5:$B$227,C215)</x:f>
        <x:v>0</x:v>
      </x:c>
      <x:c r="F215" s="48" t="n">
        <x:f>IFERROR(SUMIFS('Rookie College Inputs'!$I$5:$I$13,'Rookie College Inputs'!$A$5:$A$13,C215),0)</x:f>
        <x:v>0</x:v>
      </x:c>
      <x:c r="G215" s="48" t="n">
        <x:f>MAX(40,MIN(100,D215+E215+F215))</x:f>
        <x:v>72.1</x:v>
      </x:c>
      <x:c r="H215" t="n">
        <x:f>IF(A215="QB",'League Config'!$H$5,IF(A215="RB",'League Config'!$H$6,IF(A215="WR",'League Config'!$H$7,IF(A215="TE",'League Config'!$H$8,IF(A215="K",'League Config'!$H$9,'League Config'!$H$10)))))</x:f>
        <x:v>10</x:v>
      </x:c>
      <x:c r="I215" s="48" t="n">
        <x:f>IF(A215="QB",'League Config'!$F$14,IF(A215="RB",'League Config'!$F$15,IF(A215="WR",'League Config'!$F$16,IF(A215="TE",'League Config'!$F$17,IF(A215="K",'League Config'!$F$18,'League Config'!$F$19)))))</x:f>
        <x:v>83.1</x:v>
      </x:c>
      <x:c r="J215" s="48" t="n">
        <x:f>G215-I215</x:f>
        <x:v>-11</x:v>
      </x:c>
      <x:c r="K215" s="48" t="n">
        <x:f>MAX(0,MIN(100,50+J215*6))</x:f>
        <x:v>0</x:v>
      </x:c>
      <x:c r="L215" s="48" t="n">
        <x:f>MIN(100,MAX(0,MIN(100,(1-(B215-1)/(H215*1.5))*100))*IF(A215="QB",'League Config'!$G$14,IF(A215="RB",'League Config'!$G$15,IF(A215="WR",'League Config'!$G$16,IF(A215="TE",'League Config'!$G$17,IF(A215="K",'League Config'!$G$18,'League Config'!$G$19))))))</x:f>
        <x:v>0</x:v>
      </x:c>
      <x:c r="M215" t="n">
        <x:f>IF(A215="K",'League Config'!$B$15,IF(A215="DST",'League Config'!$B$16,IF(A215="QB",'League Config'!$B$17,0)))</x:f>
        <x:v>20</x:v>
      </x:c>
      <x:c r="N215" s="48" t="n">
        <x:f>MIN(100,MAX(0,0.55*G215+0.30*K215+0.15*L215-M215))</x:f>
        <x:v>19.655</x:v>
      </x:c>
      <x:c r="O215" t="n">
        <x:f>RANK.EQ(N215,$N$5:$N$227,0)</x:f>
        <x:v>211</x:v>
      </x:c>
      <x:c r="P215" s="110" t="n">
        <x:v>236</x:v>
      </x:c>
      <x:c r="Q215" s="48" t="n">
        <x:f>P215-O215</x:f>
        <x:v>25</x:v>
      </x:c>
      <x:c r="R215" s="48" t="n">
        <x:f>MAX(40,G215-IF(U215="A",6,IF(U215="B",9,12)))</x:f>
        <x:v>63.099999999999994</x:v>
      </x:c>
      <x:c r="S215" s="48" t="n">
        <x:f>G215</x:f>
        <x:v>72.1</x:v>
      </x:c>
      <x:c r="T215" s="48" t="n">
        <x:f>MIN(100,G215+IF(U215="A",6,IF(U215="B",9,12)))</x:f>
        <x:v>81.1</x:v>
      </x:c>
      <x:c r="U215" t="str">
        <x:v>B</x:v>
      </x:c>
      <x:c r="V215" t="str">
        <x:v>DST MODEL</x:v>
      </x:c>
      <x:c r="W215" s="109" t="str">
        <x:v>Available</x:v>
      </x:c>
      <x:c r="X215" t="n">
        <x:f>IF(W215&lt;&gt;"Available","",1+COUNTIFS($W$5:$W$227,"Available",$N$5:$N$227,"&gt;"&amp;N215))</x:f>
        <x:v>211</x:v>
      </x:c>
      <x:c r="Y215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5" t="str">
        <x:v>https://www.fantasypros.com/nfl/rankings/dst-cheatsheets.php</x:v>
      </x:c>
    </x:row>
    <x:row r="216">
      <x:c r="A216" t="str">
        <x:v>DST</x:v>
      </x:c>
      <x:c r="B216" t="n">
        <x:v>21</x:v>
      </x:c>
      <x:c r="C216" t="str">
        <x:v>Indianapolis Colts</x:v>
      </x:c>
      <x:c r="D216" s="48" t="n">
        <x:v>71</x:v>
      </x:c>
      <x:c r="E216" s="48" t="n">
        <x:f>SUMIFS('Manual Adjustments'!$G$5:$G$227,'Manual Adjustments'!$A$5:$A$227,A216,'Manual Adjustments'!$B$5:$B$227,C216)</x:f>
        <x:v>0</x:v>
      </x:c>
      <x:c r="F216" s="48" t="n">
        <x:f>IFERROR(SUMIFS('Rookie College Inputs'!$I$5:$I$13,'Rookie College Inputs'!$A$5:$A$13,C216),0)</x:f>
        <x:v>0</x:v>
      </x:c>
      <x:c r="G216" s="48" t="n">
        <x:f>MAX(40,MIN(100,D216+E216+F216))</x:f>
        <x:v>71</x:v>
      </x:c>
      <x:c r="H216" t="n">
        <x:f>IF(A216="QB",'League Config'!$H$5,IF(A216="RB",'League Config'!$H$6,IF(A216="WR",'League Config'!$H$7,IF(A216="TE",'League Config'!$H$8,IF(A216="K",'League Config'!$H$9,'League Config'!$H$10)))))</x:f>
        <x:v>10</x:v>
      </x:c>
      <x:c r="I216" s="48" t="n">
        <x:f>IF(A216="QB",'League Config'!$F$14,IF(A216="RB",'League Config'!$F$15,IF(A216="WR",'League Config'!$F$16,IF(A216="TE",'League Config'!$F$17,IF(A216="K",'League Config'!$F$18,'League Config'!$F$19)))))</x:f>
        <x:v>83.1</x:v>
      </x:c>
      <x:c r="J216" s="48" t="n">
        <x:f>G216-I216</x:f>
        <x:v>-12.099999999999994</x:v>
      </x:c>
      <x:c r="K216" s="48" t="n">
        <x:f>MAX(0,MIN(100,50+J216*6))</x:f>
        <x:v>0</x:v>
      </x:c>
      <x:c r="L216" s="48" t="n">
        <x:f>MIN(100,MAX(0,MIN(100,(1-(B216-1)/(H216*1.5))*100))*IF(A216="QB",'League Config'!$G$14,IF(A216="RB",'League Config'!$G$15,IF(A216="WR",'League Config'!$G$16,IF(A216="TE",'League Config'!$G$17,IF(A216="K",'League Config'!$G$18,'League Config'!$G$19))))))</x:f>
        <x:v>0</x:v>
      </x:c>
      <x:c r="M216" t="n">
        <x:f>IF(A216="K",'League Config'!$B$15,IF(A216="DST",'League Config'!$B$16,IF(A216="QB",'League Config'!$B$17,0)))</x:f>
        <x:v>20</x:v>
      </x:c>
      <x:c r="N216" s="48" t="n">
        <x:f>MIN(100,MAX(0,0.55*G216+0.30*K216+0.15*L216-M216))</x:f>
        <x:v>19.050000000000004</x:v>
      </x:c>
      <x:c r="O216" t="n">
        <x:f>RANK.EQ(N216,$N$5:$N$227,0)</x:f>
        <x:v>212</x:v>
      </x:c>
      <x:c r="P216" s="110" t="n">
        <x:v>240</x:v>
      </x:c>
      <x:c r="Q216" s="48" t="n">
        <x:f>P216-O216</x:f>
        <x:v>28</x:v>
      </x:c>
      <x:c r="R216" s="48" t="n">
        <x:f>MAX(40,G216-IF(U216="A",6,IF(U216="B",9,12)))</x:f>
        <x:v>62</x:v>
      </x:c>
      <x:c r="S216" s="48" t="n">
        <x:f>G216</x:f>
        <x:v>71</x:v>
      </x:c>
      <x:c r="T216" s="48" t="n">
        <x:f>MIN(100,G216+IF(U216="A",6,IF(U216="B",9,12)))</x:f>
        <x:v>80</x:v>
      </x:c>
      <x:c r="U216" t="str">
        <x:v>B</x:v>
      </x:c>
      <x:c r="V216" t="str">
        <x:v>DST MODEL</x:v>
      </x:c>
      <x:c r="W216" s="109" t="str">
        <x:v>Available</x:v>
      </x:c>
      <x:c r="X216" t="n">
        <x:f>IF(W216&lt;&gt;"Available","",1+COUNTIFS($W$5:$W$227,"Available",$N$5:$N$227,"&gt;"&amp;N216))</x:f>
        <x:v>212</x:v>
      </x:c>
      <x:c r="Y216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6" t="str">
        <x:v>https://www.fantasypros.com/nfl/rankings/dst-cheatsheets.php</x:v>
      </x:c>
    </x:row>
    <x:row r="217">
      <x:c r="A217" t="str">
        <x:v>DST</x:v>
      </x:c>
      <x:c r="B217" t="n">
        <x:v>22</x:v>
      </x:c>
      <x:c r="C217" t="str">
        <x:v>New York Giants</x:v>
      </x:c>
      <x:c r="D217" s="48" t="n">
        <x:v>69.9</x:v>
      </x:c>
      <x:c r="E217" s="48" t="n">
        <x:f>SUMIFS('Manual Adjustments'!$G$5:$G$227,'Manual Adjustments'!$A$5:$A$227,A217,'Manual Adjustments'!$B$5:$B$227,C217)</x:f>
        <x:v>0</x:v>
      </x:c>
      <x:c r="F217" s="48" t="n">
        <x:f>IFERROR(SUMIFS('Rookie College Inputs'!$I$5:$I$13,'Rookie College Inputs'!$A$5:$A$13,C217),0)</x:f>
        <x:v>0</x:v>
      </x:c>
      <x:c r="G217" s="48" t="n">
        <x:f>MAX(40,MIN(100,D217+E217+F217))</x:f>
        <x:v>69.9</x:v>
      </x:c>
      <x:c r="H217" t="n">
        <x:f>IF(A217="QB",'League Config'!$H$5,IF(A217="RB",'League Config'!$H$6,IF(A217="WR",'League Config'!$H$7,IF(A217="TE",'League Config'!$H$8,IF(A217="K",'League Config'!$H$9,'League Config'!$H$10)))))</x:f>
        <x:v>10</x:v>
      </x:c>
      <x:c r="I217" s="48" t="n">
        <x:f>IF(A217="QB",'League Config'!$F$14,IF(A217="RB",'League Config'!$F$15,IF(A217="WR",'League Config'!$F$16,IF(A217="TE",'League Config'!$F$17,IF(A217="K",'League Config'!$F$18,'League Config'!$F$19)))))</x:f>
        <x:v>83.1</x:v>
      </x:c>
      <x:c r="J217" s="48" t="n">
        <x:f>G217-I217</x:f>
        <x:v>-13.199999999999989</x:v>
      </x:c>
      <x:c r="K217" s="48" t="n">
        <x:f>MAX(0,MIN(100,50+J217*6))</x:f>
        <x:v>0</x:v>
      </x:c>
      <x:c r="L217" s="48" t="n">
        <x:f>MIN(100,MAX(0,MIN(100,(1-(B217-1)/(H217*1.5))*100))*IF(A217="QB",'League Config'!$G$14,IF(A217="RB",'League Config'!$G$15,IF(A217="WR",'League Config'!$G$16,IF(A217="TE",'League Config'!$G$17,IF(A217="K",'League Config'!$G$18,'League Config'!$G$19))))))</x:f>
        <x:v>0</x:v>
      </x:c>
      <x:c r="M217" t="n">
        <x:f>IF(A217="K",'League Config'!$B$15,IF(A217="DST",'League Config'!$B$16,IF(A217="QB",'League Config'!$B$17,0)))</x:f>
        <x:v>20</x:v>
      </x:c>
      <x:c r="N217" s="48" t="n">
        <x:f>MIN(100,MAX(0,0.55*G217+0.30*K217+0.15*L217-M217))</x:f>
        <x:v>18.445000000000007</x:v>
      </x:c>
      <x:c r="O217" t="n">
        <x:f>RANK.EQ(N217,$N$5:$N$227,0)</x:f>
        <x:v>213</x:v>
      </x:c>
      <x:c r="P217" s="110" t="n">
        <x:v>244</x:v>
      </x:c>
      <x:c r="Q217" s="48" t="n">
        <x:f>P217-O217</x:f>
        <x:v>31</x:v>
      </x:c>
      <x:c r="R217" s="48" t="n">
        <x:f>MAX(40,G217-IF(U217="A",6,IF(U217="B",9,12)))</x:f>
        <x:v>60.900000000000006</x:v>
      </x:c>
      <x:c r="S217" s="48" t="n">
        <x:f>G217</x:f>
        <x:v>69.9</x:v>
      </x:c>
      <x:c r="T217" s="48" t="n">
        <x:f>MIN(100,G217+IF(U217="A",6,IF(U217="B",9,12)))</x:f>
        <x:v>78.9</x:v>
      </x:c>
      <x:c r="U217" t="str">
        <x:v>B</x:v>
      </x:c>
      <x:c r="V217" t="str">
        <x:v>DST MODEL</x:v>
      </x:c>
      <x:c r="W217" s="109" t="str">
        <x:v>Available</x:v>
      </x:c>
      <x:c r="X217" t="n">
        <x:f>IF(W217&lt;&gt;"Available","",1+COUNTIFS($W$5:$W$227,"Available",$N$5:$N$227,"&gt;"&amp;N217))</x:f>
        <x:v>213</x:v>
      </x:c>
      <x:c r="Y217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7" t="str">
        <x:v>https://www.fantasypros.com/nfl/rankings/dst-cheatsheets.php</x:v>
      </x:c>
    </x:row>
    <x:row r="218">
      <x:c r="A218" t="str">
        <x:v>DST</x:v>
      </x:c>
      <x:c r="B218" t="n">
        <x:v>23</x:v>
      </x:c>
      <x:c r="C218" t="str">
        <x:v>Tampa Bay Buccaneers</x:v>
      </x:c>
      <x:c r="D218" s="48" t="n">
        <x:v>68.8</x:v>
      </x:c>
      <x:c r="E218" s="48" t="n">
        <x:f>SUMIFS('Manual Adjustments'!$G$5:$G$227,'Manual Adjustments'!$A$5:$A$227,A218,'Manual Adjustments'!$B$5:$B$227,C218)</x:f>
        <x:v>0</x:v>
      </x:c>
      <x:c r="F218" s="48" t="n">
        <x:f>IFERROR(SUMIFS('Rookie College Inputs'!$I$5:$I$13,'Rookie College Inputs'!$A$5:$A$13,C218),0)</x:f>
        <x:v>0</x:v>
      </x:c>
      <x:c r="G218" s="48" t="n">
        <x:f>MAX(40,MIN(100,D218+E218+F218))</x:f>
        <x:v>68.8</x:v>
      </x:c>
      <x:c r="H218" t="n">
        <x:f>IF(A218="QB",'League Config'!$H$5,IF(A218="RB",'League Config'!$H$6,IF(A218="WR",'League Config'!$H$7,IF(A218="TE",'League Config'!$H$8,IF(A218="K",'League Config'!$H$9,'League Config'!$H$10)))))</x:f>
        <x:v>10</x:v>
      </x:c>
      <x:c r="I218" s="48" t="n">
        <x:f>IF(A218="QB",'League Config'!$F$14,IF(A218="RB",'League Config'!$F$15,IF(A218="WR",'League Config'!$F$16,IF(A218="TE",'League Config'!$F$17,IF(A218="K",'League Config'!$F$18,'League Config'!$F$19)))))</x:f>
        <x:v>83.1</x:v>
      </x:c>
      <x:c r="J218" s="48" t="n">
        <x:f>G218-I218</x:f>
        <x:v>-14.299999999999997</x:v>
      </x:c>
      <x:c r="K218" s="48" t="n">
        <x:f>MAX(0,MIN(100,50+J218*6))</x:f>
        <x:v>0</x:v>
      </x:c>
      <x:c r="L218" s="48" t="n">
        <x:f>MIN(100,MAX(0,MIN(100,(1-(B218-1)/(H218*1.5))*100))*IF(A218="QB",'League Config'!$G$14,IF(A218="RB",'League Config'!$G$15,IF(A218="WR",'League Config'!$G$16,IF(A218="TE",'League Config'!$G$17,IF(A218="K",'League Config'!$G$18,'League Config'!$G$19))))))</x:f>
        <x:v>0</x:v>
      </x:c>
      <x:c r="M218" t="n">
        <x:f>IF(A218="K",'League Config'!$B$15,IF(A218="DST",'League Config'!$B$16,IF(A218="QB",'League Config'!$B$17,0)))</x:f>
        <x:v>20</x:v>
      </x:c>
      <x:c r="N218" s="48" t="n">
        <x:f>MIN(100,MAX(0,0.55*G218+0.30*K218+0.15*L218-M218))</x:f>
        <x:v>17.840000000000003</x:v>
      </x:c>
      <x:c r="O218" t="n">
        <x:f>RANK.EQ(N218,$N$5:$N$227,0)</x:f>
        <x:v>214</x:v>
      </x:c>
      <x:c r="P218" s="110" t="n">
        <x:v>248</x:v>
      </x:c>
      <x:c r="Q218" s="48" t="n">
        <x:f>P218-O218</x:f>
        <x:v>34</x:v>
      </x:c>
      <x:c r="R218" s="48" t="n">
        <x:f>MAX(40,G218-IF(U218="A",6,IF(U218="B",9,12)))</x:f>
        <x:v>59.8</x:v>
      </x:c>
      <x:c r="S218" s="48" t="n">
        <x:f>G218</x:f>
        <x:v>68.8</x:v>
      </x:c>
      <x:c r="T218" s="48" t="n">
        <x:f>MIN(100,G218+IF(U218="A",6,IF(U218="B",9,12)))</x:f>
        <x:v>77.8</x:v>
      </x:c>
      <x:c r="U218" t="str">
        <x:v>B</x:v>
      </x:c>
      <x:c r="V218" t="str">
        <x:v>DST MODEL</x:v>
      </x:c>
      <x:c r="W218" s="109" t="str">
        <x:v>Available</x:v>
      </x:c>
      <x:c r="X218" t="n">
        <x:f>IF(W218&lt;&gt;"Available","",1+COUNTIFS($W$5:$W$227,"Available",$N$5:$N$227,"&gt;"&amp;N218))</x:f>
        <x:v>214</x:v>
      </x:c>
      <x:c r="Y218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8" t="str">
        <x:v>https://www.fantasypros.com/nfl/rankings/dst-cheatsheets.php</x:v>
      </x:c>
    </x:row>
    <x:row r="219">
      <x:c r="A219" t="str">
        <x:v>DST</x:v>
      </x:c>
      <x:c r="B219" t="n">
        <x:v>24</x:v>
      </x:c>
      <x:c r="C219" t="str">
        <x:v>Dallas Cowboys</x:v>
      </x:c>
      <x:c r="D219" s="48" t="n">
        <x:v>67.7</x:v>
      </x:c>
      <x:c r="E219" s="48" t="n">
        <x:f>SUMIFS('Manual Adjustments'!$G$5:$G$227,'Manual Adjustments'!$A$5:$A$227,A219,'Manual Adjustments'!$B$5:$B$227,C219)</x:f>
        <x:v>0</x:v>
      </x:c>
      <x:c r="F219" s="48" t="n">
        <x:f>IFERROR(SUMIFS('Rookie College Inputs'!$I$5:$I$13,'Rookie College Inputs'!$A$5:$A$13,C219),0)</x:f>
        <x:v>0</x:v>
      </x:c>
      <x:c r="G219" s="48" t="n">
        <x:f>MAX(40,MIN(100,D219+E219+F219))</x:f>
        <x:v>67.7</x:v>
      </x:c>
      <x:c r="H219" t="n">
        <x:f>IF(A219="QB",'League Config'!$H$5,IF(A219="RB",'League Config'!$H$6,IF(A219="WR",'League Config'!$H$7,IF(A219="TE",'League Config'!$H$8,IF(A219="K",'League Config'!$H$9,'League Config'!$H$10)))))</x:f>
        <x:v>10</x:v>
      </x:c>
      <x:c r="I219" s="48" t="n">
        <x:f>IF(A219="QB",'League Config'!$F$14,IF(A219="RB",'League Config'!$F$15,IF(A219="WR",'League Config'!$F$16,IF(A219="TE",'League Config'!$F$17,IF(A219="K",'League Config'!$F$18,'League Config'!$F$19)))))</x:f>
        <x:v>83.1</x:v>
      </x:c>
      <x:c r="J219" s="48" t="n">
        <x:f>G219-I219</x:f>
        <x:v>-15.399999999999991</x:v>
      </x:c>
      <x:c r="K219" s="48" t="n">
        <x:f>MAX(0,MIN(100,50+J219*6))</x:f>
        <x:v>0</x:v>
      </x:c>
      <x:c r="L219" s="48" t="n">
        <x:f>MIN(100,MAX(0,MIN(100,(1-(B219-1)/(H219*1.5))*100))*IF(A219="QB",'League Config'!$G$14,IF(A219="RB",'League Config'!$G$15,IF(A219="WR",'League Config'!$G$16,IF(A219="TE",'League Config'!$G$17,IF(A219="K",'League Config'!$G$18,'League Config'!$G$19))))))</x:f>
        <x:v>0</x:v>
      </x:c>
      <x:c r="M219" t="n">
        <x:f>IF(A219="K",'League Config'!$B$15,IF(A219="DST",'League Config'!$B$16,IF(A219="QB",'League Config'!$B$17,0)))</x:f>
        <x:v>20</x:v>
      </x:c>
      <x:c r="N219" s="48" t="n">
        <x:f>MIN(100,MAX(0,0.55*G219+0.30*K219+0.15*L219-M219))</x:f>
        <x:v>17.235000000000007</x:v>
      </x:c>
      <x:c r="O219" t="n">
        <x:f>RANK.EQ(N219,$N$5:$N$227,0)</x:f>
        <x:v>215</x:v>
      </x:c>
      <x:c r="P219" s="110" t="n">
        <x:v>252</x:v>
      </x:c>
      <x:c r="Q219" s="48" t="n">
        <x:f>P219-O219</x:f>
        <x:v>37</x:v>
      </x:c>
      <x:c r="R219" s="48" t="n">
        <x:f>MAX(40,G219-IF(U219="A",6,IF(U219="B",9,12)))</x:f>
        <x:v>58.7</x:v>
      </x:c>
      <x:c r="S219" s="48" t="n">
        <x:f>G219</x:f>
        <x:v>67.7</x:v>
      </x:c>
      <x:c r="T219" s="48" t="n">
        <x:f>MIN(100,G219+IF(U219="A",6,IF(U219="B",9,12)))</x:f>
        <x:v>76.7</x:v>
      </x:c>
      <x:c r="U219" t="str">
        <x:v>B</x:v>
      </x:c>
      <x:c r="V219" t="str">
        <x:v>DST MODEL</x:v>
      </x:c>
      <x:c r="W219" s="109" t="str">
        <x:v>Available</x:v>
      </x:c>
      <x:c r="X219" t="n">
        <x:f>IF(W219&lt;&gt;"Available","",1+COUNTIFS($W$5:$W$227,"Available",$N$5:$N$227,"&gt;"&amp;N219))</x:f>
        <x:v>215</x:v>
      </x:c>
      <x:c r="Y219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19" t="str">
        <x:v>https://www.fantasypros.com/nfl/rankings/dst-cheatsheets.php</x:v>
      </x:c>
    </x:row>
    <x:row r="220">
      <x:c r="A220" t="str">
        <x:v>DST</x:v>
      </x:c>
      <x:c r="B220" t="n">
        <x:v>25</x:v>
      </x:c>
      <x:c r="C220" t="str">
        <x:v>Carolina Panthers</x:v>
      </x:c>
      <x:c r="D220" s="48" t="n">
        <x:v>66.6</x:v>
      </x:c>
      <x:c r="E220" s="48" t="n">
        <x:f>SUMIFS('Manual Adjustments'!$G$5:$G$227,'Manual Adjustments'!$A$5:$A$227,A220,'Manual Adjustments'!$B$5:$B$227,C220)</x:f>
        <x:v>0</x:v>
      </x:c>
      <x:c r="F220" s="48" t="n">
        <x:f>IFERROR(SUMIFS('Rookie College Inputs'!$I$5:$I$13,'Rookie College Inputs'!$A$5:$A$13,C220),0)</x:f>
        <x:v>0</x:v>
      </x:c>
      <x:c r="G220" s="48" t="n">
        <x:f>MAX(40,MIN(100,D220+E220+F220))</x:f>
        <x:v>66.6</x:v>
      </x:c>
      <x:c r="H220" t="n">
        <x:f>IF(A220="QB",'League Config'!$H$5,IF(A220="RB",'League Config'!$H$6,IF(A220="WR",'League Config'!$H$7,IF(A220="TE",'League Config'!$H$8,IF(A220="K",'League Config'!$H$9,'League Config'!$H$10)))))</x:f>
        <x:v>10</x:v>
      </x:c>
      <x:c r="I220" s="48" t="n">
        <x:f>IF(A220="QB",'League Config'!$F$14,IF(A220="RB",'League Config'!$F$15,IF(A220="WR",'League Config'!$F$16,IF(A220="TE",'League Config'!$F$17,IF(A220="K",'League Config'!$F$18,'League Config'!$F$19)))))</x:f>
        <x:v>83.1</x:v>
      </x:c>
      <x:c r="J220" s="48" t="n">
        <x:f>G220-I220</x:f>
        <x:v>-16.5</x:v>
      </x:c>
      <x:c r="K220" s="48" t="n">
        <x:f>MAX(0,MIN(100,50+J220*6))</x:f>
        <x:v>0</x:v>
      </x:c>
      <x:c r="L220" s="48" t="n">
        <x:f>MIN(100,MAX(0,MIN(100,(1-(B220-1)/(H220*1.5))*100))*IF(A220="QB",'League Config'!$G$14,IF(A220="RB",'League Config'!$G$15,IF(A220="WR",'League Config'!$G$16,IF(A220="TE",'League Config'!$G$17,IF(A220="K",'League Config'!$G$18,'League Config'!$G$19))))))</x:f>
        <x:v>0</x:v>
      </x:c>
      <x:c r="M220" t="n">
        <x:f>IF(A220="K",'League Config'!$B$15,IF(A220="DST",'League Config'!$B$16,IF(A220="QB",'League Config'!$B$17,0)))</x:f>
        <x:v>20</x:v>
      </x:c>
      <x:c r="N220" s="48" t="n">
        <x:f>MIN(100,MAX(0,0.55*G220+0.30*K220+0.15*L220-M220))</x:f>
        <x:v>16.630000000000003</x:v>
      </x:c>
      <x:c r="O220" t="n">
        <x:f>RANK.EQ(N220,$N$5:$N$227,0)</x:f>
        <x:v>216</x:v>
      </x:c>
      <x:c r="P220" s="110" t="n">
        <x:v>256</x:v>
      </x:c>
      <x:c r="Q220" s="48" t="n">
        <x:f>P220-O220</x:f>
        <x:v>40</x:v>
      </x:c>
      <x:c r="R220" s="48" t="n">
        <x:f>MAX(40,G220-IF(U220="A",6,IF(U220="B",9,12)))</x:f>
        <x:v>57.599999999999994</x:v>
      </x:c>
      <x:c r="S220" s="48" t="n">
        <x:f>G220</x:f>
        <x:v>66.6</x:v>
      </x:c>
      <x:c r="T220" s="48" t="n">
        <x:f>MIN(100,G220+IF(U220="A",6,IF(U220="B",9,12)))</x:f>
        <x:v>75.6</x:v>
      </x:c>
      <x:c r="U220" t="str">
        <x:v>B</x:v>
      </x:c>
      <x:c r="V220" t="str">
        <x:v>DST MODEL</x:v>
      </x:c>
      <x:c r="W220" s="109" t="str">
        <x:v>Available</x:v>
      </x:c>
      <x:c r="X220" t="n">
        <x:f>IF(W220&lt;&gt;"Available","",1+COUNTIFS($W$5:$W$227,"Available",$N$5:$N$227,"&gt;"&amp;N220))</x:f>
        <x:v>216</x:v>
      </x:c>
      <x:c r="Y220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0" t="str">
        <x:v>https://www.fantasypros.com/nfl/rankings/dst-cheatsheets.php</x:v>
      </x:c>
    </x:row>
    <x:row r="221">
      <x:c r="A221" t="str">
        <x:v>DST</x:v>
      </x:c>
      <x:c r="B221" t="n">
        <x:v>26</x:v>
      </x:c>
      <x:c r="C221" t="str">
        <x:v>Tennessee Titans</x:v>
      </x:c>
      <x:c r="D221" s="48" t="n">
        <x:v>65.5</x:v>
      </x:c>
      <x:c r="E221" s="48" t="n">
        <x:f>SUMIFS('Manual Adjustments'!$G$5:$G$227,'Manual Adjustments'!$A$5:$A$227,A221,'Manual Adjustments'!$B$5:$B$227,C221)</x:f>
        <x:v>0</x:v>
      </x:c>
      <x:c r="F221" s="48" t="n">
        <x:f>IFERROR(SUMIFS('Rookie College Inputs'!$I$5:$I$13,'Rookie College Inputs'!$A$5:$A$13,C221),0)</x:f>
        <x:v>0</x:v>
      </x:c>
      <x:c r="G221" s="48" t="n">
        <x:f>MAX(40,MIN(100,D221+E221+F221))</x:f>
        <x:v>65.5</x:v>
      </x:c>
      <x:c r="H221" t="n">
        <x:f>IF(A221="QB",'League Config'!$H$5,IF(A221="RB",'League Config'!$H$6,IF(A221="WR",'League Config'!$H$7,IF(A221="TE",'League Config'!$H$8,IF(A221="K",'League Config'!$H$9,'League Config'!$H$10)))))</x:f>
        <x:v>10</x:v>
      </x:c>
      <x:c r="I221" s="48" t="n">
        <x:f>IF(A221="QB",'League Config'!$F$14,IF(A221="RB",'League Config'!$F$15,IF(A221="WR",'League Config'!$F$16,IF(A221="TE",'League Config'!$F$17,IF(A221="K",'League Config'!$F$18,'League Config'!$F$19)))))</x:f>
        <x:v>83.1</x:v>
      </x:c>
      <x:c r="J221" s="48" t="n">
        <x:f>G221-I221</x:f>
        <x:v>-17.599999999999994</x:v>
      </x:c>
      <x:c r="K221" s="48" t="n">
        <x:f>MAX(0,MIN(100,50+J221*6))</x:f>
        <x:v>0</x:v>
      </x:c>
      <x:c r="L221" s="48" t="n">
        <x:f>MIN(100,MAX(0,MIN(100,(1-(B221-1)/(H221*1.5))*100))*IF(A221="QB",'League Config'!$G$14,IF(A221="RB",'League Config'!$G$15,IF(A221="WR",'League Config'!$G$16,IF(A221="TE",'League Config'!$G$17,IF(A221="K",'League Config'!$G$18,'League Config'!$G$19))))))</x:f>
        <x:v>0</x:v>
      </x:c>
      <x:c r="M221" t="n">
        <x:f>IF(A221="K",'League Config'!$B$15,IF(A221="DST",'League Config'!$B$16,IF(A221="QB",'League Config'!$B$17,0)))</x:f>
        <x:v>20</x:v>
      </x:c>
      <x:c r="N221" s="48" t="n">
        <x:f>MIN(100,MAX(0,0.55*G221+0.30*K221+0.15*L221-M221))</x:f>
        <x:v>16.025000000000006</x:v>
      </x:c>
      <x:c r="O221" t="n">
        <x:f>RANK.EQ(N221,$N$5:$N$227,0)</x:f>
        <x:v>217</x:v>
      </x:c>
      <x:c r="P221" s="110" t="n">
        <x:v>260</x:v>
      </x:c>
      <x:c r="Q221" s="48" t="n">
        <x:f>P221-O221</x:f>
        <x:v>43</x:v>
      </x:c>
      <x:c r="R221" s="48" t="n">
        <x:f>MAX(40,G221-IF(U221="A",6,IF(U221="B",9,12)))</x:f>
        <x:v>56.5</x:v>
      </x:c>
      <x:c r="S221" s="48" t="n">
        <x:f>G221</x:f>
        <x:v>65.5</x:v>
      </x:c>
      <x:c r="T221" s="48" t="n">
        <x:f>MIN(100,G221+IF(U221="A",6,IF(U221="B",9,12)))</x:f>
        <x:v>74.5</x:v>
      </x:c>
      <x:c r="U221" t="str">
        <x:v>B</x:v>
      </x:c>
      <x:c r="V221" t="str">
        <x:v>DST MODEL</x:v>
      </x:c>
      <x:c r="W221" s="109" t="str">
        <x:v>Available</x:v>
      </x:c>
      <x:c r="X221" t="n">
        <x:f>IF(W221&lt;&gt;"Available","",1+COUNTIFS($W$5:$W$227,"Available",$N$5:$N$227,"&gt;"&amp;N221))</x:f>
        <x:v>217</x:v>
      </x:c>
      <x:c r="Y221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1" t="str">
        <x:v>https://www.si.com/fantasy/2026-football-defense-rankings-seasonal-leagues</x:v>
      </x:c>
    </x:row>
    <x:row r="222">
      <x:c r="A222" t="str">
        <x:v>DST</x:v>
      </x:c>
      <x:c r="B222" t="n">
        <x:v>27</x:v>
      </x:c>
      <x:c r="C222" t="str">
        <x:v>Miami Dolphins</x:v>
      </x:c>
      <x:c r="D222" s="48" t="n">
        <x:v>64.4</x:v>
      </x:c>
      <x:c r="E222" s="48" t="n">
        <x:f>SUMIFS('Manual Adjustments'!$G$5:$G$227,'Manual Adjustments'!$A$5:$A$227,A222,'Manual Adjustments'!$B$5:$B$227,C222)</x:f>
        <x:v>0</x:v>
      </x:c>
      <x:c r="F222" s="48" t="n">
        <x:f>IFERROR(SUMIFS('Rookie College Inputs'!$I$5:$I$13,'Rookie College Inputs'!$A$5:$A$13,C222),0)</x:f>
        <x:v>0</x:v>
      </x:c>
      <x:c r="G222" s="48" t="n">
        <x:f>MAX(40,MIN(100,D222+E222+F222))</x:f>
        <x:v>64.4</x:v>
      </x:c>
      <x:c r="H222" t="n">
        <x:f>IF(A222="QB",'League Config'!$H$5,IF(A222="RB",'League Config'!$H$6,IF(A222="WR",'League Config'!$H$7,IF(A222="TE",'League Config'!$H$8,IF(A222="K",'League Config'!$H$9,'League Config'!$H$10)))))</x:f>
        <x:v>10</x:v>
      </x:c>
      <x:c r="I222" s="48" t="n">
        <x:f>IF(A222="QB",'League Config'!$F$14,IF(A222="RB",'League Config'!$F$15,IF(A222="WR",'League Config'!$F$16,IF(A222="TE",'League Config'!$F$17,IF(A222="K",'League Config'!$F$18,'League Config'!$F$19)))))</x:f>
        <x:v>83.1</x:v>
      </x:c>
      <x:c r="J222" s="48" t="n">
        <x:f>G222-I222</x:f>
        <x:v>-18.69999999999999</x:v>
      </x:c>
      <x:c r="K222" s="48" t="n">
        <x:f>MAX(0,MIN(100,50+J222*6))</x:f>
        <x:v>0</x:v>
      </x:c>
      <x:c r="L222" s="48" t="n">
        <x:f>MIN(100,MAX(0,MIN(100,(1-(B222-1)/(H222*1.5))*100))*IF(A222="QB",'League Config'!$G$14,IF(A222="RB",'League Config'!$G$15,IF(A222="WR",'League Config'!$G$16,IF(A222="TE",'League Config'!$G$17,IF(A222="K",'League Config'!$G$18,'League Config'!$G$19))))))</x:f>
        <x:v>0</x:v>
      </x:c>
      <x:c r="M222" t="n">
        <x:f>IF(A222="K",'League Config'!$B$15,IF(A222="DST",'League Config'!$B$16,IF(A222="QB",'League Config'!$B$17,0)))</x:f>
        <x:v>20</x:v>
      </x:c>
      <x:c r="N222" s="48" t="n">
        <x:f>MIN(100,MAX(0,0.55*G222+0.30*K222+0.15*L222-M222))</x:f>
        <x:v>15.420000000000009</x:v>
      </x:c>
      <x:c r="O222" t="n">
        <x:f>RANK.EQ(N222,$N$5:$N$227,0)</x:f>
        <x:v>218</x:v>
      </x:c>
      <x:c r="P222" s="110" t="n">
        <x:v>264</x:v>
      </x:c>
      <x:c r="Q222" s="48" t="n">
        <x:f>P222-O222</x:f>
        <x:v>46</x:v>
      </x:c>
      <x:c r="R222" s="48" t="n">
        <x:f>MAX(40,G222-IF(U222="A",6,IF(U222="B",9,12)))</x:f>
        <x:v>55.400000000000006</x:v>
      </x:c>
      <x:c r="S222" s="48" t="n">
        <x:f>G222</x:f>
        <x:v>64.4</x:v>
      </x:c>
      <x:c r="T222" s="48" t="n">
        <x:f>MIN(100,G222+IF(U222="A",6,IF(U222="B",9,12)))</x:f>
        <x:v>73.4</x:v>
      </x:c>
      <x:c r="U222" t="str">
        <x:v>B</x:v>
      </x:c>
      <x:c r="V222" t="str">
        <x:v>DST MODEL</x:v>
      </x:c>
      <x:c r="W222" s="109" t="str">
        <x:v>Available</x:v>
      </x:c>
      <x:c r="X222" t="n">
        <x:f>IF(W222&lt;&gt;"Available","",1+COUNTIFS($W$5:$W$227,"Available",$N$5:$N$227,"&gt;"&amp;N222))</x:f>
        <x:v>218</x:v>
      </x:c>
      <x:c r="Y222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2" t="str">
        <x:v>https://www.si.com/fantasy/2026-football-defense-rankings-seasonal-leagues</x:v>
      </x:c>
    </x:row>
    <x:row r="223">
      <x:c r="A223" t="str">
        <x:v>DST</x:v>
      </x:c>
      <x:c r="B223" t="n">
        <x:v>28</x:v>
      </x:c>
      <x:c r="C223" t="str">
        <x:v>Washington Commanders</x:v>
      </x:c>
      <x:c r="D223" s="48" t="n">
        <x:v>63.3</x:v>
      </x:c>
      <x:c r="E223" s="48" t="n">
        <x:f>SUMIFS('Manual Adjustments'!$G$5:$G$227,'Manual Adjustments'!$A$5:$A$227,A223,'Manual Adjustments'!$B$5:$B$227,C223)</x:f>
        <x:v>0</x:v>
      </x:c>
      <x:c r="F223" s="48" t="n">
        <x:f>IFERROR(SUMIFS('Rookie College Inputs'!$I$5:$I$13,'Rookie College Inputs'!$A$5:$A$13,C223),0)</x:f>
        <x:v>0</x:v>
      </x:c>
      <x:c r="G223" s="48" t="n">
        <x:f>MAX(40,MIN(100,D223+E223+F223))</x:f>
        <x:v>63.3</x:v>
      </x:c>
      <x:c r="H223" t="n">
        <x:f>IF(A223="QB",'League Config'!$H$5,IF(A223="RB",'League Config'!$H$6,IF(A223="WR",'League Config'!$H$7,IF(A223="TE",'League Config'!$H$8,IF(A223="K",'League Config'!$H$9,'League Config'!$H$10)))))</x:f>
        <x:v>10</x:v>
      </x:c>
      <x:c r="I223" s="48" t="n">
        <x:f>IF(A223="QB",'League Config'!$F$14,IF(A223="RB",'League Config'!$F$15,IF(A223="WR",'League Config'!$F$16,IF(A223="TE",'League Config'!$F$17,IF(A223="K",'League Config'!$F$18,'League Config'!$F$19)))))</x:f>
        <x:v>83.1</x:v>
      </x:c>
      <x:c r="J223" s="48" t="n">
        <x:f>G223-I223</x:f>
        <x:v>-19.799999999999997</x:v>
      </x:c>
      <x:c r="K223" s="48" t="n">
        <x:f>MAX(0,MIN(100,50+J223*6))</x:f>
        <x:v>0</x:v>
      </x:c>
      <x:c r="L223" s="48" t="n">
        <x:f>MIN(100,MAX(0,MIN(100,(1-(B223-1)/(H223*1.5))*100))*IF(A223="QB",'League Config'!$G$14,IF(A223="RB",'League Config'!$G$15,IF(A223="WR",'League Config'!$G$16,IF(A223="TE",'League Config'!$G$17,IF(A223="K",'League Config'!$G$18,'League Config'!$G$19))))))</x:f>
        <x:v>0</x:v>
      </x:c>
      <x:c r="M223" t="n">
        <x:f>IF(A223="K",'League Config'!$B$15,IF(A223="DST",'League Config'!$B$16,IF(A223="QB",'League Config'!$B$17,0)))</x:f>
        <x:v>20</x:v>
      </x:c>
      <x:c r="N223" s="48" t="n">
        <x:f>MIN(100,MAX(0,0.55*G223+0.30*K223+0.15*L223-M223))</x:f>
        <x:v>14.814999999999998</x:v>
      </x:c>
      <x:c r="O223" t="n">
        <x:f>RANK.EQ(N223,$N$5:$N$227,0)</x:f>
        <x:v>219</x:v>
      </x:c>
      <x:c r="P223" s="110" t="n">
        <x:v>268</x:v>
      </x:c>
      <x:c r="Q223" s="48" t="n">
        <x:f>P223-O223</x:f>
        <x:v>49</x:v>
      </x:c>
      <x:c r="R223" s="48" t="n">
        <x:f>MAX(40,G223-IF(U223="A",6,IF(U223="B",9,12)))</x:f>
        <x:v>54.3</x:v>
      </x:c>
      <x:c r="S223" s="48" t="n">
        <x:f>G223</x:f>
        <x:v>63.3</x:v>
      </x:c>
      <x:c r="T223" s="48" t="n">
        <x:f>MIN(100,G223+IF(U223="A",6,IF(U223="B",9,12)))</x:f>
        <x:v>72.3</x:v>
      </x:c>
      <x:c r="U223" t="str">
        <x:v>B</x:v>
      </x:c>
      <x:c r="V223" t="str">
        <x:v>DST MODEL</x:v>
      </x:c>
      <x:c r="W223" s="109" t="str">
        <x:v>Available</x:v>
      </x:c>
      <x:c r="X223" t="n">
        <x:f>IF(W223&lt;&gt;"Available","",1+COUNTIFS($W$5:$W$227,"Available",$N$5:$N$227,"&gt;"&amp;N223))</x:f>
        <x:v>219</x:v>
      </x:c>
      <x:c r="Y223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3" t="str">
        <x:v>https://www.si.com/fantasy/2026-football-defense-rankings-seasonal-leagues</x:v>
      </x:c>
    </x:row>
    <x:row r="224">
      <x:c r="A224" t="str">
        <x:v>DST</x:v>
      </x:c>
      <x:c r="B224" t="n">
        <x:v>29</x:v>
      </x:c>
      <x:c r="C224" t="str">
        <x:v>New York Jets</x:v>
      </x:c>
      <x:c r="D224" s="48" t="n">
        <x:v>62.199999999999996</x:v>
      </x:c>
      <x:c r="E224" s="48" t="n">
        <x:f>SUMIFS('Manual Adjustments'!$G$5:$G$227,'Manual Adjustments'!$A$5:$A$227,A224,'Manual Adjustments'!$B$5:$B$227,C224)</x:f>
        <x:v>0</x:v>
      </x:c>
      <x:c r="F224" s="48" t="n">
        <x:f>IFERROR(SUMIFS('Rookie College Inputs'!$I$5:$I$13,'Rookie College Inputs'!$A$5:$A$13,C224),0)</x:f>
        <x:v>0</x:v>
      </x:c>
      <x:c r="G224" s="48" t="n">
        <x:f>MAX(40,MIN(100,D224+E224+F224))</x:f>
        <x:v>62.199999999999996</x:v>
      </x:c>
      <x:c r="H224" t="n">
        <x:f>IF(A224="QB",'League Config'!$H$5,IF(A224="RB",'League Config'!$H$6,IF(A224="WR",'League Config'!$H$7,IF(A224="TE",'League Config'!$H$8,IF(A224="K",'League Config'!$H$9,'League Config'!$H$10)))))</x:f>
        <x:v>10</x:v>
      </x:c>
      <x:c r="I224" s="48" t="n">
        <x:f>IF(A224="QB",'League Config'!$F$14,IF(A224="RB",'League Config'!$F$15,IF(A224="WR",'League Config'!$F$16,IF(A224="TE",'League Config'!$F$17,IF(A224="K",'League Config'!$F$18,'League Config'!$F$19)))))</x:f>
        <x:v>83.1</x:v>
      </x:c>
      <x:c r="J224" s="48" t="n">
        <x:f>G224-I224</x:f>
        <x:v>-20.9</x:v>
      </x:c>
      <x:c r="K224" s="48" t="n">
        <x:f>MAX(0,MIN(100,50+J224*6))</x:f>
        <x:v>0</x:v>
      </x:c>
      <x:c r="L224" s="48" t="n">
        <x:f>MIN(100,MAX(0,MIN(100,(1-(B224-1)/(H224*1.5))*100))*IF(A224="QB",'League Config'!$G$14,IF(A224="RB",'League Config'!$G$15,IF(A224="WR",'League Config'!$G$16,IF(A224="TE",'League Config'!$G$17,IF(A224="K",'League Config'!$G$18,'League Config'!$G$19))))))</x:f>
        <x:v>0</x:v>
      </x:c>
      <x:c r="M224" t="n">
        <x:f>IF(A224="K",'League Config'!$B$15,IF(A224="DST",'League Config'!$B$16,IF(A224="QB",'League Config'!$B$17,0)))</x:f>
        <x:v>20</x:v>
      </x:c>
      <x:c r="N224" s="48" t="n">
        <x:f>MIN(100,MAX(0,0.55*G224+0.30*K224+0.15*L224-M224))</x:f>
        <x:v>14.21</x:v>
      </x:c>
      <x:c r="O224" t="n">
        <x:f>RANK.EQ(N224,$N$5:$N$227,0)</x:f>
        <x:v>220</x:v>
      </x:c>
      <x:c r="P224" s="110" t="n">
        <x:v>272</x:v>
      </x:c>
      <x:c r="Q224" s="48" t="n">
        <x:f>P224-O224</x:f>
        <x:v>52</x:v>
      </x:c>
      <x:c r="R224" s="48" t="n">
        <x:f>MAX(40,G224-IF(U224="A",6,IF(U224="B",9,12)))</x:f>
        <x:v>53.199999999999996</x:v>
      </x:c>
      <x:c r="S224" s="48" t="n">
        <x:f>G224</x:f>
        <x:v>62.199999999999996</x:v>
      </x:c>
      <x:c r="T224" s="48" t="n">
        <x:f>MIN(100,G224+IF(U224="A",6,IF(U224="B",9,12)))</x:f>
        <x:v>71.19999999999999</x:v>
      </x:c>
      <x:c r="U224" t="str">
        <x:v>B</x:v>
      </x:c>
      <x:c r="V224" t="str">
        <x:v>DST MODEL</x:v>
      </x:c>
      <x:c r="W224" s="109" t="str">
        <x:v>Available</x:v>
      </x:c>
      <x:c r="X224" t="n">
        <x:f>IF(W224&lt;&gt;"Available","",1+COUNTIFS($W$5:$W$227,"Available",$N$5:$N$227,"&gt;"&amp;N224))</x:f>
        <x:v>220</x:v>
      </x:c>
      <x:c r="Y224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4" t="str">
        <x:v>https://www.si.com/fantasy/2026-football-defense-rankings-seasonal-leagues</x:v>
      </x:c>
    </x:row>
    <x:row r="225">
      <x:c r="A225" t="str">
        <x:v>DST</x:v>
      </x:c>
      <x:c r="B225" t="n">
        <x:v>30</x:v>
      </x:c>
      <x:c r="C225" t="str">
        <x:v>Arizona Cardinals</x:v>
      </x:c>
      <x:c r="D225" s="48" t="n">
        <x:v>61.099999999999994</x:v>
      </x:c>
      <x:c r="E225" s="48" t="n">
        <x:f>SUMIFS('Manual Adjustments'!$G$5:$G$227,'Manual Adjustments'!$A$5:$A$227,A225,'Manual Adjustments'!$B$5:$B$227,C225)</x:f>
        <x:v>0</x:v>
      </x:c>
      <x:c r="F225" s="48" t="n">
        <x:f>IFERROR(SUMIFS('Rookie College Inputs'!$I$5:$I$13,'Rookie College Inputs'!$A$5:$A$13,C225),0)</x:f>
        <x:v>0</x:v>
      </x:c>
      <x:c r="G225" s="48" t="n">
        <x:f>MAX(40,MIN(100,D225+E225+F225))</x:f>
        <x:v>61.099999999999994</x:v>
      </x:c>
      <x:c r="H225" t="n">
        <x:f>IF(A225="QB",'League Config'!$H$5,IF(A225="RB",'League Config'!$H$6,IF(A225="WR",'League Config'!$H$7,IF(A225="TE",'League Config'!$H$8,IF(A225="K",'League Config'!$H$9,'League Config'!$H$10)))))</x:f>
        <x:v>10</x:v>
      </x:c>
      <x:c r="I225" s="48" t="n">
        <x:f>IF(A225="QB",'League Config'!$F$14,IF(A225="RB",'League Config'!$F$15,IF(A225="WR",'League Config'!$F$16,IF(A225="TE",'League Config'!$F$17,IF(A225="K",'League Config'!$F$18,'League Config'!$F$19)))))</x:f>
        <x:v>83.1</x:v>
      </x:c>
      <x:c r="J225" s="48" t="n">
        <x:f>G225-I225</x:f>
        <x:v>-22</x:v>
      </x:c>
      <x:c r="K225" s="48" t="n">
        <x:f>MAX(0,MIN(100,50+J225*6))</x:f>
        <x:v>0</x:v>
      </x:c>
      <x:c r="L225" s="48" t="n">
        <x:f>MIN(100,MAX(0,MIN(100,(1-(B225-1)/(H225*1.5))*100))*IF(A225="QB",'League Config'!$G$14,IF(A225="RB",'League Config'!$G$15,IF(A225="WR",'League Config'!$G$16,IF(A225="TE",'League Config'!$G$17,IF(A225="K",'League Config'!$G$18,'League Config'!$G$19))))))</x:f>
        <x:v>0</x:v>
      </x:c>
      <x:c r="M225" t="n">
        <x:f>IF(A225="K",'League Config'!$B$15,IF(A225="DST",'League Config'!$B$16,IF(A225="QB",'League Config'!$B$17,0)))</x:f>
        <x:v>20</x:v>
      </x:c>
      <x:c r="N225" s="48" t="n">
        <x:f>MIN(100,MAX(0,0.55*G225+0.30*K225+0.15*L225-M225))</x:f>
        <x:v>13.604999999999997</x:v>
      </x:c>
      <x:c r="O225" t="n">
        <x:f>RANK.EQ(N225,$N$5:$N$227,0)</x:f>
        <x:v>221</x:v>
      </x:c>
      <x:c r="P225" s="110" t="n">
        <x:v>276</x:v>
      </x:c>
      <x:c r="Q225" s="48" t="n">
        <x:f>P225-O225</x:f>
        <x:v>55</x:v>
      </x:c>
      <x:c r="R225" s="48" t="n">
        <x:f>MAX(40,G225-IF(U225="A",6,IF(U225="B",9,12)))</x:f>
        <x:v>52.099999999999994</x:v>
      </x:c>
      <x:c r="S225" s="48" t="n">
        <x:f>G225</x:f>
        <x:v>61.099999999999994</x:v>
      </x:c>
      <x:c r="T225" s="48" t="n">
        <x:f>MIN(100,G225+IF(U225="A",6,IF(U225="B",9,12)))</x:f>
        <x:v>70.1</x:v>
      </x:c>
      <x:c r="U225" t="str">
        <x:v>B</x:v>
      </x:c>
      <x:c r="V225" t="str">
        <x:v>DST MODEL</x:v>
      </x:c>
      <x:c r="W225" s="109" t="str">
        <x:v>Available</x:v>
      </x:c>
      <x:c r="X225" t="n">
        <x:f>IF(W225&lt;&gt;"Available","",1+COUNTIFS($W$5:$W$227,"Available",$N$5:$N$227,"&gt;"&amp;N225))</x:f>
        <x:v>221</x:v>
      </x:c>
      <x:c r="Y225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5" t="str">
        <x:v>https://www.si.com/fantasy/2026-football-defense-rankings-seasonal-leagues</x:v>
      </x:c>
    </x:row>
    <x:row r="226">
      <x:c r="A226" t="str">
        <x:v>DST</x:v>
      </x:c>
      <x:c r="B226" t="n">
        <x:v>31</x:v>
      </x:c>
      <x:c r="C226" t="str">
        <x:v>Cincinnati Bengals</x:v>
      </x:c>
      <x:c r="D226" s="48" t="n">
        <x:v>60</x:v>
      </x:c>
      <x:c r="E226" s="48" t="n">
        <x:f>SUMIFS('Manual Adjustments'!$G$5:$G$227,'Manual Adjustments'!$A$5:$A$227,A226,'Manual Adjustments'!$B$5:$B$227,C226)</x:f>
        <x:v>0</x:v>
      </x:c>
      <x:c r="F226" s="48" t="n">
        <x:f>IFERROR(SUMIFS('Rookie College Inputs'!$I$5:$I$13,'Rookie College Inputs'!$A$5:$A$13,C226),0)</x:f>
        <x:v>0</x:v>
      </x:c>
      <x:c r="G226" s="48" t="n">
        <x:f>MAX(40,MIN(100,D226+E226+F226))</x:f>
        <x:v>60</x:v>
      </x:c>
      <x:c r="H226" t="n">
        <x:f>IF(A226="QB",'League Config'!$H$5,IF(A226="RB",'League Config'!$H$6,IF(A226="WR",'League Config'!$H$7,IF(A226="TE",'League Config'!$H$8,IF(A226="K",'League Config'!$H$9,'League Config'!$H$10)))))</x:f>
        <x:v>10</x:v>
      </x:c>
      <x:c r="I226" s="48" t="n">
        <x:f>IF(A226="QB",'League Config'!$F$14,IF(A226="RB",'League Config'!$F$15,IF(A226="WR",'League Config'!$F$16,IF(A226="TE",'League Config'!$F$17,IF(A226="K",'League Config'!$F$18,'League Config'!$F$19)))))</x:f>
        <x:v>83.1</x:v>
      </x:c>
      <x:c r="J226" s="48" t="n">
        <x:f>G226-I226</x:f>
        <x:v>-23.099999999999994</x:v>
      </x:c>
      <x:c r="K226" s="48" t="n">
        <x:f>MAX(0,MIN(100,50+J226*6))</x:f>
        <x:v>0</x:v>
      </x:c>
      <x:c r="L226" s="48" t="n">
        <x:f>MIN(100,MAX(0,MIN(100,(1-(B226-1)/(H226*1.5))*100))*IF(A226="QB",'League Config'!$G$14,IF(A226="RB",'League Config'!$G$15,IF(A226="WR",'League Config'!$G$16,IF(A226="TE",'League Config'!$G$17,IF(A226="K",'League Config'!$G$18,'League Config'!$G$19))))))</x:f>
        <x:v>0</x:v>
      </x:c>
      <x:c r="M226" t="n">
        <x:f>IF(A226="K",'League Config'!$B$15,IF(A226="DST",'League Config'!$B$16,IF(A226="QB",'League Config'!$B$17,0)))</x:f>
        <x:v>20</x:v>
      </x:c>
      <x:c r="N226" s="48" t="n">
        <x:f>MIN(100,MAX(0,0.55*G226+0.30*K226+0.15*L226-M226))</x:f>
        <x:v>13</x:v>
      </x:c>
      <x:c r="O226" t="n">
        <x:f>RANK.EQ(N226,$N$5:$N$227,0)</x:f>
        <x:v>222</x:v>
      </x:c>
      <x:c r="P226" s="110" t="n">
        <x:v>280</x:v>
      </x:c>
      <x:c r="Q226" s="48" t="n">
        <x:f>P226-O226</x:f>
        <x:v>58</x:v>
      </x:c>
      <x:c r="R226" s="48" t="n">
        <x:f>MAX(40,G226-IF(U226="A",6,IF(U226="B",9,12)))</x:f>
        <x:v>51</x:v>
      </x:c>
      <x:c r="S226" s="48" t="n">
        <x:f>G226</x:f>
        <x:v>60</x:v>
      </x:c>
      <x:c r="T226" s="48" t="n">
        <x:f>MIN(100,G226+IF(U226="A",6,IF(U226="B",9,12)))</x:f>
        <x:v>69</x:v>
      </x:c>
      <x:c r="U226" t="str">
        <x:v>B</x:v>
      </x:c>
      <x:c r="V226" t="str">
        <x:v>DST MODEL</x:v>
      </x:c>
      <x:c r="W226" s="109" t="str">
        <x:v>Available</x:v>
      </x:c>
      <x:c r="X226" t="n">
        <x:f>IF(W226&lt;&gt;"Available","",1+COUNTIFS($W$5:$W$227,"Available",$N$5:$N$227,"&gt;"&amp;N226))</x:f>
        <x:v>222</x:v>
      </x:c>
      <x:c r="Y226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6" t="str">
        <x:v>https://www.si.com/fantasy/2026-football-defense-rankings-seasonal-leagues</x:v>
      </x:c>
    </x:row>
    <x:row r="227">
      <x:c r="A227" t="str">
        <x:v>DST</x:v>
      </x:c>
      <x:c r="B227" t="n">
        <x:v>32</x:v>
      </x:c>
      <x:c r="C227" t="str">
        <x:v>Las Vegas Raiders</x:v>
      </x:c>
      <x:c r="D227" s="48" t="n">
        <x:v>58.9</x:v>
      </x:c>
      <x:c r="E227" s="48" t="n">
        <x:f>SUMIFS('Manual Adjustments'!$G$5:$G$227,'Manual Adjustments'!$A$5:$A$227,A227,'Manual Adjustments'!$B$5:$B$227,C227)</x:f>
        <x:v>0</x:v>
      </x:c>
      <x:c r="F227" s="48" t="n">
        <x:f>IFERROR(SUMIFS('Rookie College Inputs'!$I$5:$I$13,'Rookie College Inputs'!$A$5:$A$13,C227),0)</x:f>
        <x:v>0</x:v>
      </x:c>
      <x:c r="G227" s="48" t="n">
        <x:f>MAX(40,MIN(100,D227+E227+F227))</x:f>
        <x:v>58.9</x:v>
      </x:c>
      <x:c r="H227" t="n">
        <x:f>IF(A227="QB",'League Config'!$H$5,IF(A227="RB",'League Config'!$H$6,IF(A227="WR",'League Config'!$H$7,IF(A227="TE",'League Config'!$H$8,IF(A227="K",'League Config'!$H$9,'League Config'!$H$10)))))</x:f>
        <x:v>10</x:v>
      </x:c>
      <x:c r="I227" s="48" t="n">
        <x:f>IF(A227="QB",'League Config'!$F$14,IF(A227="RB",'League Config'!$F$15,IF(A227="WR",'League Config'!$F$16,IF(A227="TE",'League Config'!$F$17,IF(A227="K",'League Config'!$F$18,'League Config'!$F$19)))))</x:f>
        <x:v>83.1</x:v>
      </x:c>
      <x:c r="J227" s="48" t="n">
        <x:f>G227-I227</x:f>
        <x:v>-24.199999999999996</x:v>
      </x:c>
      <x:c r="K227" s="48" t="n">
        <x:f>MAX(0,MIN(100,50+J227*6))</x:f>
        <x:v>0</x:v>
      </x:c>
      <x:c r="L227" s="48" t="n">
        <x:f>MIN(100,MAX(0,MIN(100,(1-(B227-1)/(H227*1.5))*100))*IF(A227="QB",'League Config'!$G$14,IF(A227="RB",'League Config'!$G$15,IF(A227="WR",'League Config'!$G$16,IF(A227="TE",'League Config'!$G$17,IF(A227="K",'League Config'!$G$18,'League Config'!$G$19))))))</x:f>
        <x:v>0</x:v>
      </x:c>
      <x:c r="M227" t="n">
        <x:f>IF(A227="K",'League Config'!$B$15,IF(A227="DST",'League Config'!$B$16,IF(A227="QB",'League Config'!$B$17,0)))</x:f>
        <x:v>20</x:v>
      </x:c>
      <x:c r="N227" s="48" t="n">
        <x:f>MIN(100,MAX(0,0.55*G227+0.30*K227+0.15*L227-M227))</x:f>
        <x:v>12.395000000000003</x:v>
      </x:c>
      <x:c r="O227" t="n">
        <x:f>RANK.EQ(N227,$N$5:$N$227,0)</x:f>
        <x:v>223</x:v>
      </x:c>
      <x:c r="P227" s="110" t="n">
        <x:v>284</x:v>
      </x:c>
      <x:c r="Q227" s="48" t="n">
        <x:f>P227-O227</x:f>
        <x:v>61</x:v>
      </x:c>
      <x:c r="R227" s="48" t="n">
        <x:f>MAX(40,G227-IF(U227="A",6,IF(U227="B",9,12)))</x:f>
        <x:v>49.9</x:v>
      </x:c>
      <x:c r="S227" s="48" t="n">
        <x:f>G227</x:f>
        <x:v>58.9</x:v>
      </x:c>
      <x:c r="T227" s="48" t="n">
        <x:f>MIN(100,G227+IF(U227="A",6,IF(U227="B",9,12)))</x:f>
        <x:v>67.9</x:v>
      </x:c>
      <x:c r="U227" t="str">
        <x:v>B</x:v>
      </x:c>
      <x:c r="V227" t="str">
        <x:v>DST MODEL</x:v>
      </x:c>
      <x:c r="W227" s="109" t="str">
        <x:v>Available</x:v>
      </x:c>
      <x:c r="X227" t="n">
        <x:f>IF(W227&lt;&gt;"Available","",1+COUNTIFS($W$5:$W$227,"Available",$N$5:$N$227,"&gt;"&amp;N227))</x:f>
        <x:v>223</x:v>
      </x:c>
      <x:c r="Y227" s="98" t="str">
        <x:v>EXPECTATION: Streaming/late-round defense; matchup matters more than preseason rank.  WHY: The unit grades well relative to the current DST pool, but the model intentionally keeps defense behind core skill positions.  RISK: DST scoring is highly opponent- and turnover-dependent, making season-long rank fragile.</x:v>
      </x:c>
      <x:c r="Z227" t="str">
        <x:v>https://www.si.com/fantasy/2026-football-defense-rankings-seasonal-leagues</x:v>
      </x:c>
    </x:row>
  </x:sheetData>
  <x:mergeCells>
    <x:mergeCell ref="A1:Z1"/>
    <x:mergeCell ref="A2:Z2"/>
  </x:mergeCells>
  <x:conditionalFormatting sqref="N5:N22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{A8C693D3-445D-E88E-C70C-A0C5C1DDE3FD}</x14:id>
        </x:ext>
      </x:extLst>
    </x:cfRule>
  </x:conditionalFormatting>
  <x:conditionalFormatting sqref="Q5:Q227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5:G22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W5:W227">
      <x:formula1>"Available,Taken,My Team"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8C693D3-445D-E88E-C70C-A0C5C1DDE3FD}">
            <x14:dataBar gradient="1">
              <x14:cfvo type="min"/>
              <x14:cfvo type="max"/>
              <x14:fillColor rgb="FFA02B93"/>
            </x14:dataBar>
          </x14:cfRule>
          <xm:sqref>N5:N227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68.25" hidden="0" customWidth="1"/>
    <x:col min="2" max="2" width="3.380000114440918" hidden="0" customWidth="1"/>
    <x:col min="3" max="3" width="7.380000114440918" hidden="0" customWidth="1"/>
    <x:col min="4" max="4" width="25" hidden="0" customWidth="1"/>
    <x:col min="5" max="5" width="9" hidden="0" customWidth="1"/>
    <x:col min="6" max="6" width="12.630000114440918" hidden="0" customWidth="1"/>
    <x:col min="7" max="7" width="4.880000114440918" hidden="0" customWidth="1"/>
    <x:col min="8" max="8" width="6.380000114440918" hidden="0" customWidth="1"/>
    <x:col min="9" max="9" width="9.75" hidden="0" customWidth="1"/>
    <x:col min="10" max="10" width="8.380000114440918" hidden="0" customWidth="1"/>
    <x:col min="11" max="11" width="4.5" hidden="0" customWidth="1"/>
    <x:col min="12" max="12" width="5.630000114440918" hidden="0" customWidth="1"/>
    <x:col min="13" max="13" width="9.130000114440918" hidden="0" customWidth="1"/>
    <x:col min="14" max="14" width="24" hidden="0" customWidth="1"/>
  </x:cols>
  <x:sheetData>
    <x:row r="1">
      <x:c r="A1" s="100" t="str">
        <x:v>2026 Overall Top 200 — Default 10-Team PPR</x:v>
      </x:c>
    </x:row>
    <x:row r="2">
      <x:c r="A2" s="103" t="str">
        <x:v>Default snapshot for a 10-team PPR league with QB, 2RB, 2WR, TE, 1 FLEX, K and DEF. For edits, use Draft Engine and sort by Live Overall Rank / Available Rank.</x:v>
      </x:c>
    </x:row>
    <x:row r="4">
      <x:c r="A4" s="108" t="str">
        <x:v>Overall</x:v>
      </x:c>
      <x:c r="B4" s="108" t="str">
        <x:v>Pos</x:v>
      </x:c>
      <x:c r="C4" s="108" t="str">
        <x:v>Pos Rank</x:v>
      </x:c>
      <x:c r="D4" s="108" t="str">
        <x:v>Player</x:v>
      </x:c>
      <x:c r="E4" s="108" t="str">
        <x:v>Draft Score</x:v>
      </x:c>
      <x:c r="F4" s="108" t="str">
        <x:v>Adjusted Rating</x:v>
      </x:c>
      <x:c r="G4" s="108" t="str">
        <x:v>VORP</x:v>
      </x:c>
      <x:c r="H4" s="108" t="str">
        <x:v>Scarcity</x:v>
      </x:c>
      <x:c r="I4" s="108" t="str">
        <x:v>Market ADP</x:v>
      </x:c>
      <x:c r="J4" s="108" t="str">
        <x:v>Draft Edge</x:v>
      </x:c>
      <x:c r="K4" s="108" t="str">
        <x:v>Floor</x:v>
      </x:c>
      <x:c r="L4" s="108" t="str">
        <x:v>Ceiling</x:v>
      </x:c>
      <x:c r="M4" s="108" t="str">
        <x:v>Confidence</x:v>
      </x:c>
      <x:c r="N4" s="108" t="str">
        <x:v>Model Path</x:v>
      </x:c>
    </x:row>
    <x:row r="5">
      <x:c r="A5" t="n">
        <x:v>1</x:v>
      </x:c>
      <x:c r="B5" t="str">
        <x:v>WR</x:v>
      </x:c>
      <x:c r="C5" t="n">
        <x:v>2</x:v>
      </x:c>
      <x:c r="D5" t="str">
        <x:v>Puka Nacua</x:v>
      </x:c>
      <x:c r="E5" s="48" t="n">
        <x:v>99.16725050000001</x:v>
      </x:c>
      <x:c r="F5" s="48" t="n">
        <x:v>98.48591</x:v>
      </x:c>
      <x:c r="G5" s="48" t="n">
        <x:v>26.595910000000003</x:v>
      </x:c>
      <x:c r="H5" s="48" t="n">
        <x:v>100</x:v>
      </x:c>
      <x:c r="I5" s="48" t="n">
        <x:v>3.8</x:v>
      </x:c>
      <x:c r="J5" s="48" t="n">
        <x:v>2.8</x:v>
      </x:c>
      <x:c r="K5" s="48" t="n">
        <x:v>92.48591</x:v>
      </x:c>
      <x:c r="L5" s="48" t="n">
        <x:v>100</x:v>
      </x:c>
      <x:c r="M5" t="str">
        <x:v>A</x:v>
      </x:c>
      <x:c r="N5" t="str">
        <x:v>HISTORY FALLBACK</x:v>
      </x:c>
    </x:row>
    <x:row r="6">
      <x:c r="A6" t="n">
        <x:v>2</x:v>
      </x:c>
      <x:c r="B6" t="str">
        <x:v>RB</x:v>
      </x:c>
      <x:c r="C6" t="n">
        <x:v>1</x:v>
      </x:c>
      <x:c r="D6" t="str">
        <x:v>Bijan Robinson</x:v>
      </x:c>
      <x:c r="E6" s="48" t="n">
        <x:v>98.55203821124908</x:v>
      </x:c>
      <x:c r="F6" s="48" t="n">
        <x:v>97.36734220227106</x:v>
      </x:c>
      <x:c r="G6" s="48" t="n">
        <x:v>23.79955174856309</x:v>
      </x:c>
      <x:c r="H6" s="48" t="n">
        <x:v>100</x:v>
      </x:c>
      <x:c r="I6" s="48" t="n">
        <x:v>1.8</x:v>
      </x:c>
      <x:c r="J6" s="48" t="n">
        <x:v>-0.19999999999999996</x:v>
      </x:c>
      <x:c r="K6" s="48" t="n">
        <x:v>91.36734220227106</x:v>
      </x:c>
      <x:c r="L6" s="48" t="n">
        <x:v>100</x:v>
      </x:c>
      <x:c r="M6" t="str">
        <x:v>A</x:v>
      </x:c>
      <x:c r="N6" t="str">
        <x:v>RATE-ADJUSTED VETERAN</x:v>
      </x:c>
    </x:row>
    <x:row r="7">
      <x:c r="A7" t="n">
        <x:v>3</x:v>
      </x:c>
      <x:c r="B7" t="str">
        <x:v>WR</x:v>
      </x:c>
      <x:c r="C7" t="n">
        <x:v>1</x:v>
      </x:c>
      <x:c r="D7" t="str">
        <x:v>Ja'Marr Chase</x:v>
      </x:c>
      <x:c r="E7" s="48" t="n">
        <x:v>98.20274437500001</x:v>
      </x:c>
      <x:c r="F7" s="48" t="n">
        <x:v>96.73226249999999</x:v>
      </x:c>
      <x:c r="G7" s="48" t="n">
        <x:v>24.84226249999999</x:v>
      </x:c>
      <x:c r="H7" s="48" t="n">
        <x:v>100</x:v>
      </x:c>
      <x:c r="I7" s="48" t="n">
        <x:v>3.2</x:v>
      </x:c>
      <x:c r="J7" s="48" t="n">
        <x:v>0.20000000000000018</x:v>
      </x:c>
      <x:c r="K7" s="48" t="n">
        <x:v>90.73226249999999</x:v>
      </x:c>
      <x:c r="L7" s="48" t="n">
        <x:v>100</x:v>
      </x:c>
      <x:c r="M7" t="str">
        <x:v>A</x:v>
      </x:c>
      <x:c r="N7" t="str">
        <x:v>HISTORY FALLBACK</x:v>
      </x:c>
    </x:row>
    <x:row r="8">
      <x:c r="A8" t="n">
        <x:v>4</x:v>
      </x:c>
      <x:c r="B8" t="str">
        <x:v>RB</x:v>
      </x:c>
      <x:c r="C8" t="n">
        <x:v>2</x:v>
      </x:c>
      <x:c r="D8" t="str">
        <x:v>Jahmyr Gibbs</x:v>
      </x:c>
      <x:c r="E8" s="48" t="n">
        <x:v>97.98274076260802</x:v>
      </x:c>
      <x:c r="F8" s="48" t="n">
        <x:v>96.33225593201456</x:v>
      </x:c>
      <x:c r="G8" s="48" t="n">
        <x:v>22.76446547830659</x:v>
      </x:c>
      <x:c r="H8" s="48" t="n">
        <x:v>100</x:v>
      </x:c>
      <x:c r="I8" s="48" t="n">
        <x:v>1.2</x:v>
      </x:c>
      <x:c r="J8" s="48" t="n">
        <x:v>-2.8</x:v>
      </x:c>
      <x:c r="K8" s="48" t="n">
        <x:v>90.33225593201456</x:v>
      </x:c>
      <x:c r="L8" s="48" t="n">
        <x:v>100</x:v>
      </x:c>
      <x:c r="M8" t="str">
        <x:v>A</x:v>
      </x:c>
      <x:c r="N8" t="str">
        <x:v>RATE-ADJUSTED VETERAN</x:v>
      </x:c>
    </x:row>
    <x:row r="9">
      <x:c r="A9" t="n">
        <x:v>5</x:v>
      </x:c>
      <x:c r="B9" t="str">
        <x:v>TE</x:v>
      </x:c>
      <x:c r="C9" t="n">
        <x:v>1</x:v>
      </x:c>
      <x:c r="D9" t="str">
        <x:v>Trey McBride</x:v>
      </x:c>
      <x:c r="E9" s="48" t="n">
        <x:v>97.25539183361244</x:v>
      </x:c>
      <x:c r="F9" s="48" t="n">
        <x:v>97.73707606111353</x:v>
      </x:c>
      <x:c r="G9" s="48" t="n">
        <x:v>17.818965393171325</x:v>
      </x:c>
      <x:c r="H9" s="48" t="n">
        <x:v>90</x:v>
      </x:c>
      <x:c r="I9" s="48" t="n">
        <x:v>17</x:v>
      </x:c>
      <x:c r="J9" s="48" t="n">
        <x:v>12</x:v>
      </x:c>
      <x:c r="K9" s="48" t="n">
        <x:v>91.73707606111353</x:v>
      </x:c>
      <x:c r="L9" s="48" t="n">
        <x:v>100</x:v>
      </x:c>
      <x:c r="M9" t="str">
        <x:v>A</x:v>
      </x:c>
      <x:c r="N9" t="str">
        <x:v>RATE-ADJUSTED VETERAN</x:v>
      </x:c>
    </x:row>
    <x:row r="10">
      <x:c r="A10" t="n">
        <x:v>6</x:v>
      </x:c>
      <x:c r="B10" t="str">
        <x:v>RB</x:v>
      </x:c>
      <x:c r="C10" t="n">
        <x:v>3</x:v>
      </x:c>
      <x:c r="D10" t="str">
        <x:v>Christian McCaffrey</x:v>
      </x:c>
      <x:c r="E10" s="48" t="n">
        <x:v>96.83459951626213</x:v>
      </x:c>
      <x:c r="F10" s="48" t="n">
        <x:v>94.24472639320388</x:v>
      </x:c>
      <x:c r="G10" s="48" t="n">
        <x:v>20.676935939495905</x:v>
      </x:c>
      <x:c r="H10" s="48" t="n">
        <x:v>100</x:v>
      </x:c>
      <x:c r="I10" s="48" t="n">
        <x:v>7</x:v>
      </x:c>
      <x:c r="J10" s="48" t="n">
        <x:v>1</x:v>
      </x:c>
      <x:c r="K10" s="48" t="n">
        <x:v>88.24472639320388</x:v>
      </x:c>
      <x:c r="L10" s="48" t="n">
        <x:v>100</x:v>
      </x:c>
      <x:c r="M10" t="str">
        <x:v>A</x:v>
      </x:c>
      <x:c r="N10" t="str">
        <x:v>RATE-ADJUSTED VETERAN</x:v>
      </x:c>
    </x:row>
    <x:row r="11">
      <x:c r="A11" t="n">
        <x:v>7</x:v>
      </x:c>
      <x:c r="B11" t="str">
        <x:v>WR</x:v>
      </x:c>
      <x:c r="C11" t="n">
        <x:v>3</x:v>
      </x:c>
      <x:c r="D11" t="str">
        <x:v>Jaxon Smith-Njigba</x:v>
      </x:c>
      <x:c r="E11" s="48" t="n">
        <x:v>96.74393949999998</x:v>
      </x:c>
      <x:c r="F11" s="48" t="n">
        <x:v>94.07988999999998</x:v>
      </x:c>
      <x:c r="G11" s="48" t="n">
        <x:v>22.189889999999977</x:v>
      </x:c>
      <x:c r="H11" s="48" t="n">
        <x:v>100</x:v>
      </x:c>
      <x:c r="I11" s="48" t="n">
        <x:v>5.4</x:v>
      </x:c>
      <x:c r="J11" s="48" t="n">
        <x:v>-1.5999999999999996</x:v>
      </x:c>
      <x:c r="K11" s="48" t="n">
        <x:v>88.07988999999998</x:v>
      </x:c>
      <x:c r="L11" s="48" t="n">
        <x:v>100</x:v>
      </x:c>
      <x:c r="M11" t="str">
        <x:v>A</x:v>
      </x:c>
      <x:c r="N11" t="str">
        <x:v>HISTORY FALLBACK</x:v>
      </x:c>
    </x:row>
    <x:row r="12">
      <x:c r="A12" t="n">
        <x:v>8</x:v>
      </x:c>
      <x:c r="B12" t="str">
        <x:v>WR</x:v>
      </x:c>
      <x:c r="C12" t="n">
        <x:v>4</x:v>
      </x:c>
      <x:c r="D12" t="str">
        <x:v>Amon-Ra St. Brown</x:v>
      </x:c>
      <x:c r="E12" s="48" t="n">
        <x:v>96.295129875</x:v>
      </x:c>
      <x:c r="F12" s="48" t="n">
        <x:v>93.26387249999999</x:v>
      </x:c>
      <x:c r="G12" s="48" t="n">
        <x:v>21.37387249999999</x:v>
      </x:c>
      <x:c r="H12" s="48" t="n">
        <x:v>100</x:v>
      </x:c>
      <x:c r="I12" s="48" t="n">
        <x:v>6</x:v>
      </x:c>
      <x:c r="J12" s="48" t="n">
        <x:v>-2</x:v>
      </x:c>
      <x:c r="K12" s="48" t="n">
        <x:v>87.26387249999999</x:v>
      </x:c>
      <x:c r="L12" s="48" t="n">
        <x:v>99.26387249999999</x:v>
      </x:c>
      <x:c r="M12" t="str">
        <x:v>A</x:v>
      </x:c>
      <x:c r="N12" t="str">
        <x:v>HISTORY FALLBACK</x:v>
      </x:c>
    </x:row>
    <x:row r="13">
      <x:c r="A13" t="n">
        <x:v>9</x:v>
      </x:c>
      <x:c r="B13" t="str">
        <x:v>RB</x:v>
      </x:c>
      <x:c r="C13" t="n">
        <x:v>4</x:v>
      </x:c>
      <x:c r="D13" t="str">
        <x:v>Jonathan Taylor</x:v>
      </x:c>
      <x:c r="E13" s="48" t="n">
        <x:v>95.68085119966088</x:v>
      </x:c>
      <x:c r="F13" s="48" t="n">
        <x:v>92.14700218120157</x:v>
      </x:c>
      <x:c r="G13" s="48" t="n">
        <x:v>18.5792117274936</x:v>
      </x:c>
      <x:c r="H13" s="48" t="n">
        <x:v>100</x:v>
      </x:c>
      <x:c r="I13" s="48" t="n">
        <x:v>11</x:v>
      </x:c>
      <x:c r="J13" s="48" t="n">
        <x:v>2</x:v>
      </x:c>
      <x:c r="K13" s="48" t="n">
        <x:v>86.14700218120157</x:v>
      </x:c>
      <x:c r="L13" s="48" t="n">
        <x:v>98.14700218120157</x:v>
      </x:c>
      <x:c r="M13" t="str">
        <x:v>A</x:v>
      </x:c>
      <x:c r="N13" t="str">
        <x:v>RATE-ADJUSTED VETERAN</x:v>
      </x:c>
    </x:row>
    <x:row r="14">
      <x:c r="A14" t="n">
        <x:v>10</x:v>
      </x:c>
      <x:c r="B14" t="str">
        <x:v>QB</x:v>
      </x:c>
      <x:c r="C14" t="n">
        <x:v>1</x:v>
      </x:c>
      <x:c r="D14" t="str">
        <x:v>Josh Allen</x:v>
      </x:c>
      <x:c r="E14" s="48" t="n">
        <x:v>95.52043350848271</x:v>
      </x:c>
      <x:c r="F14" s="48" t="n">
        <x:v>97.30987910633218</x:v>
      </x:c>
      <x:c r="G14" s="48" t="n">
        <x:v>12.6177770494796</x:v>
      </x:c>
      <x:c r="H14" s="48" t="n">
        <x:v>100</x:v>
      </x:c>
      <x:c r="I14" s="48" t="n">
        <x:v>23</x:v>
      </x:c>
      <x:c r="J14" s="48" t="n">
        <x:v>13</x:v>
      </x:c>
      <x:c r="K14" s="48" t="n">
        <x:v>91.30987910633218</x:v>
      </x:c>
      <x:c r="L14" s="48" t="n">
        <x:v>100</x:v>
      </x:c>
      <x:c r="M14" t="str">
        <x:v>A</x:v>
      </x:c>
      <x:c r="N14" t="str">
        <x:v>RATE-ADJUSTED VETERAN</x:v>
      </x:c>
    </x:row>
    <x:row r="15">
      <x:c r="A15" t="n">
        <x:v>11</x:v>
      </x:c>
      <x:c r="B15" t="str">
        <x:v>TE</x:v>
      </x:c>
      <x:c r="C15" t="n">
        <x:v>2</x:v>
      </x:c>
      <x:c r="D15" t="str">
        <x:v>Brock Bowers</x:v>
      </x:c>
      <x:c r="E15" s="48" t="n">
        <x:v>94.99420028302193</x:v>
      </x:c>
      <x:c r="F15" s="48" t="n">
        <x:v>94.88455995514477</x:v>
      </x:c>
      <x:c r="G15" s="48" t="n">
        <x:v>14.966449287202565</x:v>
      </x:c>
      <x:c r="H15" s="48" t="n">
        <x:v>85.38461538461537</x:v>
      </x:c>
      <x:c r="I15" s="48" t="n">
        <x:v>20</x:v>
      </x:c>
      <x:c r="J15" s="48" t="n">
        <x:v>9</x:v>
      </x:c>
      <x:c r="K15" s="48" t="n">
        <x:v>88.88455995514477</x:v>
      </x:c>
      <x:c r="L15" s="48" t="n">
        <x:v>100</x:v>
      </x:c>
      <x:c r="M15" t="str">
        <x:v>A</x:v>
      </x:c>
      <x:c r="N15" t="str">
        <x:v>RATE-ADJUSTED VETERAN</x:v>
      </x:c>
    </x:row>
    <x:row r="16">
      <x:c r="A16" t="n">
        <x:v>12</x:v>
      </x:c>
      <x:c r="B16" t="str">
        <x:v>RB</x:v>
      </x:c>
      <x:c r="C16" t="n">
        <x:v>5</x:v>
      </x:c>
      <x:c r="D16" t="str">
        <x:v>Jeremiyah Love</x:v>
      </x:c>
      <x:c r="E16" s="48" t="n">
        <x:v>94.976245</x:v>
      </x:c>
      <x:c r="F16" s="48" t="n">
        <x:v>90.86590000000001</x:v>
      </x:c>
      <x:c r="G16" s="48" t="n">
        <x:v>17.29810954629204</x:v>
      </x:c>
      <x:c r="H16" s="48" t="n">
        <x:v>100</x:v>
      </x:c>
      <x:c r="I16" s="48" t="n">
        <x:v>18.8</x:v>
      </x:c>
      <x:c r="J16" s="48" t="n">
        <x:v>6.800000000000001</x:v>
      </x:c>
      <x:c r="K16" s="48" t="n">
        <x:v>81.86590000000001</x:v>
      </x:c>
      <x:c r="L16" s="48" t="n">
        <x:v>99.86590000000001</x:v>
      </x:c>
      <x:c r="M16" t="str">
        <x:v>B</x:v>
      </x:c>
      <x:c r="N16" t="str">
        <x:v>ROOKIE ENGINE</x:v>
      </x:c>
    </x:row>
    <x:row r="17">
      <x:c r="A17" t="n">
        <x:v>13</x:v>
      </x:c>
      <x:c r="B17" t="str">
        <x:v>WR</x:v>
      </x:c>
      <x:c r="C17" t="n">
        <x:v>10</x:v>
      </x:c>
      <x:c r="D17" t="str">
        <x:v>Nico Collins</x:v>
      </x:c>
      <x:c r="E17" s="48" t="n">
        <x:v>93.820875</x:v>
      </x:c>
      <x:c r="F17" s="48" t="n">
        <x:v>91.4925</x:v>
      </x:c>
      <x:c r="G17" s="48" t="n">
        <x:v>19.602500000000006</x:v>
      </x:c>
      <x:c r="H17" s="48" t="n">
        <x:v>90</x:v>
      </x:c>
      <x:c r="I17" s="48" t="n">
        <x:v>12</x:v>
      </x:c>
      <x:c r="J17" s="48" t="n">
        <x:v>-1</x:v>
      </x:c>
      <x:c r="K17" s="48" t="n">
        <x:v>82.4925</x:v>
      </x:c>
      <x:c r="L17" s="48" t="n">
        <x:v>100</x:v>
      </x:c>
      <x:c r="M17" t="str">
        <x:v>B</x:v>
      </x:c>
      <x:c r="N17" t="str">
        <x:v>HISTORY FALLBACK</x:v>
      </x:c>
    </x:row>
    <x:row r="18">
      <x:c r="A18" t="n">
        <x:v>14</x:v>
      </x:c>
      <x:c r="B18" t="str">
        <x:v>RB</x:v>
      </x:c>
      <x:c r="C18" t="n">
        <x:v>6</x:v>
      </x:c>
      <x:c r="D18" t="str">
        <x:v>Omarion Hampton</x:v>
      </x:c>
      <x:c r="E18" s="48" t="n">
        <x:v>93.7531388752943</x:v>
      </x:c>
      <x:c r="F18" s="48" t="n">
        <x:v>88.64207068235326</x:v>
      </x:c>
      <x:c r="G18" s="48" t="n">
        <x:v>15.074280228645293</x:v>
      </x:c>
      <x:c r="H18" s="48" t="n">
        <x:v>100</x:v>
      </x:c>
      <x:c r="I18" s="48" t="n">
        <x:v>23</x:v>
      </x:c>
      <x:c r="J18" s="48" t="n">
        <x:v>9</x:v>
      </x:c>
      <x:c r="K18" s="48" t="n">
        <x:v>79.64207068235326</x:v>
      </x:c>
      <x:c r="L18" s="48" t="n">
        <x:v>97.64207068235326</x:v>
      </x:c>
      <x:c r="M18" t="str">
        <x:v>B</x:v>
      </x:c>
      <x:c r="N18" t="str">
        <x:v>RATE-ADJUSTED VETERAN</x:v>
      </x:c>
    </x:row>
    <x:row r="19">
      <x:c r="A19" t="n">
        <x:v>15</x:v>
      </x:c>
      <x:c r="B19" t="str">
        <x:v>RB</x:v>
      </x:c>
      <x:c r="C19" t="n">
        <x:v>7</x:v>
      </x:c>
      <x:c r="D19" t="str">
        <x:v>De'Von Achane</x:v>
      </x:c>
      <x:c r="E19" s="48" t="n">
        <x:v>93.36920662276214</x:v>
      </x:c>
      <x:c r="F19" s="48" t="n">
        <x:v>87.94401204138569</x:v>
      </x:c>
      <x:c r="G19" s="48" t="n">
        <x:v>14.376221587677719</x:v>
      </x:c>
      <x:c r="H19" s="48" t="n">
        <x:v>100</x:v>
      </x:c>
      <x:c r="I19" s="48" t="n">
        <x:v>18</x:v>
      </x:c>
      <x:c r="J19" s="48" t="n">
        <x:v>3</x:v>
      </x:c>
      <x:c r="K19" s="48" t="n">
        <x:v>81.94401204138569</x:v>
      </x:c>
      <x:c r="L19" s="48" t="n">
        <x:v>93.94401204138569</x:v>
      </x:c>
      <x:c r="M19" t="str">
        <x:v>A</x:v>
      </x:c>
      <x:c r="N19" t="str">
        <x:v>RATE-ADJUSTED VETERAN</x:v>
      </x:c>
    </x:row>
    <x:row r="20">
      <x:c r="A20" t="n">
        <x:v>16</x:v>
      </x:c>
      <x:c r="B20" t="str">
        <x:v>RB</x:v>
      </x:c>
      <x:c r="C20" t="n">
        <x:v>8</x:v>
      </x:c>
      <x:c r="D20" t="str">
        <x:v>Kenneth Walker III</x:v>
      </x:c>
      <x:c r="E20" s="48" t="n">
        <x:v>92.74531254329892</x:v>
      </x:c>
      <x:c r="F20" s="48" t="n">
        <x:v>87.29261371508893</x:v>
      </x:c>
      <x:c r="G20" s="48" t="n">
        <x:v>13.724823261380962</x:v>
      </x:c>
      <x:c r="H20" s="48" t="n">
        <x:v>98.22916666666664</x:v>
      </x:c>
      <x:c r="I20" s="48" t="n">
        <x:v>31.400000000000002</x:v>
      </x:c>
      <x:c r="J20" s="48" t="n">
        <x:v>15.400000000000002</x:v>
      </x:c>
      <x:c r="K20" s="48" t="n">
        <x:v>81.29261371508893</x:v>
      </x:c>
      <x:c r="L20" s="48" t="n">
        <x:v>93.29261371508893</x:v>
      </x:c>
      <x:c r="M20" t="str">
        <x:v>A</x:v>
      </x:c>
      <x:c r="N20" t="str">
        <x:v>RATE-ADJUSTED VETERAN</x:v>
      </x:c>
    </x:row>
    <x:row r="21">
      <x:c r="A21" t="n">
        <x:v>17</x:v>
      </x:c>
      <x:c r="B21" t="str">
        <x:v>RB</x:v>
      </x:c>
      <x:c r="C21" t="n">
        <x:v>9</x:v>
      </x:c>
      <x:c r="D21" t="str">
        <x:v>James Cook III</x:v>
      </x:c>
      <x:c r="E21" s="48" t="n">
        <x:v>92.2569062673168</x:v>
      </x:c>
      <x:c r="F21" s="48" t="n">
        <x:v>87.05801139512144</x:v>
      </x:c>
      <x:c r="G21" s="48" t="n">
        <x:v>13.490220941413469</x:v>
      </x:c>
      <x:c r="H21" s="48" t="n">
        <x:v>95.83333333333334</x:v>
      </x:c>
      <x:c r="I21" s="48" t="n">
        <x:v>15</x:v>
      </x:c>
      <x:c r="J21" s="48" t="n">
        <x:v>-2</x:v>
      </x:c>
      <x:c r="K21" s="48" t="n">
        <x:v>81.05801139512144</x:v>
      </x:c>
      <x:c r="L21" s="48" t="n">
        <x:v>93.05801139512144</x:v>
      </x:c>
      <x:c r="M21" t="str">
        <x:v>A</x:v>
      </x:c>
      <x:c r="N21" t="str">
        <x:v>RATE-ADJUSTED VETERAN</x:v>
      </x:c>
    </x:row>
    <x:row r="22">
      <x:c r="A22" t="n">
        <x:v>18</x:v>
      </x:c>
      <x:c r="B22" t="str">
        <x:v>WR</x:v>
      </x:c>
      <x:c r="C22" t="n">
        <x:v>6</x:v>
      </x:c>
      <x:c r="D22" t="str">
        <x:v>CeeDee Lamb</x:v>
      </x:c>
      <x:c r="E22" s="48" t="n">
        <x:v>91.99178258333335</x:v>
      </x:c>
      <x:c r="F22" s="48" t="n">
        <x:v>85.742635</x:v>
      </x:c>
      <x:c r="G22" s="48" t="n">
        <x:v>13.852635000000006</x:v>
      </x:c>
      <x:c r="H22" s="48" t="n">
        <x:v>98.8888888888889</x:v>
      </x:c>
      <x:c r="I22" s="48" t="n">
        <x:v>8</x:v>
      </x:c>
      <x:c r="J22" s="48" t="n">
        <x:v>-10</x:v>
      </x:c>
      <x:c r="K22" s="48" t="n">
        <x:v>79.742635</x:v>
      </x:c>
      <x:c r="L22" s="48" t="n">
        <x:v>91.742635</x:v>
      </x:c>
      <x:c r="M22" t="str">
        <x:v>A</x:v>
      </x:c>
      <x:c r="N22" t="str">
        <x:v>HISTORY FALLBACK</x:v>
      </x:c>
    </x:row>
    <x:row r="23">
      <x:c r="A23" t="n">
        <x:v>19</x:v>
      </x:c>
      <x:c r="B23" t="str">
        <x:v>WR</x:v>
      </x:c>
      <x:c r="C23" t="n">
        <x:v>9</x:v>
      </x:c>
      <x:c r="D23" t="str">
        <x:v>Drake London</x:v>
      </x:c>
      <x:c r="E23" s="48" t="n">
        <x:v>91.96418120833333</x:v>
      </x:c>
      <x:c r="F23" s="48" t="n">
        <x:v>87.5106325</x:v>
      </x:c>
      <x:c r="G23" s="48" t="n">
        <x:v>15.6206325</x:v>
      </x:c>
      <x:c r="H23" s="48" t="n">
        <x:v>92.22222222222223</x:v>
      </x:c>
      <x:c r="I23" s="48" t="n">
        <x:v>10</x:v>
      </x:c>
      <x:c r="J23" s="48" t="n">
        <x:v>-9</x:v>
      </x:c>
      <x:c r="K23" s="48" t="n">
        <x:v>81.5106325</x:v>
      </x:c>
      <x:c r="L23" s="48" t="n">
        <x:v>93.5106325</x:v>
      </x:c>
      <x:c r="M23" t="str">
        <x:v>A</x:v>
      </x:c>
      <x:c r="N23" t="str">
        <x:v>HISTORY FALLBACK</x:v>
      </x:c>
    </x:row>
    <x:row r="24">
      <x:c r="A24" t="n">
        <x:v>20</x:v>
      </x:c>
      <x:c r="B24" t="str">
        <x:v>WR</x:v>
      </x:c>
      <x:c r="C24" t="n">
        <x:v>12</x:v>
      </x:c>
      <x:c r="D24" t="str">
        <x:v>Chris Olave</x:v>
      </x:c>
      <x:c r="E24" s="48" t="n">
        <x:v>91.73245833333334</x:v>
      </x:c>
      <x:c r="F24" s="48" t="n">
        <x:v>88.9075</x:v>
      </x:c>
      <x:c r="G24" s="48" t="n">
        <x:v>17.0175</x:v>
      </x:c>
      <x:c r="H24" s="48" t="n">
        <x:v>85.55555555555557</x:v>
      </x:c>
      <x:c r="I24" s="48" t="n">
        <x:v>19</x:v>
      </x:c>
      <x:c r="J24" s="48" t="n">
        <x:v>-1</x:v>
      </x:c>
      <x:c r="K24" s="48" t="n">
        <x:v>79.9075</x:v>
      </x:c>
      <x:c r="L24" s="48" t="n">
        <x:v>97.9075</x:v>
      </x:c>
      <x:c r="M24" t="str">
        <x:v>B</x:v>
      </x:c>
      <x:c r="N24" t="str">
        <x:v>HISTORY FALLBACK</x:v>
      </x:c>
    </x:row>
    <x:row r="25">
      <x:c r="A25" t="n">
        <x:v>21</x:v>
      </x:c>
      <x:c r="B25" t="str">
        <x:v>RB</x:v>
      </x:c>
      <x:c r="C25" t="n">
        <x:v>10</x:v>
      </x:c>
      <x:c r="D25" t="str">
        <x:v>Kyren Williams</x:v>
      </x:c>
      <x:c r="E25" s="48" t="n">
        <x:v>91.28736940197285</x:v>
      </x:c>
      <x:c r="F25" s="48" t="n">
        <x:v>85.94862618540519</x:v>
      </x:c>
      <x:c r="G25" s="48" t="n">
        <x:v>12.380835731697218</x:v>
      </x:c>
      <x:c r="H25" s="48" t="n">
        <x:v>93.43749999999999</x:v>
      </x:c>
      <x:c r="I25" s="48" t="n">
        <x:v>39.800000000000004</x:v>
      </x:c>
      <x:c r="J25" s="48" t="n">
        <x:v>18.800000000000004</x:v>
      </x:c>
      <x:c r="K25" s="48" t="n">
        <x:v>79.94862618540519</x:v>
      </x:c>
      <x:c r="L25" s="48" t="n">
        <x:v>91.94862618540519</x:v>
      </x:c>
      <x:c r="M25" t="str">
        <x:v>A</x:v>
      </x:c>
      <x:c r="N25" t="str">
        <x:v>RATE-ADJUSTED VETERAN</x:v>
      </x:c>
    </x:row>
    <x:row r="26">
      <x:c r="A26" t="n">
        <x:v>22</x:v>
      </x:c>
      <x:c r="B26" t="str">
        <x:v>WR</x:v>
      </x:c>
      <x:c r="C26" t="n">
        <x:v>7</x:v>
      </x:c>
      <x:c r="D26" t="str">
        <x:v>Justin Jefferson</x:v>
      </x:c>
      <x:c r="E26" s="48" t="n">
        <x:v>91.136470375</x:v>
      </x:c>
      <x:c r="F26" s="48" t="n">
        <x:v>84.7935825</x:v>
      </x:c>
      <x:c r="G26" s="48" t="n">
        <x:v>12.903582499999999</x:v>
      </x:c>
      <x:c r="H26" s="48" t="n">
        <x:v>96.66666666666667</x:v>
      </x:c>
      <x:c r="I26" s="48" t="n">
        <x:v>9</x:v>
      </x:c>
      <x:c r="J26" s="48" t="n">
        <x:v>-13</x:v>
      </x:c>
      <x:c r="K26" s="48" t="n">
        <x:v>78.7935825</x:v>
      </x:c>
      <x:c r="L26" s="48" t="n">
        <x:v>90.7935825</x:v>
      </x:c>
      <x:c r="M26" t="str">
        <x:v>A</x:v>
      </x:c>
      <x:c r="N26" t="str">
        <x:v>HISTORY FALLBACK</x:v>
      </x:c>
    </x:row>
    <x:row r="27">
      <x:c r="A27" t="n">
        <x:v>23</x:v>
      </x:c>
      <x:c r="B27" t="str">
        <x:v>TE</x:v>
      </x:c>
      <x:c r="C27" t="n">
        <x:v>3</x:v>
      </x:c>
      <x:c r="D27" t="str">
        <x:v>Colston Loveland</x:v>
      </x:c>
      <x:c r="E27" s="48" t="n">
        <x:v>90.92957867013384</x:v>
      </x:c>
      <x:c r="F27" s="48" t="n">
        <x:v>88.75308009954404</x:v>
      </x:c>
      <x:c r="G27" s="48" t="n">
        <x:v>8.834969431601834</x:v>
      </x:c>
      <x:c r="H27" s="48" t="n">
        <x:v>80.76923076923077</x:v>
      </x:c>
      <x:c r="I27" s="48" t="n">
        <x:v>35</x:v>
      </x:c>
      <x:c r="J27" s="48" t="n">
        <x:v>12</x:v>
      </x:c>
      <x:c r="K27" s="48" t="n">
        <x:v>82.75308009954404</x:v>
      </x:c>
      <x:c r="L27" s="48" t="n">
        <x:v>94.75308009954404</x:v>
      </x:c>
      <x:c r="M27" t="str">
        <x:v>A</x:v>
      </x:c>
      <x:c r="N27" t="str">
        <x:v>RATE-ADJUSTED VETERAN</x:v>
      </x:c>
    </x:row>
    <x:row r="28">
      <x:c r="A28" t="n">
        <x:v>24</x:v>
      </x:c>
      <x:c r="B28" t="str">
        <x:v>RB</x:v>
      </x:c>
      <x:c r="C28" t="n">
        <x:v>11</x:v>
      </x:c>
      <x:c r="D28" t="str">
        <x:v>Breece Hall</x:v>
      </x:c>
      <x:c r="E28" s="48" t="n">
        <x:v>90.89862891476687</x:v>
      </x:c>
      <x:c r="F28" s="48" t="n">
        <x:v>85.89523439048523</x:v>
      </x:c>
      <x:c r="G28" s="48" t="n">
        <x:v>12.327443936777257</x:v>
      </x:c>
      <x:c r="H28" s="48" t="n">
        <x:v>91.04166666666664</x:v>
      </x:c>
      <x:c r="I28" s="48" t="n">
        <x:v>44</x:v>
      </x:c>
      <x:c r="J28" s="48" t="n">
        <x:v>20</x:v>
      </x:c>
      <x:c r="K28" s="48" t="n">
        <x:v>79.89523439048523</x:v>
      </x:c>
      <x:c r="L28" s="48" t="n">
        <x:v>91.89523439048523</x:v>
      </x:c>
      <x:c r="M28" t="str">
        <x:v>A</x:v>
      </x:c>
      <x:c r="N28" t="str">
        <x:v>RATE-ADJUSTED VETERAN</x:v>
      </x:c>
    </x:row>
    <x:row r="29">
      <x:c r="A29" t="n">
        <x:v>25</x:v>
      </x:c>
      <x:c r="B29" t="str">
        <x:v>WR</x:v>
      </x:c>
      <x:c r="C29" t="n">
        <x:v>5</x:v>
      </x:c>
      <x:c r="D29" t="str">
        <x:v>A.J. Brown</x:v>
      </x:c>
      <x:c r="E29" s="48" t="n">
        <x:v>90.77961987500001</x:v>
      </x:c>
      <x:c r="F29" s="48" t="n">
        <x:v>83.23567249999999</x:v>
      </x:c>
      <x:c r="G29" s="48" t="n">
        <x:v>11.345672499999992</x:v>
      </x:c>
      <x:c r="H29" s="48" t="n">
        <x:v>100</x:v>
      </x:c>
      <x:c r="I29" s="48" t="n">
        <x:v>14</x:v>
      </x:c>
      <x:c r="J29" s="48" t="n">
        <x:v>-11</x:v>
      </x:c>
      <x:c r="K29" s="48" t="n">
        <x:v>77.23567249999999</x:v>
      </x:c>
      <x:c r="L29" s="48" t="n">
        <x:v>89.23567249999999</x:v>
      </x:c>
      <x:c r="M29" t="str">
        <x:v>A</x:v>
      </x:c>
      <x:c r="N29" t="str">
        <x:v>HISTORY FALLBACK</x:v>
      </x:c>
    </x:row>
    <x:row r="30">
      <x:c r="A30" t="n">
        <x:v>26</x:v>
      </x:c>
      <x:c r="B30" t="str">
        <x:v>RB</x:v>
      </x:c>
      <x:c r="C30" t="n">
        <x:v>12</x:v>
      </x:c>
      <x:c r="D30" t="str">
        <x:v>Ashton Jeanty</x:v>
      </x:c>
      <x:c r="E30" s="48" t="n">
        <x:v>90.5106682972644</x:v>
      </x:c>
      <x:c r="F30" s="48" t="n">
        <x:v>85.84326054048074</x:v>
      </x:c>
      <x:c r="G30" s="48" t="n">
        <x:v>12.27547008677277</x:v>
      </x:c>
      <x:c r="H30" s="48" t="n">
        <x:v>88.64583333333334</x:v>
      </x:c>
      <x:c r="I30" s="48" t="n">
        <x:v>13</x:v>
      </x:c>
      <x:c r="J30" s="48" t="n">
        <x:v>-13</x:v>
      </x:c>
      <x:c r="K30" s="48" t="n">
        <x:v>79.84326054048074</x:v>
      </x:c>
      <x:c r="L30" s="48" t="n">
        <x:v>91.84326054048074</x:v>
      </x:c>
      <x:c r="M30" t="str">
        <x:v>A</x:v>
      </x:c>
      <x:c r="N30" t="str">
        <x:v>RATE-ADJUSTED VETERAN</x:v>
      </x:c>
    </x:row>
    <x:row r="31">
      <x:c r="A31" t="n">
        <x:v>27</x:v>
      </x:c>
      <x:c r="B31" t="str">
        <x:v>QB</x:v>
      </x:c>
      <x:c r="C31" t="n">
        <x:v>2</x:v>
      </x:c>
      <x:c r="D31" t="str">
        <x:v>Caleb Williams</x:v>
      </x:c>
      <x:c r="E31" s="48" t="n">
        <x:v>90.43775540528827</x:v>
      </x:c>
      <x:c r="F31" s="48" t="n">
        <x:v>92.1926680327037</x:v>
      </x:c>
      <x:c r="G31" s="48" t="n">
        <x:v>7.500565975851117</x:v>
      </x:c>
      <x:c r="H31" s="48" t="n">
        <x:v>94.87179487179486</x:v>
      </x:c>
      <x:c r="I31" s="48" t="n">
        <x:v>30</x:v>
      </x:c>
      <x:c r="J31" s="48" t="n">
        <x:v>3</x:v>
      </x:c>
      <x:c r="K31" s="48" t="n">
        <x:v>86.1926680327037</x:v>
      </x:c>
      <x:c r="L31" s="48" t="n">
        <x:v>98.1926680327037</x:v>
      </x:c>
      <x:c r="M31" t="str">
        <x:v>A</x:v>
      </x:c>
      <x:c r="N31" t="str">
        <x:v>RATE-ADJUSTED VETERAN</x:v>
      </x:c>
    </x:row>
    <x:row r="32">
      <x:c r="A32" t="n">
        <x:v>28</x:v>
      </x:c>
      <x:c r="B32" t="str">
        <x:v>RB</x:v>
      </x:c>
      <x:c r="C32" t="n">
        <x:v>13</x:v>
      </x:c>
      <x:c r="D32" t="str">
        <x:v>Derrick Henry</x:v>
      </x:c>
      <x:c r="E32" s="48" t="n">
        <x:v>90.05456914862731</x:v>
      </x:c>
      <x:c r="F32" s="48" t="n">
        <x:v>85.66739845204964</x:v>
      </x:c>
      <x:c r="G32" s="48" t="n">
        <x:v>12.099607998341668</x:v>
      </x:c>
      <x:c r="H32" s="48" t="n">
        <x:v>86.25</x:v>
      </x:c>
      <x:c r="I32" s="48" t="n">
        <x:v>52.400000000000006</x:v>
      </x:c>
      <x:c r="J32" s="48" t="n">
        <x:v>24.400000000000006</x:v>
      </x:c>
      <x:c r="K32" s="48" t="n">
        <x:v>79.66739845204964</x:v>
      </x:c>
      <x:c r="L32" s="48" t="n">
        <x:v>91.66739845204964</x:v>
      </x:c>
      <x:c r="M32" t="str">
        <x:v>A</x:v>
      </x:c>
      <x:c r="N32" t="str">
        <x:v>RATE-ADJUSTED VETERAN</x:v>
      </x:c>
    </x:row>
    <x:row r="33">
      <x:c r="A33" t="n">
        <x:v>29</x:v>
      </x:c>
      <x:c r="B33" t="str">
        <x:v>RB</x:v>
      </x:c>
      <x:c r="C33" t="n">
        <x:v>14</x:v>
      </x:c>
      <x:c r="D33" t="str">
        <x:v>Chase Brown</x:v>
      </x:c>
      <x:c r="E33" s="48" t="n">
        <x:v>89.69355507991912</x:v>
      </x:c>
      <x:c r="F33" s="48" t="n">
        <x:v>85.66441832712566</x:v>
      </x:c>
      <x:c r="G33" s="48" t="n">
        <x:v>12.096627873417688</x:v>
      </x:c>
      <x:c r="H33" s="48" t="n">
        <x:v>83.85416666666667</x:v>
      </x:c>
      <x:c r="I33" s="48" t="n">
        <x:v>21</x:v>
      </x:c>
      <x:c r="J33" s="48" t="n">
        <x:v>-8</x:v>
      </x:c>
      <x:c r="K33" s="48" t="n">
        <x:v>79.66441832712566</x:v>
      </x:c>
      <x:c r="L33" s="48" t="n">
        <x:v>91.66441832712566</x:v>
      </x:c>
      <x:c r="M33" t="str">
        <x:v>A</x:v>
      </x:c>
      <x:c r="N33" t="str">
        <x:v>RATE-ADJUSTED VETERAN</x:v>
      </x:c>
    </x:row>
    <x:row r="34">
      <x:c r="A34" t="n">
        <x:v>30</x:v>
      </x:c>
      <x:c r="B34" t="str">
        <x:v>WR</x:v>
      </x:c>
      <x:c r="C34" t="n">
        <x:v>13</x:v>
      </x:c>
      <x:c r="D34" t="str">
        <x:v>Tetairoa McMillan</x:v>
      </x:c>
      <x:c r="E34" s="48" t="n">
        <x:v>89.65700000000001</x:v>
      </x:c>
      <x:c r="F34" s="48" t="n">
        <x:v>85.74</x:v>
      </x:c>
      <x:c r="G34" s="48" t="n">
        <x:v>13.849999999999994</x:v>
      </x:c>
      <x:c r="H34" s="48" t="n">
        <x:v>83.33333333333333</x:v>
      </x:c>
      <x:c r="I34" s="48" t="n">
        <x:v>49.8</x:v>
      </x:c>
      <x:c r="J34" s="48" t="n">
        <x:v>19.799999999999997</x:v>
      </x:c>
      <x:c r="K34" s="48" t="n">
        <x:v>76.74</x:v>
      </x:c>
      <x:c r="L34" s="48" t="n">
        <x:v>94.74</x:v>
      </x:c>
      <x:c r="M34" t="str">
        <x:v>B</x:v>
      </x:c>
      <x:c r="N34" t="str">
        <x:v>HISTORY FALLBACK</x:v>
      </x:c>
    </x:row>
    <x:row r="35">
      <x:c r="A35" t="n">
        <x:v>31</x:v>
      </x:c>
      <x:c r="B35" t="str">
        <x:v>WR</x:v>
      </x:c>
      <x:c r="C35" t="n">
        <x:v>16</x:v>
      </x:c>
      <x:c r="D35" t="str">
        <x:v>DeVonta Smith</x:v>
      </x:c>
      <x:c r="E35" s="48" t="n">
        <x:v>89.61812499999999</x:v>
      </x:c>
      <x:c r="F35" s="48" t="n">
        <x:v>87.4875</x:v>
      </x:c>
      <x:c r="G35" s="48" t="n">
        <x:v>15.597499999999997</x:v>
      </x:c>
      <x:c r="H35" s="48" t="n">
        <x:v>76.66666666666669</x:v>
      </x:c>
      <x:c r="I35" s="48" t="n">
        <x:v>24</x:v>
      </x:c>
      <x:c r="J35" s="48" t="n">
        <x:v>-7</x:v>
      </x:c>
      <x:c r="K35" s="48" t="n">
        <x:v>78.4875</x:v>
      </x:c>
      <x:c r="L35" s="48" t="n">
        <x:v>96.4875</x:v>
      </x:c>
      <x:c r="M35" t="str">
        <x:v>B</x:v>
      </x:c>
      <x:c r="N35" t="str">
        <x:v>HISTORY FALLBACK</x:v>
      </x:c>
    </x:row>
    <x:row r="36">
      <x:c r="A36" t="n">
        <x:v>32</x:v>
      </x:c>
      <x:c r="B36" t="str">
        <x:v>WR</x:v>
      </x:c>
      <x:c r="C36" t="n">
        <x:v>11</x:v>
      </x:c>
      <x:c r="D36" t="str">
        <x:v>Rashee Rice</x:v>
      </x:c>
      <x:c r="E36" s="48" t="n">
        <x:v>89.41876816666668</x:v>
      </x:c>
      <x:c r="F36" s="48" t="n">
        <x:v>84.09473</x:v>
      </x:c>
      <x:c r="G36" s="48" t="n">
        <x:v>12.204729999999998</x:v>
      </x:c>
      <x:c r="H36" s="48" t="n">
        <x:v>87.7777777777778</x:v>
      </x:c>
      <x:c r="I36" s="48" t="n">
        <x:v>22</x:v>
      </x:c>
      <x:c r="J36" s="48" t="n">
        <x:v>-10</x:v>
      </x:c>
      <x:c r="K36" s="48" t="n">
        <x:v>78.09473</x:v>
      </x:c>
      <x:c r="L36" s="48" t="n">
        <x:v>90.09473</x:v>
      </x:c>
      <x:c r="M36" t="str">
        <x:v>A</x:v>
      </x:c>
      <x:c r="N36" t="str">
        <x:v>HISTORY FALLBACK</x:v>
      </x:c>
    </x:row>
    <x:row r="37">
      <x:c r="A37" t="n">
        <x:v>33</x:v>
      </x:c>
      <x:c r="B37" t="str">
        <x:v>WR</x:v>
      </x:c>
      <x:c r="C37" t="n">
        <x:v>15</x:v>
      </x:c>
      <x:c r="D37" t="str">
        <x:v>Garrett Wilson</x:v>
      </x:c>
      <x:c r="E37" s="48" t="n">
        <x:v>89.21858333333334</x:v>
      </x:c>
      <x:c r="F37" s="48" t="n">
        <x:v>86.155</x:v>
      </x:c>
      <x:c r="G37" s="48" t="n">
        <x:v>14.265</x:v>
      </x:c>
      <x:c r="H37" s="48" t="n">
        <x:v>78.88888888888889</x:v>
      </x:c>
      <x:c r="I37" s="48" t="n">
        <x:v>57.6</x:v>
      </x:c>
      <x:c r="J37" s="48" t="n">
        <x:v>24.6</x:v>
      </x:c>
      <x:c r="K37" s="48" t="n">
        <x:v>77.155</x:v>
      </x:c>
      <x:c r="L37" s="48" t="n">
        <x:v>95.155</x:v>
      </x:c>
      <x:c r="M37" t="str">
        <x:v>B</x:v>
      </x:c>
      <x:c r="N37" t="str">
        <x:v>HISTORY FALLBACK</x:v>
      </x:c>
    </x:row>
    <x:row r="38">
      <x:c r="A38" t="n">
        <x:v>34</x:v>
      </x:c>
      <x:c r="B38" t="str">
        <x:v>WR</x:v>
      </x:c>
      <x:c r="C38" t="n">
        <x:v>8</x:v>
      </x:c>
      <x:c r="D38" t="str">
        <x:v>George Pickens</x:v>
      </x:c>
      <x:c r="E38" s="48" t="n">
        <x:v>89.17680079166668</x:v>
      </x:c>
      <x:c r="F38" s="48" t="n">
        <x:v>81.8366075</x:v>
      </x:c>
      <x:c r="G38" s="48" t="n">
        <x:v>9.946607499999999</x:v>
      </x:c>
      <x:c r="H38" s="48" t="n">
        <x:v>94.44444444444444</x:v>
      </x:c>
      <x:c r="I38" s="48" t="n">
        <x:v>16</x:v>
      </x:c>
      <x:c r="J38" s="48" t="n">
        <x:v>-18</x:v>
      </x:c>
      <x:c r="K38" s="48" t="n">
        <x:v>75.8366075</x:v>
      </x:c>
      <x:c r="L38" s="48" t="n">
        <x:v>87.8366075</x:v>
      </x:c>
      <x:c r="M38" t="str">
        <x:v>A</x:v>
      </x:c>
      <x:c r="N38" t="str">
        <x:v>HISTORY FALLBACK</x:v>
      </x:c>
    </x:row>
    <x:row r="39">
      <x:c r="A39" t="n">
        <x:v>35</x:v>
      </x:c>
      <x:c r="B39" t="str">
        <x:v>WR</x:v>
      </x:c>
      <x:c r="C39" t="n">
        <x:v>14</x:v>
      </x:c>
      <x:c r="D39" t="str">
        <x:v>Tee Higgins</x:v>
      </x:c>
      <x:c r="E39" s="48" t="n">
        <x:v>88.81904166666668</x:v>
      </x:c>
      <x:c r="F39" s="48" t="n">
        <x:v>84.82249999999999</x:v>
      </x:c>
      <x:c r="G39" s="48" t="n">
        <x:v>12.93249999999999</x:v>
      </x:c>
      <x:c r="H39" s="48" t="n">
        <x:v>81.11111111111111</x:v>
      </x:c>
      <x:c r="I39" s="48" t="n">
        <x:v>53.699999999999996</x:v>
      </x:c>
      <x:c r="J39" s="48" t="n">
        <x:v>18.699999999999996</x:v>
      </x:c>
      <x:c r="K39" s="48" t="n">
        <x:v>75.82249999999999</x:v>
      </x:c>
      <x:c r="L39" s="48" t="n">
        <x:v>93.82249999999999</x:v>
      </x:c>
      <x:c r="M39" t="str">
        <x:v>B</x:v>
      </x:c>
      <x:c r="N39" t="str">
        <x:v>HISTORY FALLBACK</x:v>
      </x:c>
    </x:row>
    <x:row r="40">
      <x:c r="A40" t="n">
        <x:v>36</x:v>
      </x:c>
      <x:c r="B40" t="str">
        <x:v>WR</x:v>
      </x:c>
      <x:c r="C40" t="n">
        <x:v>17</x:v>
      </x:c>
      <x:c r="D40" t="str">
        <x:v>Zay Flowers</x:v>
      </x:c>
      <x:c r="E40" s="48" t="n">
        <x:v>88.78016666666667</x:v>
      </x:c>
      <x:c r="F40" s="48" t="n">
        <x:v>86.57</x:v>
      </x:c>
      <x:c r="G40" s="48" t="n">
        <x:v>14.679999999999993</x:v>
      </x:c>
      <x:c r="H40" s="48" t="n">
        <x:v>74.44444444444444</x:v>
      </x:c>
      <x:c r="I40" s="48" t="n">
        <x:v>65.4</x:v>
      </x:c>
      <x:c r="J40" s="48" t="n">
        <x:v>29.400000000000006</x:v>
      </x:c>
      <x:c r="K40" s="48" t="n">
        <x:v>77.57</x:v>
      </x:c>
      <x:c r="L40" s="48" t="n">
        <x:v>95.57</x:v>
      </x:c>
      <x:c r="M40" t="str">
        <x:v>B</x:v>
      </x:c>
      <x:c r="N40" t="str">
        <x:v>HISTORY FALLBACK</x:v>
      </x:c>
    </x:row>
    <x:row r="41">
      <x:c r="A41" t="n">
        <x:v>37</x:v>
      </x:c>
      <x:c r="B41" t="str">
        <x:v>RB</x:v>
      </x:c>
      <x:c r="C41" t="n">
        <x:v>15</x:v>
      </x:c>
      <x:c r="D41" t="str">
        <x:v>Josh Jacobs</x:v>
      </x:c>
      <x:c r="E41" s="48" t="n">
        <x:v>88.65326646739996</x:v>
      </x:c>
      <x:c r="F41" s="48" t="n">
        <x:v>84.42639357709083</x:v>
      </x:c>
      <x:c r="G41" s="48" t="n">
        <x:v>10.858603123382863</x:v>
      </x:c>
      <x:c r="H41" s="48" t="n">
        <x:v>81.45833333333333</x:v>
      </x:c>
      <x:c r="I41" s="48" t="n">
        <x:v>60.800000000000004</x:v>
      </x:c>
      <x:c r="J41" s="48" t="n">
        <x:v>23.800000000000004</x:v>
      </x:c>
      <x:c r="K41" s="48" t="n">
        <x:v>78.42639357709083</x:v>
      </x:c>
      <x:c r="L41" s="48" t="n">
        <x:v>90.42639357709083</x:v>
      </x:c>
      <x:c r="M41" t="str">
        <x:v>A</x:v>
      </x:c>
      <x:c r="N41" t="str">
        <x:v>RATE-ADJUSTED VETERAN</x:v>
      </x:c>
    </x:row>
    <x:row r="42">
      <x:c r="A42" t="n">
        <x:v>38</x:v>
      </x:c>
      <x:c r="B42" t="str">
        <x:v>RB</x:v>
      </x:c>
      <x:c r="C42" t="n">
        <x:v>16</x:v>
      </x:c>
      <x:c r="D42" t="str">
        <x:v>Saquon Barkley</x:v>
      </x:c>
      <x:c r="E42" s="48" t="n">
        <x:v>88.07804928133837</x:v>
      </x:c>
      <x:c r="F42" s="48" t="n">
        <x:v>84.03395323879701</x:v>
      </x:c>
      <x:c r="G42" s="48" t="n">
        <x:v>10.46616278508904</x:v>
      </x:c>
      <x:c r="H42" s="48" t="n">
        <x:v>79.0625</x:v>
      </x:c>
      <x:c r="I42" s="48" t="n">
        <x:v>65</x:v>
      </x:c>
      <x:c r="J42" s="48" t="n">
        <x:v>27</x:v>
      </x:c>
      <x:c r="K42" s="48" t="n">
        <x:v>78.03395323879701</x:v>
      </x:c>
      <x:c r="L42" s="48" t="n">
        <x:v>90.03395323879701</x:v>
      </x:c>
      <x:c r="M42" t="str">
        <x:v>A</x:v>
      </x:c>
      <x:c r="N42" t="str">
        <x:v>RATE-ADJUSTED VETERAN</x:v>
      </x:c>
    </x:row>
    <x:row r="43">
      <x:c r="A43" t="n">
        <x:v>39</x:v>
      </x:c>
      <x:c r="B43" t="str">
        <x:v>RB</x:v>
      </x:c>
      <x:c r="C43" t="n">
        <x:v>17</x:v>
      </x:c>
      <x:c r="D43" t="str">
        <x:v>Javonte Williams</x:v>
      </x:c>
      <x:c r="E43" s="48" t="n">
        <x:v>87.59177946408477</x:v>
      </x:c>
      <x:c r="F43" s="48" t="n">
        <x:v>83.80323538924502</x:v>
      </x:c>
      <x:c r="G43" s="48" t="n">
        <x:v>10.235444935537046</x:v>
      </x:c>
      <x:c r="H43" s="48" t="n">
        <x:v>76.66666666666667</x:v>
      </x:c>
      <x:c r="I43" s="48" t="n">
        <x:v>69.2</x:v>
      </x:c>
      <x:c r="J43" s="48" t="n">
        <x:v>30.200000000000003</x:v>
      </x:c>
      <x:c r="K43" s="48" t="n">
        <x:v>77.80323538924502</x:v>
      </x:c>
      <x:c r="L43" s="48" t="n">
        <x:v>89.80323538924502</x:v>
      </x:c>
      <x:c r="M43" t="str">
        <x:v>A</x:v>
      </x:c>
      <x:c r="N43" t="str">
        <x:v>RATE-ADJUSTED VETERAN</x:v>
      </x:c>
    </x:row>
    <x:row r="44">
      <x:c r="A44" t="n">
        <x:v>40</x:v>
      </x:c>
      <x:c r="B44" t="str">
        <x:v>TE</x:v>
      </x:c>
      <x:c r="C44" t="n">
        <x:v>4</x:v>
      </x:c>
      <x:c r="D44" t="str">
        <x:v>Tyler Warren</x:v>
      </x:c>
      <x:c r="E44" s="48" t="n">
        <x:v>87.49605915880703</x:v>
      </x:c>
      <x:c r="F44" s="48" t="n">
        <x:v>87.2023750800111</x:v>
      </x:c>
      <x:c r="G44" s="48" t="n">
        <x:v>7.284264412068893</x:v>
      </x:c>
      <x:c r="H44" s="48" t="n">
        <x:v>76.15384615384616</x:v>
      </x:c>
      <x:c r="I44" s="48" t="n">
        <x:v>44</x:v>
      </x:c>
      <x:c r="J44" s="48" t="n">
        <x:v>4</x:v>
      </x:c>
      <x:c r="K44" s="48" t="n">
        <x:v>81.2023750800111</x:v>
      </x:c>
      <x:c r="L44" s="48" t="n">
        <x:v>93.2023750800111</x:v>
      </x:c>
      <x:c r="M44" t="str">
        <x:v>A</x:v>
      </x:c>
      <x:c r="N44" t="str">
        <x:v>RATE-ADJUSTED VETERAN</x:v>
      </x:c>
    </x:row>
    <x:row r="45">
      <x:c r="A45" t="n">
        <x:v>41</x:v>
      </x:c>
      <x:c r="B45" t="str">
        <x:v>QB</x:v>
      </x:c>
      <x:c r="C45" t="n">
        <x:v>3</x:v>
      </x:c>
      <x:c r="D45" t="str">
        <x:v>Drake Maye</x:v>
      </x:c>
      <x:c r="E45" s="48" t="n">
        <x:v>86.96677643983625</x:v>
      </x:c>
      <x:c r="F45" s="48" t="n">
        <x:v>91.04298794920528</x:v>
      </x:c>
      <x:c r="G45" s="48" t="n">
        <x:v>6.350885892352707</x:v>
      </x:c>
      <x:c r="H45" s="48" t="n">
        <x:v>89.74358974358975</x:v>
      </x:c>
      <x:c r="I45" s="48" t="n">
        <x:v>38</x:v>
      </x:c>
      <x:c r="J45" s="48" t="n">
        <x:v>-3</x:v>
      </x:c>
      <x:c r="K45" s="48" t="n">
        <x:v>85.04298794920528</x:v>
      </x:c>
      <x:c r="L45" s="48" t="n">
        <x:v>97.04298794920528</x:v>
      </x:c>
      <x:c r="M45" t="str">
        <x:v>A</x:v>
      </x:c>
      <x:c r="N45" t="str">
        <x:v>RATE-ADJUSTED VETERAN</x:v>
      </x:c>
    </x:row>
    <x:row r="46">
      <x:c r="A46" t="n">
        <x:v>42</x:v>
      </x:c>
      <x:c r="B46" t="str">
        <x:v>RB</x:v>
      </x:c>
      <x:c r="C46" t="n">
        <x:v>18</x:v>
      </x:c>
      <x:c r="D46" t="str">
        <x:v>Travis Etienne Jr.</x:v>
      </x:c>
      <x:c r="E46" s="48" t="n">
        <x:v>86.8146214289004</x:v>
      </x:c>
      <x:c r="F46" s="48" t="n">
        <x:v>83.04362987072798</x:v>
      </x:c>
      <x:c r="G46" s="48" t="n">
        <x:v>9.475839417020012</x:v>
      </x:c>
      <x:c r="H46" s="48" t="n">
        <x:v>74.27083333333333</x:v>
      </x:c>
      <x:c r="I46" s="48" t="n">
        <x:v>73.4</x:v>
      </x:c>
      <x:c r="J46" s="48" t="n">
        <x:v>31.400000000000006</x:v>
      </x:c>
      <x:c r="K46" s="48" t="n">
        <x:v>77.04362987072798</x:v>
      </x:c>
      <x:c r="L46" s="48" t="n">
        <x:v>89.04362987072798</x:v>
      </x:c>
      <x:c r="M46" t="str">
        <x:v>A</x:v>
      </x:c>
      <x:c r="N46" t="str">
        <x:v>RATE-ADJUSTED VETERAN</x:v>
      </x:c>
    </x:row>
    <x:row r="47">
      <x:c r="A47" t="n">
        <x:v>43</x:v>
      </x:c>
      <x:c r="B47" t="str">
        <x:v>RB</x:v>
      </x:c>
      <x:c r="C47" t="n">
        <x:v>19</x:v>
      </x:c>
      <x:c r="D47" t="str">
        <x:v>Cam Skattebo</x:v>
      </x:c>
      <x:c r="E47" s="48" t="n">
        <x:v>85.79705235409723</x:v>
      </x:c>
      <x:c r="F47" s="48" t="n">
        <x:v>81.88843624288153</x:v>
      </x:c>
      <x:c r="G47" s="48" t="n">
        <x:v>8.320645789173554</x:v>
      </x:c>
      <x:c r="H47" s="48" t="n">
        <x:v>71.875</x:v>
      </x:c>
      <x:c r="I47" s="48" t="n">
        <x:v>77.60000000000001</x:v>
      </x:c>
      <x:c r="J47" s="48" t="n">
        <x:v>34.60000000000001</x:v>
      </x:c>
      <x:c r="K47" s="48" t="n">
        <x:v>72.88843624288153</x:v>
      </x:c>
      <x:c r="L47" s="48" t="n">
        <x:v>90.88843624288153</x:v>
      </x:c>
      <x:c r="M47" t="str">
        <x:v>B</x:v>
      </x:c>
      <x:c r="N47" t="str">
        <x:v>RATE-ADJUSTED VETERAN</x:v>
      </x:c>
    </x:row>
    <x:row r="48">
      <x:c r="A48" t="n">
        <x:v>44</x:v>
      </x:c>
      <x:c r="B48" t="str">
        <x:v>WR</x:v>
      </x:c>
      <x:c r="C48" t="n">
        <x:v>18</x:v>
      </x:c>
      <x:c r="D48" t="str">
        <x:v>Malik Nabers</x:v>
      </x:c>
      <x:c r="E48" s="48" t="n">
        <x:v>85.46720833333333</x:v>
      </x:c>
      <x:c r="F48" s="48" t="n">
        <x:v>81.1525</x:v>
      </x:c>
      <x:c r="G48" s="48" t="n">
        <x:v>9.262500000000003</x:v>
      </x:c>
      <x:c r="H48" s="48" t="n">
        <x:v>72.22222222222223</x:v>
      </x:c>
      <x:c r="I48" s="48" t="n">
        <x:v>69.3</x:v>
      </x:c>
      <x:c r="J48" s="48" t="n">
        <x:v>25.299999999999997</x:v>
      </x:c>
      <x:c r="K48" s="48" t="n">
        <x:v>69.1525</x:v>
      </x:c>
      <x:c r="L48" s="48" t="n">
        <x:v>93.1525</x:v>
      </x:c>
      <x:c r="M48" t="str">
        <x:v>C</x:v>
      </x:c>
      <x:c r="N48" t="str">
        <x:v>HISTORY FALLBACK</x:v>
      </x:c>
    </x:row>
    <x:row r="49">
      <x:c r="A49" t="n">
        <x:v>45</x:v>
      </x:c>
      <x:c r="B49" t="str">
        <x:v>WR</x:v>
      </x:c>
      <x:c r="C49" t="n">
        <x:v>19</x:v>
      </x:c>
      <x:c r="D49" t="str">
        <x:v>Emeka Egbuka</x:v>
      </x:c>
      <x:c r="E49" s="48" t="n">
        <x:v>85.45425</x:v>
      </x:c>
      <x:c r="F49" s="48" t="n">
        <x:v>81.735</x:v>
      </x:c>
      <x:c r="G49" s="48" t="n">
        <x:v>9.844999999999999</x:v>
      </x:c>
      <x:c r="H49" s="48" t="n">
        <x:v>70</x:v>
      </x:c>
      <x:c r="I49" s="48" t="n">
        <x:v>73.2</x:v>
      </x:c>
      <x:c r="J49" s="48" t="n">
        <x:v>28.200000000000003</x:v>
      </x:c>
      <x:c r="K49" s="48" t="n">
        <x:v>69.735</x:v>
      </x:c>
      <x:c r="L49" s="48" t="n">
        <x:v>93.735</x:v>
      </x:c>
      <x:c r="M49" t="str">
        <x:v>C</x:v>
      </x:c>
      <x:c r="N49" t="str">
        <x:v>HISTORY FALLBACK</x:v>
      </x:c>
    </x:row>
    <x:row r="50">
      <x:c r="A50" t="n">
        <x:v>46</x:v>
      </x:c>
      <x:c r="B50" t="str">
        <x:v>WR</x:v>
      </x:c>
      <x:c r="C50" t="n">
        <x:v>20</x:v>
      </x:c>
      <x:c r="D50" t="str">
        <x:v>Jaylen Waddle</x:v>
      </x:c>
      <x:c r="E50" s="48" t="n">
        <x:v>85.44129166666667</x:v>
      </x:c>
      <x:c r="F50" s="48" t="n">
        <x:v>82.3175</x:v>
      </x:c>
      <x:c r="G50" s="48" t="n">
        <x:v>10.427499999999995</x:v>
      </x:c>
      <x:c r="H50" s="48" t="n">
        <x:v>67.77777777777779</x:v>
      </x:c>
      <x:c r="I50" s="48" t="n">
        <x:v>77.1</x:v>
      </x:c>
      <x:c r="J50" s="48" t="n">
        <x:v>31.099999999999994</x:v>
      </x:c>
      <x:c r="K50" s="48" t="n">
        <x:v>70.3175</x:v>
      </x:c>
      <x:c r="L50" s="48" t="n">
        <x:v>94.3175</x:v>
      </x:c>
      <x:c r="M50" t="str">
        <x:v>C</x:v>
      </x:c>
      <x:c r="N50" t="str">
        <x:v>HISTORY FALLBACK</x:v>
      </x:c>
    </x:row>
    <x:row r="51">
      <x:c r="A51" t="n">
        <x:v>47</x:v>
      </x:c>
      <x:c r="B51" t="str">
        <x:v>WR</x:v>
      </x:c>
      <x:c r="C51" t="n">
        <x:v>22</x:v>
      </x:c>
      <x:c r="D51" t="str">
        <x:v>Ladd McConkey</x:v>
      </x:c>
      <x:c r="E51" s="48" t="n">
        <x:v>85.002875</x:v>
      </x:c>
      <x:c r="F51" s="48" t="n">
        <x:v>82.7325</x:v>
      </x:c>
      <x:c r="G51" s="48" t="n">
        <x:v>10.842500000000001</x:v>
      </x:c>
      <x:c r="H51" s="48" t="n">
        <x:v>63.333333333333336</x:v>
      </x:c>
      <x:c r="I51" s="48" t="n">
        <x:v>84.89999999999999</x:v>
      </x:c>
      <x:c r="J51" s="48" t="n">
        <x:v>37.89999999999999</x:v>
      </x:c>
      <x:c r="K51" s="48" t="n">
        <x:v>73.7325</x:v>
      </x:c>
      <x:c r="L51" s="48" t="n">
        <x:v>91.7325</x:v>
      </x:c>
      <x:c r="M51" t="str">
        <x:v>B</x:v>
      </x:c>
      <x:c r="N51" t="str">
        <x:v>HISTORY FALLBACK</x:v>
      </x:c>
    </x:row>
    <x:row r="52">
      <x:c r="A52" t="n">
        <x:v>48</x:v>
      </x:c>
      <x:c r="B52" t="str">
        <x:v>TE</x:v>
      </x:c>
      <x:c r="C52" t="n">
        <x:v>5</x:v>
      </x:c>
      <x:c r="D52" t="str">
        <x:v>George Kittle</x:v>
      </x:c>
      <x:c r="E52" s="48" t="n">
        <x:v>84.60416431608257</x:v>
      </x:c>
      <x:c r="F52" s="48" t="n">
        <x:v>86.26638054791886</x:v>
      </x:c>
      <x:c r="G52" s="48" t="n">
        <x:v>6.348269879976655</x:v>
      </x:c>
      <x:c r="H52" s="48" t="n">
        <x:v>71.53846153846155</x:v>
      </x:c>
      <x:c r="I52" s="48" t="n">
        <x:v>53</x:v>
      </x:c>
      <x:c r="J52" s="48" t="n">
        <x:v>5</x:v>
      </x:c>
      <x:c r="K52" s="48" t="n">
        <x:v>77.26638054791886</x:v>
      </x:c>
      <x:c r="L52" s="48" t="n">
        <x:v>95.26638054791886</x:v>
      </x:c>
      <x:c r="M52" t="str">
        <x:v>B</x:v>
      </x:c>
      <x:c r="N52" t="str">
        <x:v>RATE-ADJUSTED VETERAN</x:v>
      </x:c>
    </x:row>
    <x:row r="53">
      <x:c r="A53" t="n">
        <x:v>49</x:v>
      </x:c>
      <x:c r="B53" t="str">
        <x:v>QB</x:v>
      </x:c>
      <x:c r="C53" t="n">
        <x:v>4</x:v>
      </x:c>
      <x:c r="D53" t="str">
        <x:v>Justin Herbert</x:v>
      </x:c>
      <x:c r="E53" s="48" t="n">
        <x:v>84.02126630289213</x:v>
      </x:c>
      <x:c r="F53" s="48" t="n">
        <x:v>90.11691162251876</x:v>
      </x:c>
      <x:c r="G53" s="48" t="n">
        <x:v>5.42480956566618</x:v>
      </x:c>
      <x:c r="H53" s="48" t="n">
        <x:v>84.61538461538461</x:v>
      </x:c>
      <x:c r="I53" s="48" t="n">
        <x:v>46</x:v>
      </x:c>
      <x:c r="J53" s="48" t="n">
        <x:v>-3</x:v>
      </x:c>
      <x:c r="K53" s="48" t="n">
        <x:v>84.11691162251876</x:v>
      </x:c>
      <x:c r="L53" s="48" t="n">
        <x:v>96.11691162251876</x:v>
      </x:c>
      <x:c r="M53" t="str">
        <x:v>A</x:v>
      </x:c>
      <x:c r="N53" t="str">
        <x:v>RATE-ADJUSTED VETERAN</x:v>
      </x:c>
    </x:row>
    <x:row r="54">
      <x:c r="A54" t="n">
        <x:v>50</x:v>
      </x:c>
      <x:c r="B54" t="str">
        <x:v>WR</x:v>
      </x:c>
      <x:c r="C54" t="n">
        <x:v>21</x:v>
      </x:c>
      <x:c r="D54" t="str">
        <x:v>Terry McLaurin</x:v>
      </x:c>
      <x:c r="E54" s="48" t="n">
        <x:v>83.19633333333334</x:v>
      </x:c>
      <x:c r="F54" s="48" t="n">
        <x:v>79.9</x:v>
      </x:c>
      <x:c r="G54" s="48" t="n">
        <x:v>8.010000000000005</x:v>
      </x:c>
      <x:c r="H54" s="48" t="n">
        <x:v>65.55555555555556</x:v>
      </x:c>
      <x:c r="I54" s="48" t="n">
        <x:v>81</x:v>
      </x:c>
      <x:c r="J54" s="48" t="n">
        <x:v>31</x:v>
      </x:c>
      <x:c r="K54" s="48" t="n">
        <x:v>67.9</x:v>
      </x:c>
      <x:c r="L54" s="48" t="n">
        <x:v>91.9</x:v>
      </x:c>
      <x:c r="M54" t="str">
        <x:v>C</x:v>
      </x:c>
      <x:c r="N54" t="str">
        <x:v>HISTORY FALLBACK</x:v>
      </x:c>
    </x:row>
    <x:row r="55">
      <x:c r="A55" t="n">
        <x:v>51</x:v>
      </x:c>
      <x:c r="B55" t="str">
        <x:v>TE</x:v>
      </x:c>
      <x:c r="C55" t="n">
        <x:v>6</x:v>
      </x:c>
      <x:c r="D55" t="str">
        <x:v>Kyle Pitts Sr.</x:v>
      </x:c>
      <x:c r="E55" s="48" t="n">
        <x:v>81.6513426021846</x:v>
      </x:c>
      <x:c r="F55" s="48" t="n">
        <x:v>85.30445968766767</x:v>
      </x:c>
      <x:c r="G55" s="48" t="n">
        <x:v>5.386349019725472</x:v>
      </x:c>
      <x:c r="H55" s="48" t="n">
        <x:v>66.92307692307693</x:v>
      </x:c>
      <x:c r="I55" s="48" t="n">
        <x:v>62</x:v>
      </x:c>
      <x:c r="J55" s="48" t="n">
        <x:v>11</x:v>
      </x:c>
      <x:c r="K55" s="48" t="n">
        <x:v>79.30445968766767</x:v>
      </x:c>
      <x:c r="L55" s="48" t="n">
        <x:v>91.30445968766767</x:v>
      </x:c>
      <x:c r="M55" t="str">
        <x:v>A</x:v>
      </x:c>
      <x:c r="N55" t="str">
        <x:v>RATE-ADJUSTED VETERAN</x:v>
      </x:c>
    </x:row>
    <x:row r="56">
      <x:c r="A56" t="n">
        <x:v>52</x:v>
      </x:c>
      <x:c r="B56" t="str">
        <x:v>RB</x:v>
      </x:c>
      <x:c r="C56" t="n">
        <x:v>20</x:v>
      </x:c>
      <x:c r="D56" t="str">
        <x:v>D'Andre Swift</x:v>
      </x:c>
      <x:c r="E56" s="48" t="n">
        <x:v>80.96593107544429</x:v>
      </x:c>
      <x:c r="F56" s="48" t="n">
        <x:v>79.98556548600793</x:v>
      </x:c>
      <x:c r="G56" s="48" t="n">
        <x:v>6.417775032299957</x:v>
      </x:c>
      <x:c r="H56" s="48" t="n">
        <x:v>69.47916666666667</x:v>
      </x:c>
      <x:c r="I56" s="48" t="n">
        <x:v>81.8</x:v>
      </x:c>
      <x:c r="J56" s="48" t="n">
        <x:v>29.799999999999997</x:v>
      </x:c>
      <x:c r="K56" s="48" t="n">
        <x:v>73.98556548600793</x:v>
      </x:c>
      <x:c r="L56" s="48" t="n">
        <x:v>85.98556548600793</x:v>
      </x:c>
      <x:c r="M56" t="str">
        <x:v>A</x:v>
      </x:c>
      <x:c r="N56" t="str">
        <x:v>RATE-ADJUSTED VETERAN</x:v>
      </x:c>
    </x:row>
    <x:row r="57">
      <x:c r="A57" t="n">
        <x:v>53</x:v>
      </x:c>
      <x:c r="B57" t="str">
        <x:v>RB</x:v>
      </x:c>
      <x:c r="C57" t="n">
        <x:v>21</x:v>
      </x:c>
      <x:c r="D57" t="str">
        <x:v>Bucky Irving</x:v>
      </x:c>
      <x:c r="E57" s="48" t="n">
        <x:v>80.48885491978055</x:v>
      </x:c>
      <x:c r="F57" s="48" t="n">
        <x:v>79.93547988785315</x:v>
      </x:c>
      <x:c r="G57" s="48" t="n">
        <x:v>6.367689434145177</x:v>
      </x:c>
      <x:c r="H57" s="48" t="n">
        <x:v>67.08333333333333</x:v>
      </x:c>
      <x:c r="I57" s="48" t="n">
        <x:v>86</x:v>
      </x:c>
      <x:c r="J57" s="48" t="n">
        <x:v>33</x:v>
      </x:c>
      <x:c r="K57" s="48" t="n">
        <x:v>70.93547988785315</x:v>
      </x:c>
      <x:c r="L57" s="48" t="n">
        <x:v>88.93547988785315</x:v>
      </x:c>
      <x:c r="M57" t="str">
        <x:v>B</x:v>
      </x:c>
      <x:c r="N57" t="str">
        <x:v>RATE-ADJUSTED VETERAN</x:v>
      </x:c>
    </x:row>
    <x:row r="58">
      <x:c r="A58" t="n">
        <x:v>54</x:v>
      </x:c>
      <x:c r="B58" t="str">
        <x:v>RB</x:v>
      </x:c>
      <x:c r="C58" t="n">
        <x:v>22</x:v>
      </x:c>
      <x:c r="D58" t="str">
        <x:v>Quinshon Judkins</x:v>
      </x:c>
      <x:c r="E58" s="48" t="n">
        <x:v>80.11736482623832</x:v>
      </x:c>
      <x:c r="F58" s="48" t="n">
        <x:v>79.930324528899</x:v>
      </x:c>
      <x:c r="G58" s="48" t="n">
        <x:v>6.362534075191036</x:v>
      </x:c>
      <x:c r="H58" s="48" t="n">
        <x:v>64.6875</x:v>
      </x:c>
      <x:c r="I58" s="48" t="n">
        <x:v>90.2</x:v>
      </x:c>
      <x:c r="J58" s="48" t="n">
        <x:v>36.2</x:v>
      </x:c>
      <x:c r="K58" s="48" t="n">
        <x:v>73.930324528899</x:v>
      </x:c>
      <x:c r="L58" s="48" t="n">
        <x:v>85.930324528899</x:v>
      </x:c>
      <x:c r="M58" t="str">
        <x:v>A</x:v>
      </x:c>
      <x:c r="N58" t="str">
        <x:v>RATE-ADJUSTED VETERAN</x:v>
      </x:c>
    </x:row>
    <x:row r="59">
      <x:c r="A59" t="n">
        <x:v>55</x:v>
      </x:c>
      <x:c r="B59" t="str">
        <x:v>QB</x:v>
      </x:c>
      <x:c r="C59" t="n">
        <x:v>5</x:v>
      </x:c>
      <x:c r="D59" t="str">
        <x:v>Lamar Jackson</x:v>
      </x:c>
      <x:c r="E59" s="48" t="n">
        <x:v>79.9485747034922</x:v>
      </x:c>
      <x:c r="F59" s="48" t="n">
        <x:v>88.71118360968082</x:v>
      </x:c>
      <x:c r="G59" s="48" t="n">
        <x:v>4.01908155282824</x:v>
      </x:c>
      <x:c r="H59" s="48" t="n">
        <x:v>79.48717948717949</x:v>
      </x:c>
      <x:c r="I59" s="48" t="n">
        <x:v>54</x:v>
      </x:c>
      <x:c r="J59" s="48" t="n">
        <x:v>-1</x:v>
      </x:c>
      <x:c r="K59" s="48" t="n">
        <x:v>82.71118360968082</x:v>
      </x:c>
      <x:c r="L59" s="48" t="n">
        <x:v>94.71118360968082</x:v>
      </x:c>
      <x:c r="M59" t="str">
        <x:v>A</x:v>
      </x:c>
      <x:c r="N59" t="str">
        <x:v>RATE-ADJUSTED VETERAN</x:v>
      </x:c>
    </x:row>
    <x:row r="60">
      <x:c r="A60" t="n">
        <x:v>56</x:v>
      </x:c>
      <x:c r="B60" t="str">
        <x:v>WR</x:v>
      </x:c>
      <x:c r="C60" t="n">
        <x:v>24</x:v>
      </x:c>
      <x:c r="D60" t="str">
        <x:v>Luther Burden III</x:v>
      </x:c>
      <x:c r="E60" s="48" t="n">
        <x:v>79.25295833333335</x:v>
      </x:c>
      <x:c r="F60" s="48" t="n">
        <x:v>78.64750000000001</x:v>
      </x:c>
      <x:c r="G60" s="48" t="n">
        <x:v>6.757500000000007</x:v>
      </x:c>
      <x:c r="H60" s="48" t="n">
        <x:v>58.88888888888889</x:v>
      </x:c>
      <x:c r="I60" s="48" t="n">
        <x:v>92.7</x:v>
      </x:c>
      <x:c r="J60" s="48" t="n">
        <x:v>36.7</x:v>
      </x:c>
      <x:c r="K60" s="48" t="n">
        <x:v>66.64750000000001</x:v>
      </x:c>
      <x:c r="L60" s="48" t="n">
        <x:v>90.64750000000001</x:v>
      </x:c>
      <x:c r="M60" t="str">
        <x:v>C</x:v>
      </x:c>
      <x:c r="N60" t="str">
        <x:v>HISTORY FALLBACK</x:v>
      </x:c>
    </x:row>
    <x:row r="61">
      <x:c r="A61" t="n">
        <x:v>57</x:v>
      </x:c>
      <x:c r="B61" t="str">
        <x:v>TE</x:v>
      </x:c>
      <x:c r="C61" t="n">
        <x:v>7</x:v>
      </x:c>
      <x:c r="D61" t="str">
        <x:v>Harold Fannin Jr.</x:v>
      </x:c>
      <x:c r="E61" s="48" t="n">
        <x:v>78.78112393050557</x:v>
      </x:c>
      <x:c r="F61" s="48" t="n">
        <x:v>84.37768905814795</x:v>
      </x:c>
      <x:c r="G61" s="48" t="n">
        <x:v>4.459578390205749</x:v>
      </x:c>
      <x:c r="H61" s="48" t="n">
        <x:v>62.30769230769231</x:v>
      </x:c>
      <x:c r="I61" s="48" t="n">
        <x:v>71</x:v>
      </x:c>
      <x:c r="J61" s="48" t="n">
        <x:v>14</x:v>
      </x:c>
      <x:c r="K61" s="48" t="n">
        <x:v>78.37768905814795</x:v>
      </x:c>
      <x:c r="L61" s="48" t="n">
        <x:v>90.37768905814795</x:v>
      </x:c>
      <x:c r="M61" t="str">
        <x:v>A</x:v>
      </x:c>
      <x:c r="N61" t="str">
        <x:v>RATE-ADJUSTED VETERAN</x:v>
      </x:c>
    </x:row>
    <x:row r="62">
      <x:c r="A62" t="n">
        <x:v>58</x:v>
      </x:c>
      <x:c r="B62" t="str">
        <x:v>QB</x:v>
      </x:c>
      <x:c r="C62" t="n">
        <x:v>6</x:v>
      </x:c>
      <x:c r="D62" t="str">
        <x:v>Jalen Hurts</x:v>
      </x:c>
      <x:c r="E62" s="48" t="n">
        <x:v>78.5653882576498</x:v>
      </x:c>
      <x:c r="F62" s="48" t="n">
        <x:v>88.44992587495246</x:v>
      </x:c>
      <x:c r="G62" s="48" t="n">
        <x:v>3.7578238180998795</x:v>
      </x:c>
      <x:c r="H62" s="48" t="n">
        <x:v>74.35897435897436</x:v>
      </x:c>
      <x:c r="I62" s="48" t="n">
        <x:v>62</x:v>
      </x:c>
      <x:c r="J62" s="48" t="n">
        <x:v>4</x:v>
      </x:c>
      <x:c r="K62" s="48" t="n">
        <x:v>82.44992587495246</x:v>
      </x:c>
      <x:c r="L62" s="48" t="n">
        <x:v>94.44992587495246</x:v>
      </x:c>
      <x:c r="M62" t="str">
        <x:v>A</x:v>
      </x:c>
      <x:c r="N62" t="str">
        <x:v>RATE-ADJUSTED VETERAN</x:v>
      </x:c>
    </x:row>
    <x:row r="63">
      <x:c r="A63" t="n">
        <x:v>59</x:v>
      </x:c>
      <x:c r="B63" t="str">
        <x:v>WR</x:v>
      </x:c>
      <x:c r="C63" t="n">
        <x:v>23</x:v>
      </x:c>
      <x:c r="D63" t="str">
        <x:v>Davante Adams</x:v>
      </x:c>
      <x:c r="E63" s="48" t="n">
        <x:v>78.21741666666667</x:v>
      </x:c>
      <x:c r="F63" s="48" t="n">
        <x:v>78.065</x:v>
      </x:c>
      <x:c r="G63" s="48" t="n">
        <x:v>6.174999999999997</x:v>
      </x:c>
      <x:c r="H63" s="48" t="n">
        <x:v>61.111111111111114</x:v>
      </x:c>
      <x:c r="I63" s="48" t="n">
        <x:v>88.8</x:v>
      </x:c>
      <x:c r="J63" s="48" t="n">
        <x:v>29.799999999999997</x:v>
      </x:c>
      <x:c r="K63" s="48" t="n">
        <x:v>66.065</x:v>
      </x:c>
      <x:c r="L63" s="48" t="n">
        <x:v>90.065</x:v>
      </x:c>
      <x:c r="M63" t="str">
        <x:v>C</x:v>
      </x:c>
      <x:c r="N63" t="str">
        <x:v>HISTORY FALLBACK</x:v>
      </x:c>
    </x:row>
    <x:row r="64">
      <x:c r="A64" t="n">
        <x:v>60</x:v>
      </x:c>
      <x:c r="B64" t="str">
        <x:v>TE</x:v>
      </x:c>
      <x:c r="C64" t="n">
        <x:v>8</x:v>
      </x:c>
      <x:c r="D64" t="str">
        <x:v>Jake Ferguson</x:v>
      </x:c>
      <x:c r="E64" s="48" t="n">
        <x:v>77.37282198674004</x:v>
      </x:c>
      <x:c r="F64" s="48" t="n">
        <x:v>84.07301065327228</x:v>
      </x:c>
      <x:c r="G64" s="48" t="n">
        <x:v>4.154899985330076</x:v>
      </x:c>
      <x:c r="H64" s="48" t="n">
        <x:v>57.69230769230769</x:v>
      </x:c>
      <x:c r="I64" s="48" t="n">
        <x:v>80</x:v>
      </x:c>
      <x:c r="J64" s="48" t="n">
        <x:v>20</x:v>
      </x:c>
      <x:c r="K64" s="48" t="n">
        <x:v>78.07301065327228</x:v>
      </x:c>
      <x:c r="L64" s="48" t="n">
        <x:v>90.07301065327228</x:v>
      </x:c>
      <x:c r="M64" t="str">
        <x:v>A</x:v>
      </x:c>
      <x:c r="N64" t="str">
        <x:v>RATE-ADJUSTED VETERAN</x:v>
      </x:c>
    </x:row>
    <x:row r="65">
      <x:c r="A65" t="n">
        <x:v>61</x:v>
      </x:c>
      <x:c r="B65" t="str">
        <x:v>TE</x:v>
      </x:c>
      <x:c r="C65" t="n">
        <x:v>9</x:v>
      </x:c>
      <x:c r="D65" t="str">
        <x:v>Tucker Kraft</x:v>
      </x:c>
      <x:c r="E65" s="48" t="n">
        <x:v>76.05921200600817</x:v>
      </x:c>
      <x:c r="F65" s="48" t="n">
        <x:v>83.80862670075135</x:v>
      </x:c>
      <x:c r="G65" s="48" t="n">
        <x:v>3.8905160328091455</x:v>
      </x:c>
      <x:c r="H65" s="48" t="n">
        <x:v>53.07692307692308</x:v>
      </x:c>
      <x:c r="I65" s="48" t="n">
        <x:v>89</x:v>
      </x:c>
      <x:c r="J65" s="48" t="n">
        <x:v>28</x:v>
      </x:c>
      <x:c r="K65" s="48" t="n">
        <x:v>74.80862670075135</x:v>
      </x:c>
      <x:c r="L65" s="48" t="n">
        <x:v>92.80862670075135</x:v>
      </x:c>
      <x:c r="M65" t="str">
        <x:v>B</x:v>
      </x:c>
      <x:c r="N65" t="str">
        <x:v>RATE-ADJUSTED VETERAN</x:v>
      </x:c>
    </x:row>
    <x:row r="66">
      <x:c r="A66" t="n">
        <x:v>62</x:v>
      </x:c>
      <x:c r="B66" t="str">
        <x:v>RB</x:v>
      </x:c>
      <x:c r="C66" t="n">
        <x:v>23</x:v>
      </x:c>
      <x:c r="D66" t="str">
        <x:v>David Montgomery</x:v>
      </x:c>
      <x:c r="E66" s="48" t="n">
        <x:v>75.01068446305266</x:v>
      </x:c>
      <x:c r="F66" s="48" t="n">
        <x:v>77.91019458711787</x:v>
      </x:c>
      <x:c r="G66" s="48" t="n">
        <x:v>4.3424041334099</x:v>
      </x:c>
      <x:c r="H66" s="48" t="n">
        <x:v>62.291666666666664</x:v>
      </x:c>
      <x:c r="I66" s="48" t="n">
        <x:v>94.4</x:v>
      </x:c>
      <x:c r="J66" s="48" t="n">
        <x:v>32.400000000000006</x:v>
      </x:c>
      <x:c r="K66" s="48" t="n">
        <x:v>71.91019458711787</x:v>
      </x:c>
      <x:c r="L66" s="48" t="n">
        <x:v>83.91019458711787</x:v>
      </x:c>
      <x:c r="M66" t="str">
        <x:v>A</x:v>
      </x:c>
      <x:c r="N66" t="str">
        <x:v>RATE-ADJUSTED VETERAN</x:v>
      </x:c>
    </x:row>
    <x:row r="67">
      <x:c r="A67" t="n">
        <x:v>63</x:v>
      </x:c>
      <x:c r="B67" t="str">
        <x:v>RB</x:v>
      </x:c>
      <x:c r="C67" t="n">
        <x:v>24</x:v>
      </x:c>
      <x:c r="D67" t="str">
        <x:v>TreVeyon Henderson</x:v>
      </x:c>
      <x:c r="E67" s="48" t="n">
        <x:v>74.46871942026004</x:v>
      </x:c>
      <x:c r="F67" s="48" t="n">
        <x:v>77.83249669656783</x:v>
      </x:c>
      <x:c r="G67" s="48" t="n">
        <x:v>4.264706242859859</x:v>
      </x:c>
      <x:c r="H67" s="48" t="n">
        <x:v>59.89583333333332</x:v>
      </x:c>
      <x:c r="I67" s="48" t="n">
        <x:v>98.60000000000001</x:v>
      </x:c>
      <x:c r="J67" s="48" t="n">
        <x:v>35.60000000000001</x:v>
      </x:c>
      <x:c r="K67" s="48" t="n">
        <x:v>71.83249669656783</x:v>
      </x:c>
      <x:c r="L67" s="48" t="n">
        <x:v>83.83249669656783</x:v>
      </x:c>
      <x:c r="M67" t="str">
        <x:v>A</x:v>
      </x:c>
      <x:c r="N67" t="str">
        <x:v>RATE-ADJUSTED VETERAN</x:v>
      </x:c>
    </x:row>
    <x:row r="68">
      <x:c r="A68" t="n">
        <x:v>64</x:v>
      </x:c>
      <x:c r="B68" t="str">
        <x:v>QB</x:v>
      </x:c>
      <x:c r="C68" t="n">
        <x:v>7</x:v>
      </x:c>
      <x:c r="D68" t="str">
        <x:v>Patrick Mahomes II</x:v>
      </x:c>
      <x:c r="E68" s="48" t="n">
        <x:v>74.40364656182643</x:v>
      </x:c>
      <x:c r="F68" s="48" t="n">
        <x:v>87.00630420406199</x:v>
      </x:c>
      <x:c r="G68" s="48" t="n">
        <x:v>2.3142021472094143</x:v>
      </x:c>
      <x:c r="H68" s="48" t="n">
        <x:v>69.23076923076923</x:v>
      </x:c>
      <x:c r="I68" s="48" t="n">
        <x:v>70</x:v>
      </x:c>
      <x:c r="J68" s="48" t="n">
        <x:v>6</x:v>
      </x:c>
      <x:c r="K68" s="48" t="n">
        <x:v>81.00630420406199</x:v>
      </x:c>
      <x:c r="L68" s="48" t="n">
        <x:v>93.00630420406199</x:v>
      </x:c>
      <x:c r="M68" t="str">
        <x:v>A</x:v>
      </x:c>
      <x:c r="N68" t="str">
        <x:v>RATE-ADJUSTED VETERAN</x:v>
      </x:c>
    </x:row>
    <x:row r="69">
      <x:c r="A69" t="n">
        <x:v>65</x:v>
      </x:c>
      <x:c r="B69" t="str">
        <x:v>TE</x:v>
      </x:c>
      <x:c r="C69" t="n">
        <x:v>10</x:v>
      </x:c>
      <x:c r="D69" t="str">
        <x:v>Sam LaPorta</x:v>
      </x:c>
      <x:c r="E69" s="48" t="n">
        <x:v>73.15006298576627</x:v>
      </x:c>
      <x:c r="F69" s="48" t="n">
        <x:v>82.86528996546019</x:v>
      </x:c>
      <x:c r="G69" s="48" t="n">
        <x:v>2.947179297517991</x:v>
      </x:c>
      <x:c r="H69" s="48" t="n">
        <x:v>48.46153846153846</x:v>
      </x:c>
      <x:c r="I69" s="48" t="n">
        <x:v>98</x:v>
      </x:c>
      <x:c r="J69" s="48" t="n">
        <x:v>33</x:v>
      </x:c>
      <x:c r="K69" s="48" t="n">
        <x:v>73.86528996546019</x:v>
      </x:c>
      <x:c r="L69" s="48" t="n">
        <x:v>91.86528996546019</x:v>
      </x:c>
      <x:c r="M69" t="str">
        <x:v>B</x:v>
      </x:c>
      <x:c r="N69" t="str">
        <x:v>RATE-ADJUSTED VETERAN</x:v>
      </x:c>
    </x:row>
    <x:row r="70">
      <x:c r="A70" t="n">
        <x:v>66</x:v>
      </x:c>
      <x:c r="B70" t="str">
        <x:v>QB</x:v>
      </x:c>
      <x:c r="C70" t="n">
        <x:v>8</x:v>
      </x:c>
      <x:c r="D70" t="str">
        <x:v>Jayden Daniels</x:v>
      </x:c>
      <x:c r="E70" s="48" t="n">
        <x:v>72.91534464016138</x:v>
      </x:c>
      <x:c r="F70" s="48" t="n">
        <x:v>86.70031647962188</x:v>
      </x:c>
      <x:c r="G70" s="48" t="n">
        <x:v>2.0082144227692993</x:v>
      </x:c>
      <x:c r="H70" s="48" t="n">
        <x:v>64.1025641025641</x:v>
      </x:c>
      <x:c r="I70" s="48" t="n">
        <x:v>78</x:v>
      </x:c>
      <x:c r="J70" s="48" t="n">
        <x:v>12</x:v>
      </x:c>
      <x:c r="K70" s="48" t="n">
        <x:v>77.70031647962188</x:v>
      </x:c>
      <x:c r="L70" s="48" t="n">
        <x:v>95.70031647962188</x:v>
      </x:c>
      <x:c r="M70" t="str">
        <x:v>B</x:v>
      </x:c>
      <x:c r="N70" t="str">
        <x:v>RATE-ADJUSTED VETERAN</x:v>
      </x:c>
    </x:row>
    <x:row r="71">
      <x:c r="A71" t="n">
        <x:v>67</x:v>
      </x:c>
      <x:c r="B71" t="str">
        <x:v>WR</x:v>
      </x:c>
      <x:c r="C71" t="n">
        <x:v>28</x:v>
      </x:c>
      <x:c r="D71" t="str">
        <x:v>Mike Evans</x:v>
      </x:c>
      <x:c r="E71" s="48" t="n">
        <x:v>72.82012499999998</x:v>
      </x:c>
      <x:c r="F71" s="48" t="n">
        <x:v>76.47749999999999</x:v>
      </x:c>
      <x:c r="G71" s="48" t="n">
        <x:v>4.5874999999999915</x:v>
      </x:c>
      <x:c r="H71" s="48" t="n">
        <x:v>50.00000000000001</x:v>
      </x:c>
      <x:c r="I71" s="48" t="n">
        <x:v>108.3</x:v>
      </x:c>
      <x:c r="J71" s="48" t="n">
        <x:v>41.3</x:v>
      </x:c>
      <x:c r="K71" s="48" t="n">
        <x:v>64.47749999999999</x:v>
      </x:c>
      <x:c r="L71" s="48" t="n">
        <x:v>88.47749999999999</x:v>
      </x:c>
      <x:c r="M71" t="str">
        <x:v>C</x:v>
      </x:c>
      <x:c r="N71" t="str">
        <x:v>HISTORY FALLBACK</x:v>
      </x:c>
    </x:row>
    <x:row r="72">
      <x:c r="A72" t="n">
        <x:v>68</x:v>
      </x:c>
      <x:c r="B72" t="str">
        <x:v>WR</x:v>
      </x:c>
      <x:c r="C72" t="n">
        <x:v>26</x:v>
      </x:c>
      <x:c r="D72" t="str">
        <x:v>Jameson Williams</x:v>
      </x:c>
      <x:c r="E72" s="48" t="n">
        <x:v>72.51154166666667</x:v>
      </x:c>
      <x:c r="F72" s="48" t="n">
        <x:v>76.0625</x:v>
      </x:c>
      <x:c r="G72" s="48" t="n">
        <x:v>4.172499999999999</x:v>
      </x:c>
      <x:c r="H72" s="48" t="n">
        <x:v>54.44444444444445</x:v>
      </x:c>
      <x:c r="I72" s="48" t="n">
        <x:v>100.5</x:v>
      </x:c>
      <x:c r="J72" s="48" t="n">
        <x:v>32.5</x:v>
      </x:c>
      <x:c r="K72" s="48" t="n">
        <x:v>64.0625</x:v>
      </x:c>
      <x:c r="L72" s="48" t="n">
        <x:v>88.0625</x:v>
      </x:c>
      <x:c r="M72" t="str">
        <x:v>C</x:v>
      </x:c>
      <x:c r="N72" t="str">
        <x:v>HISTORY FALLBACK</x:v>
      </x:c>
    </x:row>
    <x:row r="73">
      <x:c r="A73" t="n">
        <x:v>69</x:v>
      </x:c>
      <x:c r="B73" t="str">
        <x:v>K</x:v>
      </x:c>
      <x:c r="C73" t="n">
        <x:v>1</x:v>
      </x:c>
      <x:c r="D73" t="str">
        <x:v>Brandon Aubrey</x:v>
      </x:c>
      <x:c r="E73" s="48" t="n">
        <x:v>71.95</x:v>
      </x:c>
      <x:c r="F73" s="48" t="n">
        <x:v>94</x:v>
      </x:c>
      <x:c r="G73" s="48" t="n">
        <x:v>19.799999999999997</x:v>
      </x:c>
      <x:c r="H73" s="48" t="n">
        <x:v>55.00000000000001</x:v>
      </x:c>
      <x:c r="I73" s="48" t="n">
        <x:v>155</x:v>
      </x:c>
      <x:c r="J73" s="48" t="n">
        <x:v>86</x:v>
      </x:c>
      <x:c r="K73" s="48" t="n">
        <x:v>88</x:v>
      </x:c>
      <x:c r="L73" s="48" t="n">
        <x:v>99</x:v>
      </x:c>
      <x:c r="M73" t="str">
        <x:v>B</x:v>
      </x:c>
      <x:c r="N73" t="str">
        <x:v>KICKER MODEL</x:v>
      </x:c>
    </x:row>
    <x:row r="74">
      <x:c r="A74" t="n">
        <x:v>70</x:v>
      </x:c>
      <x:c r="B74" t="str">
        <x:v>WR</x:v>
      </x:c>
      <x:c r="C74" t="n">
        <x:v>25</x:v>
      </x:c>
      <x:c r="D74" t="str">
        <x:v>DJ Moore</x:v>
      </x:c>
      <x:c r="E74" s="48" t="n">
        <x:v>71.47600000000001</x:v>
      </x:c>
      <x:c r="F74" s="48" t="n">
        <x:v>75.48</x:v>
      </x:c>
      <x:c r="G74" s="48" t="n">
        <x:v>3.5900000000000034</x:v>
      </x:c>
      <x:c r="H74" s="48" t="n">
        <x:v>56.66666666666667</x:v>
      </x:c>
      <x:c r="I74" s="48" t="n">
        <x:v>96.6</x:v>
      </x:c>
      <x:c r="J74" s="48" t="n">
        <x:v>26.599999999999994</x:v>
      </x:c>
      <x:c r="K74" s="48" t="n">
        <x:v>63.480000000000004</x:v>
      </x:c>
      <x:c r="L74" s="48" t="n">
        <x:v>87.48</x:v>
      </x:c>
      <x:c r="M74" t="str">
        <x:v>C</x:v>
      </x:c>
      <x:c r="N74" t="str">
        <x:v>HISTORY FALLBACK</x:v>
      </x:c>
    </x:row>
    <x:row r="75">
      <x:c r="A75" t="n">
        <x:v>71</x:v>
      </x:c>
      <x:c r="B75" t="str">
        <x:v>RB</x:v>
      </x:c>
      <x:c r="C75" t="n">
        <x:v>25</x:v>
      </x:c>
      <x:c r="D75" t="str">
        <x:v>Jadarian Price</x:v>
      </x:c>
      <x:c r="E75" s="48" t="n">
        <x:v>71.35909612218366</x:v>
      </x:c>
      <x:c r="F75" s="48" t="n">
        <x:v>76.66217827185447</x:v>
      </x:c>
      <x:c r="G75" s="48" t="n">
        <x:v>3.094387818146501</x:v>
      </x:c>
      <x:c r="H75" s="48" t="n">
        <x:v>57.49999999999999</x:v>
      </x:c>
      <x:c r="I75" s="48" t="n">
        <x:v>102.80000000000001</x:v>
      </x:c>
      <x:c r="J75" s="48" t="n">
        <x:v>31.80000000000001</x:v>
      </x:c>
      <x:c r="K75" s="48" t="n">
        <x:v>67.66217827185447</x:v>
      </x:c>
      <x:c r="L75" s="48" t="n">
        <x:v>85.66217827185447</x:v>
      </x:c>
      <x:c r="M75" t="str">
        <x:v>B</x:v>
      </x:c>
      <x:c r="N75" t="str">
        <x:v>ROOKIE ENGINE</x:v>
      </x:c>
    </x:row>
    <x:row r="76">
      <x:c r="A76" t="n">
        <x:v>72</x:v>
      </x:c>
      <x:c r="B76" t="str">
        <x:v>TE</x:v>
      </x:c>
      <x:c r="C76" t="n">
        <x:v>11</x:v>
      </x:c>
      <x:c r="D76" t="str">
        <x:v>Dalton Kincaid</x:v>
      </x:c>
      <x:c r="E76" s="48" t="n">
        <x:v>70.22244342444118</x:v>
      </x:c>
      <x:c r="F76" s="48" t="n">
        <x:v>81.91409342545279</x:v>
      </x:c>
      <x:c r="G76" s="48" t="n">
        <x:v>1.995982757510589</x:v>
      </x:c>
      <x:c r="H76" s="48" t="n">
        <x:v>43.846153846153854</x:v>
      </x:c>
      <x:c r="I76" s="48" t="n">
        <x:v>107</x:v>
      </x:c>
      <x:c r="J76" s="48" t="n">
        <x:v>35</x:v>
      </x:c>
      <x:c r="K76" s="48" t="n">
        <x:v>75.91409342545279</x:v>
      </x:c>
      <x:c r="L76" s="48" t="n">
        <x:v>87.91409342545279</x:v>
      </x:c>
      <x:c r="M76" t="str">
        <x:v>A</x:v>
      </x:c>
      <x:c r="N76" t="str">
        <x:v>RATE-ADJUSTED VETERAN</x:v>
      </x:c>
    </x:row>
    <x:row r="77">
      <x:c r="A77" t="n">
        <x:v>73</x:v>
      </x:c>
      <x:c r="B77" t="str">
        <x:v>K</x:v>
      </x:c>
      <x:c r="C77" t="n">
        <x:v>2</x:v>
      </x:c>
      <x:c r="D77" t="str">
        <x:v>Ka'imi Fairbairn</x:v>
      </x:c>
      <x:c r="E77" s="48" t="n">
        <x:v>70.19000000000001</x:v>
      </x:c>
      <x:c r="F77" s="48" t="n">
        <x:v>91.8</x:v>
      </x:c>
      <x:c r="G77" s="48" t="n">
        <x:v>17.599999999999994</x:v>
      </x:c>
      <x:c r="H77" s="48" t="n">
        <x:v>51.333333333333336</x:v>
      </x:c>
      <x:c r="I77" s="48" t="n">
        <x:v>160</x:v>
      </x:c>
      <x:c r="J77" s="48" t="n">
        <x:v>87</x:v>
      </x:c>
      <x:c r="K77" s="48" t="n">
        <x:v>85.8</x:v>
      </x:c>
      <x:c r="L77" s="48" t="n">
        <x:v>96.8</x:v>
      </x:c>
      <x:c r="M77" t="str">
        <x:v>B</x:v>
      </x:c>
      <x:c r="N77" t="str">
        <x:v>KICKER MODEL</x:v>
      </x:c>
    </x:row>
    <x:row r="78">
      <x:c r="A78" t="n">
        <x:v>74</x:v>
      </x:c>
      <x:c r="B78" t="str">
        <x:v>WR</x:v>
      </x:c>
      <x:c r="C78" t="n">
        <x:v>35</x:v>
      </x:c>
      <x:c r="D78" t="str">
        <x:v>Jordyn Tyson</x:v>
      </x:c>
      <x:c r="E78" s="48" t="n">
        <x:v>69.88166666666667</x:v>
      </x:c>
      <x:c r="F78" s="48" t="n">
        <x:v>76.22</x:v>
      </x:c>
      <x:c r="G78" s="48" t="n">
        <x:v>4.329999999999998</x:v>
      </x:c>
      <x:c r="H78" s="48" t="n">
        <x:v>34.44444444444445</x:v>
      </x:c>
      <x:c r="I78" s="48" t="n">
        <x:v>135.6</x:v>
      </x:c>
      <x:c r="J78" s="48" t="n">
        <x:v>61.599999999999994</x:v>
      </x:c>
      <x:c r="K78" s="48" t="n">
        <x:v>64.22</x:v>
      </x:c>
      <x:c r="L78" s="48" t="n">
        <x:v>88.22</x:v>
      </x:c>
      <x:c r="M78" t="str">
        <x:v>C</x:v>
      </x:c>
      <x:c r="N78" t="str">
        <x:v>HISTORY FALLBACK</x:v>
      </x:c>
    </x:row>
    <x:row r="79">
      <x:c r="A79" t="n">
        <x:v>75</x:v>
      </x:c>
      <x:c r="B79" t="str">
        <x:v>RB</x:v>
      </x:c>
      <x:c r="C79" t="n">
        <x:v>26</x:v>
      </x:c>
      <x:c r="D79" t="str">
        <x:v>Jaylen Warren</x:v>
      </x:c>
      <x:c r="E79" s="48" t="n">
        <x:v>69.6593030365443</x:v>
      </x:c>
      <x:c r="F79" s="48" t="n">
        <x:v>76.09178759711432</x:v>
      </x:c>
      <x:c r="G79" s="48" t="n">
        <x:v>2.5239971434063477</x:v>
      </x:c>
      <x:c r="H79" s="48" t="n">
        <x:v>55.10416666666666</x:v>
      </x:c>
      <x:c r="I79" s="48" t="n">
        <x:v>107</x:v>
      </x:c>
      <x:c r="J79" s="48" t="n">
        <x:v>32</x:v>
      </x:c>
      <x:c r="K79" s="48" t="n">
        <x:v>70.09178759711432</x:v>
      </x:c>
      <x:c r="L79" s="48" t="n">
        <x:v>82.09178759711432</x:v>
      </x:c>
      <x:c r="M79" t="str">
        <x:v>A</x:v>
      </x:c>
      <x:c r="N79" t="str">
        <x:v>RATE-ADJUSTED VETERAN</x:v>
      </x:c>
    </x:row>
    <x:row r="80">
      <x:c r="A80" t="n">
        <x:v>76</x:v>
      </x:c>
      <x:c r="B80" t="str">
        <x:v>QB</x:v>
      </x:c>
      <x:c r="C80" t="n">
        <x:v>9</x:v>
      </x:c>
      <x:c r="D80" t="str">
        <x:v>Joe Burrow</x:v>
      </x:c>
      <x:c r="E80" s="48" t="n">
        <x:v>69.53984522487252</x:v>
      </x:c>
      <x:c r="F80" s="48" t="n">
        <x:v>85.59126599193758</x:v>
      </x:c>
      <x:c r="G80" s="48" t="n">
        <x:v>0.8991639350849994</x:v>
      </x:c>
      <x:c r="H80" s="48" t="n">
        <x:v>58.97435897435898</x:v>
      </x:c>
      <x:c r="I80" s="48" t="n">
        <x:v>86</x:v>
      </x:c>
      <x:c r="J80" s="48" t="n">
        <x:v>10</x:v>
      </x:c>
      <x:c r="K80" s="48" t="n">
        <x:v>76.59126599193758</x:v>
      </x:c>
      <x:c r="L80" s="48" t="n">
        <x:v>94.59126599193758</x:v>
      </x:c>
      <x:c r="M80" t="str">
        <x:v>B</x:v>
      </x:c>
      <x:c r="N80" t="str">
        <x:v>RATE-ADJUSTED VETERAN</x:v>
      </x:c>
    </x:row>
    <x:row r="81">
      <x:c r="A81" t="n">
        <x:v>77</x:v>
      </x:c>
      <x:c r="B81" t="str">
        <x:v>TE</x:v>
      </x:c>
      <x:c r="C81" t="n">
        <x:v>12</x:v>
      </x:c>
      <x:c r="D81" t="str">
        <x:v>Travis Kelce</x:v>
      </x:c>
      <x:c r="E81" s="48" t="n">
        <x:v>69.13928732808834</x:v>
      </x:c>
      <x:c r="F81" s="48" t="n">
        <x:v>81.74777495564635</x:v>
      </x:c>
      <x:c r="G81" s="48" t="n">
        <x:v>1.8296642877041478</x:v>
      </x:c>
      <x:c r="H81" s="48" t="n">
        <x:v>39.23076923076923</x:v>
      </x:c>
      <x:c r="I81" s="48" t="n">
        <x:v>116</x:v>
      </x:c>
      <x:c r="J81" s="48" t="n">
        <x:v>39</x:v>
      </x:c>
      <x:c r="K81" s="48" t="n">
        <x:v>75.74777495564635</x:v>
      </x:c>
      <x:c r="L81" s="48" t="n">
        <x:v>87.74777495564635</x:v>
      </x:c>
      <x:c r="M81" t="str">
        <x:v>A</x:v>
      </x:c>
      <x:c r="N81" t="str">
        <x:v>RATE-ADJUSTED VETERAN</x:v>
      </x:c>
    </x:row>
    <x:row r="82">
      <x:c r="A82" t="n">
        <x:v>78</x:v>
      </x:c>
      <x:c r="B82" t="str">
        <x:v>DST</x:v>
      </x:c>
      <x:c r="C82" t="n">
        <x:v>1</x:v>
      </x:c>
      <x:c r="D82" t="str">
        <x:v>Houston Texans</x:v>
      </x:c>
      <x:c r="E82" s="48" t="n">
        <x:v>68.65</x:v>
      </x:c>
      <x:c r="F82" s="48" t="n">
        <x:v>93</x:v>
      </x:c>
      <x:c r="G82" s="48" t="n">
        <x:v>9.900000000000006</x:v>
      </x:c>
      <x:c r="H82" s="48" t="n">
        <x:v>50</x:v>
      </x:c>
      <x:c r="I82" s="48" t="n">
        <x:v>160</x:v>
      </x:c>
      <x:c r="J82" s="48" t="n">
        <x:v>82</x:v>
      </x:c>
      <x:c r="K82" s="48" t="n">
        <x:v>85</x:v>
      </x:c>
      <x:c r="L82" s="48" t="n">
        <x:v>100</x:v>
      </x:c>
      <x:c r="M82" t="str">
        <x:v>B</x:v>
      </x:c>
      <x:c r="N82" t="str">
        <x:v>DST MODEL</x:v>
      </x:c>
    </x:row>
    <x:row r="83">
      <x:c r="A83" t="n">
        <x:v>79</x:v>
      </x:c>
      <x:c r="B83" t="str">
        <x:v>RB</x:v>
      </x:c>
      <x:c r="C83" t="n">
        <x:v>27</x:v>
      </x:c>
      <x:c r="D83" t="str">
        <x:v>Rico Dowdle</x:v>
      </x:c>
      <x:c r="E83" s="48" t="n">
        <x:v>68.58083226171958</x:v>
      </x:c>
      <x:c r="F83" s="48" t="n">
        <x:v>75.78578939506124</x:v>
      </x:c>
      <x:c r="G83" s="48" t="n">
        <x:v>2.2179989413532724</x:v>
      </x:c>
      <x:c r="H83" s="48" t="n">
        <x:v>52.70833333333333</x:v>
      </x:c>
      <x:c r="I83" s="48" t="n">
        <x:v>111.2</x:v>
      </x:c>
      <x:c r="J83" s="48" t="n">
        <x:v>32.2</x:v>
      </x:c>
      <x:c r="K83" s="48" t="n">
        <x:v>69.78578939506124</x:v>
      </x:c>
      <x:c r="L83" s="48" t="n">
        <x:v>81.78578939506124</x:v>
      </x:c>
      <x:c r="M83" t="str">
        <x:v>A</x:v>
      </x:c>
      <x:c r="N83" t="str">
        <x:v>RATE-ADJUSTED VETERAN</x:v>
      </x:c>
    </x:row>
    <x:row r="84">
      <x:c r="A84" t="n">
        <x:v>80</x:v>
      </x:c>
      <x:c r="B84" t="str">
        <x:v>K</x:v>
      </x:c>
      <x:c r="C84" t="n">
        <x:v>3</x:v>
      </x:c>
      <x:c r="D84" t="str">
        <x:v>Cameron Dicker</x:v>
      </x:c>
      <x:c r="E84" s="48" t="n">
        <x:v>68.43</x:v>
      </x:c>
      <x:c r="F84" s="48" t="n">
        <x:v>89.6</x:v>
      </x:c>
      <x:c r="G84" s="48" t="n">
        <x:v>15.399999999999991</x:v>
      </x:c>
      <x:c r="H84" s="48" t="n">
        <x:v>47.66666666666667</x:v>
      </x:c>
      <x:c r="I84" s="48" t="n">
        <x:v>165</x:v>
      </x:c>
      <x:c r="J84" s="48" t="n">
        <x:v>85</x:v>
      </x:c>
      <x:c r="K84" s="48" t="n">
        <x:v>83.6</x:v>
      </x:c>
      <x:c r="L84" s="48" t="n">
        <x:v>94.6</x:v>
      </x:c>
      <x:c r="M84" t="str">
        <x:v>B</x:v>
      </x:c>
      <x:c r="N84" t="str">
        <x:v>KICKER MODEL</x:v>
      </x:c>
    </x:row>
    <x:row r="85">
      <x:c r="A85" t="n">
        <x:v>81</x:v>
      </x:c>
      <x:c r="B85" t="str">
        <x:v>QB</x:v>
      </x:c>
      <x:c r="C85" t="n">
        <x:v>10</x:v>
      </x:c>
      <x:c r="D85" t="str">
        <x:v>Matthew Stafford</x:v>
      </x:c>
      <x:c r="E85" s="48" t="n">
        <x:v>68.36744678731709</x:v>
      </x:c>
      <x:c r="F85" s="48" t="n">
        <x:v>85.41970528201219</x:v>
      </x:c>
      <x:c r="G85" s="48" t="n">
        <x:v>0.7276032251596121</x:v>
      </x:c>
      <x:c r="H85" s="48" t="n">
        <x:v>53.84615384615385</x:v>
      </x:c>
      <x:c r="I85" s="48" t="n">
        <x:v>94</x:v>
      </x:c>
      <x:c r="J85" s="48" t="n">
        <x:v>13</x:v>
      </x:c>
      <x:c r="K85" s="48" t="n">
        <x:v>79.41970528201219</x:v>
      </x:c>
      <x:c r="L85" s="48" t="n">
        <x:v>91.41970528201219</x:v>
      </x:c>
      <x:c r="M85" t="str">
        <x:v>A</x:v>
      </x:c>
      <x:c r="N85" t="str">
        <x:v>RATE-ADJUSTED VETERAN</x:v>
      </x:c>
    </x:row>
    <x:row r="86">
      <x:c r="A86" t="n">
        <x:v>82</x:v>
      </x:c>
      <x:c r="B86" t="str">
        <x:v>WR</x:v>
      </x:c>
      <x:c r="C86" t="n">
        <x:v>36</x:v>
      </x:c>
      <x:c r="D86" t="str">
        <x:v>Michael Pittman Jr.</x:v>
      </x:c>
      <x:c r="E86" s="48" t="n">
        <x:v>67.97383333333333</x:v>
      </x:c>
      <x:c r="F86" s="48" t="n">
        <x:v>75.55</x:v>
      </x:c>
      <x:c r="G86" s="48" t="n">
        <x:v>3.6599999999999966</x:v>
      </x:c>
      <x:c r="H86" s="48" t="n">
        <x:v>32.22222222222223</x:v>
      </x:c>
      <x:c r="I86" s="48" t="n">
        <x:v>139.5</x:v>
      </x:c>
      <x:c r="J86" s="48" t="n">
        <x:v>57.5</x:v>
      </x:c>
      <x:c r="K86" s="48" t="n">
        <x:v>63.55</x:v>
      </x:c>
      <x:c r="L86" s="48" t="n">
        <x:v>87.55</x:v>
      </x:c>
      <x:c r="M86" t="str">
        <x:v>C</x:v>
      </x:c>
      <x:c r="N86" t="str">
        <x:v>HISTORY FALLBACK</x:v>
      </x:c>
    </x:row>
    <x:row r="87">
      <x:c r="A87" t="n">
        <x:v>83</x:v>
      </x:c>
      <x:c r="B87" t="str">
        <x:v>DST</x:v>
      </x:c>
      <x:c r="C87" t="n">
        <x:v>2</x:v>
      </x:c>
      <x:c r="D87" t="str">
        <x:v>Denver Broncos</x:v>
      </x:c>
      <x:c r="E87" s="48" t="n">
        <x:v>67.54500000000002</x:v>
      </x:c>
      <x:c r="F87" s="48" t="n">
        <x:v>91.9</x:v>
      </x:c>
      <x:c r="G87" s="48" t="n">
        <x:v>8.800000000000011</x:v>
      </x:c>
      <x:c r="H87" s="48" t="n">
        <x:v>46.666666666666664</x:v>
      </x:c>
      <x:c r="I87" s="48" t="n">
        <x:v>164</x:v>
      </x:c>
      <x:c r="J87" s="48" t="n">
        <x:v>81</x:v>
      </x:c>
      <x:c r="K87" s="48" t="n">
        <x:v>83.9</x:v>
      </x:c>
      <x:c r="L87" s="48" t="n">
        <x:v>98.9</x:v>
      </x:c>
      <x:c r="M87" t="str">
        <x:v>B</x:v>
      </x:c>
      <x:c r="N87" t="str">
        <x:v>DST MODEL</x:v>
      </x:c>
    </x:row>
    <x:row r="88">
      <x:c r="A88" t="n">
        <x:v>84</x:v>
      </x:c>
      <x:c r="B88" t="str">
        <x:v>QB</x:v>
      </x:c>
      <x:c r="C88" t="n">
        <x:v>11</x:v>
      </x:c>
      <x:c r="D88" t="str">
        <x:v>Bo Nix</x:v>
      </x:c>
      <x:c r="E88" s="48" t="n">
        <x:v>67.19584520957781</x:v>
      </x:c>
      <x:c r="F88" s="48" t="n">
        <x:v>85.24848366137027</x:v>
      </x:c>
      <x:c r="G88" s="48" t="n">
        <x:v>0.5563816045176964</x:v>
      </x:c>
      <x:c r="H88" s="48" t="n">
        <x:v>48.71794871794872</x:v>
      </x:c>
      <x:c r="I88" s="48" t="n">
        <x:v>102</x:v>
      </x:c>
      <x:c r="J88" s="48" t="n">
        <x:v>18</x:v>
      </x:c>
      <x:c r="K88" s="48" t="n">
        <x:v>79.24848366137027</x:v>
      </x:c>
      <x:c r="L88" s="48" t="n">
        <x:v>91.24848366137027</x:v>
      </x:c>
      <x:c r="M88" t="str">
        <x:v>A</x:v>
      </x:c>
      <x:c r="N88" t="str">
        <x:v>RATE-ADJUSTED VETERAN</x:v>
      </x:c>
    </x:row>
    <x:row r="89">
      <x:c r="A89" t="n">
        <x:v>85</x:v>
      </x:c>
      <x:c r="B89" t="str">
        <x:v>K</x:v>
      </x:c>
      <x:c r="C89" t="n">
        <x:v>4</x:v>
      </x:c>
      <x:c r="D89" t="str">
        <x:v>Jason Myers</x:v>
      </x:c>
      <x:c r="E89" s="48" t="n">
        <x:v>66.67</x:v>
      </x:c>
      <x:c r="F89" s="48" t="n">
        <x:v>87.4</x:v>
      </x:c>
      <x:c r="G89" s="48" t="n">
        <x:v>13.200000000000003</x:v>
      </x:c>
      <x:c r="H89" s="48" t="n">
        <x:v>44</x:v>
      </x:c>
      <x:c r="I89" s="48" t="n">
        <x:v>170</x:v>
      </x:c>
      <x:c r="J89" s="48" t="n">
        <x:v>85</x:v>
      </x:c>
      <x:c r="K89" s="48" t="n">
        <x:v>81.4</x:v>
      </x:c>
      <x:c r="L89" s="48" t="n">
        <x:v>92.4</x:v>
      </x:c>
      <x:c r="M89" t="str">
        <x:v>B</x:v>
      </x:c>
      <x:c r="N89" t="str">
        <x:v>KICKER MODEL</x:v>
      </x:c>
    </x:row>
    <x:row r="90">
      <x:c r="A90" t="n">
        <x:v>86</x:v>
      </x:c>
      <x:c r="B90" t="str">
        <x:v>RB</x:v>
      </x:c>
      <x:c r="C90" t="n">
        <x:v>28</x:v>
      </x:c>
      <x:c r="D90" t="str">
        <x:v>Tony Pollard</x:v>
      </x:c>
      <x:c r="E90" s="48" t="n">
        <x:v>66.60664155513071</x:v>
      </x:c>
      <x:c r="F90" s="48" t="n">
        <x:v>75.0986337752362</x:v>
      </x:c>
      <x:c r="G90" s="48" t="n">
        <x:v>1.5308433215282236</x:v>
      </x:c>
      <x:c r="H90" s="48" t="n">
        <x:v>50.31249999999999</x:v>
      </x:c>
      <x:c r="I90" s="48" t="n">
        <x:v>115.4</x:v>
      </x:c>
      <x:c r="J90" s="48" t="n">
        <x:v>29.400000000000006</x:v>
      </x:c>
      <x:c r="K90" s="48" t="n">
        <x:v>69.0986337752362</x:v>
      </x:c>
      <x:c r="L90" s="48" t="n">
        <x:v>81.0986337752362</x:v>
      </x:c>
      <x:c r="M90" t="str">
        <x:v>A</x:v>
      </x:c>
      <x:c r="N90" t="str">
        <x:v>RATE-ADJUSTED VETERAN</x:v>
      </x:c>
    </x:row>
    <x:row r="91">
      <x:c r="A91" t="n">
        <x:v>87</x:v>
      </x:c>
      <x:c r="B91" t="str">
        <x:v>WR</x:v>
      </x:c>
      <x:c r="C91" t="n">
        <x:v>27</x:v>
      </x:c>
      <x:c r="D91" t="str">
        <x:v>Rome Odunze</x:v>
      </x:c>
      <x:c r="E91" s="48" t="n">
        <x:v>66.49708333333332</x:v>
      </x:c>
      <x:c r="F91" s="48" t="n">
        <x:v>73.645</x:v>
      </x:c>
      <x:c r="G91" s="48" t="n">
        <x:v>1.7549999999999955</x:v>
      </x:c>
      <x:c r="H91" s="48" t="n">
        <x:v>52.222222222222214</x:v>
      </x:c>
      <x:c r="I91" s="48" t="n">
        <x:v>104.39999999999999</x:v>
      </x:c>
      <x:c r="J91" s="48" t="n">
        <x:v>17.39999999999999</x:v>
      </x:c>
      <x:c r="K91" s="48" t="n">
        <x:v>61.644999999999996</x:v>
      </x:c>
      <x:c r="L91" s="48" t="n">
        <x:v>85.645</x:v>
      </x:c>
      <x:c r="M91" t="str">
        <x:v>C</x:v>
      </x:c>
      <x:c r="N91" t="str">
        <x:v>HISTORY FALLBACK</x:v>
      </x:c>
    </x:row>
    <x:row r="92">
      <x:c r="A92" t="n">
        <x:v>88</x:v>
      </x:c>
      <x:c r="B92" t="str">
        <x:v>QB</x:v>
      </x:c>
      <x:c r="C92" t="n">
        <x:v>12</x:v>
      </x:c>
      <x:c r="D92" t="str">
        <x:v>Dak Prescott</x:v>
      </x:c>
      <x:c r="E92" s="48" t="n">
        <x:v>66.11440887519699</x:v>
      </x:c>
      <x:c r="F92" s="48" t="n">
        <x:v>85.11563022939153</x:v>
      </x:c>
      <x:c r="G92" s="48" t="n">
        <x:v>0.42352817253895125</x:v>
      </x:c>
      <x:c r="H92" s="48" t="n">
        <x:v>43.58974358974359</x:v>
      </x:c>
      <x:c r="I92" s="48" t="n">
        <x:v>110</x:v>
      </x:c>
      <x:c r="J92" s="48" t="n">
        <x:v>22</x:v>
      </x:c>
      <x:c r="K92" s="48" t="n">
        <x:v>79.11563022939153</x:v>
      </x:c>
      <x:c r="L92" s="48" t="n">
        <x:v>91.11563022939153</x:v>
      </x:c>
      <x:c r="M92" t="str">
        <x:v>A</x:v>
      </x:c>
      <x:c r="N92" t="str">
        <x:v>RATE-ADJUSTED VETERAN</x:v>
      </x:c>
    </x:row>
    <x:row r="93">
      <x:c r="A93" t="n">
        <x:v>89</x:v>
      </x:c>
      <x:c r="B93" t="str">
        <x:v>WR</x:v>
      </x:c>
      <x:c r="C93" t="n">
        <x:v>30</x:v>
      </x:c>
      <x:c r="D93" t="str">
        <x:v>Christian Watson</x:v>
      </x:c>
      <x:c r="E93" s="48" t="n">
        <x:v>66.07870833333332</x:v>
      </x:c>
      <x:c r="F93" s="48" t="n">
        <x:v>73.8925</x:v>
      </x:c>
      <x:c r="G93" s="48" t="n">
        <x:v>2.0024999999999977</x:v>
      </x:c>
      <x:c r="H93" s="48" t="n">
        <x:v>45.55555555555556</x:v>
      </x:c>
      <x:c r="I93" s="48" t="n">
        <x:v>116.1</x:v>
      </x:c>
      <x:c r="J93" s="48" t="n">
        <x:v>27.099999999999994</x:v>
      </x:c>
      <x:c r="K93" s="48" t="n">
        <x:v>61.8925</x:v>
      </x:c>
      <x:c r="L93" s="48" t="n">
        <x:v>85.8925</x:v>
      </x:c>
      <x:c r="M93" t="str">
        <x:v>C</x:v>
      </x:c>
      <x:c r="N93" t="str">
        <x:v>HISTORY FALLBACK</x:v>
      </x:c>
    </x:row>
    <x:row r="94">
      <x:c r="A94" t="n">
        <x:v>90</x:v>
      </x:c>
      <x:c r="B94" t="str">
        <x:v>WR</x:v>
      </x:c>
      <x:c r="C94" t="n">
        <x:v>37</x:v>
      </x:c>
      <x:c r="D94" t="str">
        <x:v>Jakobi Meyers</x:v>
      </x:c>
      <x:c r="E94" s="48" t="n">
        <x:v>66.06599999999999</x:v>
      </x:c>
      <x:c r="F94" s="48" t="n">
        <x:v>74.88</x:v>
      </x:c>
      <x:c r="G94" s="48" t="n">
        <x:v>2.989999999999995</x:v>
      </x:c>
      <x:c r="H94" s="48" t="n">
        <x:v>30</x:v>
      </x:c>
      <x:c r="I94" s="48" t="n">
        <x:v>143.4</x:v>
      </x:c>
      <x:c r="J94" s="48" t="n">
        <x:v>53.400000000000006</x:v>
      </x:c>
      <x:c r="K94" s="48" t="n">
        <x:v>62.879999999999995</x:v>
      </x:c>
      <x:c r="L94" s="48" t="n">
        <x:v>86.88</x:v>
      </x:c>
      <x:c r="M94" t="str">
        <x:v>C</x:v>
      </x:c>
      <x:c r="N94" t="str">
        <x:v>HISTORY FALLBACK</x:v>
      </x:c>
    </x:row>
    <x:row r="95">
      <x:c r="A95" t="n">
        <x:v>91</x:v>
      </x:c>
      <x:c r="B95" t="str">
        <x:v>DST</x:v>
      </x:c>
      <x:c r="C95" t="n">
        <x:v>3</x:v>
      </x:c>
      <x:c r="D95" t="str">
        <x:v>Seattle Seahawks</x:v>
      </x:c>
      <x:c r="E95" s="48" t="n">
        <x:v>65.30000000000001</x:v>
      </x:c>
      <x:c r="F95" s="48" t="n">
        <x:v>90.8</x:v>
      </x:c>
      <x:c r="G95" s="48" t="n">
        <x:v>7.700000000000003</x:v>
      </x:c>
      <x:c r="H95" s="48" t="n">
        <x:v>43.333333333333336</x:v>
      </x:c>
      <x:c r="I95" s="48" t="n">
        <x:v>168</x:v>
      </x:c>
      <x:c r="J95" s="48" t="n">
        <x:v>77</x:v>
      </x:c>
      <x:c r="K95" s="48" t="n">
        <x:v>82.8</x:v>
      </x:c>
      <x:c r="L95" s="48" t="n">
        <x:v>97.8</x:v>
      </x:c>
      <x:c r="M95" t="str">
        <x:v>B</x:v>
      </x:c>
      <x:c r="N95" t="str">
        <x:v>DST MODEL</x:v>
      </x:c>
    </x:row>
    <x:row r="96">
      <x:c r="A96" t="n">
        <x:v>92</x:v>
      </x:c>
      <x:c r="B96" t="str">
        <x:v>RB</x:v>
      </x:c>
      <x:c r="C96" t="n">
        <x:v>29</x:v>
      </x:c>
      <x:c r="D96" t="str">
        <x:v>Rhamondre Stevenson</x:v>
      </x:c>
      <x:c r="E96" s="48" t="n">
        <x:v>65.0475616496546</x:v>
      </x:c>
      <x:c r="F96" s="48" t="n">
        <x:v>74.58812104950168</x:v>
      </x:c>
      <x:c r="G96" s="48" t="n">
        <x:v>1.020330595793709</x:v>
      </x:c>
      <x:c r="H96" s="48" t="n">
        <x:v>47.91666666666666</x:v>
      </x:c>
      <x:c r="I96" s="48" t="n">
        <x:v>119.60000000000001</x:v>
      </x:c>
      <x:c r="J96" s="48" t="n">
        <x:v>27.60000000000001</x:v>
      </x:c>
      <x:c r="K96" s="48" t="n">
        <x:v>68.58812104950168</x:v>
      </x:c>
      <x:c r="L96" s="48" t="n">
        <x:v>80.58812104950168</x:v>
      </x:c>
      <x:c r="M96" t="str">
        <x:v>A</x:v>
      </x:c>
      <x:c r="N96" t="str">
        <x:v>RATE-ADJUSTED VETERAN</x:v>
      </x:c>
    </x:row>
    <x:row r="97">
      <x:c r="A97" t="n">
        <x:v>93</x:v>
      </x:c>
      <x:c r="B97" t="str">
        <x:v>K</x:v>
      </x:c>
      <x:c r="C97" t="n">
        <x:v>5</x:v>
      </x:c>
      <x:c r="D97" t="str">
        <x:v>Cam Little</x:v>
      </x:c>
      <x:c r="E97" s="48" t="n">
        <x:v>64.91000000000001</x:v>
      </x:c>
      <x:c r="F97" s="48" t="n">
        <x:v>85.2</x:v>
      </x:c>
      <x:c r="G97" s="48" t="n">
        <x:v>11</x:v>
      </x:c>
      <x:c r="H97" s="48" t="n">
        <x:v>40.33333333333334</x:v>
      </x:c>
      <x:c r="I97" s="48" t="n">
        <x:v>175</x:v>
      </x:c>
      <x:c r="J97" s="48" t="n">
        <x:v>82</x:v>
      </x:c>
      <x:c r="K97" s="48" t="n">
        <x:v>79.2</x:v>
      </x:c>
      <x:c r="L97" s="48" t="n">
        <x:v>90.2</x:v>
      </x:c>
      <x:c r="M97" t="str">
        <x:v>B</x:v>
      </x:c>
      <x:c r="N97" t="str">
        <x:v>KICKER MODEL</x:v>
      </x:c>
    </x:row>
    <x:row r="98">
      <x:c r="A98" t="n">
        <x:v>94</x:v>
      </x:c>
      <x:c r="B98" t="str">
        <x:v>RB</x:v>
      </x:c>
      <x:c r="C98" t="n">
        <x:v>30</x:v>
      </x:c>
      <x:c r="D98" t="str">
        <x:v>Kenneth Gainwell</x:v>
      </x:c>
      <x:c r="E98" s="48" t="n">
        <x:v>64.49266229946097</x:v>
      </x:c>
      <x:c r="F98" s="48" t="n">
        <x:v>74.50491919835545</x:v>
      </x:c>
      <x:c r="G98" s="48" t="n">
        <x:v>0.937128744647481</x:v>
      </x:c>
      <x:c r="H98" s="48" t="n">
        <x:v>45.520833333333336</x:v>
      </x:c>
      <x:c r="I98" s="48" t="n">
        <x:v>123.80000000000001</x:v>
      </x:c>
      <x:c r="J98" s="48" t="n">
        <x:v>29.80000000000001</x:v>
      </x:c>
      <x:c r="K98" s="48" t="n">
        <x:v>68.50491919835545</x:v>
      </x:c>
      <x:c r="L98" s="48" t="n">
        <x:v>80.50491919835545</x:v>
      </x:c>
      <x:c r="M98" t="str">
        <x:v>A</x:v>
      </x:c>
      <x:c r="N98" t="str">
        <x:v>RATE-ADJUSTED VETERAN</x:v>
      </x:c>
    </x:row>
    <x:row r="99">
      <x:c r="A99" t="n">
        <x:v>95</x:v>
      </x:c>
      <x:c r="B99" t="str">
        <x:v>QB</x:v>
      </x:c>
      <x:c r="C99" t="n">
        <x:v>13</x:v>
      </x:c>
      <x:c r="D99" t="str">
        <x:v>Trevor Lawrence</x:v>
      </x:c>
      <x:c r="E99" s="48" t="n">
        <x:v>64.3498869004997</x:v>
      </x:c>
      <x:c r="F99" s="48" t="n">
        <x:v>84.69210205685258</x:v>
      </x:c>
      <x:c r="G99" s="48" t="n">
        <x:v>0</x:v>
      </x:c>
      <x:c r="H99" s="48" t="n">
        <x:v>38.46153846153846</x:v>
      </x:c>
      <x:c r="I99" s="48" t="n">
        <x:v>118</x:v>
      </x:c>
      <x:c r="J99" s="48" t="n">
        <x:v>23</x:v>
      </x:c>
      <x:c r="K99" s="48" t="n">
        <x:v>78.69210205685258</x:v>
      </x:c>
      <x:c r="L99" s="48" t="n">
        <x:v>90.69210205685258</x:v>
      </x:c>
      <x:c r="M99" t="str">
        <x:v>A</x:v>
      </x:c>
      <x:c r="N99" t="str">
        <x:v>RATE-ADJUSTED VETERAN</x:v>
      </x:c>
    </x:row>
    <x:row r="100">
      <x:c r="A100" t="n">
        <x:v>96</x:v>
      </x:c>
      <x:c r="B100" t="str">
        <x:v>WR</x:v>
      </x:c>
      <x:c r="C100" t="n">
        <x:v>38</x:v>
      </x:c>
      <x:c r="D100" t="str">
        <x:v>Jordan Addison</x:v>
      </x:c>
      <x:c r="E100" s="48" t="n">
        <x:v>64.15816666666666</x:v>
      </x:c>
      <x:c r="F100" s="48" t="n">
        <x:v>74.21</x:v>
      </x:c>
      <x:c r="G100" s="48" t="n">
        <x:v>2.319999999999993</x:v>
      </x:c>
      <x:c r="H100" s="48" t="n">
        <x:v>27.777777777777775</x:v>
      </x:c>
      <x:c r="I100" s="48" t="n">
        <x:v>147.29999999999998</x:v>
      </x:c>
      <x:c r="J100" s="48" t="n">
        <x:v>51.29999999999998</x:v>
      </x:c>
      <x:c r="K100" s="48" t="n">
        <x:v>62.209999999999994</x:v>
      </x:c>
      <x:c r="L100" s="48" t="n">
        <x:v>86.21</x:v>
      </x:c>
      <x:c r="M100" t="str">
        <x:v>C</x:v>
      </x:c>
      <x:c r="N100" t="str">
        <x:v>HISTORY FALLBACK</x:v>
      </x:c>
    </x:row>
    <x:row r="101">
      <x:c r="A101" t="n">
        <x:v>97</x:v>
      </x:c>
      <x:c r="B101" t="str">
        <x:v>TE</x:v>
      </x:c>
      <x:c r="C101" t="n">
        <x:v>13</x:v>
      </x:c>
      <x:c r="D101" t="str">
        <x:v>Dallas Goedert</x:v>
      </x:c>
      <x:c r="E101" s="48" t="n">
        <x:v>64.14726855967591</x:v>
      </x:c>
      <x:c r="F101" s="48" t="n">
        <x:v>79.9181106679422</x:v>
      </x:c>
      <x:c r="G101" s="48" t="n">
        <x:v>0</x:v>
      </x:c>
      <x:c r="H101" s="48" t="n">
        <x:v>34.61538461538461</x:v>
      </x:c>
      <x:c r="I101" s="48" t="n">
        <x:v>125</x:v>
      </x:c>
      <x:c r="J101" s="48" t="n">
        <x:v>28</x:v>
      </x:c>
      <x:c r="K101" s="48" t="n">
        <x:v>73.9181106679422</x:v>
      </x:c>
      <x:c r="L101" s="48" t="n">
        <x:v>85.9181106679422</x:v>
      </x:c>
      <x:c r="M101" t="str">
        <x:v>A</x:v>
      </x:c>
      <x:c r="N101" t="str">
        <x:v>RATE-ADJUSTED VETERAN</x:v>
      </x:c>
    </x:row>
    <x:row r="102">
      <x:c r="A102" t="n">
        <x:v>98</x:v>
      </x:c>
      <x:c r="B102" t="str">
        <x:v>RB</x:v>
      </x:c>
      <x:c r="C102" t="n">
        <x:v>31</x:v>
      </x:c>
      <x:c r="D102" t="str">
        <x:v>Bhayshul Tuten</x:v>
      </x:c>
      <x:c r="E102" s="48" t="n">
        <x:v>64.04575111171874</x:v>
      </x:c>
      <x:c r="F102" s="48" t="n">
        <x:v>74.46766975676302</x:v>
      </x:c>
      <x:c r="G102" s="48" t="n">
        <x:v>0.8998793030550445</x:v>
      </x:c>
      <x:c r="H102" s="48" t="n">
        <x:v>43.125</x:v>
      </x:c>
      <x:c r="I102" s="48" t="n">
        <x:v>128</x:v>
      </x:c>
      <x:c r="J102" s="48" t="n">
        <x:v>30</x:v>
      </x:c>
      <x:c r="K102" s="48" t="n">
        <x:v>68.46766975676302</x:v>
      </x:c>
      <x:c r="L102" s="48" t="n">
        <x:v>80.46766975676302</x:v>
      </x:c>
      <x:c r="M102" t="str">
        <x:v>A</x:v>
      </x:c>
      <x:c r="N102" t="str">
        <x:v>RATE-ADJUSTED VETERAN</x:v>
      </x:c>
    </x:row>
    <x:row r="103">
      <x:c r="A103" t="n">
        <x:v>99</x:v>
      </x:c>
      <x:c r="B103" t="str">
        <x:v>K</x:v>
      </x:c>
      <x:c r="C103" t="n">
        <x:v>6</x:v>
      </x:c>
      <x:c r="D103" t="str">
        <x:v>Eddy Pineiro</x:v>
      </x:c>
      <x:c r="E103" s="48" t="n">
        <x:v>63.150000000000006</x:v>
      </x:c>
      <x:c r="F103" s="48" t="n">
        <x:v>83</x:v>
      </x:c>
      <x:c r="G103" s="48" t="n">
        <x:v>8.799999999999997</x:v>
      </x:c>
      <x:c r="H103" s="48" t="n">
        <x:v>36.66666666666667</x:v>
      </x:c>
      <x:c r="I103" s="48" t="n">
        <x:v>180</x:v>
      </x:c>
      <x:c r="J103" s="48" t="n">
        <x:v>81</x:v>
      </x:c>
      <x:c r="K103" s="48" t="n">
        <x:v>77</x:v>
      </x:c>
      <x:c r="L103" s="48" t="n">
        <x:v>88</x:v>
      </x:c>
      <x:c r="M103" t="str">
        <x:v>B</x:v>
      </x:c>
      <x:c r="N103" t="str">
        <x:v>KICKER MODEL</x:v>
      </x:c>
    </x:row>
    <x:row r="104">
      <x:c r="A104" t="n">
        <x:v>100</x:v>
      </x:c>
      <x:c r="B104" t="str">
        <x:v>WR</x:v>
      </x:c>
      <x:c r="C104" t="n">
        <x:v>39</x:v>
      </x:c>
      <x:c r="D104" t="str">
        <x:v>Wan'Dale Robinson</x:v>
      </x:c>
      <x:c r="E104" s="48" t="n">
        <x:v>62.250333333333316</x:v>
      </x:c>
      <x:c r="F104" s="48" t="n">
        <x:v>73.53999999999999</x:v>
      </x:c>
      <x:c r="G104" s="48" t="n">
        <x:v>1.6499999999999915</x:v>
      </x:c>
      <x:c r="H104" s="48" t="n">
        <x:v>25.555555555555564</x:v>
      </x:c>
      <x:c r="I104" s="48" t="n">
        <x:v>151.2</x:v>
      </x:c>
      <x:c r="J104" s="48" t="n">
        <x:v>51.19999999999999</x:v>
      </x:c>
      <x:c r="K104" s="48" t="n">
        <x:v>61.53999999999999</x:v>
      </x:c>
      <x:c r="L104" s="48" t="n">
        <x:v>85.53999999999999</x:v>
      </x:c>
      <x:c r="M104" t="str">
        <x:v>C</x:v>
      </x:c>
      <x:c r="N104" t="str">
        <x:v>HISTORY FALLBACK</x:v>
      </x:c>
    </x:row>
    <x:row r="105">
      <x:c r="A105" t="n">
        <x:v>101</x:v>
      </x:c>
      <x:c r="B105" t="str">
        <x:v>DST</x:v>
      </x:c>
      <x:c r="C105" t="n">
        <x:v>4</x:v>
      </x:c>
      <x:c r="D105" t="str">
        <x:v>Los Angeles Rams</x:v>
      </x:c>
      <x:c r="E105" s="48" t="n">
        <x:v>62.21500000000002</x:v>
      </x:c>
      <x:c r="F105" s="48" t="n">
        <x:v>89.7</x:v>
      </x:c>
      <x:c r="G105" s="48" t="n">
        <x:v>6.6000000000000085</x:v>
      </x:c>
      <x:c r="H105" s="48" t="n">
        <x:v>40</x:v>
      </x:c>
      <x:c r="I105" s="48" t="n">
        <x:v>172</x:v>
      </x:c>
      <x:c r="J105" s="48" t="n">
        <x:v>71</x:v>
      </x:c>
      <x:c r="K105" s="48" t="n">
        <x:v>81.7</x:v>
      </x:c>
      <x:c r="L105" s="48" t="n">
        <x:v>96.7</x:v>
      </x:c>
      <x:c r="M105" t="str">
        <x:v>B</x:v>
      </x:c>
      <x:c r="N105" t="str">
        <x:v>DST MODEL</x:v>
      </x:c>
    </x:row>
    <x:row r="106">
      <x:c r="A106" t="n">
        <x:v>102</x:v>
      </x:c>
      <x:c r="B106" t="str">
        <x:v>QB</x:v>
      </x:c>
      <x:c r="C106" t="n">
        <x:v>14</x:v>
      </x:c>
      <x:c r="D106" t="str">
        <x:v>Brock Purdy</x:v>
      </x:c>
      <x:c r="E106" s="48" t="n">
        <x:v>61.574921885818625</x:v>
      </x:c>
      <x:c r="F106" s="48" t="n">
        <x:v>83.83859812261841</x:v>
      </x:c>
      <x:c r="G106" s="48" t="n">
        <x:v>-0.853503934234169</x:v>
      </x:c>
      <x:c r="H106" s="48" t="n">
        <x:v>33.333333333333336</x:v>
      </x:c>
      <x:c r="I106" s="48" t="n">
        <x:v>126</x:v>
      </x:c>
      <x:c r="J106" s="48" t="n">
        <x:v>24</x:v>
      </x:c>
      <x:c r="K106" s="48" t="n">
        <x:v>74.83859812261841</x:v>
      </x:c>
      <x:c r="L106" s="48" t="n">
        <x:v>92.83859812261841</x:v>
      </x:c>
      <x:c r="M106" t="str">
        <x:v>B</x:v>
      </x:c>
      <x:c r="N106" t="str">
        <x:v>RATE-ADJUSTED VETERAN</x:v>
      </x:c>
    </x:row>
    <x:row r="107">
      <x:c r="A107" t="n">
        <x:v>103</x:v>
      </x:c>
      <x:c r="B107" t="str">
        <x:v>RB</x:v>
      </x:c>
      <x:c r="C107" t="n">
        <x:v>32</x:v>
      </x:c>
      <x:c r="D107" t="str">
        <x:v>RJ Harvey</x:v>
      </x:c>
      <x:c r="E107" s="48" t="n">
        <x:v>61.571659749539386</x:v>
      </x:c>
      <x:c r="F107" s="48" t="n">
        <x:v>73.56779045370797</x:v>
      </x:c>
      <x:c r="G107" s="48" t="n">
        <x:v>0</x:v>
      </x:c>
      <x:c r="H107" s="48" t="n">
        <x:v>40.729166666666664</x:v>
      </x:c>
      <x:c r="I107" s="48" t="n">
        <x:v>132.20000000000002</x:v>
      </x:c>
      <x:c r="J107" s="48" t="n">
        <x:v>29.200000000000017</x:v>
      </x:c>
      <x:c r="K107" s="48" t="n">
        <x:v>67.56779045370797</x:v>
      </x:c>
      <x:c r="L107" s="48" t="n">
        <x:v>79.56779045370797</x:v>
      </x:c>
      <x:c r="M107" t="str">
        <x:v>A</x:v>
      </x:c>
      <x:c r="N107" t="str">
        <x:v>RATE-ADJUSTED VETERAN</x:v>
      </x:c>
    </x:row>
    <x:row r="108">
      <x:c r="A108" t="n">
        <x:v>104</x:v>
      </x:c>
      <x:c r="B108" t="str">
        <x:v>WR</x:v>
      </x:c>
      <x:c r="C108" t="n">
        <x:v>29</x:v>
      </x:c>
      <x:c r="D108" t="str">
        <x:v>Marvin Harrison Jr.</x:v>
      </x:c>
      <x:c r="E108" s="48" t="n">
        <x:v>61.51816666666667</x:v>
      </x:c>
      <x:c r="F108" s="48" t="n">
        <x:v>71.81</x:v>
      </x:c>
      <x:c r="G108" s="48" t="n">
        <x:v>-0.0799999999999983</x:v>
      </x:c>
      <x:c r="H108" s="48" t="n">
        <x:v>47.777777777777786</x:v>
      </x:c>
      <x:c r="I108" s="48" t="n">
        <x:v>112.2</x:v>
      </x:c>
      <x:c r="J108" s="48" t="n">
        <x:v>8.200000000000003</x:v>
      </x:c>
      <x:c r="K108" s="48" t="n">
        <x:v>59.81</x:v>
      </x:c>
      <x:c r="L108" s="48" t="n">
        <x:v>83.81</x:v>
      </x:c>
      <x:c r="M108" t="str">
        <x:v>C</x:v>
      </x:c>
      <x:c r="N108" t="str">
        <x:v>HISTORY FALLBACK</x:v>
      </x:c>
    </x:row>
    <x:row r="109">
      <x:c r="A109" t="n">
        <x:v>105</x:v>
      </x:c>
      <x:c r="B109" t="str">
        <x:v>TE</x:v>
      </x:c>
      <x:c r="C109" t="n">
        <x:v>14</x:v>
      </x:c>
      <x:c r="D109" t="str">
        <x:v>Mark Andrews</x:v>
      </x:c>
      <x:c r="E109" s="48" t="n">
        <x:v>61.45106682965722</x:v>
      </x:c>
      <x:c r="F109" s="48" t="n">
        <x:v>79.06538980083114</x:v>
      </x:c>
      <x:c r="G109" s="48" t="n">
        <x:v>-0.85272086711106</x:v>
      </x:c>
      <x:c r="H109" s="48" t="n">
        <x:v>30.000000000000004</x:v>
      </x:c>
      <x:c r="I109" s="48" t="n">
        <x:v>134</x:v>
      </x:c>
      <x:c r="J109" s="48" t="n">
        <x:v>29</x:v>
      </x:c>
      <x:c r="K109" s="48" t="n">
        <x:v>73.06538980083114</x:v>
      </x:c>
      <x:c r="L109" s="48" t="n">
        <x:v>85.06538980083114</x:v>
      </x:c>
      <x:c r="M109" t="str">
        <x:v>A</x:v>
      </x:c>
      <x:c r="N109" t="str">
        <x:v>RATE-ADJUSTED VETERAN</x:v>
      </x:c>
    </x:row>
    <x:row r="110">
      <x:c r="A110" t="n">
        <x:v>106</x:v>
      </x:c>
      <x:c r="B110" t="str">
        <x:v>WR</x:v>
      </x:c>
      <x:c r="C110" t="n">
        <x:v>33</x:v>
      </x:c>
      <x:c r="D110" t="str">
        <x:v>Carnell Tate</x:v>
      </x:c>
      <x:c r="E110" s="48" t="n">
        <x:v>60.37283333333334</x:v>
      </x:c>
      <x:c r="F110" s="48" t="n">
        <x:v>71.89</x:v>
      </x:c>
      <x:c r="G110" s="48" t="n">
        <x:v>0</x:v>
      </x:c>
      <x:c r="H110" s="48" t="n">
        <x:v>38.888888888888886</x:v>
      </x:c>
      <x:c r="I110" s="48" t="n">
        <x:v>127.8</x:v>
      </x:c>
      <x:c r="J110" s="48" t="n">
        <x:v>21.799999999999997</x:v>
      </x:c>
      <x:c r="K110" s="48" t="n">
        <x:v>59.89</x:v>
      </x:c>
      <x:c r="L110" s="48" t="n">
        <x:v>83.89</x:v>
      </x:c>
      <x:c r="M110" t="str">
        <x:v>C</x:v>
      </x:c>
      <x:c r="N110" t="str">
        <x:v>HISTORY FALLBACK</x:v>
      </x:c>
    </x:row>
    <x:row r="111">
      <x:c r="A111" t="n">
        <x:v>107</x:v>
      </x:c>
      <x:c r="B111" t="str">
        <x:v>TE</x:v>
      </x:c>
      <x:c r="C111" t="n">
        <x:v>15</x:v>
      </x:c>
      <x:c r="D111" t="str">
        <x:v>Isaiah Likely</x:v>
      </x:c>
      <x:c r="E111" s="48" t="n">
        <x:v>59.61681584172019</x:v>
      </x:c>
      <x:c r="F111" s="48" t="n">
        <x:v>78.57945648354206</x:v>
      </x:c>
      <x:c r="G111" s="48" t="n">
        <x:v>-1.3386541844001414</x:v>
      </x:c>
      <x:c r="H111" s="48" t="n">
        <x:v>25.384615384615383</x:v>
      </x:c>
      <x:c r="I111" s="48" t="n">
        <x:v>143</x:v>
      </x:c>
      <x:c r="J111" s="48" t="n">
        <x:v>36</x:v>
      </x:c>
      <x:c r="K111" s="48" t="n">
        <x:v>72.57945648354206</x:v>
      </x:c>
      <x:c r="L111" s="48" t="n">
        <x:v>84.57945648354206</x:v>
      </x:c>
      <x:c r="M111" t="str">
        <x:v>A</x:v>
      </x:c>
      <x:c r="N111" t="str">
        <x:v>RATE-ADJUSTED VETERAN</x:v>
      </x:c>
    </x:row>
    <x:row r="112">
      <x:c r="A112" t="n">
        <x:v>108</x:v>
      </x:c>
      <x:c r="B112" t="str">
        <x:v>DST</x:v>
      </x:c>
      <x:c r="C112" t="n">
        <x:v>5</x:v>
      </x:c>
      <x:c r="D112" t="str">
        <x:v>Philadelphia Eagles</x:v>
      </x:c>
      <x:c r="E112" s="48" t="n">
        <x:v>59.129999999999995</x:v>
      </x:c>
      <x:c r="F112" s="48" t="n">
        <x:v>88.6</x:v>
      </x:c>
      <x:c r="G112" s="48" t="n">
        <x:v>5.5</x:v>
      </x:c>
      <x:c r="H112" s="48" t="n">
        <x:v>36.66666666666667</x:v>
      </x:c>
      <x:c r="I112" s="48" t="n">
        <x:v>176</x:v>
      </x:c>
      <x:c r="J112" s="48" t="n">
        <x:v>68</x:v>
      </x:c>
      <x:c r="K112" s="48" t="n">
        <x:v>80.6</x:v>
      </x:c>
      <x:c r="L112" s="48" t="n">
        <x:v>95.6</x:v>
      </x:c>
      <x:c r="M112" t="str">
        <x:v>B</x:v>
      </x:c>
      <x:c r="N112" t="str">
        <x:v>DST MODEL</x:v>
      </x:c>
    </x:row>
    <x:row r="113">
      <x:c r="A113" t="n">
        <x:v>109</x:v>
      </x:c>
      <x:c r="B113" t="str">
        <x:v>QB</x:v>
      </x:c>
      <x:c r="C113" t="n">
        <x:v>15</x:v>
      </x:c>
      <x:c r="D113" t="str">
        <x:v>Jaxson Dart</x:v>
      </x:c>
      <x:c r="E113" s="48" t="n">
        <x:v>58.977619069260506</x:v>
      </x:c>
      <x:c r="F113" s="48" t="n">
        <x:v>83.0606951237557</x:v>
      </x:c>
      <x:c r="G113" s="48" t="n">
        <x:v>-1.6314069330968692</x:v>
      </x:c>
      <x:c r="H113" s="48" t="n">
        <x:v>28.205128205128204</x:v>
      </x:c>
      <x:c r="I113" s="48" t="n">
        <x:v>134</x:v>
      </x:c>
      <x:c r="J113" s="48" t="n">
        <x:v>25</x:v>
      </x:c>
      <x:c r="K113" s="48" t="n">
        <x:v>77.0606951237557</x:v>
      </x:c>
      <x:c r="L113" s="48" t="n">
        <x:v>89.0606951237557</x:v>
      </x:c>
      <x:c r="M113" t="str">
        <x:v>A</x:v>
      </x:c>
      <x:c r="N113" t="str">
        <x:v>RATE-ADJUSTED VETERAN</x:v>
      </x:c>
    </x:row>
    <x:row r="114">
      <x:c r="A114" t="n">
        <x:v>110</x:v>
      </x:c>
      <x:c r="B114" t="str">
        <x:v>RB</x:v>
      </x:c>
      <x:c r="C114" t="n">
        <x:v>33</x:v>
      </x:c>
      <x:c r="D114" t="str">
        <x:v>Kyle Monangai</x:v>
      </x:c>
      <x:c r="E114" s="48" t="n">
        <x:v>58.96194467203375</x:v>
      </x:c>
      <x:c r="F114" s="48" t="n">
        <x:v>72.61019893136515</x:v>
      </x:c>
      <x:c r="G114" s="48" t="n">
        <x:v>-0.957591522342824</x:v>
      </x:c>
      <x:c r="H114" s="48" t="n">
        <x:v>38.333333333333336</x:v>
      </x:c>
      <x:c r="I114" s="48" t="n">
        <x:v>136.4</x:v>
      </x:c>
      <x:c r="J114" s="48" t="n">
        <x:v>26.400000000000006</x:v>
      </x:c>
      <x:c r="K114" s="48" t="n">
        <x:v>66.61019893136515</x:v>
      </x:c>
      <x:c r="L114" s="48" t="n">
        <x:v>78.61019893136515</x:v>
      </x:c>
      <x:c r="M114" t="str">
        <x:v>A</x:v>
      </x:c>
      <x:c r="N114" t="str">
        <x:v>RATE-ADJUSTED VETERAN</x:v>
      </x:c>
    </x:row>
    <x:row r="115">
      <x:c r="A115" t="n">
        <x:v>111</x:v>
      </x:c>
      <x:c r="B115" t="str">
        <x:v>WR</x:v>
      </x:c>
      <x:c r="C115" t="n">
        <x:v>41</x:v>
      </x:c>
      <x:c r="D115" t="str">
        <x:v>Makai Lemon</x:v>
      </x:c>
      <x:c r="E115" s="48" t="n">
        <x:v>58.43466666666668</x:v>
      </x:c>
      <x:c r="F115" s="48" t="n">
        <x:v>72.2</x:v>
      </x:c>
      <x:c r="G115" s="48" t="n">
        <x:v>0.3100000000000023</x:v>
      </x:c>
      <x:c r="H115" s="48" t="n">
        <x:v>21.111111111111114</x:v>
      </x:c>
      <x:c r="I115" s="48" t="n">
        <x:v>159</x:v>
      </x:c>
      <x:c r="J115" s="48" t="n">
        <x:v>48</x:v>
      </x:c>
      <x:c r="K115" s="48" t="n">
        <x:v>60.2</x:v>
      </x:c>
      <x:c r="L115" s="48" t="n">
        <x:v>84.2</x:v>
      </x:c>
      <x:c r="M115" t="str">
        <x:v>C</x:v>
      </x:c>
      <x:c r="N115" t="str">
        <x:v>HISTORY FALLBACK</x:v>
      </x:c>
    </x:row>
    <x:row r="116">
      <x:c r="A116" t="n">
        <x:v>112</x:v>
      </x:c>
      <x:c r="B116" t="str">
        <x:v>TE</x:v>
      </x:c>
      <x:c r="C116" t="n">
        <x:v>16</x:v>
      </x:c>
      <x:c r="D116" t="str">
        <x:v>Juwan Johnson</x:v>
      </x:c>
      <x:c r="E116" s="48" t="n">
        <x:v>58.31552236886624</x:v>
      </x:c>
      <x:c r="F116" s="48" t="n">
        <x:v>78.32031359820323</x:v>
      </x:c>
      <x:c r="G116" s="48" t="n">
        <x:v>-1.5977970697389736</x:v>
      </x:c>
      <x:c r="H116" s="48" t="n">
        <x:v>20.769230769230766</x:v>
      </x:c>
      <x:c r="I116" s="48" t="n">
        <x:v>152</x:v>
      </x:c>
      <x:c r="J116" s="48" t="n">
        <x:v>40</x:v>
      </x:c>
      <x:c r="K116" s="48" t="n">
        <x:v>72.32031359820323</x:v>
      </x:c>
      <x:c r="L116" s="48" t="n">
        <x:v>84.32031359820323</x:v>
      </x:c>
      <x:c r="M116" t="str">
        <x:v>A</x:v>
      </x:c>
      <x:c r="N116" t="str">
        <x:v>RATE-ADJUSTED VETERAN</x:v>
      </x:c>
    </x:row>
    <x:row r="117">
      <x:c r="A117" t="n">
        <x:v>113</x:v>
      </x:c>
      <x:c r="B117" t="str">
        <x:v>WR</x:v>
      </x:c>
      <x:c r="C117" t="n">
        <x:v>31</x:v>
      </x:c>
      <x:c r="D117" t="str">
        <x:v>Alec Pierce</x:v>
      </x:c>
      <x:c r="E117" s="48" t="n">
        <x:v>58.301749999999984</x:v>
      </x:c>
      <x:c r="F117" s="48" t="n">
        <x:v>70.725</x:v>
      </x:c>
      <x:c r="G117" s="48" t="n">
        <x:v>-1.1650000000000063</x:v>
      </x:c>
      <x:c r="H117" s="48" t="n">
        <x:v>43.333333333333336</x:v>
      </x:c>
      <x:c r="I117" s="48" t="n">
        <x:v>120</x:v>
      </x:c>
      <x:c r="J117" s="48" t="n">
        <x:v>7</x:v>
      </x:c>
      <x:c r="K117" s="48" t="n">
        <x:v>58.724999999999994</x:v>
      </x:c>
      <x:c r="L117" s="48" t="n">
        <x:v>82.725</x:v>
      </x:c>
      <x:c r="M117" t="str">
        <x:v>C</x:v>
      </x:c>
      <x:c r="N117" t="str">
        <x:v>HISTORY FALLBACK</x:v>
      </x:c>
    </x:row>
    <x:row r="118">
      <x:c r="A118" t="n">
        <x:v>114</x:v>
      </x:c>
      <x:c r="B118" t="str">
        <x:v>K</x:v>
      </x:c>
      <x:c r="C118" t="n">
        <x:v>7</x:v>
      </x:c>
      <x:c r="D118" t="str">
        <x:v>Tyler Loop</x:v>
      </x:c>
      <x:c r="E118" s="48" t="n">
        <x:v>58.269999999999996</x:v>
      </x:c>
      <x:c r="F118" s="48" t="n">
        <x:v>80.8</x:v>
      </x:c>
      <x:c r="G118" s="48" t="n">
        <x:v>6.599999999999994</x:v>
      </x:c>
      <x:c r="H118" s="48" t="n">
        <x:v>33</x:v>
      </x:c>
      <x:c r="I118" s="48" t="n">
        <x:v>185</x:v>
      </x:c>
      <x:c r="J118" s="48" t="n">
        <x:v>71</x:v>
      </x:c>
      <x:c r="K118" s="48" t="n">
        <x:v>74.8</x:v>
      </x:c>
      <x:c r="L118" s="48" t="n">
        <x:v>85.8</x:v>
      </x:c>
      <x:c r="M118" t="str">
        <x:v>B</x:v>
      </x:c>
      <x:c r="N118" t="str">
        <x:v>KICKER MODEL</x:v>
      </x:c>
    </x:row>
    <x:row r="119">
      <x:c r="A119" t="n">
        <x:v>115</x:v>
      </x:c>
      <x:c r="B119" t="str">
        <x:v>QB</x:v>
      </x:c>
      <x:c r="C119" t="n">
        <x:v>16</x:v>
      </x:c>
      <x:c r="D119" t="str">
        <x:v>Jared Goff</x:v>
      </x:c>
      <x:c r="E119" s="48" t="n">
        <x:v>57.22570928124758</x:v>
      </x:c>
      <x:c r="F119" s="48" t="n">
        <x:v>82.64253383916756</x:v>
      </x:c>
      <x:c r="G119" s="48" t="n">
        <x:v>-2.049568217685021</x:v>
      </x:c>
      <x:c r="H119" s="48" t="n">
        <x:v>23.076923076923073</x:v>
      </x:c>
      <x:c r="I119" s="48" t="n">
        <x:v>142</x:v>
      </x:c>
      <x:c r="J119" s="48" t="n">
        <x:v>27</x:v>
      </x:c>
      <x:c r="K119" s="48" t="n">
        <x:v>76.64253383916756</x:v>
      </x:c>
      <x:c r="L119" s="48" t="n">
        <x:v>88.64253383916756</x:v>
      </x:c>
      <x:c r="M119" t="str">
        <x:v>A</x:v>
      </x:c>
      <x:c r="N119" t="str">
        <x:v>RATE-ADJUSTED VETERAN</x:v>
      </x:c>
    </x:row>
    <x:row r="120">
      <x:c r="A120" t="n">
        <x:v>116</x:v>
      </x:c>
      <x:c r="B120" t="str">
        <x:v>RB</x:v>
      </x:c>
      <x:c r="C120" t="n">
        <x:v>34</x:v>
      </x:c>
      <x:c r="D120" t="str">
        <x:v>Chuba Hubbard</x:v>
      </x:c>
      <x:c r="E120" s="48" t="n">
        <x:v>56.85525293240098</x:v>
      </x:c>
      <x:c r="F120" s="48" t="n">
        <x:v>71.86665989322354</x:v>
      </x:c>
      <x:c r="G120" s="48" t="n">
        <x:v>-1.7011305604844296</x:v>
      </x:c>
      <x:c r="H120" s="48" t="n">
        <x:v>35.9375</x:v>
      </x:c>
      <x:c r="I120" s="48" t="n">
        <x:v>140.6</x:v>
      </x:c>
      <x:c r="J120" s="48" t="n">
        <x:v>24.599999999999994</x:v>
      </x:c>
      <x:c r="K120" s="48" t="n">
        <x:v>65.86665989322354</x:v>
      </x:c>
      <x:c r="L120" s="48" t="n">
        <x:v>77.86665989322354</x:v>
      </x:c>
      <x:c r="M120" t="str">
        <x:v>A</x:v>
      </x:c>
      <x:c r="N120" t="str">
        <x:v>RATE-ADJUSTED VETERAN</x:v>
      </x:c>
    </x:row>
    <x:row r="121">
      <x:c r="A121" t="n">
        <x:v>117</x:v>
      </x:c>
      <x:c r="B121" t="str">
        <x:v>WR</x:v>
      </x:c>
      <x:c r="C121" t="n">
        <x:v>42</x:v>
      </x:c>
      <x:c r="D121" t="str">
        <x:v>Parker Washington</x:v>
      </x:c>
      <x:c r="E121" s="48" t="n">
        <x:v>56.526833333333336</x:v>
      </x:c>
      <x:c r="F121" s="48" t="n">
        <x:v>71.53</x:v>
      </x:c>
      <x:c r="G121" s="48" t="n">
        <x:v>-0.35999999999999943</x:v>
      </x:c>
      <x:c r="H121" s="48" t="n">
        <x:v>18.88888888888889</x:v>
      </x:c>
      <x:c r="I121" s="48" t="n">
        <x:v>162.9</x:v>
      </x:c>
      <x:c r="J121" s="48" t="n">
        <x:v>45.900000000000006</x:v>
      </x:c>
      <x:c r="K121" s="48" t="n">
        <x:v>59.53</x:v>
      </x:c>
      <x:c r="L121" s="48" t="n">
        <x:v>83.53</x:v>
      </x:c>
      <x:c r="M121" t="str">
        <x:v>C</x:v>
      </x:c>
      <x:c r="N121" t="str">
        <x:v>HISTORY FALLBACK</x:v>
      </x:c>
    </x:row>
    <x:row r="122">
      <x:c r="A122" t="n">
        <x:v>118</x:v>
      </x:c>
      <x:c r="B122" t="str">
        <x:v>RB</x:v>
      </x:c>
      <x:c r="C122" t="n">
        <x:v>35</x:v>
      </x:c>
      <x:c r="D122" t="str">
        <x:v>Aaron Jones Sr.</x:v>
      </x:c>
      <x:c r="E122" s="48" t="n">
        <x:v>56.09871268734764</x:v>
      </x:c>
      <x:c r="F122" s="48" t="n">
        <x:v>71.6976534059668</x:v>
      </x:c>
      <x:c r="G122" s="48" t="n">
        <x:v>-1.8701370477411672</x:v>
      </x:c>
      <x:c r="H122" s="48" t="n">
        <x:v>33.541666666666664</x:v>
      </x:c>
      <x:c r="I122" s="48" t="n">
        <x:v>144.8</x:v>
      </x:c>
      <x:c r="J122" s="48" t="n">
        <x:v>26.80000000000001</x:v>
      </x:c>
      <x:c r="K122" s="48" t="n">
        <x:v>65.6976534059668</x:v>
      </x:c>
      <x:c r="L122" s="48" t="n">
        <x:v>77.6976534059668</x:v>
      </x:c>
      <x:c r="M122" t="str">
        <x:v>A</x:v>
      </x:c>
      <x:c r="N122" t="str">
        <x:v>RATE-ADJUSTED VETERAN</x:v>
      </x:c>
    </x:row>
    <x:row r="123">
      <x:c r="A123" t="n">
        <x:v>119</x:v>
      </x:c>
      <x:c r="B123" t="str">
        <x:v>DST</x:v>
      </x:c>
      <x:c r="C123" t="n">
        <x:v>6</x:v>
      </x:c>
      <x:c r="D123" t="str">
        <x:v>Minnesota Vikings</x:v>
      </x:c>
      <x:c r="E123" s="48" t="n">
        <x:v>56.045000000000016</x:v>
      </x:c>
      <x:c r="F123" s="48" t="n">
        <x:v>87.5</x:v>
      </x:c>
      <x:c r="G123" s="48" t="n">
        <x:v>4.400000000000006</x:v>
      </x:c>
      <x:c r="H123" s="48" t="n">
        <x:v>33.333333333333336</x:v>
      </x:c>
      <x:c r="I123" s="48" t="n">
        <x:v>180</x:v>
      </x:c>
      <x:c r="J123" s="48" t="n">
        <x:v>61</x:v>
      </x:c>
      <x:c r="K123" s="48" t="n">
        <x:v>79.5</x:v>
      </x:c>
      <x:c r="L123" s="48" t="n">
        <x:v>94.5</x:v>
      </x:c>
      <x:c r="M123" t="str">
        <x:v>B</x:v>
      </x:c>
      <x:c r="N123" t="str">
        <x:v>DST MODEL</x:v>
      </x:c>
    </x:row>
    <x:row r="124">
      <x:c r="A124" t="n">
        <x:v>120</x:v>
      </x:c>
      <x:c r="B124" t="str">
        <x:v>WR</x:v>
      </x:c>
      <x:c r="C124" t="n">
        <x:v>32</x:v>
      </x:c>
      <x:c r="D124" t="str">
        <x:v>DK Metcalf</x:v>
      </x:c>
      <x:c r="E124" s="48" t="n">
        <x:v>55.812291666666674</x:v>
      </x:c>
      <x:c r="F124" s="48" t="n">
        <x:v>69.8075</x:v>
      </x:c>
      <x:c r="G124" s="48" t="n">
        <x:v>-2.082499999999996</x:v>
      </x:c>
      <x:c r="H124" s="48" t="n">
        <x:v>41.11111111111111</x:v>
      </x:c>
      <x:c r="I124" s="48" t="n">
        <x:v>123.89999999999999</x:v>
      </x:c>
      <x:c r="J124" s="48" t="n">
        <x:v>3.8999999999999915</x:v>
      </x:c>
      <x:c r="K124" s="48" t="n">
        <x:v>57.807500000000005</x:v>
      </x:c>
      <x:c r="L124" s="48" t="n">
        <x:v>81.8075</x:v>
      </x:c>
      <x:c r="M124" t="str">
        <x:v>C</x:v>
      </x:c>
      <x:c r="N124" t="str">
        <x:v>HISTORY FALLBACK</x:v>
      </x:c>
    </x:row>
    <x:row r="125">
      <x:c r="A125" t="n">
        <x:v>121</x:v>
      </x:c>
      <x:c r="B125" t="str">
        <x:v>WR</x:v>
      </x:c>
      <x:c r="C125" t="n">
        <x:v>43</x:v>
      </x:c>
      <x:c r="D125" t="str">
        <x:v>Chris Godwin Jr.</x:v>
      </x:c>
      <x:c r="E125" s="48" t="n">
        <x:v>54.619</x:v>
      </x:c>
      <x:c r="F125" s="48" t="n">
        <x:v>70.86</x:v>
      </x:c>
      <x:c r="G125" s="48" t="n">
        <x:v>-1.0300000000000011</x:v>
      </x:c>
      <x:c r="H125" s="48" t="n">
        <x:v>16.666666666666664</x:v>
      </x:c>
      <x:c r="I125" s="48" t="n">
        <x:v>166.79999999999998</x:v>
      </x:c>
      <x:c r="J125" s="48" t="n">
        <x:v>45.79999999999998</x:v>
      </x:c>
      <x:c r="K125" s="48" t="n">
        <x:v>58.86</x:v>
      </x:c>
      <x:c r="L125" s="48" t="n">
        <x:v>82.86</x:v>
      </x:c>
      <x:c r="M125" t="str">
        <x:v>C</x:v>
      </x:c>
      <x:c r="N125" t="str">
        <x:v>HISTORY FALLBACK</x:v>
      </x:c>
    </x:row>
    <x:row r="126">
      <x:c r="A126" t="n">
        <x:v>122</x:v>
      </x:c>
      <x:c r="B126" t="str">
        <x:v>RB</x:v>
      </x:c>
      <x:c r="C126" t="n">
        <x:v>36</x:v>
      </x:c>
      <x:c r="D126" t="str">
        <x:v>J.K. Dobbins</x:v>
      </x:c>
      <x:c r="E126" s="48" t="n">
        <x:v>54.49139392831055</x:v>
      </x:c>
      <x:c r="F126" s="48" t="n">
        <x:v>71.16661350850421</x:v>
      </x:c>
      <x:c r="G126" s="48" t="n">
        <x:v>-2.4011769452037584</x:v>
      </x:c>
      <x:c r="H126" s="48" t="n">
        <x:v>31.145833333333332</x:v>
      </x:c>
      <x:c r="I126" s="48" t="n">
        <x:v>149</x:v>
      </x:c>
      <x:c r="J126" s="48" t="n">
        <x:v>27</x:v>
      </x:c>
      <x:c r="K126" s="48" t="n">
        <x:v>62.16661350850421</x:v>
      </x:c>
      <x:c r="L126" s="48" t="n">
        <x:v>80.16661350850421</x:v>
      </x:c>
      <x:c r="M126" t="str">
        <x:v>B</x:v>
      </x:c>
      <x:c r="N126" t="str">
        <x:v>RATE-ADJUSTED VETERAN</x:v>
      </x:c>
    </x:row>
    <x:row r="127">
      <x:c r="A127" t="n">
        <x:v>123</x:v>
      </x:c>
      <x:c r="B127" t="str">
        <x:v>DST</x:v>
      </x:c>
      <x:c r="C127" t="n">
        <x:v>7</x:v>
      </x:c>
      <x:c r="D127" t="str">
        <x:v>New England Patriots</x:v>
      </x:c>
      <x:c r="E127" s="48" t="n">
        <x:v>52.960000000000036</x:v>
      </x:c>
      <x:c r="F127" s="48" t="n">
        <x:v>86.4</x:v>
      </x:c>
      <x:c r="G127" s="48" t="n">
        <x:v>3.3000000000000114</x:v>
      </x:c>
      <x:c r="H127" s="48" t="n">
        <x:v>30</x:v>
      </x:c>
      <x:c r="I127" s="48" t="n">
        <x:v>184</x:v>
      </x:c>
      <x:c r="J127" s="48" t="n">
        <x:v>61</x:v>
      </x:c>
      <x:c r="K127" s="48" t="n">
        <x:v>78.4</x:v>
      </x:c>
      <x:c r="L127" s="48" t="n">
        <x:v>93.4</x:v>
      </x:c>
      <x:c r="M127" t="str">
        <x:v>B</x:v>
      </x:c>
      <x:c r="N127" t="str">
        <x:v>DST MODEL</x:v>
      </x:c>
    </x:row>
    <x:row r="128">
      <x:c r="A128" t="n">
        <x:v>124</x:v>
      </x:c>
      <x:c r="B128" t="str">
        <x:v>TE</x:v>
      </x:c>
      <x:c r="C128" t="n">
        <x:v>17</x:v>
      </x:c>
      <x:c r="D128" t="str">
        <x:v>Hunter Henry</x:v>
      </x:c>
      <x:c r="E128" s="48" t="n">
        <x:v>52.76407198374629</x:v>
      </x:c>
      <x:c r="F128" s="48" t="n">
        <x:v>76.2525933033895</x:v>
      </x:c>
      <x:c r="G128" s="48" t="n">
        <x:v>-3.6655173645526986</x:v>
      </x:c>
      <x:c r="H128" s="48" t="n">
        <x:v>16.153846153846157</x:v>
      </x:c>
      <x:c r="I128" s="48" t="n">
        <x:v>161</x:v>
      </x:c>
      <x:c r="J128" s="48" t="n">
        <x:v>37</x:v>
      </x:c>
      <x:c r="K128" s="48" t="n">
        <x:v>70.2525933033895</x:v>
      </x:c>
      <x:c r="L128" s="48" t="n">
        <x:v>82.2525933033895</x:v>
      </x:c>
      <x:c r="M128" t="str">
        <x:v>A</x:v>
      </x:c>
      <x:c r="N128" t="str">
        <x:v>RATE-ADJUSTED VETERAN</x:v>
      </x:c>
    </x:row>
    <x:row r="129">
      <x:c r="A129" t="n">
        <x:v>125</x:v>
      </x:c>
      <x:c r="B129" t="str">
        <x:v>WR</x:v>
      </x:c>
      <x:c r="C129" t="n">
        <x:v>44</x:v>
      </x:c>
      <x:c r="D129" t="str">
        <x:v>Quentin Johnston</x:v>
      </x:c>
      <x:c r="E129" s="48" t="n">
        <x:v>52.711166666666664</x:v>
      </x:c>
      <x:c r="F129" s="48" t="n">
        <x:v>70.19</x:v>
      </x:c>
      <x:c r="G129" s="48" t="n">
        <x:v>-1.7000000000000028</x:v>
      </x:c>
      <x:c r="H129" s="48" t="n">
        <x:v>14.444444444444441</x:v>
      </x:c>
      <x:c r="I129" s="48" t="n">
        <x:v>170.7</x:v>
      </x:c>
      <x:c r="J129" s="48" t="n">
        <x:v>45.69999999999999</x:v>
      </x:c>
      <x:c r="K129" s="48" t="n">
        <x:v>58.19</x:v>
      </x:c>
      <x:c r="L129" s="48" t="n">
        <x:v>82.19</x:v>
      </x:c>
      <x:c r="M129" t="str">
        <x:v>C</x:v>
      </x:c>
      <x:c r="N129" t="str">
        <x:v>HISTORY FALLBACK</x:v>
      </x:c>
    </x:row>
    <x:row r="130">
      <x:c r="A130" t="n">
        <x:v>126</x:v>
      </x:c>
      <x:c r="B130" t="str">
        <x:v>WR</x:v>
      </x:c>
      <x:c r="C130" t="n">
        <x:v>34</x:v>
      </x:c>
      <x:c r="D130" t="str">
        <x:v>Courtland Sutton</x:v>
      </x:c>
      <x:c r="E130" s="48" t="n">
        <x:v>52.59587499999999</x:v>
      </x:c>
      <x:c r="F130" s="48" t="n">
        <x:v>68.7225</x:v>
      </x:c>
      <x:c r="G130" s="48" t="n">
        <x:v>-3.167500000000004</x:v>
      </x:c>
      <x:c r="H130" s="48" t="n">
        <x:v>36.66666666666667</x:v>
      </x:c>
      <x:c r="I130" s="48" t="n">
        <x:v>131.7</x:v>
      </x:c>
      <x:c r="J130" s="48" t="n">
        <x:v>5.699999999999989</x:v>
      </x:c>
      <x:c r="K130" s="48" t="n">
        <x:v>56.7225</x:v>
      </x:c>
      <x:c r="L130" s="48" t="n">
        <x:v>80.7225</x:v>
      </x:c>
      <x:c r="M130" t="str">
        <x:v>C</x:v>
      </x:c>
      <x:c r="N130" t="str">
        <x:v>HISTORY FALLBACK</x:v>
      </x:c>
    </x:row>
    <x:row r="131">
      <x:c r="A131" t="n">
        <x:v>127</x:v>
      </x:c>
      <x:c r="B131" t="str">
        <x:v>K</x:v>
      </x:c>
      <x:c r="C131" t="n">
        <x:v>8</x:v>
      </x:c>
      <x:c r="D131" t="str">
        <x:v>Harrison Mevis</x:v>
      </x:c>
      <x:c r="E131" s="48" t="n">
        <x:v>52.54999999999998</x:v>
      </x:c>
      <x:c r="F131" s="48" t="n">
        <x:v>78.6</x:v>
      </x:c>
      <x:c r="G131" s="48" t="n">
        <x:v>4.3999999999999915</x:v>
      </x:c>
      <x:c r="H131" s="48" t="n">
        <x:v>29.333333333333336</x:v>
      </x:c>
      <x:c r="I131" s="48" t="n">
        <x:v>190</x:v>
      </x:c>
      <x:c r="J131" s="48" t="n">
        <x:v>63</x:v>
      </x:c>
      <x:c r="K131" s="48" t="n">
        <x:v>72.6</x:v>
      </x:c>
      <x:c r="L131" s="48" t="n">
        <x:v>83.6</x:v>
      </x:c>
      <x:c r="M131" t="str">
        <x:v>B</x:v>
      </x:c>
      <x:c r="N131" t="str">
        <x:v>KICKER MODEL</x:v>
      </x:c>
    </x:row>
    <x:row r="132">
      <x:c r="A132" t="n">
        <x:v>128</x:v>
      </x:c>
      <x:c r="B132" t="str">
        <x:v>QB</x:v>
      </x:c>
      <x:c r="C132" t="n">
        <x:v>17</x:v>
      </x:c>
      <x:c r="D132" t="str">
        <x:v>Kyler Murray</x:v>
      </x:c>
      <x:c r="E132" s="48" t="n">
        <x:v>51.91525363172204</x:v>
      </x:c>
      <x:c r="F132" s="48" t="n">
        <x:v>80.71009771989318</x:v>
      </x:c>
      <x:c r="G132" s="48" t="n">
        <x:v>-3.982004336959392</x:v>
      </x:c>
      <x:c r="H132" s="48" t="n">
        <x:v>17.948717948717952</x:v>
      </x:c>
      <x:c r="I132" s="48" t="n">
        <x:v>150</x:v>
      </x:c>
      <x:c r="J132" s="48" t="n">
        <x:v>22</x:v>
      </x:c>
      <x:c r="K132" s="48" t="n">
        <x:v>71.71009771989318</x:v>
      </x:c>
      <x:c r="L132" s="48" t="n">
        <x:v>89.71009771989318</x:v>
      </x:c>
      <x:c r="M132" t="str">
        <x:v>B</x:v>
      </x:c>
      <x:c r="N132" t="str">
        <x:v>RATE-ADJUSTED VETERAN</x:v>
      </x:c>
    </x:row>
    <x:row r="133">
      <x:c r="A133" t="n">
        <x:v>129</x:v>
      </x:c>
      <x:c r="B133" t="str">
        <x:v>TE</x:v>
      </x:c>
      <x:c r="C133" t="n">
        <x:v>18</x:v>
      </x:c>
      <x:c r="D133" t="str">
        <x:v>Brenton Strange</x:v>
      </x:c>
      <x:c r="E133" s="48" t="n">
        <x:v>51.55362069781001</x:v>
      </x:c>
      <x:c r="F133" s="48" t="n">
        <x:v>76.03210666780286</x:v>
      </x:c>
      <x:c r="G133" s="48" t="n">
        <x:v>-3.8860040001393372</x:v>
      </x:c>
      <x:c r="H133" s="48" t="n">
        <x:v>11.538461538461538</x:v>
      </x:c>
      <x:c r="I133" s="48" t="n">
        <x:v>170</x:v>
      </x:c>
      <x:c r="J133" s="48" t="n">
        <x:v>41</x:v>
      </x:c>
      <x:c r="K133" s="48" t="n">
        <x:v>70.03210666780286</x:v>
      </x:c>
      <x:c r="L133" s="48" t="n">
        <x:v>82.03210666780286</x:v>
      </x:c>
      <x:c r="M133" t="str">
        <x:v>A</x:v>
      </x:c>
      <x:c r="N133" t="str">
        <x:v>RATE-ADJUSTED VETERAN</x:v>
      </x:c>
    </x:row>
    <x:row r="134">
      <x:c r="A134" t="n">
        <x:v>130</x:v>
      </x:c>
      <x:c r="B134" t="str">
        <x:v>WR</x:v>
      </x:c>
      <x:c r="C134" t="n">
        <x:v>45</x:v>
      </x:c>
      <x:c r="D134" t="str">
        <x:v>Ricky Pearsall</x:v>
      </x:c>
      <x:c r="E134" s="48" t="n">
        <x:v>50.803333333333335</x:v>
      </x:c>
      <x:c r="F134" s="48" t="n">
        <x:v>69.52</x:v>
      </x:c>
      <x:c r="G134" s="48" t="n">
        <x:v>-2.3700000000000045</x:v>
      </x:c>
      <x:c r="H134" s="48" t="n">
        <x:v>12.222222222222229</x:v>
      </x:c>
      <x:c r="I134" s="48" t="n">
        <x:v>174.6</x:v>
      </x:c>
      <x:c r="J134" s="48" t="n">
        <x:v>44.599999999999994</x:v>
      </x:c>
      <x:c r="K134" s="48" t="n">
        <x:v>57.519999999999996</x:v>
      </x:c>
      <x:c r="L134" s="48" t="n">
        <x:v>81.52</x:v>
      </x:c>
      <x:c r="M134" t="str">
        <x:v>C</x:v>
      </x:c>
      <x:c r="N134" t="str">
        <x:v>HISTORY FALLBACK</x:v>
      </x:c>
    </x:row>
    <x:row r="135">
      <x:c r="A135" t="n">
        <x:v>131</x:v>
      </x:c>
      <x:c r="B135" t="str">
        <x:v>RB</x:v>
      </x:c>
      <x:c r="C135" t="n">
        <x:v>37</x:v>
      </x:c>
      <x:c r="D135" t="str">
        <x:v>Blake Corum</x:v>
      </x:c>
      <x:c r="E135" s="48" t="n">
        <x:v>50.26155766532392</x:v>
      </x:c>
      <x:c r="F135" s="48" t="n">
        <x:v>69.51960871574394</x:v>
      </x:c>
      <x:c r="G135" s="48" t="n">
        <x:v>-4.048181737964029</x:v>
      </x:c>
      <x:c r="H135" s="48" t="n">
        <x:v>28.749999999999996</x:v>
      </x:c>
      <x:c r="I135" s="48" t="n">
        <x:v>153.20000000000002</x:v>
      </x:c>
      <x:c r="J135" s="48" t="n">
        <x:v>22.200000000000017</x:v>
      </x:c>
      <x:c r="K135" s="48" t="n">
        <x:v>63.51960871574394</x:v>
      </x:c>
      <x:c r="L135" s="48" t="n">
        <x:v>75.51960871574394</x:v>
      </x:c>
      <x:c r="M135" t="str">
        <x:v>A</x:v>
      </x:c>
      <x:c r="N135" t="str">
        <x:v>RATE-ADJUSTED VETERAN</x:v>
      </x:c>
    </x:row>
    <x:row r="136">
      <x:c r="A136" t="n">
        <x:v>132</x:v>
      </x:c>
      <x:c r="B136" t="str">
        <x:v>DST</x:v>
      </x:c>
      <x:c r="C136" t="n">
        <x:v>8</x:v>
      </x:c>
      <x:c r="D136" t="str">
        <x:v>Jacksonville Jaguars</x:v>
      </x:c>
      <x:c r="E136" s="48" t="n">
        <x:v>49.875</x:v>
      </x:c>
      <x:c r="F136" s="48" t="n">
        <x:v>85.3</x:v>
      </x:c>
      <x:c r="G136" s="48" t="n">
        <x:v>2.200000000000003</x:v>
      </x:c>
      <x:c r="H136" s="48" t="n">
        <x:v>26.666666666666668</x:v>
      </x:c>
      <x:c r="I136" s="48" t="n">
        <x:v>188</x:v>
      </x:c>
      <x:c r="J136" s="48" t="n">
        <x:v>56</x:v>
      </x:c>
      <x:c r="K136" s="48" t="n">
        <x:v>77.3</x:v>
      </x:c>
      <x:c r="L136" s="48" t="n">
        <x:v>92.3</x:v>
      </x:c>
      <x:c r="M136" t="str">
        <x:v>B</x:v>
      </x:c>
      <x:c r="N136" t="str">
        <x:v>DST MODEL</x:v>
      </x:c>
    </x:row>
    <x:row r="137">
      <x:c r="A137" t="n">
        <x:v>133</x:v>
      </x:c>
      <x:c r="B137" t="str">
        <x:v>TE</x:v>
      </x:c>
      <x:c r="C137" t="n">
        <x:v>19</x:v>
      </x:c>
      <x:c r="D137" t="str">
        <x:v>Chig Okonkwo</x:v>
      </x:c>
      <x:c r="E137" s="48" t="n">
        <x:v>49.6419663635441</x:v>
      </x:c>
      <x:c r="F137" s="48" t="n">
        <x:v>75.51323575633128</x:v>
      </x:c>
      <x:c r="G137" s="48" t="n">
        <x:v>-4.404874911610918</x:v>
      </x:c>
      <x:c r="H137" s="48" t="n">
        <x:v>6.923076923076919</x:v>
      </x:c>
      <x:c r="I137" s="48" t="n">
        <x:v>179</x:v>
      </x:c>
      <x:c r="J137" s="48" t="n">
        <x:v>46</x:v>
      </x:c>
      <x:c r="K137" s="48" t="n">
        <x:v>69.51323575633128</x:v>
      </x:c>
      <x:c r="L137" s="48" t="n">
        <x:v>81.51323575633128</x:v>
      </x:c>
      <x:c r="M137" t="str">
        <x:v>A</x:v>
      </x:c>
      <x:c r="N137" t="str">
        <x:v>RATE-ADJUSTED VETERAN</x:v>
      </x:c>
    </x:row>
    <x:row r="138">
      <x:c r="A138" t="n">
        <x:v>134</x:v>
      </x:c>
      <x:c r="B138" t="str">
        <x:v>QB</x:v>
      </x:c>
      <x:c r="C138" t="n">
        <x:v>18</x:v>
      </x:c>
      <x:c r="D138" t="str">
        <x:v>Jordan Love</x:v>
      </x:c>
      <x:c r="E138" s="48" t="n">
        <x:v>49.57308501840734</x:v>
      </x:c>
      <x:c r="F138" s="48" t="n">
        <x:v>80.04076246709151</x:v>
      </x:c>
      <x:c r="G138" s="48" t="n">
        <x:v>-4.651339589761065</x:v>
      </x:c>
      <x:c r="H138" s="48" t="n">
        <x:v>12.82051282051282</x:v>
      </x:c>
      <x:c r="I138" s="48" t="n">
        <x:v>158</x:v>
      </x:c>
      <x:c r="J138" s="48" t="n">
        <x:v>24</x:v>
      </x:c>
      <x:c r="K138" s="48" t="n">
        <x:v>74.04076246709151</x:v>
      </x:c>
      <x:c r="L138" s="48" t="n">
        <x:v>86.04076246709151</x:v>
      </x:c>
      <x:c r="M138" t="str">
        <x:v>A</x:v>
      </x:c>
      <x:c r="N138" t="str">
        <x:v>RATE-ADJUSTED VETERAN</x:v>
      </x:c>
    </x:row>
    <x:row r="139">
      <x:c r="A139" t="n">
        <x:v>135</x:v>
      </x:c>
      <x:c r="B139" t="str">
        <x:v>RB</x:v>
      </x:c>
      <x:c r="C139" t="n">
        <x:v>38</x:v>
      </x:c>
      <x:c r="D139" t="str">
        <x:v>Rachaad White</x:v>
      </x:c>
      <x:c r="E139" s="48" t="n">
        <x:v>49.15969588127357</x:v>
      </x:c>
      <x:c r="F139" s="48" t="n">
        <x:v>69.2036568927438</x:v>
      </x:c>
      <x:c r="G139" s="48" t="n">
        <x:v>-4.364133560964177</x:v>
      </x:c>
      <x:c r="H139" s="48" t="n">
        <x:v>26.35416666666666</x:v>
      </x:c>
      <x:c r="I139" s="48" t="n">
        <x:v>157.4</x:v>
      </x:c>
      <x:c r="J139" s="48" t="n">
        <x:v>22.400000000000006</x:v>
      </x:c>
      <x:c r="K139" s="48" t="n">
        <x:v>63.203656892743794</x:v>
      </x:c>
      <x:c r="L139" s="48" t="n">
        <x:v>75.2036568927438</x:v>
      </x:c>
      <x:c r="M139" t="str">
        <x:v>A</x:v>
      </x:c>
      <x:c r="N139" t="str">
        <x:v>RATE-ADJUSTED VETERAN</x:v>
      </x:c>
    </x:row>
    <x:row r="140">
      <x:c r="A140" t="n">
        <x:v>136</x:v>
      </x:c>
      <x:c r="B140" t="str">
        <x:v>WR</x:v>
      </x:c>
      <x:c r="C140" t="n">
        <x:v>46</x:v>
      </x:c>
      <x:c r="D140" t="str">
        <x:v>Michael Wilson</x:v>
      </x:c>
      <x:c r="E140" s="48" t="n">
        <x:v>48.895499999999984</x:v>
      </x:c>
      <x:c r="F140" s="48" t="n">
        <x:v>68.85</x:v>
      </x:c>
      <x:c r="G140" s="48" t="n">
        <x:v>-3.0400000000000063</x:v>
      </x:c>
      <x:c r="H140" s="48" t="n">
        <x:v>10.000000000000004</x:v>
      </x:c>
      <x:c r="I140" s="48" t="n">
        <x:v>178.5</x:v>
      </x:c>
      <x:c r="J140" s="48" t="n">
        <x:v>42.5</x:v>
      </x:c>
      <x:c r="K140" s="48" t="n">
        <x:v>56.849999999999994</x:v>
      </x:c>
      <x:c r="L140" s="48" t="n">
        <x:v>80.85</x:v>
      </x:c>
      <x:c r="M140" t="str">
        <x:v>C</x:v>
      </x:c>
      <x:c r="N140" t="str">
        <x:v>HISTORY FALLBACK</x:v>
      </x:c>
    </x:row>
    <x:row r="141">
      <x:c r="A141" t="n">
        <x:v>137</x:v>
      </x:c>
      <x:c r="B141" t="str">
        <x:v>RB</x:v>
      </x:c>
      <x:c r="C141" t="n">
        <x:v>39</x:v>
      </x:c>
      <x:c r="D141" t="str">
        <x:v>Jacory Croskey-Merritt</x:v>
      </x:c>
      <x:c r="E141" s="48" t="n">
        <x:v>48.303424801133794</x:v>
      </x:c>
      <x:c r="F141" s="48" t="n">
        <x:v>68.99221175225878</x:v>
      </x:c>
      <x:c r="G141" s="48" t="n">
        <x:v>-4.575578701449189</x:v>
      </x:c>
      <x:c r="H141" s="48" t="n">
        <x:v>23.958333333333336</x:v>
      </x:c>
      <x:c r="I141" s="48" t="n">
        <x:v>161.6</x:v>
      </x:c>
      <x:c r="J141" s="48" t="n">
        <x:v>24.599999999999994</x:v>
      </x:c>
      <x:c r="K141" s="48" t="n">
        <x:v>62.99221175225878</x:v>
      </x:c>
      <x:c r="L141" s="48" t="n">
        <x:v>74.99221175225878</x:v>
      </x:c>
      <x:c r="M141" t="str">
        <x:v>A</x:v>
      </x:c>
      <x:c r="N141" t="str">
        <x:v>RATE-ADJUSTED VETERAN</x:v>
      </x:c>
    </x:row>
    <x:row r="142">
      <x:c r="A142" t="n">
        <x:v>138</x:v>
      </x:c>
      <x:c r="B142" t="str">
        <x:v>QB</x:v>
      </x:c>
      <x:c r="C142" t="n">
        <x:v>19</x:v>
      </x:c>
      <x:c r="D142" t="str">
        <x:v>Baker Mayfield</x:v>
      </x:c>
      <x:c r="E142" s="48" t="n">
        <x:v>48.29916473341378</x:v>
      </x:c>
      <x:c r="F142" s="48" t="n">
        <x:v>79.82600097102224</x:v>
      </x:c>
      <x:c r="G142" s="48" t="n">
        <x:v>-4.866101085830337</x:v>
      </x:c>
      <x:c r="H142" s="48" t="n">
        <x:v>7.692307692307687</x:v>
      </x:c>
      <x:c r="I142" s="48" t="n">
        <x:v>166</x:v>
      </x:c>
      <x:c r="J142" s="48" t="n">
        <x:v>28</x:v>
      </x:c>
      <x:c r="K142" s="48" t="n">
        <x:v>73.82600097102224</x:v>
      </x:c>
      <x:c r="L142" s="48" t="n">
        <x:v>85.82600097102224</x:v>
      </x:c>
      <x:c r="M142" t="str">
        <x:v>A</x:v>
      </x:c>
      <x:c r="N142" t="str">
        <x:v>RATE-ADJUSTED VETERAN</x:v>
      </x:c>
    </x:row>
    <x:row r="143">
      <x:c r="A143" t="n">
        <x:v>139</x:v>
      </x:c>
      <x:c r="B143" t="str">
        <x:v>WR</x:v>
      </x:c>
      <x:c r="C143" t="n">
        <x:v>47</x:v>
      </x:c>
      <x:c r="D143" t="str">
        <x:v>Xavier Worthy</x:v>
      </x:c>
      <x:c r="E143" s="48" t="n">
        <x:v>46.987666666666684</x:v>
      </x:c>
      <x:c r="F143" s="48" t="n">
        <x:v>68.18</x:v>
      </x:c>
      <x:c r="G143" s="48" t="n">
        <x:v>-3.7099999999999937</x:v>
      </x:c>
      <x:c r="H143" s="48" t="n">
        <x:v>7.7777777777777795</x:v>
      </x:c>
      <x:c r="I143" s="48" t="n">
        <x:v>182.4</x:v>
      </x:c>
      <x:c r="J143" s="48" t="n">
        <x:v>43.400000000000006</x:v>
      </x:c>
      <x:c r="K143" s="48" t="n">
        <x:v>56.18000000000001</x:v>
      </x:c>
      <x:c r="L143" s="48" t="n">
        <x:v>80.18</x:v>
      </x:c>
      <x:c r="M143" t="str">
        <x:v>C</x:v>
      </x:c>
      <x:c r="N143" t="str">
        <x:v>HISTORY FALLBACK</x:v>
      </x:c>
    </x:row>
    <x:row r="144">
      <x:c r="A144" t="n">
        <x:v>140</x:v>
      </x:c>
      <x:c r="B144" t="str">
        <x:v>K</x:v>
      </x:c>
      <x:c r="C144" t="n">
        <x:v>9</x:v>
      </x:c>
      <x:c r="D144" t="str">
        <x:v>Chase McLaughlin</x:v>
      </x:c>
      <x:c r="E144" s="48" t="n">
        <x:v>46.83</x:v>
      </x:c>
      <x:c r="F144" s="48" t="n">
        <x:v>76.4</x:v>
      </x:c>
      <x:c r="G144" s="48" t="n">
        <x:v>2.200000000000003</x:v>
      </x:c>
      <x:c r="H144" s="48" t="n">
        <x:v>25.666666666666668</x:v>
      </x:c>
      <x:c r="I144" s="48" t="n">
        <x:v>195</x:v>
      </x:c>
      <x:c r="J144" s="48" t="n">
        <x:v>55</x:v>
      </x:c>
      <x:c r="K144" s="48" t="n">
        <x:v>70.4</x:v>
      </x:c>
      <x:c r="L144" s="48" t="n">
        <x:v>81.4</x:v>
      </x:c>
      <x:c r="M144" t="str">
        <x:v>B</x:v>
      </x:c>
      <x:c r="N144" t="str">
        <x:v>KICKER MODEL</x:v>
      </x:c>
    </x:row>
    <x:row r="145">
      <x:c r="A145" t="n">
        <x:v>141</x:v>
      </x:c>
      <x:c r="B145" t="str">
        <x:v>DST</x:v>
      </x:c>
      <x:c r="C145" t="n">
        <x:v>9</x:v>
      </x:c>
      <x:c r="D145" t="str">
        <x:v>Pittsburgh Steelers</x:v>
      </x:c>
      <x:c r="E145" s="48" t="n">
        <x:v>46.79000000000002</x:v>
      </x:c>
      <x:c r="F145" s="48" t="n">
        <x:v>84.2</x:v>
      </x:c>
      <x:c r="G145" s="48" t="n">
        <x:v>1.1000000000000085</x:v>
      </x:c>
      <x:c r="H145" s="48" t="n">
        <x:v>23.333333333333332</x:v>
      </x:c>
      <x:c r="I145" s="48" t="n">
        <x:v>192</x:v>
      </x:c>
      <x:c r="J145" s="48" t="n">
        <x:v>51</x:v>
      </x:c>
      <x:c r="K145" s="48" t="n">
        <x:v>76.2</x:v>
      </x:c>
      <x:c r="L145" s="48" t="n">
        <x:v>91.2</x:v>
      </x:c>
      <x:c r="M145" t="str">
        <x:v>B</x:v>
      </x:c>
      <x:c r="N145" t="str">
        <x:v>DST MODEL</x:v>
      </x:c>
    </x:row>
    <x:row r="146">
      <x:c r="A146" t="n">
        <x:v>142</x:v>
      </x:c>
      <x:c r="B146" t="str">
        <x:v>WR</x:v>
      </x:c>
      <x:c r="C146" t="n">
        <x:v>40</x:v>
      </x:c>
      <x:c r="D146" t="str">
        <x:v>Brian Thomas Jr.</x:v>
      </x:c>
      <x:c r="E146" s="48" t="n">
        <x:v>46.471625</x:v>
      </x:c>
      <x:c r="F146" s="48" t="n">
        <x:v>66.9675</x:v>
      </x:c>
      <x:c r="G146" s="48" t="n">
        <x:v>-4.922499999999999</x:v>
      </x:c>
      <x:c r="H146" s="48" t="n">
        <x:v>23.33333333333334</x:v>
      </x:c>
      <x:c r="I146" s="48" t="n">
        <x:v>155.1</x:v>
      </x:c>
      <x:c r="J146" s="48" t="n">
        <x:v>13.099999999999994</x:v>
      </x:c>
      <x:c r="K146" s="48" t="n">
        <x:v>54.9675</x:v>
      </x:c>
      <x:c r="L146" s="48" t="n">
        <x:v>78.9675</x:v>
      </x:c>
      <x:c r="M146" t="str">
        <x:v>C</x:v>
      </x:c>
      <x:c r="N146" t="str">
        <x:v>HISTORY FALLBACK</x:v>
      </x:c>
    </x:row>
    <x:row r="147">
      <x:c r="A147" t="n">
        <x:v>143</x:v>
      </x:c>
      <x:c r="B147" t="str">
        <x:v>TE</x:v>
      </x:c>
      <x:c r="C147" t="n">
        <x:v>20</x:v>
      </x:c>
      <x:c r="D147" t="str">
        <x:v>Kenyon Sadiq</x:v>
      </x:c>
      <x:c r="E147" s="48" t="n">
        <x:v>45.614029411417214</x:v>
      </x:c>
      <x:c r="F147" s="48" t="n">
        <x:v>74.09381905002525</x:v>
      </x:c>
      <x:c r="G147" s="48" t="n">
        <x:v>-5.8242916179169555</x:v>
      </x:c>
      <x:c r="H147" s="48" t="n">
        <x:v>2.3076923076923097</x:v>
      </x:c>
      <x:c r="I147" s="48" t="n">
        <x:v>188</x:v>
      </x:c>
      <x:c r="J147" s="48" t="n">
        <x:v>45</x:v>
      </x:c>
      <x:c r="K147" s="48" t="n">
        <x:v>65.09381905002525</x:v>
      </x:c>
      <x:c r="L147" s="48" t="n">
        <x:v>83.09381905002525</x:v>
      </x:c>
      <x:c r="M147" t="str">
        <x:v>B</x:v>
      </x:c>
      <x:c r="N147" t="str">
        <x:v>ROOKIE ENGINE</x:v>
      </x:c>
    </x:row>
    <x:row r="148">
      <x:c r="A148" t="n">
        <x:v>144</x:v>
      </x:c>
      <x:c r="B148" t="str">
        <x:v>WR</x:v>
      </x:c>
      <x:c r="C148" t="n">
        <x:v>48</x:v>
      </x:c>
      <x:c r="D148" t="str">
        <x:v>Matthew Golden</x:v>
      </x:c>
      <x:c r="E148" s="48" t="n">
        <x:v>45.07983333333332</x:v>
      </x:c>
      <x:c r="F148" s="48" t="n">
        <x:v>67.50999999999999</x:v>
      </x:c>
      <x:c r="G148" s="48" t="n">
        <x:v>-4.38000000000001</x:v>
      </x:c>
      <x:c r="H148" s="48" t="n">
        <x:v>5.555555555555555</x:v>
      </x:c>
      <x:c r="I148" s="48" t="n">
        <x:v>186.29999999999998</x:v>
      </x:c>
      <x:c r="J148" s="48" t="n">
        <x:v>42.29999999999998</x:v>
      </x:c>
      <x:c r="K148" s="48" t="n">
        <x:v>55.50999999999999</x:v>
      </x:c>
      <x:c r="L148" s="48" t="n">
        <x:v>79.50999999999999</x:v>
      </x:c>
      <x:c r="M148" t="str">
        <x:v>C</x:v>
      </x:c>
      <x:c r="N148" t="str">
        <x:v>HISTORY FALLBACK</x:v>
      </x:c>
    </x:row>
    <x:row r="149">
      <x:c r="A149" t="n">
        <x:v>145</x:v>
      </x:c>
      <x:c r="B149" t="str">
        <x:v>RB</x:v>
      </x:c>
      <x:c r="C149" t="n">
        <x:v>40</x:v>
      </x:c>
      <x:c r="D149" t="str">
        <x:v>Jordan Mason</x:v>
      </x:c>
      <x:c r="E149" s="48" t="n">
        <x:v>44.80722546691542</x:v>
      </x:c>
      <x:c r="F149" s="48" t="n">
        <x:v>67.65739288663394</x:v>
      </x:c>
      <x:c r="G149" s="48" t="n">
        <x:v>-5.910397567074028</x:v>
      </x:c>
      <x:c r="H149" s="48" t="n">
        <x:v>21.5625</x:v>
      </x:c>
      <x:c r="I149" s="48" t="n">
        <x:v>165.8</x:v>
      </x:c>
      <x:c r="J149" s="48" t="n">
        <x:v>20.80000000000001</x:v>
      </x:c>
      <x:c r="K149" s="48" t="n">
        <x:v>61.65739288663394</x:v>
      </x:c>
      <x:c r="L149" s="48" t="n">
        <x:v>73.65739288663394</x:v>
      </x:c>
      <x:c r="M149" t="str">
        <x:v>A</x:v>
      </x:c>
      <x:c r="N149" t="str">
        <x:v>RATE-ADJUSTED VETERAN</x:v>
      </x:c>
    </x:row>
    <x:row r="150">
      <x:c r="A150" t="n">
        <x:v>146</x:v>
      </x:c>
      <x:c r="B150" t="str">
        <x:v>TE</x:v>
      </x:c>
      <x:c r="C150" t="n">
        <x:v>21</x:v>
      </x:c>
      <x:c r="D150" t="str">
        <x:v>T.J. Hockenson</x:v>
      </x:c>
      <x:c r="E150" s="48" t="n">
        <x:v>44.701234133326714</x:v>
      </x:c>
      <x:c r="F150" s="48" t="n">
        <x:v>73.85269503643518</x:v>
      </x:c>
      <x:c r="G150" s="48" t="n">
        <x:v>-6.0654156315070225</x:v>
      </x:c>
      <x:c r="H150" s="48" t="n">
        <x:v>0</x:v>
      </x:c>
      <x:c r="I150" s="48" t="n">
        <x:v>197</x:v>
      </x:c>
      <x:c r="J150" s="48" t="n">
        <x:v>51</x:v>
      </x:c>
      <x:c r="K150" s="48" t="n">
        <x:v>67.85269503643518</x:v>
      </x:c>
      <x:c r="L150" s="48" t="n">
        <x:v>79.85269503643518</x:v>
      </x:c>
      <x:c r="M150" t="str">
        <x:v>A</x:v>
      </x:c>
      <x:c r="N150" t="str">
        <x:v>RATE-ADJUSTED VETERAN</x:v>
      </x:c>
    </x:row>
    <x:row r="151">
      <x:c r="A151" t="n">
        <x:v>147</x:v>
      </x:c>
      <x:c r="B151" t="str">
        <x:v>DST</x:v>
      </x:c>
      <x:c r="C151" t="n">
        <x:v>10</x:v>
      </x:c>
      <x:c r="D151" t="str">
        <x:v>Los Angeles Chargers</x:v>
      </x:c>
      <x:c r="E151" s="48" t="n">
        <x:v>43.705</x:v>
      </x:c>
      <x:c r="F151" s="48" t="n">
        <x:v>83.1</x:v>
      </x:c>
      <x:c r="G151" s="48" t="n">
        <x:v>0</x:v>
      </x:c>
      <x:c r="H151" s="48" t="n">
        <x:v>20</x:v>
      </x:c>
      <x:c r="I151" s="48" t="n">
        <x:v>196</x:v>
      </x:c>
      <x:c r="J151" s="48" t="n">
        <x:v>49</x:v>
      </x:c>
      <x:c r="K151" s="48" t="n">
        <x:v>75.1</x:v>
      </x:c>
      <x:c r="L151" s="48" t="n">
        <x:v>90.1</x:v>
      </x:c>
      <x:c r="M151" t="str">
        <x:v>B</x:v>
      </x:c>
      <x:c r="N151" t="str">
        <x:v>DST MODEL</x:v>
      </x:c>
    </x:row>
    <x:row r="152">
      <x:c r="A152" t="n">
        <x:v>148</x:v>
      </x:c>
      <x:c r="B152" t="str">
        <x:v>TE</x:v>
      </x:c>
      <x:c r="C152" t="n">
        <x:v>22</x:v>
      </x:c>
      <x:c r="D152" t="str">
        <x:v>Dalton Schultz</x:v>
      </x:c>
      <x:c r="E152" s="48" t="n">
        <x:v>43.35416962727275</x:v>
      </x:c>
      <x:c r="F152" s="48" t="n">
        <x:v>73.27947609768881</x:v>
      </x:c>
      <x:c r="G152" s="48" t="n">
        <x:v>-6.638634570253387</x:v>
      </x:c>
      <x:c r="H152" s="48" t="n">
        <x:v>0</x:v>
      </x:c>
      <x:c r="I152" s="48" t="n">
        <x:v>206</x:v>
      </x:c>
      <x:c r="J152" s="48" t="n">
        <x:v>58</x:v>
      </x:c>
      <x:c r="K152" s="48" t="n">
        <x:v>67.27947609768881</x:v>
      </x:c>
      <x:c r="L152" s="48" t="n">
        <x:v>79.27947609768881</x:v>
      </x:c>
      <x:c r="M152" t="str">
        <x:v>A</x:v>
      </x:c>
      <x:c r="N152" t="str">
        <x:v>RATE-ADJUSTED VETERAN</x:v>
      </x:c>
    </x:row>
    <x:row r="153">
      <x:c r="A153" t="n">
        <x:v>149</x:v>
      </x:c>
      <x:c r="B153" t="str">
        <x:v>WR</x:v>
      </x:c>
      <x:c r="C153" t="n">
        <x:v>49</x:v>
      </x:c>
      <x:c r="D153" t="str">
        <x:v>Josh Downs</x:v>
      </x:c>
      <x:c r="E153" s="48" t="n">
        <x:v>43.17200000000001</x:v>
      </x:c>
      <x:c r="F153" s="48" t="n">
        <x:v>66.84</x:v>
      </x:c>
      <x:c r="G153" s="48" t="n">
        <x:v>-5.049999999999997</x:v>
      </x:c>
      <x:c r="H153" s="48" t="n">
        <x:v>3.333333333333331</x:v>
      </x:c>
      <x:c r="I153" s="48" t="n">
        <x:v>190.2</x:v>
      </x:c>
      <x:c r="J153" s="48" t="n">
        <x:v>41.19999999999999</x:v>
      </x:c>
      <x:c r="K153" s="48" t="n">
        <x:v>54.84</x:v>
      </x:c>
      <x:c r="L153" s="48" t="n">
        <x:v>78.84</x:v>
      </x:c>
      <x:c r="M153" t="str">
        <x:v>C</x:v>
      </x:c>
      <x:c r="N153" t="str">
        <x:v>HISTORY FALLBACK</x:v>
      </x:c>
    </x:row>
    <x:row r="154">
      <x:c r="A154" t="n">
        <x:v>150</x:v>
      </x:c>
      <x:c r="B154" t="str">
        <x:v>RB</x:v>
      </x:c>
      <x:c r="C154" t="n">
        <x:v>41</x:v>
      </x:c>
      <x:c r="D154" t="str">
        <x:v>Woody Marks</x:v>
      </x:c>
      <x:c r="E154" s="48" t="n">
        <x:v>42.58861776494348</x:v>
      </x:c>
      <x:c r="F154" s="48" t="n">
        <x:v>66.86623003473099</x:v>
      </x:c>
      <x:c r="G154" s="48" t="n">
        <x:v>-6.701560418976982</x:v>
      </x:c>
      <x:c r="H154" s="48" t="n">
        <x:v>19.16666666666666</x:v>
      </x:c>
      <x:c r="I154" s="48" t="n">
        <x:v>170</x:v>
      </x:c>
      <x:c r="J154" s="48" t="n">
        <x:v>20</x:v>
      </x:c>
      <x:c r="K154" s="48" t="n">
        <x:v>60.86623003473099</x:v>
      </x:c>
      <x:c r="L154" s="48" t="n">
        <x:v>72.86623003473099</x:v>
      </x:c>
      <x:c r="M154" t="str">
        <x:v>A</x:v>
      </x:c>
      <x:c r="N154" t="str">
        <x:v>RATE-ADJUSTED VETERAN</x:v>
      </x:c>
    </x:row>
    <x:row r="155">
      <x:c r="A155" t="n">
        <x:v>151</x:v>
      </x:c>
      <x:c r="B155" t="str">
        <x:v>QB</x:v>
      </x:c>
      <x:c r="C155" t="n">
        <x:v>20</x:v>
      </x:c>
      <x:c r="D155" t="str">
        <x:v>Tyler Shough</x:v>
      </x:c>
      <x:c r="E155" s="48" t="n">
        <x:v>41.74802492666261</x:v>
      </x:c>
      <x:c r="F155" s="48" t="n">
        <x:v>77.36561414654547</x:v>
      </x:c>
      <x:c r="G155" s="48" t="n">
        <x:v>-7.326487910307108</x:v>
      </x:c>
      <x:c r="H155" s="48" t="n">
        <x:v>2.564102564102566</x:v>
      </x:c>
      <x:c r="I155" s="48" t="n">
        <x:v>174</x:v>
      </x:c>
      <x:c r="J155" s="48" t="n">
        <x:v>23</x:v>
      </x:c>
      <x:c r="K155" s="48" t="n">
        <x:v>68.36561414654547</x:v>
      </x:c>
      <x:c r="L155" s="48" t="n">
        <x:v>86.36561414654547</x:v>
      </x:c>
      <x:c r="M155" t="str">
        <x:v>B</x:v>
      </x:c>
      <x:c r="N155" t="str">
        <x:v>RATE-ADJUSTED VETERAN</x:v>
      </x:c>
    </x:row>
    <x:row r="156">
      <x:c r="A156" t="n">
        <x:v>152</x:v>
      </x:c>
      <x:c r="B156" t="str">
        <x:v>TE</x:v>
      </x:c>
      <x:c r="C156" t="n">
        <x:v>23</x:v>
      </x:c>
      <x:c r="D156" t="str">
        <x:v>Oronde Gadsden II</x:v>
      </x:c>
      <x:c r="E156" s="48" t="n">
        <x:v>41.554717853164</x:v>
      </x:c>
      <x:c r="F156" s="48" t="n">
        <x:v>72.5137519384936</x:v>
      </x:c>
      <x:c r="G156" s="48" t="n">
        <x:v>-7.404358729448603</x:v>
      </x:c>
      <x:c r="H156" s="48" t="n">
        <x:v>0</x:v>
      </x:c>
      <x:c r="I156" s="48" t="n">
        <x:v>215</x:v>
      </x:c>
      <x:c r="J156" s="48" t="n">
        <x:v>63</x:v>
      </x:c>
      <x:c r="K156" s="48" t="n">
        <x:v>66.5137519384936</x:v>
      </x:c>
      <x:c r="L156" s="48" t="n">
        <x:v>78.5137519384936</x:v>
      </x:c>
      <x:c r="M156" t="str">
        <x:v>A</x:v>
      </x:c>
      <x:c r="N156" t="str">
        <x:v>RATE-ADJUSTED VETERAN</x:v>
      </x:c>
    </x:row>
    <x:row r="157">
      <x:c r="A157" t="n">
        <x:v>153</x:v>
      </x:c>
      <x:c r="B157" t="str">
        <x:v>RB</x:v>
      </x:c>
      <x:c r="C157" t="n">
        <x:v>42</x:v>
      </x:c>
      <x:c r="D157" t="str">
        <x:v>Chris Rodriguez Jr.</x:v>
      </x:c>
      <x:c r="E157" s="48" t="n">
        <x:v>41.45554257173225</x:v>
      </x:c>
      <x:c r="F157" s="48" t="n">
        <x:v>66.53699590996025</x:v>
      </x:c>
      <x:c r="G157" s="48" t="n">
        <x:v>-7.030794543747717</x:v>
      </x:c>
      <x:c r="H157" s="48" t="n">
        <x:v>16.770833333333336</x:v>
      </x:c>
      <x:c r="I157" s="48" t="n">
        <x:v>174.20000000000002</x:v>
      </x:c>
      <x:c r="J157" s="48" t="n">
        <x:v>21.200000000000017</x:v>
      </x:c>
      <x:c r="K157" s="48" t="n">
        <x:v>60.536995909960254</x:v>
      </x:c>
      <x:c r="L157" s="48" t="n">
        <x:v>72.53699590996025</x:v>
      </x:c>
      <x:c r="M157" t="str">
        <x:v>A</x:v>
      </x:c>
      <x:c r="N157" t="str">
        <x:v>RATE-ADJUSTED VETERAN</x:v>
      </x:c>
    </x:row>
    <x:row r="158">
      <x:c r="A158" t="n">
        <x:v>154</x:v>
      </x:c>
      <x:c r="B158" t="str">
        <x:v>WR</x:v>
      </x:c>
      <x:c r="C158" t="n">
        <x:v>50</x:v>
      </x:c>
      <x:c r="D158" t="str">
        <x:v>Jayden Reed</x:v>
      </x:c>
      <x:c r="E158" s="48" t="n">
        <x:v>41.26416666666664</x:v>
      </x:c>
      <x:c r="F158" s="48" t="n">
        <x:v>66.16999999999999</x:v>
      </x:c>
      <x:c r="G158" s="48" t="n">
        <x:v>-5.720000000000013</x:v>
      </x:c>
      <x:c r="H158" s="48" t="n">
        <x:v>1.111111111111106</x:v>
      </x:c>
      <x:c r="I158" s="48" t="n">
        <x:v>194.1</x:v>
      </x:c>
      <x:c r="J158" s="48" t="n">
        <x:v>40.099999999999994</x:v>
      </x:c>
      <x:c r="K158" s="48" t="n">
        <x:v>54.16999999999999</x:v>
      </x:c>
      <x:c r="L158" s="48" t="n">
        <x:v>78.16999999999999</x:v>
      </x:c>
      <x:c r="M158" t="str">
        <x:v>C</x:v>
      </x:c>
      <x:c r="N158" t="str">
        <x:v>HISTORY FALLBACK</x:v>
      </x:c>
    </x:row>
    <x:row r="159">
      <x:c r="A159" t="n">
        <x:v>155</x:v>
      </x:c>
      <x:c r="B159" t="str">
        <x:v>K</x:v>
      </x:c>
      <x:c r="C159" t="n">
        <x:v>10</x:v>
      </x:c>
      <x:c r="D159" t="str">
        <x:v>Cairo Santos</x:v>
      </x:c>
      <x:c r="E159" s="48" t="n">
        <x:v>41.11</x:v>
      </x:c>
      <x:c r="F159" s="48" t="n">
        <x:v>74.2</x:v>
      </x:c>
      <x:c r="G159" s="48" t="n">
        <x:v>0</x:v>
      </x:c>
      <x:c r="H159" s="48" t="n">
        <x:v>22</x:v>
      </x:c>
      <x:c r="I159" s="48" t="n">
        <x:v>200</x:v>
      </x:c>
      <x:c r="J159" s="48" t="n">
        <x:v>45</x:v>
      </x:c>
      <x:c r="K159" s="48" t="n">
        <x:v>68.2</x:v>
      </x:c>
      <x:c r="L159" s="48" t="n">
        <x:v>79.2</x:v>
      </x:c>
      <x:c r="M159" t="str">
        <x:v>B</x:v>
      </x:c>
      <x:c r="N159" t="str">
        <x:v>KICKER MODEL</x:v>
      </x:c>
    </x:row>
    <x:row r="160">
      <x:c r="A160" t="n">
        <x:v>156</x:v>
      </x:c>
      <x:c r="B160" t="str">
        <x:v>RB</x:v>
      </x:c>
      <x:c r="C160" t="n">
        <x:v>43</x:v>
      </x:c>
      <x:c r="D160" t="str">
        <x:v>Tyrone Tracy Jr.</x:v>
      </x:c>
      <x:c r="E160" s="48" t="n">
        <x:v>41.08214032337014</x:v>
      </x:c>
      <x:c r="F160" s="48" t="n">
        <x:v>66.53102686810404</x:v>
      </x:c>
      <x:c r="G160" s="48" t="n">
        <x:v>-7.036763585603936</x:v>
      </x:c>
      <x:c r="H160" s="48" t="n">
        <x:v>14.374999999999998</x:v>
      </x:c>
      <x:c r="I160" s="48" t="n">
        <x:v>178.4</x:v>
      </x:c>
      <x:c r="J160" s="48" t="n">
        <x:v>22.400000000000006</x:v>
      </x:c>
      <x:c r="K160" s="48" t="n">
        <x:v>60.531026868104036</x:v>
      </x:c>
      <x:c r="L160" s="48" t="n">
        <x:v>72.53102686810404</x:v>
      </x:c>
      <x:c r="M160" t="str">
        <x:v>A</x:v>
      </x:c>
      <x:c r="N160" t="str">
        <x:v>RATE-ADJUSTED VETERAN</x:v>
      </x:c>
    </x:row>
    <x:row r="161">
      <x:c r="A161" t="n">
        <x:v>157</x:v>
      </x:c>
      <x:c r="B161" t="str">
        <x:v>DST</x:v>
      </x:c>
      <x:c r="C161" t="n">
        <x:v>11</x:v>
      </x:c>
      <x:c r="D161" t="str">
        <x:v>Baltimore Ravens</x:v>
      </x:c>
      <x:c r="E161" s="48" t="n">
        <x:v>40.62000000000001</x:v>
      </x:c>
      <x:c r="F161" s="48" t="n">
        <x:v>82</x:v>
      </x:c>
      <x:c r="G161" s="48" t="n">
        <x:v>-1.0999999999999943</x:v>
      </x:c>
      <x:c r="H161" s="48" t="n">
        <x:v>16.666666666666668</x:v>
      </x:c>
      <x:c r="I161" s="48" t="n">
        <x:v>200</x:v>
      </x:c>
      <x:c r="J161" s="48" t="n">
        <x:v>43</x:v>
      </x:c>
      <x:c r="K161" s="48" t="n">
        <x:v>74</x:v>
      </x:c>
      <x:c r="L161" s="48" t="n">
        <x:v>89</x:v>
      </x:c>
      <x:c r="M161" t="str">
        <x:v>B</x:v>
      </x:c>
      <x:c r="N161" t="str">
        <x:v>DST MODEL</x:v>
      </x:c>
    </x:row>
    <x:row r="162">
      <x:c r="A162" t="n">
        <x:v>158</x:v>
      </x:c>
      <x:c r="B162" t="str">
        <x:v>WR</x:v>
      </x:c>
      <x:c r="C162" t="n">
        <x:v>51</x:v>
      </x:c>
      <x:c r="D162" t="str">
        <x:v>Khalil Shakir</x:v>
      </x:c>
      <x:c r="E162" s="48" t="n">
        <x:v>39.523</x:v>
      </x:c>
      <x:c r="F162" s="48" t="n">
        <x:v>65.5</x:v>
      </x:c>
      <x:c r="G162" s="48" t="n">
        <x:v>-6.390000000000001</x:v>
      </x:c>
      <x:c r="H162" s="48" t="n">
        <x:v>0</x:v>
      </x:c>
      <x:c r="I162" s="48" t="n">
        <x:v>198</x:v>
      </x:c>
      <x:c r="J162" s="48" t="n">
        <x:v>40</x:v>
      </x:c>
      <x:c r="K162" s="48" t="n">
        <x:v>53.5</x:v>
      </x:c>
      <x:c r="L162" s="48" t="n">
        <x:v>77.5</x:v>
      </x:c>
      <x:c r="M162" t="str">
        <x:v>C</x:v>
      </x:c>
      <x:c r="N162" t="str">
        <x:v>HISTORY FALLBACK</x:v>
      </x:c>
    </x:row>
    <x:row r="163">
      <x:c r="A163" t="n">
        <x:v>159</x:v>
      </x:c>
      <x:c r="B163" t="str">
        <x:v>QB</x:v>
      </x:c>
      <x:c r="C163" t="n">
        <x:v>21</x:v>
      </x:c>
      <x:c r="D163" t="str">
        <x:v>C.J. Stroud</x:v>
      </x:c>
      <x:c r="E163" s="48" t="n">
        <x:v>38.66913000520222</x:v>
      </x:c>
      <x:c r="F163" s="48" t="n">
        <x:v>75.76205455491312</x:v>
      </x:c>
      <x:c r="G163" s="48" t="n">
        <x:v>-8.930047501939455</x:v>
      </x:c>
      <x:c r="H163" s="48" t="n">
        <x:v>0</x:v>
      </x:c>
      <x:c r="I163" s="48" t="n">
        <x:v>182</x:v>
      </x:c>
      <x:c r="J163" s="48" t="n">
        <x:v>23</x:v>
      </x:c>
      <x:c r="K163" s="48" t="n">
        <x:v>69.76205455491312</x:v>
      </x:c>
      <x:c r="L163" s="48" t="n">
        <x:v>81.76205455491312</x:v>
      </x:c>
      <x:c r="M163" t="str">
        <x:v>A</x:v>
      </x:c>
      <x:c r="N163" t="str">
        <x:v>RATE-ADJUSTED VETERAN</x:v>
      </x:c>
    </x:row>
    <x:row r="164">
      <x:c r="A164" t="n">
        <x:v>160</x:v>
      </x:c>
      <x:c r="B164" t="str">
        <x:v>TE</x:v>
      </x:c>
      <x:c r="C164" t="n">
        <x:v>24</x:v>
      </x:c>
      <x:c r="D164" t="str">
        <x:v>AJ Barner</x:v>
      </x:c>
      <x:c r="E164" s="48" t="n">
        <x:v>38.568478659117815</x:v>
      </x:c>
      <x:c r="F164" s="48" t="n">
        <x:v>70.12450665294148</x:v>
      </x:c>
      <x:c r="G164" s="48" t="n">
        <x:v>-9.793604015000724</x:v>
      </x:c>
      <x:c r="H164" s="48" t="n">
        <x:v>0</x:v>
      </x:c>
      <x:c r="I164" s="48" t="n">
        <x:v>224</x:v>
      </x:c>
      <x:c r="J164" s="48" t="n">
        <x:v>64</x:v>
      </x:c>
      <x:c r="K164" s="48" t="n">
        <x:v>64.12450665294148</x:v>
      </x:c>
      <x:c r="L164" s="48" t="n">
        <x:v>76.12450665294148</x:v>
      </x:c>
      <x:c r="M164" t="str">
        <x:v>A</x:v>
      </x:c>
      <x:c r="N164" t="str">
        <x:v>RATE-ADJUSTED VETERAN</x:v>
      </x:c>
    </x:row>
    <x:row r="165">
      <x:c r="A165" t="n">
        <x:v>161</x:v>
      </x:c>
      <x:c r="B165" t="str">
        <x:v>QB</x:v>
      </x:c>
      <x:c r="C165" t="n">
        <x:v>22</x:v>
      </x:c>
      <x:c r="D165" t="str">
        <x:v>Sam Darnold</x:v>
      </x:c>
      <x:c r="E165" s="48" t="n">
        <x:v>38.554792773021205</x:v>
      </x:c>
      <x:c r="F165" s="48" t="n">
        <x:v>75.55416867822036</x:v>
      </x:c>
      <x:c r="G165" s="48" t="n">
        <x:v>-9.137933378632212</x:v>
      </x:c>
      <x:c r="H165" s="48" t="n">
        <x:v>0</x:v>
      </x:c>
      <x:c r="I165" s="48" t="n">
        <x:v>190</x:v>
      </x:c>
      <x:c r="J165" s="48" t="n">
        <x:v>29</x:v>
      </x:c>
      <x:c r="K165" s="48" t="n">
        <x:v>69.55416867822036</x:v>
      </x:c>
      <x:c r="L165" s="48" t="n">
        <x:v>81.55416867822036</x:v>
      </x:c>
      <x:c r="M165" t="str">
        <x:v>A</x:v>
      </x:c>
      <x:c r="N165" t="str">
        <x:v>RATE-ADJUSTED VETERAN</x:v>
      </x:c>
    </x:row>
    <x:row r="166">
      <x:c r="A166" t="n">
        <x:v>162</x:v>
      </x:c>
      <x:c r="B166" t="str">
        <x:v>QB</x:v>
      </x:c>
      <x:c r="C166" t="n">
        <x:v>23</x:v>
      </x:c>
      <x:c r="D166" t="str">
        <x:v>Daniel Jones</x:v>
      </x:c>
      <x:c r="E166" s="48" t="n">
        <x:v>38.13470520770148</x:v>
      </x:c>
      <x:c r="F166" s="48" t="n">
        <x:v>74.79037310491178</x:v>
      </x:c>
      <x:c r="G166" s="48" t="n">
        <x:v>-9.901728951940797</x:v>
      </x:c>
      <x:c r="H166" s="48" t="n">
        <x:v>0</x:v>
      </x:c>
      <x:c r="I166" s="48" t="n">
        <x:v>198</x:v>
      </x:c>
      <x:c r="J166" s="48" t="n">
        <x:v>36</x:v>
      </x:c>
      <x:c r="K166" s="48" t="n">
        <x:v>68.79037310491178</x:v>
      </x:c>
      <x:c r="L166" s="48" t="n">
        <x:v>80.79037310491178</x:v>
      </x:c>
      <x:c r="M166" t="str">
        <x:v>A</x:v>
      </x:c>
      <x:c r="N166" t="str">
        <x:v>RATE-ADJUSTED VETERAN</x:v>
      </x:c>
    </x:row>
    <x:row r="167">
      <x:c r="A167" t="n">
        <x:v>163</x:v>
      </x:c>
      <x:c r="B167" t="str">
        <x:v>WR</x:v>
      </x:c>
      <x:c r="C167" t="n">
        <x:v>52</x:v>
      </x:c>
      <x:c r="D167" t="str">
        <x:v>Jalin Hyatt</x:v>
      </x:c>
      <x:c r="E167" s="48" t="n">
        <x:v>37.948499999999996</x:v>
      </x:c>
      <x:c r="F167" s="48" t="n">
        <x:v>64.83</x:v>
      </x:c>
      <x:c r="G167" s="48" t="n">
        <x:v>-7.060000000000002</x:v>
      </x:c>
      <x:c r="H167" s="48" t="n">
        <x:v>0</x:v>
      </x:c>
      <x:c r="I167" s="48" t="n">
        <x:v>201.9</x:v>
      </x:c>
      <x:c r="J167" s="48" t="n">
        <x:v>38.900000000000006</x:v>
      </x:c>
      <x:c r="K167" s="48" t="n">
        <x:v>52.83</x:v>
      </x:c>
      <x:c r="L167" s="48" t="n">
        <x:v>76.83</x:v>
      </x:c>
      <x:c r="M167" t="str">
        <x:v>C</x:v>
      </x:c>
      <x:c r="N167" t="str">
        <x:v>HISTORY FALLBACK</x:v>
      </x:c>
    </x:row>
    <x:row r="168">
      <x:c r="A168" t="n">
        <x:v>164</x:v>
      </x:c>
      <x:c r="B168" t="str">
        <x:v>QB</x:v>
      </x:c>
      <x:c r="C168" t="n">
        <x:v>24</x:v>
      </x:c>
      <x:c r="D168" t="str">
        <x:v>Malik Willis</x:v>
      </x:c>
      <x:c r="E168" s="48" t="n">
        <x:v>37.83214974165342</x:v>
      </x:c>
      <x:c r="F168" s="48" t="n">
        <x:v>74.24027225755167</x:v>
      </x:c>
      <x:c r="G168" s="48" t="n">
        <x:v>-10.45182979930091</x:v>
      </x:c>
      <x:c r="H168" s="48" t="n">
        <x:v>0</x:v>
      </x:c>
      <x:c r="I168" s="48" t="n">
        <x:v>206</x:v>
      </x:c>
      <x:c r="J168" s="48" t="n">
        <x:v>42</x:v>
      </x:c>
      <x:c r="K168" s="48" t="n">
        <x:v>65.24027225755167</x:v>
      </x:c>
      <x:c r="L168" s="48" t="n">
        <x:v>83.24027225755167</x:v>
      </x:c>
      <x:c r="M168" t="str">
        <x:v>B</x:v>
      </x:c>
      <x:c r="N168" t="str">
        <x:v>RATE-ADJUSTED VETERAN</x:v>
      </x:c>
    </x:row>
    <x:row r="169">
      <x:c r="A169" t="n">
        <x:v>165</x:v>
      </x:c>
      <x:c r="B169" t="str">
        <x:v>DST</x:v>
      </x:c>
      <x:c r="C169" t="n">
        <x:v>12</x:v>
      </x:c>
      <x:c r="D169" t="str">
        <x:v>Green Bay Packers</x:v>
      </x:c>
      <x:c r="E169" s="48" t="n">
        <x:v>37.535000000000025</x:v>
      </x:c>
      <x:c r="F169" s="48" t="n">
        <x:v>80.9</x:v>
      </x:c>
      <x:c r="G169" s="48" t="n">
        <x:v>-2.1999999999999886</x:v>
      </x:c>
      <x:c r="H169" s="48" t="n">
        <x:v>13.333333333333336</x:v>
      </x:c>
      <x:c r="I169" s="48" t="n">
        <x:v>204</x:v>
      </x:c>
      <x:c r="J169" s="48" t="n">
        <x:v>39</x:v>
      </x:c>
      <x:c r="K169" s="48" t="n">
        <x:v>72.9</x:v>
      </x:c>
      <x:c r="L169" s="48" t="n">
        <x:v>87.9</x:v>
      </x:c>
      <x:c r="M169" t="str">
        <x:v>B</x:v>
      </x:c>
      <x:c r="N169" t="str">
        <x:v>DST MODEL</x:v>
      </x:c>
    </x:row>
    <x:row r="170">
      <x:c r="A170" t="n">
        <x:v>166</x:v>
      </x:c>
      <x:c r="B170" t="str">
        <x:v>QB</x:v>
      </x:c>
      <x:c r="C170" t="n">
        <x:v>25</x:v>
      </x:c>
      <x:c r="D170" t="str">
        <x:v>Bryce Young</x:v>
      </x:c>
      <x:c r="E170" s="48" t="n">
        <x:v>37.03870518976699</x:v>
      </x:c>
      <x:c r="F170" s="48" t="n">
        <x:v>72.79764579957634</x:v>
      </x:c>
      <x:c r="G170" s="48" t="n">
        <x:v>-11.894456257276232</x:v>
      </x:c>
      <x:c r="H170" s="48" t="n">
        <x:v>0</x:v>
      </x:c>
      <x:c r="I170" s="48" t="n">
        <x:v>214</x:v>
      </x:c>
      <x:c r="J170" s="48" t="n">
        <x:v>48</x:v>
      </x:c>
      <x:c r="K170" s="48" t="n">
        <x:v>66.79764579957634</x:v>
      </x:c>
      <x:c r="L170" s="48" t="n">
        <x:v>78.79764579957634</x:v>
      </x:c>
      <x:c r="M170" t="str">
        <x:v>A</x:v>
      </x:c>
      <x:c r="N170" t="str">
        <x:v>RATE-ADJUSTED VETERAN</x:v>
      </x:c>
    </x:row>
    <x:row r="171">
      <x:c r="A171" t="n">
        <x:v>167</x:v>
      </x:c>
      <x:c r="B171" t="str">
        <x:v>QB</x:v>
      </x:c>
      <x:c r="C171" t="n">
        <x:v>26</x:v>
      </x:c>
      <x:c r="D171" t="str">
        <x:v>Cam Ward</x:v>
      </x:c>
      <x:c r="E171" s="48" t="n">
        <x:v>36.96551726008348</x:v>
      </x:c>
      <x:c r="F171" s="48" t="n">
        <x:v>72.66457683651541</x:v>
      </x:c>
      <x:c r="G171" s="48" t="n">
        <x:v>-12.027525220337168</x:v>
      </x:c>
      <x:c r="H171" s="48" t="n">
        <x:v>0</x:v>
      </x:c>
      <x:c r="I171" s="48" t="n">
        <x:v>222</x:v>
      </x:c>
      <x:c r="J171" s="48" t="n">
        <x:v>55</x:v>
      </x:c>
      <x:c r="K171" s="48" t="n">
        <x:v>66.66457683651541</x:v>
      </x:c>
      <x:c r="L171" s="48" t="n">
        <x:v>78.66457683651541</x:v>
      </x:c>
      <x:c r="M171" t="str">
        <x:v>A</x:v>
      </x:c>
      <x:c r="N171" t="str">
        <x:v>RATE-ADJUSTED VETERAN</x:v>
      </x:c>
    </x:row>
    <x:row r="172">
      <x:c r="A172" t="n">
        <x:v>168</x:v>
      </x:c>
      <x:c r="B172" t="str">
        <x:v>TE</x:v>
      </x:c>
      <x:c r="C172" t="n">
        <x:v>25</x:v>
      </x:c>
      <x:c r="D172" t="str">
        <x:v>Cade Otton</x:v>
      </x:c>
      <x:c r="E172" s="48" t="n">
        <x:v>36.65696166460335</x:v>
      </x:c>
      <x:c r="F172" s="48" t="n">
        <x:v>66.64902120836972</x:v>
      </x:c>
      <x:c r="G172" s="48" t="n">
        <x:v>-13.269089459572484</x:v>
      </x:c>
      <x:c r="H172" s="48" t="n">
        <x:v>0</x:v>
      </x:c>
      <x:c r="I172" s="48" t="n">
        <x:v>233</x:v>
      </x:c>
      <x:c r="J172" s="48" t="n">
        <x:v>65</x:v>
      </x:c>
      <x:c r="K172" s="48" t="n">
        <x:v>60.64902120836972</x:v>
      </x:c>
      <x:c r="L172" s="48" t="n">
        <x:v>72.64902120836972</x:v>
      </x:c>
      <x:c r="M172" t="str">
        <x:v>A</x:v>
      </x:c>
      <x:c r="N172" t="str">
        <x:v>RATE-ADJUSTED VETERAN</x:v>
      </x:c>
    </x:row>
    <x:row r="173">
      <x:c r="A173" t="n">
        <x:v>169</x:v>
      </x:c>
      <x:c r="B173" t="str">
        <x:v>TE</x:v>
      </x:c>
      <x:c r="C173" t="n">
        <x:v>26</x:v>
      </x:c>
      <x:c r="D173" t="str">
        <x:v>Gunnar Helm</x:v>
      </x:c>
      <x:c r="E173" s="48" t="n">
        <x:v>36.64228699222557</x:v>
      </x:c>
      <x:c r="F173" s="48" t="n">
        <x:v>66.62233998586467</x:v>
      </x:c>
      <x:c r="G173" s="48" t="n">
        <x:v>-13.295770682077531</x:v>
      </x:c>
      <x:c r="H173" s="48" t="n">
        <x:v>0</x:v>
      </x:c>
      <x:c r="I173" s="48" t="n">
        <x:v>242</x:v>
      </x:c>
      <x:c r="J173" s="48" t="n">
        <x:v>73</x:v>
      </x:c>
      <x:c r="K173" s="48" t="n">
        <x:v>60.62233998586467</x:v>
      </x:c>
      <x:c r="L173" s="48" t="n">
        <x:v>72.62233998586467</x:v>
      </x:c>
      <x:c r="M173" t="str">
        <x:v>A</x:v>
      </x:c>
      <x:c r="N173" t="str">
        <x:v>RATE-ADJUSTED VETERAN</x:v>
      </x:c>
    </x:row>
    <x:row r="174">
      <x:c r="A174" t="n">
        <x:v>170</x:v>
      </x:c>
      <x:c r="B174" t="str">
        <x:v>RB</x:v>
      </x:c>
      <x:c r="C174" t="n">
        <x:v>44</x:v>
      </x:c>
      <x:c r="D174" t="str">
        <x:v>Tyler Allgeier</x:v>
      </x:c>
      <x:c r="E174" s="48" t="n">
        <x:v>36.464569587076795</x:v>
      </x:c>
      <x:c r="F174" s="48" t="n">
        <x:v>63.03217197650326</x:v>
      </x:c>
      <x:c r="G174" s="48" t="n">
        <x:v>-10.535618477204714</x:v>
      </x:c>
      <x:c r="H174" s="48" t="n">
        <x:v>11.97916666666666</x:v>
      </x:c>
      <x:c r="I174" s="48" t="n">
        <x:v>182.6</x:v>
      </x:c>
      <x:c r="J174" s="48" t="n">
        <x:v>12.599999999999994</x:v>
      </x:c>
      <x:c r="K174" s="48" t="n">
        <x:v>57.03217197650326</x:v>
      </x:c>
      <x:c r="L174" s="48" t="n">
        <x:v>69.03217197650326</x:v>
      </x:c>
      <x:c r="M174" t="str">
        <x:v>A</x:v>
      </x:c>
      <x:c r="N174" t="str">
        <x:v>RATE-ADJUSTED VETERAN</x:v>
      </x:c>
    </x:row>
    <x:row r="175">
      <x:c r="A175" t="n">
        <x:v>171</x:v>
      </x:c>
      <x:c r="B175" t="str">
        <x:v>WR</x:v>
      </x:c>
      <x:c r="C175" t="n">
        <x:v>53</x:v>
      </x:c>
      <x:c r="D175" t="str">
        <x:v>Romeo Doubs</x:v>
      </x:c>
      <x:c r="E175" s="48" t="n">
        <x:v>36.373999999999995</x:v>
      </x:c>
      <x:c r="F175" s="48" t="n">
        <x:v>64.16</x:v>
      </x:c>
      <x:c r="G175" s="48" t="n">
        <x:v>-7.730000000000004</x:v>
      </x:c>
      <x:c r="H175" s="48" t="n">
        <x:v>0</x:v>
      </x:c>
      <x:c r="I175" s="48" t="n">
        <x:v>205.79999999999998</x:v>
      </x:c>
      <x:c r="J175" s="48" t="n">
        <x:v>34.79999999999998</x:v>
      </x:c>
      <x:c r="K175" s="48" t="n">
        <x:v>52.16</x:v>
      </x:c>
      <x:c r="L175" s="48" t="n">
        <x:v>76.16</x:v>
      </x:c>
      <x:c r="M175" t="str">
        <x:v>C</x:v>
      </x:c>
      <x:c r="N175" t="str">
        <x:v>HISTORY FALLBACK</x:v>
      </x:c>
    </x:row>
    <x:row r="176">
      <x:c r="A176" t="n">
        <x:v>172</x:v>
      </x:c>
      <x:c r="B176" t="str">
        <x:v>QB</x:v>
      </x:c>
      <x:c r="C176" t="n">
        <x:v>27</x:v>
      </x:c>
      <x:c r="D176" t="str">
        <x:v>Jacoby Brissett</x:v>
      </x:c>
      <x:c r="E176" s="48" t="n">
        <x:v>36.23338126205267</x:v>
      </x:c>
      <x:c r="F176" s="48" t="n">
        <x:v>71.3334204764594</x:v>
      </x:c>
      <x:c r="G176" s="48" t="n">
        <x:v>-13.358681580393181</x:v>
      </x:c>
      <x:c r="H176" s="48" t="n">
        <x:v>0</x:v>
      </x:c>
      <x:c r="I176" s="48" t="n">
        <x:v>230</x:v>
      </x:c>
      <x:c r="J176" s="48" t="n">
        <x:v>58</x:v>
      </x:c>
      <x:c r="K176" s="48" t="n">
        <x:v>65.3334204764594</x:v>
      </x:c>
      <x:c r="L176" s="48" t="n">
        <x:v>77.3334204764594</x:v>
      </x:c>
      <x:c r="M176" t="str">
        <x:v>A</x:v>
      </x:c>
      <x:c r="N176" t="str">
        <x:v>RATE-ADJUSTED VETERAN</x:v>
      </x:c>
    </x:row>
    <x:row r="177">
      <x:c r="A177" t="n">
        <x:v>173</x:v>
      </x:c>
      <x:c r="B177" t="str">
        <x:v>QB</x:v>
      </x:c>
      <x:c r="C177" t="n">
        <x:v>28</x:v>
      </x:c>
      <x:c r="D177" t="str">
        <x:v>Geno Smith</x:v>
      </x:c>
      <x:c r="E177" s="48" t="n">
        <x:v>36.104215277286805</x:v>
      </x:c>
      <x:c r="F177" s="48" t="n">
        <x:v>71.09857323143055</x:v>
      </x:c>
      <x:c r="G177" s="48" t="n">
        <x:v>-13.593528825422027</x:v>
      </x:c>
      <x:c r="H177" s="48" t="n">
        <x:v>0</x:v>
      </x:c>
      <x:c r="I177" s="48" t="n">
        <x:v>238</x:v>
      </x:c>
      <x:c r="J177" s="48" t="n">
        <x:v>65</x:v>
      </x:c>
      <x:c r="K177" s="48" t="n">
        <x:v>65.09857323143055</x:v>
      </x:c>
      <x:c r="L177" s="48" t="n">
        <x:v>77.09857323143055</x:v>
      </x:c>
      <x:c r="M177" t="str">
        <x:v>A</x:v>
      </x:c>
      <x:c r="N177" t="str">
        <x:v>RATE-ADJUSTED VETERAN</x:v>
      </x:c>
    </x:row>
    <x:row r="178">
      <x:c r="A178" t="n">
        <x:v>174</x:v>
      </x:c>
      <x:c r="B178" t="str">
        <x:v>QB</x:v>
      </x:c>
      <x:c r="C178" t="n">
        <x:v>29</x:v>
      </x:c>
      <x:c r="D178" t="str">
        <x:v>Aaron Rodgers</x:v>
      </x:c>
      <x:c r="E178" s="48" t="n">
        <x:v>35.98666406688892</x:v>
      </x:c>
      <x:c r="F178" s="48" t="n">
        <x:v>70.88484375797985</x:v>
      </x:c>
      <x:c r="G178" s="48" t="n">
        <x:v>-13.807258298872725</x:v>
      </x:c>
      <x:c r="H178" s="48" t="n">
        <x:v>0</x:v>
      </x:c>
      <x:c r="I178" s="48" t="n">
        <x:v>246</x:v>
      </x:c>
      <x:c r="J178" s="48" t="n">
        <x:v>72</x:v>
      </x:c>
      <x:c r="K178" s="48" t="n">
        <x:v>64.88484375797985</x:v>
      </x:c>
      <x:c r="L178" s="48" t="n">
        <x:v>76.88484375797985</x:v>
      </x:c>
      <x:c r="M178" t="str">
        <x:v>A</x:v>
      </x:c>
      <x:c r="N178" t="str">
        <x:v>RATE-ADJUSTED VETERAN</x:v>
      </x:c>
    </x:row>
    <x:row r="179">
      <x:c r="A179" t="n">
        <x:v>175</x:v>
      </x:c>
      <x:c r="B179" t="str">
        <x:v>RB</x:v>
      </x:c>
      <x:c r="C179" t="n">
        <x:v>45</x:v>
      </x:c>
      <x:c r="D179" t="str">
        <x:v>Zach Charbonnet</x:v>
      </x:c>
      <x:c r="E179" s="48" t="n">
        <x:v>35.83990267410254</x:v>
      </x:c>
      <x:c r="F179" s="48" t="n">
        <x:v>62.5498230438228</x:v>
      </x:c>
      <x:c r="G179" s="48" t="n">
        <x:v>-11.017967409885173</x:v>
      </x:c>
      <x:c r="H179" s="48" t="n">
        <x:v>9.583333333333337</x:v>
      </x:c>
      <x:c r="I179" s="48" t="n">
        <x:v>186.8</x:v>
      </x:c>
      <x:c r="J179" s="48" t="n">
        <x:v>11.800000000000011</x:v>
      </x:c>
      <x:c r="K179" s="48" t="n">
        <x:v>56.5498230438228</x:v>
      </x:c>
      <x:c r="L179" s="48" t="n">
        <x:v>68.5498230438228</x:v>
      </x:c>
      <x:c r="M179" t="str">
        <x:v>A</x:v>
      </x:c>
      <x:c r="N179" t="str">
        <x:v>RATE-ADJUSTED VETERAN</x:v>
      </x:c>
    </x:row>
    <x:row r="180">
      <x:c r="A180" t="n">
        <x:v>176</x:v>
      </x:c>
      <x:c r="B180" t="str">
        <x:v>TE</x:v>
      </x:c>
      <x:c r="C180" t="n">
        <x:v>27</x:v>
      </x:c>
      <x:c r="D180" t="str">
        <x:v>Terrance Ferguson</x:v>
      </x:c>
      <x:c r="E180" s="48" t="n">
        <x:v>35.39913235294118</x:v>
      </x:c>
      <x:c r="F180" s="48" t="n">
        <x:v>64.36205882352941</x:v>
      </x:c>
      <x:c r="G180" s="48" t="n">
        <x:v>-15.556051844412792</x:v>
      </x:c>
      <x:c r="H180" s="48" t="n">
        <x:v>0</x:v>
      </x:c>
      <x:c r="I180" s="48" t="n">
        <x:v>251</x:v>
      </x:c>
      <x:c r="J180" s="48" t="n">
        <x:v>75</x:v>
      </x:c>
      <x:c r="K180" s="48" t="n">
        <x:v>58.36205882352941</x:v>
      </x:c>
      <x:c r="L180" s="48" t="n">
        <x:v>70.36205882352941</x:v>
      </x:c>
      <x:c r="M180" t="str">
        <x:v>A</x:v>
      </x:c>
      <x:c r="N180" t="str">
        <x:v>RATE-ADJUSTED VETERAN</x:v>
      </x:c>
    </x:row>
    <x:row r="181">
      <x:c r="A181" t="n">
        <x:v>177</x:v>
      </x:c>
      <x:c r="B181" t="str">
        <x:v>K</x:v>
      </x:c>
      <x:c r="C181" t="n">
        <x:v>11</x:v>
      </x:c>
      <x:c r="D181" t="str">
        <x:v>Andy Borregales</x:v>
      </x:c>
      <x:c r="E181" s="48" t="n">
        <x:v>35.38999999999999</x:v>
      </x:c>
      <x:c r="F181" s="48" t="n">
        <x:v>72</x:v>
      </x:c>
      <x:c r="G181" s="48" t="n">
        <x:v>-2.200000000000003</x:v>
      </x:c>
      <x:c r="H181" s="48" t="n">
        <x:v>18.333333333333336</x:v>
      </x:c>
      <x:c r="I181" s="48" t="n">
        <x:v>205</x:v>
      </x:c>
      <x:c r="J181" s="48" t="n">
        <x:v>28</x:v>
      </x:c>
      <x:c r="K181" s="48" t="n">
        <x:v>66</x:v>
      </x:c>
      <x:c r="L181" s="48" t="n">
        <x:v>77</x:v>
      </x:c>
      <x:c r="M181" t="str">
        <x:v>B</x:v>
      </x:c>
      <x:c r="N181" t="str">
        <x:v>KICKER MODEL</x:v>
      </x:c>
    </x:row>
    <x:row r="182">
      <x:c r="A182" t="n">
        <x:v>178</x:v>
      </x:c>
      <x:c r="B182" t="str">
        <x:v>RB</x:v>
      </x:c>
      <x:c r="C182" t="n">
        <x:v>46</x:v>
      </x:c>
      <x:c r="D182" t="str">
        <x:v>Jonathon Brooks</x:v>
      </x:c>
      <x:c r="E182" s="48" t="n">
        <x:v>35.288125</x:v>
      </x:c>
      <x:c r="F182" s="48" t="n">
        <x:v>62.199999999999996</x:v>
      </x:c>
      <x:c r="G182" s="48" t="n">
        <x:v>-11.367790453707975</x:v>
      </x:c>
      <x:c r="H182" s="48" t="n">
        <x:v>7.187499999999999</x:v>
      </x:c>
      <x:c r="I182" s="48" t="n">
        <x:v>191</x:v>
      </x:c>
      <x:c r="J182" s="48" t="n">
        <x:v>13</x:v>
      </x:c>
      <x:c r="K182" s="48" t="n">
        <x:v>50.199999999999996</x:v>
      </x:c>
      <x:c r="L182" s="48" t="n">
        <x:v>74.19999999999999</x:v>
      </x:c>
      <x:c r="M182" t="str">
        <x:v>C</x:v>
      </x:c>
      <x:c r="N182" t="str">
        <x:v>HISTORY FALLBACK</x:v>
      </x:c>
    </x:row>
    <x:row r="183">
      <x:c r="A183" t="n">
        <x:v>179</x:v>
      </x:c>
      <x:c r="B183" t="str">
        <x:v>WR</x:v>
      </x:c>
      <x:c r="C183" t="n">
        <x:v>54</x:v>
      </x:c>
      <x:c r="D183" t="str">
        <x:v>Jalen Coker</x:v>
      </x:c>
      <x:c r="E183" s="48" t="n">
        <x:v>34.9195</x:v>
      </x:c>
      <x:c r="F183" s="48" t="n">
        <x:v>63.489999999999995</x:v>
      </x:c>
      <x:c r="G183" s="48" t="n">
        <x:v>-8.400000000000006</x:v>
      </x:c>
      <x:c r="H183" s="48" t="n">
        <x:v>0</x:v>
      </x:c>
      <x:c r="I183" s="48" t="n">
        <x:v>209.7</x:v>
      </x:c>
      <x:c r="J183" s="48" t="n">
        <x:v>30.69999999999999</x:v>
      </x:c>
      <x:c r="K183" s="48" t="n">
        <x:v>51.489999999999995</x:v>
      </x:c>
      <x:c r="L183" s="48" t="n">
        <x:v>75.49</x:v>
      </x:c>
      <x:c r="M183" t="str">
        <x:v>C</x:v>
      </x:c>
      <x:c r="N183" t="str">
        <x:v>HISTORY FALLBACK</x:v>
      </x:c>
    </x:row>
    <x:row r="184">
      <x:c r="A184" t="n">
        <x:v>180</x:v>
      </x:c>
      <x:c r="B184" t="str">
        <x:v>RB</x:v>
      </x:c>
      <x:c r="C184" t="n">
        <x:v>47</x:v>
      </x:c>
      <x:c r="D184" t="str">
        <x:v>Emanuel Wilson</x:v>
      </x:c>
      <x:c r="E184" s="48" t="n">
        <x:v>34.80893008090942</x:v>
      </x:c>
      <x:c r="F184" s="48" t="n">
        <x:v>61.982145601653485</x:v>
      </x:c>
      <x:c r="G184" s="48" t="n">
        <x:v>-11.585644852054486</x:v>
      </x:c>
      <x:c r="H184" s="48" t="n">
        <x:v>4.791666666666662</x:v>
      </x:c>
      <x:c r="I184" s="48" t="n">
        <x:v>195.20000000000002</x:v>
      </x:c>
      <x:c r="J184" s="48" t="n">
        <x:v>15.200000000000017</x:v>
      </x:c>
      <x:c r="K184" s="48" t="n">
        <x:v>55.982145601653485</x:v>
      </x:c>
      <x:c r="L184" s="48" t="n">
        <x:v>67.98214560165349</x:v>
      </x:c>
      <x:c r="M184" t="str">
        <x:v>A</x:v>
      </x:c>
      <x:c r="N184" t="str">
        <x:v>RATE-ADJUSTED VETERAN</x:v>
      </x:c>
    </x:row>
    <x:row r="185">
      <x:c r="A185" t="n">
        <x:v>181</x:v>
      </x:c>
      <x:c r="B185" t="str">
        <x:v>WR</x:v>
      </x:c>
      <x:c r="C185" t="n">
        <x:v>55</x:v>
      </x:c>
      <x:c r="D185" t="str">
        <x:v>KC Concepcion</x:v>
      </x:c>
      <x:c r="E185" s="48" t="n">
        <x:v>34.551</x:v>
      </x:c>
      <x:c r="F185" s="48" t="n">
        <x:v>62.82</x:v>
      </x:c>
      <x:c r="G185" s="48" t="n">
        <x:v>-9.07</x:v>
      </x:c>
      <x:c r="H185" s="48" t="n">
        <x:v>0</x:v>
      </x:c>
      <x:c r="I185" s="48" t="n">
        <x:v>213.6</x:v>
      </x:c>
      <x:c r="J185" s="48" t="n">
        <x:v>32.599999999999994</x:v>
      </x:c>
      <x:c r="K185" s="48" t="n">
        <x:v>50.82</x:v>
      </x:c>
      <x:c r="L185" s="48" t="n">
        <x:v>74.82</x:v>
      </x:c>
      <x:c r="M185" t="str">
        <x:v>C</x:v>
      </x:c>
      <x:c r="N185" t="str">
        <x:v>HISTORY FALLBACK</x:v>
      </x:c>
    </x:row>
    <x:row r="186">
      <x:c r="A186" t="n">
        <x:v>182</x:v>
      </x:c>
      <x:c r="B186" t="str">
        <x:v>DST</x:v>
      </x:c>
      <x:c r="C186" t="n">
        <x:v>13</x:v>
      </x:c>
      <x:c r="D186" t="str">
        <x:v>Detroit Lions</x:v>
      </x:c>
      <x:c r="E186" s="48" t="n">
        <x:v>34.45</x:v>
      </x:c>
      <x:c r="F186" s="48" t="n">
        <x:v>79.8</x:v>
      </x:c>
      <x:c r="G186" s="48" t="n">
        <x:v>-3.299999999999997</x:v>
      </x:c>
      <x:c r="H186" s="48" t="n">
        <x:v>9.999999999999998</x:v>
      </x:c>
      <x:c r="I186" s="48" t="n">
        <x:v>208</x:v>
      </x:c>
      <x:c r="J186" s="48" t="n">
        <x:v>26</x:v>
      </x:c>
      <x:c r="K186" s="48" t="n">
        <x:v>71.8</x:v>
      </x:c>
      <x:c r="L186" s="48" t="n">
        <x:v>86.8</x:v>
      </x:c>
      <x:c r="M186" t="str">
        <x:v>B</x:v>
      </x:c>
      <x:c r="N186" t="str">
        <x:v>DST MODEL</x:v>
      </x:c>
    </x:row>
    <x:row r="187">
      <x:c r="A187" t="n">
        <x:v>183</x:v>
      </x:c>
      <x:c r="B187" t="str">
        <x:v>QB</x:v>
      </x:c>
      <x:c r="C187" t="n">
        <x:v>30</x:v>
      </x:c>
      <x:c r="D187" t="str">
        <x:v>Tua Tagovailoa</x:v>
      </x:c>
      <x:c r="E187" s="48" t="n">
        <x:v>34.31814587544059</x:v>
      </x:c>
      <x:c r="F187" s="48" t="n">
        <x:v>67.85117431898288</x:v>
      </x:c>
      <x:c r="G187" s="48" t="n">
        <x:v>-16.84092773786969</x:v>
      </x:c>
      <x:c r="H187" s="48" t="n">
        <x:v>0</x:v>
      </x:c>
      <x:c r="I187" s="48" t="n">
        <x:v>254</x:v>
      </x:c>
      <x:c r="J187" s="48" t="n">
        <x:v>71</x:v>
      </x:c>
      <x:c r="K187" s="48" t="n">
        <x:v>61.851174318982885</x:v>
      </x:c>
      <x:c r="L187" s="48" t="n">
        <x:v>73.85117431898288</x:v>
      </x:c>
      <x:c r="M187" t="str">
        <x:v>A</x:v>
      </x:c>
      <x:c r="N187" t="str">
        <x:v>RATE-ADJUSTED VETERAN</x:v>
      </x:c>
    </x:row>
    <x:row r="188">
      <x:c r="A188" t="n">
        <x:v>184</x:v>
      </x:c>
      <x:c r="B188" t="str">
        <x:v>WR</x:v>
      </x:c>
      <x:c r="C188" t="n">
        <x:v>56</x:v>
      </x:c>
      <x:c r="D188" t="str">
        <x:v>Rashid Shaheed</x:v>
      </x:c>
      <x:c r="E188" s="48" t="n">
        <x:v>34.182500000000005</x:v>
      </x:c>
      <x:c r="F188" s="48" t="n">
        <x:v>62.15</x:v>
      </x:c>
      <x:c r="G188" s="48" t="n">
        <x:v>-9.740000000000002</x:v>
      </x:c>
      <x:c r="H188" s="48" t="n">
        <x:v>0</x:v>
      </x:c>
      <x:c r="I188" s="48" t="n">
        <x:v>217.5</x:v>
      </x:c>
      <x:c r="J188" s="48" t="n">
        <x:v>33.5</x:v>
      </x:c>
      <x:c r="K188" s="48" t="n">
        <x:v>50.15</x:v>
      </x:c>
      <x:c r="L188" s="48" t="n">
        <x:v>74.15</x:v>
      </x:c>
      <x:c r="M188" t="str">
        <x:v>C</x:v>
      </x:c>
      <x:c r="N188" t="str">
        <x:v>HISTORY FALLBACK</x:v>
      </x:c>
    </x:row>
    <x:row r="189">
      <x:c r="A189" t="n">
        <x:v>185</x:v>
      </x:c>
      <x:c r="B189" t="str">
        <x:v>WR</x:v>
      </x:c>
      <x:c r="C189" t="n">
        <x:v>57</x:v>
      </x:c>
      <x:c r="D189" t="str">
        <x:v>Calvin Ridley</x:v>
      </x:c>
      <x:c r="E189" s="48" t="n">
        <x:v>33.814</x:v>
      </x:c>
      <x:c r="F189" s="48" t="n">
        <x:v>61.48</x:v>
      </x:c>
      <x:c r="G189" s="48" t="n">
        <x:v>-10.410000000000004</x:v>
      </x:c>
      <x:c r="H189" s="48" t="n">
        <x:v>0</x:v>
      </x:c>
      <x:c r="I189" s="48" t="n">
        <x:v>221.4</x:v>
      </x:c>
      <x:c r="J189" s="48" t="n">
        <x:v>36.400000000000006</x:v>
      </x:c>
      <x:c r="K189" s="48" t="n">
        <x:v>49.48</x:v>
      </x:c>
      <x:c r="L189" s="48" t="n">
        <x:v>73.47999999999999</x:v>
      </x:c>
      <x:c r="M189" t="str">
        <x:v>C</x:v>
      </x:c>
      <x:c r="N189" t="str">
        <x:v>HISTORY FALLBACK</x:v>
      </x:c>
    </x:row>
    <x:row r="190">
      <x:c r="A190" t="n">
        <x:v>186</x:v>
      </x:c>
      <x:c r="B190" t="str">
        <x:v>WR</x:v>
      </x:c>
      <x:c r="C190" t="n">
        <x:v>58</x:v>
      </x:c>
      <x:c r="D190" t="str">
        <x:v>Omar Cooper Jr.</x:v>
      </x:c>
      <x:c r="E190" s="48" t="n">
        <x:v>33.4455</x:v>
      </x:c>
      <x:c r="F190" s="48" t="n">
        <x:v>60.809999999999995</x:v>
      </x:c>
      <x:c r="G190" s="48" t="n">
        <x:v>-11.080000000000005</x:v>
      </x:c>
      <x:c r="H190" s="48" t="n">
        <x:v>0</x:v>
      </x:c>
      <x:c r="I190" s="48" t="n">
        <x:v>225.29999999999998</x:v>
      </x:c>
      <x:c r="J190" s="48" t="n">
        <x:v>39.29999999999998</x:v>
      </x:c>
      <x:c r="K190" s="48" t="n">
        <x:v>48.809999999999995</x:v>
      </x:c>
      <x:c r="L190" s="48" t="n">
        <x:v>72.81</x:v>
      </x:c>
      <x:c r="M190" t="str">
        <x:v>C</x:v>
      </x:c>
      <x:c r="N190" t="str">
        <x:v>HISTORY FALLBACK</x:v>
      </x:c>
    </x:row>
    <x:row r="191">
      <x:c r="A191" t="n">
        <x:v>187</x:v>
      </x:c>
      <x:c r="B191" t="str">
        <x:v>RB</x:v>
      </x:c>
      <x:c r="C191" t="n">
        <x:v>48</x:v>
      </x:c>
      <x:c r="D191" t="str">
        <x:v>Isiah Pacheco</x:v>
      </x:c>
      <x:c r="E191" s="48" t="n">
        <x:v>33.36445192307693</x:v>
      </x:c>
      <x:c r="F191" s="48" t="n">
        <x:v>60.00923076923077</x:v>
      </x:c>
      <x:c r="G191" s="48" t="n">
        <x:v>-13.558559684477203</x:v>
      </x:c>
      <x:c r="H191" s="48" t="n">
        <x:v>2.3958333333333375</x:v>
      </x:c>
      <x:c r="I191" s="48" t="n">
        <x:v>199.4</x:v>
      </x:c>
      <x:c r="J191" s="48" t="n">
        <x:v>12.400000000000006</x:v>
      </x:c>
      <x:c r="K191" s="48" t="n">
        <x:v>51.00923076923077</x:v>
      </x:c>
      <x:c r="L191" s="48" t="n">
        <x:v>69.00923076923077</x:v>
      </x:c>
      <x:c r="M191" t="str">
        <x:v>B</x:v>
      </x:c>
      <x:c r="N191" t="str">
        <x:v>HISTORY FALLBACK</x:v>
      </x:c>
    </x:row>
    <x:row r="192">
      <x:c r="A192" t="n">
        <x:v>188</x:v>
      </x:c>
      <x:c r="B192" t="str">
        <x:v>QB</x:v>
      </x:c>
      <x:c r="C192" t="n">
        <x:v>31</x:v>
      </x:c>
      <x:c r="D192" t="str">
        <x:v>Kirk Cousins</x:v>
      </x:c>
      <x:c r="E192" s="48" t="n">
        <x:v>33.186108136866956</x:v>
      </x:c>
      <x:c r="F192" s="48" t="n">
        <x:v>65.79292388521264</x:v>
      </x:c>
      <x:c r="G192" s="48" t="n">
        <x:v>-18.89917817163993</x:v>
      </x:c>
      <x:c r="H192" s="48" t="n">
        <x:v>0</x:v>
      </x:c>
      <x:c r="I192" s="48" t="n">
        <x:v>262</x:v>
      </x:c>
      <x:c r="J192" s="48" t="n">
        <x:v>74</x:v>
      </x:c>
      <x:c r="K192" s="48" t="n">
        <x:v>56.792923885212645</x:v>
      </x:c>
      <x:c r="L192" s="48" t="n">
        <x:v>74.79292388521264</x:v>
      </x:c>
      <x:c r="M192" t="str">
        <x:v>B</x:v>
      </x:c>
      <x:c r="N192" t="str">
        <x:v>RATE-ADJUSTED VETERAN</x:v>
      </x:c>
    </x:row>
    <x:row r="193">
      <x:c r="A193" t="n">
        <x:v>189</x:v>
      </x:c>
      <x:c r="B193" t="str">
        <x:v>WR</x:v>
      </x:c>
      <x:c r="C193" t="n">
        <x:v>59</x:v>
      </x:c>
      <x:c r="D193" t="str">
        <x:v>Jerry Jeudy</x:v>
      </x:c>
      <x:c r="E193" s="48" t="n">
        <x:v>33.077000000000005</x:v>
      </x:c>
      <x:c r="F193" s="48" t="n">
        <x:v>60.14</x:v>
      </x:c>
      <x:c r="G193" s="48" t="n">
        <x:v>-11.75</x:v>
      </x:c>
      <x:c r="H193" s="48" t="n">
        <x:v>0</x:v>
      </x:c>
      <x:c r="I193" s="48" t="n">
        <x:v>229.2</x:v>
      </x:c>
      <x:c r="J193" s="48" t="n">
        <x:v>40.19999999999999</x:v>
      </x:c>
      <x:c r="K193" s="48" t="n">
        <x:v>48.14</x:v>
      </x:c>
      <x:c r="L193" s="48" t="n">
        <x:v>72.14</x:v>
      </x:c>
      <x:c r="M193" t="str">
        <x:v>C</x:v>
      </x:c>
      <x:c r="N193" t="str">
        <x:v>HISTORY FALLBACK</x:v>
      </x:c>
    </x:row>
    <x:row r="194">
      <x:c r="A194" t="n">
        <x:v>190</x:v>
      </x:c>
      <x:c r="B194" t="str">
        <x:v>WR</x:v>
      </x:c>
      <x:c r="C194" t="n">
        <x:v>60</x:v>
      </x:c>
      <x:c r="D194" t="str">
        <x:v>Jalen Nailor</x:v>
      </x:c>
      <x:c r="E194" s="48" t="n">
        <x:v>32.7085</x:v>
      </x:c>
      <x:c r="F194" s="48" t="n">
        <x:v>59.47</x:v>
      </x:c>
      <x:c r="G194" s="48" t="n">
        <x:v>-12.420000000000002</x:v>
      </x:c>
      <x:c r="H194" s="48" t="n">
        <x:v>0</x:v>
      </x:c>
      <x:c r="I194" s="48" t="n">
        <x:v>233.1</x:v>
      </x:c>
      <x:c r="J194" s="48" t="n">
        <x:v>43.099999999999994</x:v>
      </x:c>
      <x:c r="K194" s="48" t="n">
        <x:v>47.47</x:v>
      </x:c>
      <x:c r="L194" s="48" t="n">
        <x:v>71.47</x:v>
      </x:c>
      <x:c r="M194" t="str">
        <x:v>C</x:v>
      </x:c>
      <x:c r="N194" t="str">
        <x:v>HISTORY FALLBACK</x:v>
      </x:c>
    </x:row>
    <x:row r="195">
      <x:c r="A195" t="n">
        <x:v>191</x:v>
      </x:c>
      <x:c r="B195" t="str">
        <x:v>RB</x:v>
      </x:c>
      <x:c r="C195" t="n">
        <x:v>49</x:v>
      </x:c>
      <x:c r="D195" t="str">
        <x:v>Alvin Kamara</x:v>
      </x:c>
      <x:c r="E195" s="48" t="n">
        <x:v>32.532500000000006</x:v>
      </x:c>
      <x:c r="F195" s="48" t="n">
        <x:v>59.150000000000006</x:v>
      </x:c>
      <x:c r="G195" s="48" t="n">
        <x:v>-14.417790453707966</x:v>
      </x:c>
      <x:c r="H195" s="48" t="n">
        <x:v>0</x:v>
      </x:c>
      <x:c r="I195" s="48" t="n">
        <x:v>203.60000000000002</x:v>
      </x:c>
      <x:c r="J195" s="48" t="n">
        <x:v>12.600000000000023</x:v>
      </x:c>
      <x:c r="K195" s="48" t="n">
        <x:v>50.150000000000006</x:v>
      </x:c>
      <x:c r="L195" s="48" t="n">
        <x:v>68.15</x:v>
      </x:c>
      <x:c r="M195" t="str">
        <x:v>B</x:v>
      </x:c>
      <x:c r="N195" t="str">
        <x:v>HISTORY FALLBACK</x:v>
      </x:c>
    </x:row>
    <x:row r="196">
      <x:c r="A196" t="n">
        <x:v>192</x:v>
      </x:c>
      <x:c r="B196" t="str">
        <x:v>WR</x:v>
      </x:c>
      <x:c r="C196" t="n">
        <x:v>61</x:v>
      </x:c>
      <x:c r="D196" t="str">
        <x:v>Jalen McMillan</x:v>
      </x:c>
      <x:c r="E196" s="48" t="n">
        <x:v>32.34</x:v>
      </x:c>
      <x:c r="F196" s="48" t="n">
        <x:v>58.8</x:v>
      </x:c>
      <x:c r="G196" s="48" t="n">
        <x:v>-13.090000000000003</x:v>
      </x:c>
      <x:c r="H196" s="48" t="n">
        <x:v>0</x:v>
      </x:c>
      <x:c r="I196" s="48" t="n">
        <x:v>237</x:v>
      </x:c>
      <x:c r="J196" s="48" t="n">
        <x:v>45</x:v>
      </x:c>
      <x:c r="K196" s="48" t="n">
        <x:v>46.8</x:v>
      </x:c>
      <x:c r="L196" s="48" t="n">
        <x:v>70.8</x:v>
      </x:c>
      <x:c r="M196" t="str">
        <x:v>C</x:v>
      </x:c>
      <x:c r="N196" t="str">
        <x:v>HISTORY FALLBACK</x:v>
      </x:c>
    </x:row>
    <x:row r="197">
      <x:c r="A197" t="n">
        <x:v>193</x:v>
      </x:c>
      <x:c r="B197" t="str">
        <x:v>WR</x:v>
      </x:c>
      <x:c r="C197" t="n">
        <x:v>62</x:v>
      </x:c>
      <x:c r="D197" t="str">
        <x:v>Adonai Mitchell</x:v>
      </x:c>
      <x:c r="E197" s="48" t="n">
        <x:v>31.9715</x:v>
      </x:c>
      <x:c r="F197" s="48" t="n">
        <x:v>58.129999999999995</x:v>
      </x:c>
      <x:c r="G197" s="48" t="n">
        <x:v>-13.760000000000005</x:v>
      </x:c>
      <x:c r="H197" s="48" t="n">
        <x:v>0</x:v>
      </x:c>
      <x:c r="I197" s="48" t="n">
        <x:v>240.9</x:v>
      </x:c>
      <x:c r="J197" s="48" t="n">
        <x:v>47.900000000000006</x:v>
      </x:c>
      <x:c r="K197" s="48" t="n">
        <x:v>46.129999999999995</x:v>
      </x:c>
      <x:c r="L197" s="48" t="n">
        <x:v>70.13</x:v>
      </x:c>
      <x:c r="M197" t="str">
        <x:v>C</x:v>
      </x:c>
      <x:c r="N197" t="str">
        <x:v>HISTORY FALLBACK</x:v>
      </x:c>
    </x:row>
    <x:row r="198">
      <x:c r="A198" t="n">
        <x:v>194</x:v>
      </x:c>
      <x:c r="B198" t="str">
        <x:v>WR</x:v>
      </x:c>
      <x:c r="C198" t="n">
        <x:v>63</x:v>
      </x:c>
      <x:c r="D198" t="str">
        <x:v>Isaac TeSlaa</x:v>
      </x:c>
      <x:c r="E198" s="48" t="n">
        <x:v>31.603</x:v>
      </x:c>
      <x:c r="F198" s="48" t="n">
        <x:v>57.46</x:v>
      </x:c>
      <x:c r="G198" s="48" t="n">
        <x:v>-14.43</x:v>
      </x:c>
      <x:c r="H198" s="48" t="n">
        <x:v>0</x:v>
      </x:c>
      <x:c r="I198" s="48" t="n">
        <x:v>244.79999999999998</x:v>
      </x:c>
      <x:c r="J198" s="48" t="n">
        <x:v>50.79999999999998</x:v>
      </x:c>
      <x:c r="K198" s="48" t="n">
        <x:v>45.46</x:v>
      </x:c>
      <x:c r="L198" s="48" t="n">
        <x:v>69.46000000000001</x:v>
      </x:c>
      <x:c r="M198" t="str">
        <x:v>C</x:v>
      </x:c>
      <x:c r="N198" t="str">
        <x:v>HISTORY FALLBACK</x:v>
      </x:c>
    </x:row>
    <x:row r="199">
      <x:c r="A199" t="n">
        <x:v>195</x:v>
      </x:c>
      <x:c r="B199" t="str">
        <x:v>DST</x:v>
      </x:c>
      <x:c r="C199" t="n">
        <x:v>14</x:v>
      </x:c>
      <x:c r="D199" t="str">
        <x:v>Buffalo Bills</x:v>
      </x:c>
      <x:c r="E199" s="48" t="n">
        <x:v>31.365000000000016</x:v>
      </x:c>
      <x:c r="F199" s="48" t="n">
        <x:v>78.7</x:v>
      </x:c>
      <x:c r="G199" s="48" t="n">
        <x:v>-4.3999999999999915</x:v>
      </x:c>
      <x:c r="H199" s="48" t="n">
        <x:v>6.666666666666665</x:v>
      </x:c>
      <x:c r="I199" s="48" t="n">
        <x:v>212</x:v>
      </x:c>
      <x:c r="J199" s="48" t="n">
        <x:v>17</x:v>
      </x:c>
      <x:c r="K199" s="48" t="n">
        <x:v>70.7</x:v>
      </x:c>
      <x:c r="L199" s="48" t="n">
        <x:v>85.7</x:v>
      </x:c>
      <x:c r="M199" t="str">
        <x:v>B</x:v>
      </x:c>
      <x:c r="N199" t="str">
        <x:v>DST MODEL</x:v>
      </x:c>
    </x:row>
    <x:row r="200">
      <x:c r="A200" t="n">
        <x:v>196</x:v>
      </x:c>
      <x:c r="B200" t="str">
        <x:v>WR</x:v>
      </x:c>
      <x:c r="C200" t="n">
        <x:v>64</x:v>
      </x:c>
      <x:c r="D200" t="str">
        <x:v>Denzel Boston</x:v>
      </x:c>
      <x:c r="E200" s="48" t="n">
        <x:v>31.2345</x:v>
      </x:c>
      <x:c r="F200" s="48" t="n">
        <x:v>56.79</x:v>
      </x:c>
      <x:c r="G200" s="48" t="n">
        <x:v>-15.100000000000001</x:v>
      </x:c>
      <x:c r="H200" s="48" t="n">
        <x:v>0</x:v>
      </x:c>
      <x:c r="I200" s="48" t="n">
        <x:v>248.7</x:v>
      </x:c>
      <x:c r="J200" s="48" t="n">
        <x:v>52.69999999999999</x:v>
      </x:c>
      <x:c r="K200" s="48" t="n">
        <x:v>44.79</x:v>
      </x:c>
      <x:c r="L200" s="48" t="n">
        <x:v>68.78999999999999</x:v>
      </x:c>
      <x:c r="M200" t="str">
        <x:v>C</x:v>
      </x:c>
      <x:c r="N200" t="str">
        <x:v>HISTORY FALLBACK</x:v>
      </x:c>
    </x:row>
    <x:row r="201">
      <x:c r="A201" t="n">
        <x:v>197</x:v>
      </x:c>
      <x:c r="B201" t="str">
        <x:v>WR</x:v>
      </x:c>
      <x:c r="C201" t="n">
        <x:v>65</x:v>
      </x:c>
      <x:c r="D201" t="str">
        <x:v>Tre Tucker</x:v>
      </x:c>
      <x:c r="E201" s="48" t="n">
        <x:v>30.866</x:v>
      </x:c>
      <x:c r="F201" s="48" t="n">
        <x:v>56.12</x:v>
      </x:c>
      <x:c r="G201" s="48" t="n">
        <x:v>-15.770000000000003</x:v>
      </x:c>
      <x:c r="H201" s="48" t="n">
        <x:v>0</x:v>
      </x:c>
      <x:c r="I201" s="48" t="n">
        <x:v>252.6</x:v>
      </x:c>
      <x:c r="J201" s="48" t="n">
        <x:v>55.599999999999994</x:v>
      </x:c>
      <x:c r="K201" s="48" t="n">
        <x:v>44.12</x:v>
      </x:c>
      <x:c r="L201" s="48" t="n">
        <x:v>68.12</x:v>
      </x:c>
      <x:c r="M201" t="str">
        <x:v>C</x:v>
      </x:c>
      <x:c r="N201" t="str">
        <x:v>HISTORY FALLBACK</x:v>
      </x:c>
    </x:row>
    <x:row r="202">
      <x:c r="A202" t="n">
        <x:v>198</x:v>
      </x:c>
      <x:c r="B202" t="str">
        <x:v>WR</x:v>
      </x:c>
      <x:c r="C202" t="n">
        <x:v>66</x:v>
      </x:c>
      <x:c r="D202" t="str">
        <x:v>Antonio Williams</x:v>
      </x:c>
      <x:c r="E202" s="48" t="n">
        <x:v>30.4975</x:v>
      </x:c>
      <x:c r="F202" s="48" t="n">
        <x:v>55.449999999999996</x:v>
      </x:c>
      <x:c r="G202" s="48" t="n">
        <x:v>-16.440000000000005</x:v>
      </x:c>
      <x:c r="H202" s="48" t="n">
        <x:v>0</x:v>
      </x:c>
      <x:c r="I202" s="48" t="n">
        <x:v>256.5</x:v>
      </x:c>
      <x:c r="J202" s="48" t="n">
        <x:v>58.5</x:v>
      </x:c>
      <x:c r="K202" s="48" t="n">
        <x:v>43.449999999999996</x:v>
      </x:c>
      <x:c r="L202" s="48" t="n">
        <x:v>67.44999999999999</x:v>
      </x:c>
      <x:c r="M202" t="str">
        <x:v>C</x:v>
      </x:c>
      <x:c r="N202" t="str">
        <x:v>HISTORY FALLBACK</x:v>
      </x:c>
    </x:row>
    <x:row r="203">
      <x:c r="A203" t="n">
        <x:v>199</x:v>
      </x:c>
      <x:c r="B203" t="str">
        <x:v>RB</x:v>
      </x:c>
      <x:c r="C203" t="n">
        <x:v>50</x:v>
      </x:c>
      <x:c r="D203" t="str">
        <x:v>Justice Hill</x:v>
      </x:c>
      <x:c r="E203" s="48" t="n">
        <x:v>30.184</x:v>
      </x:c>
      <x:c r="F203" s="48" t="n">
        <x:v>54.879999999999995</x:v>
      </x:c>
      <x:c r="G203" s="48" t="n">
        <x:v>-18.687790453707976</x:v>
      </x:c>
      <x:c r="H203" s="48" t="n">
        <x:v>0</x:v>
      </x:c>
      <x:c r="I203" s="48" t="n">
        <x:v>207.8</x:v>
      </x:c>
      <x:c r="J203" s="48" t="n">
        <x:v>8.800000000000011</x:v>
      </x:c>
      <x:c r="K203" s="48" t="n">
        <x:v>45.879999999999995</x:v>
      </x:c>
      <x:c r="L203" s="48" t="n">
        <x:v>63.879999999999995</x:v>
      </x:c>
      <x:c r="M203" t="str">
        <x:v>B</x:v>
      </x:c>
      <x:c r="N203" t="str">
        <x:v>HISTORY FALLBACK</x:v>
      </x:c>
    </x:row>
    <x:row r="204">
      <x:c r="A204" t="n">
        <x:v>200</x:v>
      </x:c>
      <x:c r="B204" t="str">
        <x:v>QB</x:v>
      </x:c>
      <x:c r="C204" t="n">
        <x:v>32</x:v>
      </x:c>
      <x:c r="D204" t="str">
        <x:v>Deshaun Watson</x:v>
      </x:c>
      <x:c r="E204" s="48" t="n">
        <x:v>30.137500000000003</x:v>
      </x:c>
      <x:c r="F204" s="48" t="n">
        <x:v>60.25</x:v>
      </x:c>
      <x:c r="G204" s="48" t="n">
        <x:v>-24.442102056852576</x:v>
      </x:c>
      <x:c r="H204" s="48" t="n">
        <x:v>0</x:v>
      </x:c>
      <x:c r="I204" s="48" t="n">
        <x:v>270</x:v>
      </x:c>
      <x:c r="J204" s="48" t="n">
        <x:v>70</x:v>
      </x:c>
      <x:c r="K204" s="48" t="n">
        <x:v>48.25</x:v>
      </x:c>
      <x:c r="L204" s="48" t="n">
        <x:v>72.25</x:v>
      </x:c>
      <x:c r="M204" t="str">
        <x:v>C</x:v>
      </x:c>
      <x:c r="N204" t="str">
        <x:v>HISTORY FALLBACK</x:v>
      </x:c>
    </x:row>
  </x:sheetData>
  <x:mergeCells>
    <x:mergeCell ref="A1:N1"/>
    <x:mergeCell ref="A2:N2"/>
  </x:mergeCells>
  <x:conditionalFormatting sqref="E5:E20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{E8AF2012-9E2C-7E7F-1983-8E368496FA2A}</x14:id>
        </x:ext>
      </x:extLst>
    </x:cfRule>
  </x:conditionalFormatting>
  <x:conditionalFormatting sqref="J5:J20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8AF2012-9E2C-7E7F-1983-8E368496FA2A}">
            <x14:dataBar gradient="1">
              <x14:cfvo type="min"/>
              <x14:cfvo type="max"/>
              <x14:fillColor rgb="FFA02B93"/>
            </x14:dataBar>
          </x14:cfRule>
          <xm:sqref>E5:E204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65.87999725341797" hidden="0" customWidth="1"/>
    <x:col min="2" max="2" width="48.75" hidden="0" customWidth="1"/>
    <x:col min="4" max="4" width="15.75" hidden="0" customWidth="1"/>
    <x:col min="5" max="5" width="15" hidden="0" customWidth="1"/>
    <x:col min="6" max="6" width="48" hidden="0" customWidth="1"/>
  </x:cols>
  <x:sheetData>
    <x:row r="1">
      <x:c r="A1" s="100" t="str">
        <x:v>Draft Room — Use During Your Draft</x:v>
      </x:c>
    </x:row>
    <x:row r="2">
      <x:c r="A2" s="103" t="str">
        <x:v>Default lineup: QB, RB, RB, WR, WR, TE, FLEX, K, DEF. Mark players Taken/My Team in Draft Engine; Available Rank recalculates automatically.</x:v>
      </x:c>
    </x:row>
    <x:row r="4">
      <x:c r="A4" s="108" t="str">
        <x:v>Draft Input</x:v>
      </x:c>
      <x:c r="B4" s="108" t="str">
        <x:v>Value</x:v>
      </x:c>
      <x:c r="D4" s="108" t="str">
        <x:v>Signal</x:v>
      </x:c>
      <x:c r="E4" s="108" t="str">
        <x:v>Interpretation</x:v>
      </x:c>
      <x:c r="F4" s="108" t="str">
        <x:v>Action</x:v>
      </x:c>
    </x:row>
    <x:row r="5">
      <x:c r="A5" t="str">
        <x:v>Current Pick</x:v>
      </x:c>
      <x:c r="B5" s="109" t="n">
        <x:v>1</x:v>
      </x:c>
      <x:c r="D5" t="str">
        <x:v>Draft Edge &gt; +15</x:v>
      </x:c>
      <x:c r="E5" t="str">
        <x:v>Strong model value</x:v>
      </x:c>
      <x:c r="F5" t="str">
        <x:v>Prioritize if roster construction fits.</x:v>
      </x:c>
    </x:row>
    <x:row r="6">
      <x:c r="A6" t="str">
        <x:v>Your Draft Slot</x:v>
      </x:c>
      <x:c r="B6" s="109" t="n">
        <x:v>1</x:v>
      </x:c>
      <x:c r="D6" t="str">
        <x:v>Draft Edge +5 to +15</x:v>
      </x:c>
      <x:c r="E6" t="str">
        <x:v>Good value</x:v>
      </x:c>
      <x:c r="F6" t="str">
        <x:v>Strong target at fair roster need.</x:v>
      </x:c>
    </x:row>
    <x:row r="7">
      <x:c r="A7" t="str">
        <x:v>Teams</x:v>
      </x:c>
      <x:c r="B7" t="n">
        <x:f>'League Config'!B5</x:f>
        <x:v>10</x:v>
      </x:c>
      <x:c r="D7" t="str">
        <x:v>Draft Edge -5 to +5</x:v>
      </x:c>
      <x:c r="E7" t="str">
        <x:v>Fair price</x:v>
      </x:c>
      <x:c r="F7" t="str">
        <x:v>Use tier/need/tiebreakers.</x:v>
      </x:c>
    </x:row>
    <x:row r="8">
      <x:c r="A8" t="str">
        <x:v>Rounds</x:v>
      </x:c>
      <x:c r="B8" t="n">
        <x:f>SUM('League Config'!B7:B14)</x:f>
        <x:v>15</x:v>
      </x:c>
      <x:c r="D8" t="str">
        <x:v>Draft Edge &lt; -10</x:v>
      </x:c>
      <x:c r="E8" t="str">
        <x:v>Reach warning</x:v>
      </x:c>
      <x:c r="F8" t="str">
        <x:v>Usually wait unless run/need changes market.</x:v>
      </x:c>
    </x:row>
    <x:row r="9">
      <x:c r="A9" t="str">
        <x:v>Strategy Note</x:v>
      </x:c>
      <x:c r="B9" t="str">
        <x:v>Use Available Rank + Draft Edge; K/DST are intentionally delayed.</x:v>
      </x:c>
      <x:c r="D9" t="str">
        <x:v>K / DST</x:v>
      </x:c>
      <x:c r="E9" t="str">
        <x:v>Late rounds</x:v>
      </x:c>
      <x:c r="F9" t="str">
        <x:v>Default model intentionally delays both.</x:v>
      </x:c>
    </x:row>
    <x:row r="10">
      <x:c r="D10" t="str">
        <x:v>Confidence C</x:v>
      </x:c>
      <x:c r="E10" t="str">
        <x:v>Wide range</x:v>
      </x:c>
      <x:c r="F10" t="str">
        <x:v>Rookie/injury/incomplete evidence; manage risk.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7.25" hidden="0" customWidth="1"/>
    <x:col min="2" max="2" width="50" hidden="0" customWidth="1"/>
    <x:col min="3" max="3" width="39.5" hidden="0" customWidth="1"/>
    <x:col min="4" max="4" width="15.75" hidden="0" customWidth="1"/>
    <x:col min="5" max="5" width="7.630000114440918" hidden="0" customWidth="1"/>
    <x:col min="6" max="6" width="48" hidden="0" customWidth="1"/>
  </x:cols>
  <x:sheetData>
    <x:row r="1">
      <x:c r="A1" s="100" t="str">
        <x:v>Sources, Assumptions &amp; Model Notes</x:v>
      </x:c>
    </x:row>
    <x:row r="3">
      <x:c r="A3" s="108" t="str">
        <x:v>Area</x:v>
      </x:c>
      <x:c r="B3" s="108" t="str">
        <x:v>Source / URL</x:v>
      </x:c>
      <x:c r="C3" s="108" t="str">
        <x:v>Use</x:v>
      </x:c>
      <x:c r="D3" s="108" t="str">
        <x:v>Date Context</x:v>
      </x:c>
      <x:c r="E3" s="108" t="str">
        <x:v>Editable?</x:v>
      </x:c>
      <x:c r="F3" s="108" t="str">
        <x:v>Caution</x:v>
      </x:c>
    </x:row>
    <x:row r="4">
      <x:c r="A4" s="98" t="str">
        <x:v>PPR ADP</x:v>
      </x:c>
      <x:c r="B4" s="98" t="str">
        <x:v>https://www.fantasypros.com/nfl/adp/ppr-overall.php</x:v>
      </x:c>
      <x:c r="C4" s="98" t="str">
        <x:v>Top market defaults; deeper rows use editable proxy</x:v>
      </x:c>
      <x:c r="D4" s="98" t="str">
        <x:v>Checked 2026-08-11</x:v>
      </x:c>
      <x:c r="E4" s="98" t="str">
        <x:v>YES</x:v>
      </x:c>
      <x:c r="F4" s="98" t="str">
        <x:v>Proxy should be refreshed near draft day.</x:v>
      </x:c>
    </x:row>
    <x:row r="5">
      <x:c r="A5" s="98" t="str">
        <x:v>PPR Overall ECR</x:v>
      </x:c>
      <x:c r="B5" s="98" t="str">
        <x:v>https://www.fantasypros.com/nfl/rankings/ppr-cheatsheets.php</x:v>
      </x:c>
      <x:c r="C5" s="98" t="str">
        <x:v>Market cross-check</x:v>
      </x:c>
      <x:c r="D5" s="98" t="str">
        <x:v>Checked 2026-08-11</x:v>
      </x:c>
      <x:c r="E5" s="98" t="str">
        <x:v>No</x:v>
      </x:c>
      <x:c r="F5" s="98" t="str">
        <x:v>ECR differs from ADP.</x:v>
      </x:c>
    </x:row>
    <x:row r="6">
      <x:c r="A6" s="98" t="str">
        <x:v>K Rankings</x:v>
      </x:c>
      <x:c r="B6" s="98" t="str">
        <x:v>https://www.fantasypros.com/nfl/rankings/k-cheatsheets.php</x:v>
      </x:c>
      <x:c r="C6" s="98" t="str">
        <x:v>Kicker order</x:v>
      </x:c>
      <x:c r="D6" s="98" t="str">
        <x:v>Checked 2026-08-11</x:v>
      </x:c>
      <x:c r="E6" s="98" t="str">
        <x:v>No</x:v>
      </x:c>
      <x:c r="F6" s="98" t="str">
        <x:v>K scoring varies.</x:v>
      </x:c>
    </x:row>
    <x:row r="7">
      <x:c r="A7" s="98" t="str">
        <x:v>DST Rankings</x:v>
      </x:c>
      <x:c r="B7" s="98" t="str">
        <x:v>https://www.fantasypros.com/nfl/rankings/dst-cheatsheets.php</x:v>
      </x:c>
      <x:c r="C7" s="98" t="str">
        <x:v>Primary DST order</x:v>
      </x:c>
      <x:c r="D7" s="98" t="str">
        <x:v>Checked 2026-08-11</x:v>
      </x:c>
      <x:c r="E7" s="98" t="str">
        <x:v>No</x:v>
      </x:c>
      <x:c r="F7" s="98" t="str">
        <x:v>Highly matchup-sensitive.</x:v>
      </x:c>
    </x:row>
    <x:row r="8">
      <x:c r="A8" s="98" t="str">
        <x:v>DST 26–32</x:v>
      </x:c>
      <x:c r="B8" s="98" t="str">
        <x:v>https://www.si.com/fantasy/2026-football-defense-rankings-seasonal-leagues</x:v>
      </x:c>
      <x:c r="C8" s="98" t="str">
        <x:v>Completes 32 DST</x:v>
      </x:c>
      <x:c r="D8" s="98" t="str">
        <x:v>Jul 2026</x:v>
      </x:c>
      <x:c r="E8" s="98" t="str">
        <x:v>No</x:v>
      </x:c>
      <x:c r="F8" s="98" t="str">
        <x:v>Secondary depth source.</x:v>
      </x:c>
    </x:row>
    <x:row r="9">
      <x:c r="A9" s="98" t="str">
        <x:v>Makai Lemon camp note</x:v>
      </x:c>
      <x:c r="B9" s="98" t="str">
        <x:v>https://www.bleedinggreennation.com/news/179073/eagles-news-its-fair-at-this-point-to-doubt-that-makai-lemon-will-start-at-least-early-in-the-season</x:v>
      </x:c>
      <x:c r="C9" s="98" t="str">
        <x:v>Temporary manual adjustment</x:v>
      </x:c>
      <x:c r="D9" s="98" t="str">
        <x:v>2026-08-11</x:v>
      </x:c>
      <x:c r="E9" s="98" t="str">
        <x:v>YES</x:v>
      </x:c>
      <x:c r="F9" s="98" t="str">
        <x:v>Remove/modify when health changes.</x:v>
      </x:c>
    </x:row>
    <x:row r="10">
      <x:c r="A10" s="98" t="str">
        <x:v>Floor/Ceiling</x:v>
      </x:c>
      <x:c r="B10" s="98" t="str">
        <x:v>Workbook formula</x:v>
      </x:c>
      <x:c r="C10" s="98" t="str">
        <x:v>Confidence-based rating band</x:v>
      </x:c>
      <x:c r="D10" s="98" t="str">
        <x:v>Current</x:v>
      </x:c>
      <x:c r="E10" s="98" t="str">
        <x:v>Formula</x:v>
      </x:c>
      <x:c r="F10" s="98" t="str">
        <x:v>Rating uncertainty, not exact fantasy-point simulation.</x:v>
      </x:c>
    </x:row>
    <x:row r="11">
      <x:c r="A11" s="98" t="str">
        <x:v>VORP</x:v>
      </x:c>
      <x:c r="B11" s="98" t="str">
        <x:v>Workbook formula</x:v>
      </x:c>
      <x:c r="C11" s="98" t="str">
        <x:v>Adjusted rating minus replacement rating</x:v>
      </x:c>
      <x:c r="D11" s="98" t="str">
        <x:v>Current</x:v>
      </x:c>
      <x:c r="E11" s="98" t="str">
        <x:v>Formula</x:v>
      </x:c>
      <x:c r="F11" s="98" t="str">
        <x:v>Replacement assumptions are editable.</x:v>
      </x:c>
    </x:row>
    <x:row r="12">
      <x:c r="A12" t="str">
        <x:v>Outcome Simulations</x:v>
      </x:c>
      <x:c r="B12" t="str">
        <x:v>Workbook simulation</x:v>
      </x:c>
      <x:c r="C12" t="str">
        <x:v>2,000 rating-space draws/player</x:v>
      </x:c>
      <x:c r="D12" t="str">
        <x:v>2026-08-11</x:v>
      </x:c>
      <x:c r="E12" t="str">
        <x:v>Snapshot</x:v>
      </x:c>
      <x:c r="F12" t="str">
        <x:v>Not a weekly points Monte Carlo; use for uncertainty/upside comparisons.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36.3800048828125" hidden="0" customWidth="1"/>
    <x:col min="2" max="2" width="25" hidden="0" customWidth="1"/>
    <x:col min="3" max="3" width="9.380000114440918" hidden="0" customWidth="1"/>
    <x:col min="4" max="4" width="9.130000114440918" hidden="0" customWidth="1"/>
    <x:col min="5" max="5" width="24" hidden="0" customWidth="1"/>
    <x:col min="6" max="6" width="7.75" hidden="0" customWidth="1"/>
    <x:col min="7" max="7" width="9.630000114440918" hidden="0" customWidth="1"/>
    <x:col min="8" max="8" width="8.880000114440918" hidden="0" customWidth="1"/>
    <x:col min="9" max="9" width="11.130000114440918" hidden="0" customWidth="1"/>
    <x:col min="10" max="10" width="17.5" hidden="0" customWidth="1"/>
    <x:col min="11" max="11" width="7.380000114440918" hidden="0" customWidth="1"/>
    <x:col min="12" max="12" width="46" hidden="0" customWidth="1"/>
  </x:cols>
  <x:sheetData>
    <x:row r="1">
      <x:c r="A1" s="100" t="str">
        <x:v>Default Outcome Simulations — 10-Team PPR Snapshot</x:v>
      </x:c>
    </x:row>
    <x:row r="2">
      <x:c r="A2" s="103" t="str">
        <x:v>2,000 deterministic-seed simulations per player in rating space. Volatility comes from confidence/model path; results are a default snapshot and do not auto-rerun when inputs change.</x:v>
      </x:c>
    </x:row>
    <x:row r="4">
      <x:c r="A4" s="108" t="str">
        <x:v>Pos</x:v>
      </x:c>
      <x:c r="B4" s="108" t="str">
        <x:v>Player</x:v>
      </x:c>
      <x:c r="C4" s="108" t="str">
        <x:v>Base Rating</x:v>
      </x:c>
      <x:c r="D4" s="108" t="str">
        <x:v>Confidence</x:v>
      </x:c>
      <x:c r="E4" s="108" t="str">
        <x:v>Model Path</x:v>
      </x:c>
      <x:c r="F4" s="108" t="str">
        <x:v>P10 Floor</x:v>
      </x:c>
      <x:c r="G4" s="108" t="str">
        <x:v>P50 Median</x:v>
      </x:c>
      <x:c r="H4" s="108" t="str">
        <x:v>P90 Ceiling</x:v>
      </x:c>
      <x:c r="I4" s="108" t="str">
        <x:v>Boom % (90+)</x:v>
      </x:c>
      <x:c r="J4" s="108" t="str">
        <x:v>Above Replacement %</x:v>
      </x:c>
      <x:c r="K4" s="108" t="str">
        <x:v>Volatility</x:v>
      </x:c>
      <x:c r="L4" s="108" t="str">
        <x:v>Simulation Note</x:v>
      </x:c>
    </x:row>
    <x:row r="5">
      <x:c r="A5" t="str">
        <x:v>QB</x:v>
      </x:c>
      <x:c r="B5" t="str">
        <x:v>Josh Allen</x:v>
      </x:c>
      <x:c r="C5" s="48" t="n">
        <x:v>97.30987910633218</x:v>
      </x:c>
      <x:c r="D5" s="48" t="str">
        <x:v>A</x:v>
      </x:c>
      <x:c r="E5" s="48" t="str">
        <x:v>RATE-ADJUSTED VETERAN</x:v>
      </x:c>
      <x:c r="F5" s="48" t="n">
        <x:v>92.24864991000935</x:v>
      </x:c>
      <x:c r="G5" s="48" t="n">
        <x:v>97.4742389521388</x:v>
      </x:c>
      <x:c r="H5" s="48" t="n">
        <x:v>100</x:v>
      </x:c>
      <x:c r="I5" s="48" t="n">
        <x:v>96.85</x:v>
      </x:c>
      <x:c r="J5" s="48" t="n">
        <x:v>99.8</x:v>
      </x:c>
      <x:c r="K5" t="n">
        <x:v>4</x:v>
      </x:c>
      <x:c r="L5" t="str">
        <x:v>Rating-distribution simulation; not weekly fantasy-point projection.</x:v>
      </x:c>
    </x:row>
    <x:row r="6">
      <x:c r="A6" t="str">
        <x:v>QB</x:v>
      </x:c>
      <x:c r="B6" t="str">
        <x:v>Caleb Williams</x:v>
      </x:c>
      <x:c r="C6" s="48" t="n">
        <x:v>92.1926680327037</x:v>
      </x:c>
      <x:c r="D6" s="48" t="str">
        <x:v>A</x:v>
      </x:c>
      <x:c r="E6" s="48" t="str">
        <x:v>RATE-ADJUSTED VETERAN</x:v>
      </x:c>
      <x:c r="F6" s="48" t="n">
        <x:v>86.90864233115121</x:v>
      </x:c>
      <x:c r="G6" s="48" t="n">
        <x:v>92.2296049112106</x:v>
      </x:c>
      <x:c r="H6" s="48" t="n">
        <x:v>97.27939201425741</x:v>
      </x:c>
      <x:c r="I6" s="48" t="n">
        <x:v>70.5</x:v>
      </x:c>
      <x:c r="J6" s="48" t="n">
        <x:v>96.1</x:v>
      </x:c>
      <x:c r="K6" t="n">
        <x:v>4</x:v>
      </x:c>
      <x:c r="L6" t="str">
        <x:v>Rating-distribution simulation; not weekly fantasy-point projection.</x:v>
      </x:c>
    </x:row>
    <x:row r="7">
      <x:c r="A7" t="str">
        <x:v>QB</x:v>
      </x:c>
      <x:c r="B7" t="str">
        <x:v>Drake Maye</x:v>
      </x:c>
      <x:c r="C7" s="48" t="n">
        <x:v>91.04298794920528</x:v>
      </x:c>
      <x:c r="D7" s="48" t="str">
        <x:v>A</x:v>
      </x:c>
      <x:c r="E7" s="48" t="str">
        <x:v>RATE-ADJUSTED VETERAN</x:v>
      </x:c>
      <x:c r="F7" s="48" t="n">
        <x:v>85.82889431264998</x:v>
      </x:c>
      <x:c r="G7" s="48" t="n">
        <x:v>91.09202829786297</x:v>
      </x:c>
      <x:c r="H7" s="48" t="n">
        <x:v>96.26478405292929</x:v>
      </x:c>
      <x:c r="I7" s="48" t="n">
        <x:v>60.55</x:v>
      </x:c>
      <x:c r="J7" s="48" t="n">
        <x:v>94.2</x:v>
      </x:c>
      <x:c r="K7" t="n">
        <x:v>4</x:v>
      </x:c>
      <x:c r="L7" t="str">
        <x:v>Rating-distribution simulation; not weekly fantasy-point projection.</x:v>
      </x:c>
    </x:row>
    <x:row r="8">
      <x:c r="A8" t="str">
        <x:v>QB</x:v>
      </x:c>
      <x:c r="B8" t="str">
        <x:v>Justin Herbert</x:v>
      </x:c>
      <x:c r="C8" s="48" t="n">
        <x:v>90.11691162251876</x:v>
      </x:c>
      <x:c r="D8" s="48" t="str">
        <x:v>A</x:v>
      </x:c>
      <x:c r="E8" s="48" t="str">
        <x:v>RATE-ADJUSTED VETERAN</x:v>
      </x:c>
      <x:c r="F8" s="48" t="n">
        <x:v>84.93705423146965</x:v>
      </x:c>
      <x:c r="G8" s="48" t="n">
        <x:v>90.32793809914534</x:v>
      </x:c>
      <x:c r="H8" s="48" t="n">
        <x:v>95.31467207711944</x:v>
      </x:c>
      <x:c r="I8" s="48" t="n">
        <x:v>53</x:v>
      </x:c>
      <x:c r="J8" s="48" t="n">
        <x:v>91.1</x:v>
      </x:c>
      <x:c r="K8" t="n">
        <x:v>4</x:v>
      </x:c>
      <x:c r="L8" t="str">
        <x:v>Rating-distribution simulation; not weekly fantasy-point projection.</x:v>
      </x:c>
    </x:row>
    <x:row r="9">
      <x:c r="A9" t="str">
        <x:v>QB</x:v>
      </x:c>
      <x:c r="B9" t="str">
        <x:v>Lamar Jackson</x:v>
      </x:c>
      <x:c r="C9" s="48" t="n">
        <x:v>88.71118360968082</x:v>
      </x:c>
      <x:c r="D9" s="48" t="str">
        <x:v>A</x:v>
      </x:c>
      <x:c r="E9" s="48" t="str">
        <x:v>RATE-ADJUSTED VETERAN</x:v>
      </x:c>
      <x:c r="F9" s="48" t="n">
        <x:v>83.5795071909189</x:v>
      </x:c>
      <x:c r="G9" s="48" t="n">
        <x:v>88.57718431502155</x:v>
      </x:c>
      <x:c r="H9" s="48" t="n">
        <x:v>93.79224624733617</x:v>
      </x:c>
      <x:c r="I9" s="48" t="n">
        <x:v>36.8</x:v>
      </x:c>
      <x:c r="J9" s="48" t="n">
        <x:v>84.55</x:v>
      </x:c>
      <x:c r="K9" t="n">
        <x:v>4</x:v>
      </x:c>
      <x:c r="L9" t="str">
        <x:v>Rating-distribution simulation; not weekly fantasy-point projection.</x:v>
      </x:c>
    </x:row>
    <x:row r="10">
      <x:c r="A10" t="str">
        <x:v>QB</x:v>
      </x:c>
      <x:c r="B10" t="str">
        <x:v>Jalen Hurts</x:v>
      </x:c>
      <x:c r="C10" s="48" t="n">
        <x:v>88.44992587495246</x:v>
      </x:c>
      <x:c r="D10" s="48" t="str">
        <x:v>A</x:v>
      </x:c>
      <x:c r="E10" s="48" t="str">
        <x:v>RATE-ADJUSTED VETERAN</x:v>
      </x:c>
      <x:c r="F10" s="48" t="n">
        <x:v>83.46129751599706</x:v>
      </x:c>
      <x:c r="G10" s="48" t="n">
        <x:v>88.32709255665155</x:v>
      </x:c>
      <x:c r="H10" s="48" t="n">
        <x:v>93.45849055797584</x:v>
      </x:c>
      <x:c r="I10" s="48" t="n">
        <x:v>35.15</x:v>
      </x:c>
      <x:c r="J10" s="48" t="n">
        <x:v>82.6</x:v>
      </x:c>
      <x:c r="K10" t="n">
        <x:v>4</x:v>
      </x:c>
      <x:c r="L10" t="str">
        <x:v>Rating-distribution simulation; not weekly fantasy-point projection.</x:v>
      </x:c>
    </x:row>
    <x:row r="11">
      <x:c r="A11" t="str">
        <x:v>QB</x:v>
      </x:c>
      <x:c r="B11" t="str">
        <x:v>Patrick Mahomes II</x:v>
      </x:c>
      <x:c r="C11" s="48" t="n">
        <x:v>87.00630420406199</x:v>
      </x:c>
      <x:c r="D11" s="48" t="str">
        <x:v>A</x:v>
      </x:c>
      <x:c r="E11" s="48" t="str">
        <x:v>RATE-ADJUSTED VETERAN</x:v>
      </x:c>
      <x:c r="F11" s="48" t="n">
        <x:v>81.86570297484766</x:v>
      </x:c>
      <x:c r="G11" s="48" t="n">
        <x:v>86.90296689517353</x:v>
      </x:c>
      <x:c r="H11" s="48" t="n">
        <x:v>92.06459094222471</x:v>
      </x:c>
      <x:c r="I11" s="48" t="n">
        <x:v>22.25</x:v>
      </x:c>
      <x:c r="J11" s="48" t="n">
        <x:v>71.55</x:v>
      </x:c>
      <x:c r="K11" t="n">
        <x:v>4</x:v>
      </x:c>
      <x:c r="L11" t="str">
        <x:v>Rating-distribution simulation; not weekly fantasy-point projection.</x:v>
      </x:c>
    </x:row>
    <x:row r="12">
      <x:c r="A12" t="str">
        <x:v>QB</x:v>
      </x:c>
      <x:c r="B12" t="str">
        <x:v>Jayden Daniels</x:v>
      </x:c>
      <x:c r="C12" s="48" t="n">
        <x:v>86.70031647962188</x:v>
      </x:c>
      <x:c r="D12" s="48" t="str">
        <x:v>B</x:v>
      </x:c>
      <x:c r="E12" s="48" t="str">
        <x:v>RATE-ADJUSTED VETERAN</x:v>
      </x:c>
      <x:c r="F12" s="48" t="n">
        <x:v>79.36813289664752</x:v>
      </x:c>
      <x:c r="G12" s="48" t="n">
        <x:v>86.7335077430676</x:v>
      </x:c>
      <x:c r="H12" s="48" t="n">
        <x:v>94.73133491013114</x:v>
      </x:c>
      <x:c r="I12" s="48" t="n">
        <x:v>30.15</x:v>
      </x:c>
      <x:c r="J12" s="48" t="n">
        <x:v>62.75</x:v>
      </x:c>
      <x:c r="K12" t="n">
        <x:v>6</x:v>
      </x:c>
      <x:c r="L12" t="str">
        <x:v>Rating-distribution simulation; not weekly fantasy-point projection.</x:v>
      </x:c>
    </x:row>
    <x:row r="13">
      <x:c r="A13" t="str">
        <x:v>QB</x:v>
      </x:c>
      <x:c r="B13" t="str">
        <x:v>Joe Burrow</x:v>
      </x:c>
      <x:c r="C13" s="48" t="n">
        <x:v>85.59126599193758</x:v>
      </x:c>
      <x:c r="D13" s="48" t="str">
        <x:v>B</x:v>
      </x:c>
      <x:c r="E13" s="48" t="str">
        <x:v>RATE-ADJUSTED VETERAN</x:v>
      </x:c>
      <x:c r="F13" s="48" t="n">
        <x:v>77.84755574793037</x:v>
      </x:c>
      <x:c r="G13" s="48" t="n">
        <x:v>85.7220311210696</x:v>
      </x:c>
      <x:c r="H13" s="48" t="n">
        <x:v>93.31347691564034</x:v>
      </x:c>
      <x:c r="I13" s="48" t="n">
        <x:v>23.8</x:v>
      </x:c>
      <x:c r="J13" s="48" t="n">
        <x:v>57.25</x:v>
      </x:c>
      <x:c r="K13" t="n">
        <x:v>6</x:v>
      </x:c>
      <x:c r="L13" t="str">
        <x:v>Rating-distribution simulation; not weekly fantasy-point projection.</x:v>
      </x:c>
    </x:row>
    <x:row r="14">
      <x:c r="A14" t="str">
        <x:v>QB</x:v>
      </x:c>
      <x:c r="B14" t="str">
        <x:v>Matthew Stafford</x:v>
      </x:c>
      <x:c r="C14" s="48" t="n">
        <x:v>85.41970528201219</x:v>
      </x:c>
      <x:c r="D14" s="48" t="str">
        <x:v>A</x:v>
      </x:c>
      <x:c r="E14" s="48" t="str">
        <x:v>RATE-ADJUSTED VETERAN</x:v>
      </x:c>
      <x:c r="F14" s="48" t="n">
        <x:v>80.39444528551203</x:v>
      </x:c>
      <x:c r="G14" s="48" t="n">
        <x:v>85.3412410135507</x:v>
      </x:c>
      <x:c r="H14" s="48" t="n">
        <x:v>90.64423316333163</x:v>
      </x:c>
      <x:c r="I14" s="48" t="n">
        <x:v>12.4</x:v>
      </x:c>
      <x:c r="J14" s="48" t="n">
        <x:v>56.7</x:v>
      </x:c>
      <x:c r="K14" t="n">
        <x:v>4</x:v>
      </x:c>
      <x:c r="L14" t="str">
        <x:v>Rating-distribution simulation; not weekly fantasy-point projection.</x:v>
      </x:c>
    </x:row>
    <x:row r="15">
      <x:c r="A15" t="str">
        <x:v>QB</x:v>
      </x:c>
      <x:c r="B15" t="str">
        <x:v>Bo Nix</x:v>
      </x:c>
      <x:c r="C15" s="48" t="n">
        <x:v>85.24848366137027</x:v>
      </x:c>
      <x:c r="D15" s="48" t="str">
        <x:v>A</x:v>
      </x:c>
      <x:c r="E15" s="48" t="str">
        <x:v>RATE-ADJUSTED VETERAN</x:v>
      </x:c>
      <x:c r="F15" s="48" t="n">
        <x:v>79.95021884176474</x:v>
      </x:c>
      <x:c r="G15" s="48" t="n">
        <x:v>85.24106060434961</x:v>
      </x:c>
      <x:c r="H15" s="48" t="n">
        <x:v>90.42711157481877</x:v>
      </x:c>
      <x:c r="I15" s="48" t="n">
        <x:v>11.9</x:v>
      </x:c>
      <x:c r="J15" s="48" t="n">
        <x:v>55.4</x:v>
      </x:c>
      <x:c r="K15" t="n">
        <x:v>4</x:v>
      </x:c>
      <x:c r="L15" t="str">
        <x:v>Rating-distribution simulation; not weekly fantasy-point projection.</x:v>
      </x:c>
    </x:row>
    <x:row r="16">
      <x:c r="A16" t="str">
        <x:v>QB</x:v>
      </x:c>
      <x:c r="B16" t="str">
        <x:v>Dak Prescott</x:v>
      </x:c>
      <x:c r="C16" s="48" t="n">
        <x:v>85.11563022939153</x:v>
      </x:c>
      <x:c r="D16" s="48" t="str">
        <x:v>A</x:v>
      </x:c>
      <x:c r="E16" s="48" t="str">
        <x:v>RATE-ADJUSTED VETERAN</x:v>
      </x:c>
      <x:c r="F16" s="48" t="n">
        <x:v>79.60502187782714</x:v>
      </x:c>
      <x:c r="G16" s="48" t="n">
        <x:v>85.1060617303251</x:v>
      </x:c>
      <x:c r="H16" s="48" t="n">
        <x:v>90.70689561476826</x:v>
      </x:c>
      <x:c r="I16" s="48" t="n">
        <x:v>13.15</x:v>
      </x:c>
      <x:c r="J16" s="48" t="n">
        <x:v>55</x:v>
      </x:c>
      <x:c r="K16" t="n">
        <x:v>4</x:v>
      </x:c>
      <x:c r="L16" t="str">
        <x:v>Rating-distribution simulation; not weekly fantasy-point projection.</x:v>
      </x:c>
    </x:row>
    <x:row r="17">
      <x:c r="A17" t="str">
        <x:v>QB</x:v>
      </x:c>
      <x:c r="B17" t="str">
        <x:v>Trevor Lawrence</x:v>
      </x:c>
      <x:c r="C17" s="48" t="n">
        <x:v>84.69210205685258</x:v>
      </x:c>
      <x:c r="D17" s="48" t="str">
        <x:v>A</x:v>
      </x:c>
      <x:c r="E17" s="48" t="str">
        <x:v>RATE-ADJUSTED VETERAN</x:v>
      </x:c>
      <x:c r="F17" s="48" t="n">
        <x:v>79.90393274538147</x:v>
      </x:c>
      <x:c r="G17" s="48" t="n">
        <x:v>84.8485524399371</x:v>
      </x:c>
      <x:c r="H17" s="48" t="n">
        <x:v>90.07686489908643</x:v>
      </x:c>
      <x:c r="I17" s="48" t="n">
        <x:v>10.35</x:v>
      </x:c>
      <x:c r="J17" s="48" t="n">
        <x:v>51.4</x:v>
      </x:c>
      <x:c r="K17" t="n">
        <x:v>4</x:v>
      </x:c>
      <x:c r="L17" t="str">
        <x:v>Rating-distribution simulation; not weekly fantasy-point projection.</x:v>
      </x:c>
    </x:row>
    <x:row r="18">
      <x:c r="A18" t="str">
        <x:v>QB</x:v>
      </x:c>
      <x:c r="B18" t="str">
        <x:v>Brock Purdy</x:v>
      </x:c>
      <x:c r="C18" s="48" t="n">
        <x:v>83.83859812261841</x:v>
      </x:c>
      <x:c r="D18" s="48" t="str">
        <x:v>B</x:v>
      </x:c>
      <x:c r="E18" s="48" t="str">
        <x:v>RATE-ADJUSTED VETERAN</x:v>
      </x:c>
      <x:c r="F18" s="48" t="n">
        <x:v>76.42281526721258</x:v>
      </x:c>
      <x:c r="G18" s="48" t="n">
        <x:v>83.80800000582163</x:v>
      </x:c>
      <x:c r="H18" s="48" t="n">
        <x:v>91.43328278200678</x:v>
      </x:c>
      <x:c r="I18" s="48" t="n">
        <x:v>15.5</x:v>
      </x:c>
      <x:c r="J18" s="48" t="n">
        <x:v>43.8</x:v>
      </x:c>
      <x:c r="K18" t="n">
        <x:v>6</x:v>
      </x:c>
      <x:c r="L18" t="str">
        <x:v>Rating-distribution simulation; not weekly fantasy-point projection.</x:v>
      </x:c>
    </x:row>
    <x:row r="19">
      <x:c r="A19" t="str">
        <x:v>QB</x:v>
      </x:c>
      <x:c r="B19" t="str">
        <x:v>Jaxson Dart</x:v>
      </x:c>
      <x:c r="C19" s="48" t="n">
        <x:v>83.0606951237557</x:v>
      </x:c>
      <x:c r="D19" s="48" t="str">
        <x:v>A</x:v>
      </x:c>
      <x:c r="E19" s="48" t="str">
        <x:v>RATE-ADJUSTED VETERAN</x:v>
      </x:c>
      <x:c r="F19" s="48" t="n">
        <x:v>77.70825251091807</x:v>
      </x:c>
      <x:c r="G19" s="48" t="n">
        <x:v>83.2894315470007</x:v>
      </x:c>
      <x:c r="H19" s="48" t="n">
        <x:v>88.45725878250076</x:v>
      </x:c>
      <x:c r="I19" s="48" t="n">
        <x:v>4.05</x:v>
      </x:c>
      <x:c r="J19" s="48" t="n">
        <x:v>35.9</x:v>
      </x:c>
      <x:c r="K19" t="n">
        <x:v>4</x:v>
      </x:c>
      <x:c r="L19" t="str">
        <x:v>Rating-distribution simulation; not weekly fantasy-point projection.</x:v>
      </x:c>
    </x:row>
    <x:row r="20">
      <x:c r="A20" t="str">
        <x:v>QB</x:v>
      </x:c>
      <x:c r="B20" t="str">
        <x:v>Jared Goff</x:v>
      </x:c>
      <x:c r="C20" s="48" t="n">
        <x:v>82.64253383916756</x:v>
      </x:c>
      <x:c r="D20" s="48" t="str">
        <x:v>A</x:v>
      </x:c>
      <x:c r="E20" s="48" t="str">
        <x:v>RATE-ADJUSTED VETERAN</x:v>
      </x:c>
      <x:c r="F20" s="48" t="n">
        <x:v>77.19681223469797</x:v>
      </x:c>
      <x:c r="G20" s="48" t="n">
        <x:v>82.57896987256467</x:v>
      </x:c>
      <x:c r="H20" s="48" t="n">
        <x:v>87.95455852747888</x:v>
      </x:c>
      <x:c r="I20" s="48" t="n">
        <x:v>3.45</x:v>
      </x:c>
      <x:c r="J20" s="48" t="n">
        <x:v>31.25</x:v>
      </x:c>
      <x:c r="K20" t="n">
        <x:v>4</x:v>
      </x:c>
      <x:c r="L20" t="str">
        <x:v>Rating-distribution simulation; not weekly fantasy-point projection.</x:v>
      </x:c>
    </x:row>
    <x:row r="21">
      <x:c r="A21" t="str">
        <x:v>QB</x:v>
      </x:c>
      <x:c r="B21" t="str">
        <x:v>Kyler Murray</x:v>
      </x:c>
      <x:c r="C21" s="48" t="n">
        <x:v>80.71009771989318</x:v>
      </x:c>
      <x:c r="D21" s="48" t="str">
        <x:v>B</x:v>
      </x:c>
      <x:c r="E21" s="48" t="str">
        <x:v>RATE-ADJUSTED VETERAN</x:v>
      </x:c>
      <x:c r="F21" s="48" t="n">
        <x:v>72.83431649625298</x:v>
      </x:c>
      <x:c r="G21" s="48" t="n">
        <x:v>80.8724439656145</x:v>
      </x:c>
      <x:c r="H21" s="48" t="n">
        <x:v>88.57847648297881</x:v>
      </x:c>
      <x:c r="I21" s="48" t="n">
        <x:v>6.35</x:v>
      </x:c>
      <x:c r="J21" s="48" t="n">
        <x:v>24.95</x:v>
      </x:c>
      <x:c r="K21" t="n">
        <x:v>6</x:v>
      </x:c>
      <x:c r="L21" t="str">
        <x:v>Rating-distribution simulation; not weekly fantasy-point projection.</x:v>
      </x:c>
    </x:row>
    <x:row r="22">
      <x:c r="A22" t="str">
        <x:v>QB</x:v>
      </x:c>
      <x:c r="B22" t="str">
        <x:v>Jordan Love</x:v>
      </x:c>
      <x:c r="C22" s="48" t="n">
        <x:v>80.04076246709151</x:v>
      </x:c>
      <x:c r="D22" s="48" t="str">
        <x:v>A</x:v>
      </x:c>
      <x:c r="E22" s="48" t="str">
        <x:v>RATE-ADJUSTED VETERAN</x:v>
      </x:c>
      <x:c r="F22" s="48" t="n">
        <x:v>74.8800473927291</x:v>
      </x:c>
      <x:c r="G22" s="48" t="n">
        <x:v>79.86086381609879</x:v>
      </x:c>
      <x:c r="H22" s="48" t="n">
        <x:v>85.09943750116652</x:v>
      </x:c>
      <x:c r="I22" s="48" t="n">
        <x:v>0.8</x:v>
      </x:c>
      <x:c r="J22" s="48" t="n">
        <x:v>11.9</x:v>
      </x:c>
      <x:c r="K22" t="n">
        <x:v>4</x:v>
      </x:c>
      <x:c r="L22" t="str">
        <x:v>Rating-distribution simulation; not weekly fantasy-point projection.</x:v>
      </x:c>
    </x:row>
    <x:row r="23">
      <x:c r="A23" t="str">
        <x:v>QB</x:v>
      </x:c>
      <x:c r="B23" t="str">
        <x:v>Baker Mayfield</x:v>
      </x:c>
      <x:c r="C23" s="48" t="n">
        <x:v>79.82600097102224</x:v>
      </x:c>
      <x:c r="D23" s="48" t="str">
        <x:v>A</x:v>
      </x:c>
      <x:c r="E23" s="48" t="str">
        <x:v>RATE-ADJUSTED VETERAN</x:v>
      </x:c>
      <x:c r="F23" s="48" t="n">
        <x:v>74.86524615951832</x:v>
      </x:c>
      <x:c r="G23" s="48" t="n">
        <x:v>79.90937194652712</x:v>
      </x:c>
      <x:c r="H23" s="48" t="n">
        <x:v>85.06084475886485</x:v>
      </x:c>
      <x:c r="I23" s="48" t="n">
        <x:v>0.7</x:v>
      </x:c>
      <x:c r="J23" s="48" t="n">
        <x:v>11.55</x:v>
      </x:c>
      <x:c r="K23" t="n">
        <x:v>4</x:v>
      </x:c>
      <x:c r="L23" t="str">
        <x:v>Rating-distribution simulation; not weekly fantasy-point projection.</x:v>
      </x:c>
    </x:row>
    <x:row r="24">
      <x:c r="A24" t="str">
        <x:v>QB</x:v>
      </x:c>
      <x:c r="B24" t="str">
        <x:v>Tyler Shough</x:v>
      </x:c>
      <x:c r="C24" s="48" t="n">
        <x:v>77.36561414654547</x:v>
      </x:c>
      <x:c r="D24" s="48" t="str">
        <x:v>B</x:v>
      </x:c>
      <x:c r="E24" s="48" t="str">
        <x:v>RATE-ADJUSTED VETERAN</x:v>
      </x:c>
      <x:c r="F24" s="48" t="n">
        <x:v>69.49067367047759</x:v>
      </x:c>
      <x:c r="G24" s="48" t="n">
        <x:v>77.14805758331634</x:v>
      </x:c>
      <x:c r="H24" s="48" t="n">
        <x:v>85.17039510379162</x:v>
      </x:c>
      <x:c r="I24" s="48" t="n">
        <x:v>2.15</x:v>
      </x:c>
      <x:c r="J24" s="48" t="n">
        <x:v>11.25</x:v>
      </x:c>
      <x:c r="K24" t="n">
        <x:v>6</x:v>
      </x:c>
      <x:c r="L24" t="str">
        <x:v>Rating-distribution simulation; not weekly fantasy-point projection.</x:v>
      </x:c>
    </x:row>
    <x:row r="25">
      <x:c r="A25" t="str">
        <x:v>QB</x:v>
      </x:c>
      <x:c r="B25" t="str">
        <x:v>C.J. Stroud</x:v>
      </x:c>
      <x:c r="C25" s="48" t="n">
        <x:v>75.76205455491312</x:v>
      </x:c>
      <x:c r="D25" s="48" t="str">
        <x:v>A</x:v>
      </x:c>
      <x:c r="E25" s="48" t="str">
        <x:v>RATE-ADJUSTED VETERAN</x:v>
      </x:c>
      <x:c r="F25" s="48" t="n">
        <x:v>70.64871794985277</x:v>
      </x:c>
      <x:c r="G25" s="48" t="n">
        <x:v>75.82491415186541</x:v>
      </x:c>
      <x:c r="H25" s="48" t="n">
        <x:v>80.97995728244058</x:v>
      </x:c>
      <x:c r="I25" s="48" t="n">
        <x:v>0</x:v>
      </x:c>
      <x:c r="J25" s="48" t="n">
        <x:v>1.35</x:v>
      </x:c>
      <x:c r="K25" t="n">
        <x:v>4</x:v>
      </x:c>
      <x:c r="L25" t="str">
        <x:v>Rating-distribution simulation; not weekly fantasy-point projection.</x:v>
      </x:c>
    </x:row>
    <x:row r="26">
      <x:c r="A26" t="str">
        <x:v>QB</x:v>
      </x:c>
      <x:c r="B26" t="str">
        <x:v>Sam Darnold</x:v>
      </x:c>
      <x:c r="C26" s="48" t="n">
        <x:v>75.55416867822036</x:v>
      </x:c>
      <x:c r="D26" s="48" t="str">
        <x:v>A</x:v>
      </x:c>
      <x:c r="E26" s="48" t="str">
        <x:v>RATE-ADJUSTED VETERAN</x:v>
      </x:c>
      <x:c r="F26" s="48" t="n">
        <x:v>70.16042814626049</x:v>
      </x:c>
      <x:c r="G26" s="48" t="n">
        <x:v>75.54690986963277</x:v>
      </x:c>
      <x:c r="H26" s="48" t="n">
        <x:v>80.77178890254328</x:v>
      </x:c>
      <x:c r="I26" s="48" t="n">
        <x:v>0.05</x:v>
      </x:c>
      <x:c r="J26" s="48" t="n">
        <x:v>1.05</x:v>
      </x:c>
      <x:c r="K26" t="n">
        <x:v>4</x:v>
      </x:c>
      <x:c r="L26" t="str">
        <x:v>Rating-distribution simulation; not weekly fantasy-point projection.</x:v>
      </x:c>
    </x:row>
    <x:row r="27">
      <x:c r="A27" t="str">
        <x:v>QB</x:v>
      </x:c>
      <x:c r="B27" t="str">
        <x:v>Daniel Jones</x:v>
      </x:c>
      <x:c r="C27" s="48" t="n">
        <x:v>74.79037310491178</x:v>
      </x:c>
      <x:c r="D27" s="48" t="str">
        <x:v>A</x:v>
      </x:c>
      <x:c r="E27" s="48" t="str">
        <x:v>RATE-ADJUSTED VETERAN</x:v>
      </x:c>
      <x:c r="F27" s="48" t="n">
        <x:v>69.47769065496949</x:v>
      </x:c>
      <x:c r="G27" s="48" t="n">
        <x:v>74.67555541367206</x:v>
      </x:c>
      <x:c r="H27" s="48" t="n">
        <x:v>79.97619002962968</x:v>
      </x:c>
      <x:c r="I27" s="48" t="n">
        <x:v>0</x:v>
      </x:c>
      <x:c r="J27" s="48" t="n">
        <x:v>1</x:v>
      </x:c>
      <x:c r="K27" t="n">
        <x:v>4</x:v>
      </x:c>
      <x:c r="L27" t="str">
        <x:v>Rating-distribution simulation; not weekly fantasy-point projection.</x:v>
      </x:c>
    </x:row>
    <x:row r="28">
      <x:c r="A28" t="str">
        <x:v>QB</x:v>
      </x:c>
      <x:c r="B28" t="str">
        <x:v>Malik Willis</x:v>
      </x:c>
      <x:c r="C28" s="48" t="n">
        <x:v>74.24027225755167</x:v>
      </x:c>
      <x:c r="D28" s="48" t="str">
        <x:v>B</x:v>
      </x:c>
      <x:c r="E28" s="48" t="str">
        <x:v>RATE-ADJUSTED VETERAN</x:v>
      </x:c>
      <x:c r="F28" s="48" t="n">
        <x:v>66.43042803868036</x:v>
      </x:c>
      <x:c r="G28" s="48" t="n">
        <x:v>74.17087861755877</x:v>
      </x:c>
      <x:c r="H28" s="48" t="n">
        <x:v>81.72991737821471</x:v>
      </x:c>
      <x:c r="I28" s="48" t="n">
        <x:v>0.45</x:v>
      </x:c>
      <x:c r="J28" s="48" t="n">
        <x:v>4.05</x:v>
      </x:c>
      <x:c r="K28" t="n">
        <x:v>6</x:v>
      </x:c>
      <x:c r="L28" t="str">
        <x:v>Rating-distribution simulation; not weekly fantasy-point projection.</x:v>
      </x:c>
    </x:row>
    <x:row r="29">
      <x:c r="A29" t="str">
        <x:v>QB</x:v>
      </x:c>
      <x:c r="B29" t="str">
        <x:v>Bryce Young</x:v>
      </x:c>
      <x:c r="C29" s="48" t="n">
        <x:v>72.79764579957634</x:v>
      </x:c>
      <x:c r="D29" s="48" t="str">
        <x:v>A</x:v>
      </x:c>
      <x:c r="E29" s="48" t="str">
        <x:v>RATE-ADJUSTED VETERAN</x:v>
      </x:c>
      <x:c r="F29" s="48" t="n">
        <x:v>67.52955994883726</x:v>
      </x:c>
      <x:c r="G29" s="48" t="n">
        <x:v>72.8055428318211</x:v>
      </x:c>
      <x:c r="H29" s="48" t="n">
        <x:v>77.75244784360638</x:v>
      </x:c>
      <x:c r="I29" s="48" t="n">
        <x:v>0</x:v>
      </x:c>
      <x:c r="J29" s="48" t="n">
        <x:v>0.15</x:v>
      </x:c>
      <x:c r="K29" t="n">
        <x:v>4</x:v>
      </x:c>
      <x:c r="L29" t="str">
        <x:v>Rating-distribution simulation; not weekly fantasy-point projection.</x:v>
      </x:c>
    </x:row>
    <x:row r="30">
      <x:c r="A30" t="str">
        <x:v>QB</x:v>
      </x:c>
      <x:c r="B30" t="str">
        <x:v>Cam Ward</x:v>
      </x:c>
      <x:c r="C30" s="48" t="n">
        <x:v>72.66457683651541</x:v>
      </x:c>
      <x:c r="D30" s="48" t="str">
        <x:v>A</x:v>
      </x:c>
      <x:c r="E30" s="48" t="str">
        <x:v>RATE-ADJUSTED VETERAN</x:v>
      </x:c>
      <x:c r="F30" s="48" t="n">
        <x:v>67.63877886366319</x:v>
      </x:c>
      <x:c r="G30" s="48" t="n">
        <x:v>72.70973753321175</x:v>
      </x:c>
      <x:c r="H30" s="48" t="n">
        <x:v>77.94604374692929</x:v>
      </x:c>
      <x:c r="I30" s="48" t="n">
        <x:v>0</x:v>
      </x:c>
      <x:c r="J30" s="48" t="n">
        <x:v>0.15</x:v>
      </x:c>
      <x:c r="K30" t="n">
        <x:v>4</x:v>
      </x:c>
      <x:c r="L30" t="str">
        <x:v>Rating-distribution simulation; not weekly fantasy-point projection.</x:v>
      </x:c>
    </x:row>
    <x:row r="31">
      <x:c r="A31" t="str">
        <x:v>QB</x:v>
      </x:c>
      <x:c r="B31" t="str">
        <x:v>Jacoby Brissett</x:v>
      </x:c>
      <x:c r="C31" s="48" t="n">
        <x:v>71.3334204764594</x:v>
      </x:c>
      <x:c r="D31" s="48" t="str">
        <x:v>A</x:v>
      </x:c>
      <x:c r="E31" s="48" t="str">
        <x:v>RATE-ADJUSTED VETERAN</x:v>
      </x:c>
      <x:c r="F31" s="48" t="n">
        <x:v>65.82118438698754</x:v>
      </x:c>
      <x:c r="G31" s="48" t="n">
        <x:v>71.34152160689291</x:v>
      </x:c>
      <x:c r="H31" s="48" t="n">
        <x:v>76.4180360527179</x:v>
      </x:c>
      <x:c r="I31" s="48" t="n">
        <x:v>0</x:v>
      </x:c>
      <x:c r="J31" s="48" t="n">
        <x:v>0</x:v>
      </x:c>
      <x:c r="K31" t="n">
        <x:v>4</x:v>
      </x:c>
      <x:c r="L31" t="str">
        <x:v>Rating-distribution simulation; not weekly fantasy-point projection.</x:v>
      </x:c>
    </x:row>
    <x:row r="32">
      <x:c r="A32" t="str">
        <x:v>QB</x:v>
      </x:c>
      <x:c r="B32" t="str">
        <x:v>Geno Smith</x:v>
      </x:c>
      <x:c r="C32" s="48" t="n">
        <x:v>71.09857323143055</x:v>
      </x:c>
      <x:c r="D32" s="48" t="str">
        <x:v>A</x:v>
      </x:c>
      <x:c r="E32" s="48" t="str">
        <x:v>RATE-ADJUSTED VETERAN</x:v>
      </x:c>
      <x:c r="F32" s="48" t="n">
        <x:v>66.04371138261058</x:v>
      </x:c>
      <x:c r="G32" s="48" t="n">
        <x:v>71.0175907766809</x:v>
      </x:c>
      <x:c r="H32" s="48" t="n">
        <x:v>76.25811810991823</x:v>
      </x:c>
      <x:c r="I32" s="48" t="n">
        <x:v>0</x:v>
      </x:c>
      <x:c r="J32" s="48" t="n">
        <x:v>0</x:v>
      </x:c>
      <x:c r="K32" t="n">
        <x:v>4</x:v>
      </x:c>
      <x:c r="L32" t="str">
        <x:v>Rating-distribution simulation; not weekly fantasy-point projection.</x:v>
      </x:c>
    </x:row>
    <x:row r="33">
      <x:c r="A33" t="str">
        <x:v>QB</x:v>
      </x:c>
      <x:c r="B33" t="str">
        <x:v>Aaron Rodgers</x:v>
      </x:c>
      <x:c r="C33" s="48" t="n">
        <x:v>70.88484375797985</x:v>
      </x:c>
      <x:c r="D33" s="48" t="str">
        <x:v>A</x:v>
      </x:c>
      <x:c r="E33" s="48" t="str">
        <x:v>RATE-ADJUSTED VETERAN</x:v>
      </x:c>
      <x:c r="F33" s="48" t="n">
        <x:v>65.87470844126761</x:v>
      </x:c>
      <x:c r="G33" s="48" t="n">
        <x:v>70.84426420984511</x:v>
      </x:c>
      <x:c r="H33" s="48" t="n">
        <x:v>76.14516710139746</x:v>
      </x:c>
      <x:c r="I33" s="48" t="n">
        <x:v>0</x:v>
      </x:c>
      <x:c r="J33" s="48" t="n">
        <x:v>0</x:v>
      </x:c>
      <x:c r="K33" t="n">
        <x:v>4</x:v>
      </x:c>
      <x:c r="L33" t="str">
        <x:v>Rating-distribution simulation; not weekly fantasy-point projection.</x:v>
      </x:c>
    </x:row>
    <x:row r="34">
      <x:c r="A34" t="str">
        <x:v>QB</x:v>
      </x:c>
      <x:c r="B34" t="str">
        <x:v>Tua Tagovailoa</x:v>
      </x:c>
      <x:c r="C34" s="48" t="n">
        <x:v>67.85117431898288</x:v>
      </x:c>
      <x:c r="D34" s="48" t="str">
        <x:v>A</x:v>
      </x:c>
      <x:c r="E34" s="48" t="str">
        <x:v>RATE-ADJUSTED VETERAN</x:v>
      </x:c>
      <x:c r="F34" s="48" t="n">
        <x:v>62.794146175513546</x:v>
      </x:c>
      <x:c r="G34" s="48" t="n">
        <x:v>67.7068972419375</x:v>
      </x:c>
      <x:c r="H34" s="48" t="n">
        <x:v>72.74995930125772</x:v>
      </x:c>
      <x:c r="I34" s="48" t="n">
        <x:v>0</x:v>
      </x:c>
      <x:c r="J34" s="48" t="n">
        <x:v>0</x:v>
      </x:c>
      <x:c r="K34" t="n">
        <x:v>4</x:v>
      </x:c>
      <x:c r="L34" t="str">
        <x:v>Rating-distribution simulation; not weekly fantasy-point projection.</x:v>
      </x:c>
    </x:row>
    <x:row r="35">
      <x:c r="A35" t="str">
        <x:v>QB</x:v>
      </x:c>
      <x:c r="B35" t="str">
        <x:v>Kirk Cousins</x:v>
      </x:c>
      <x:c r="C35" s="48" t="n">
        <x:v>65.79292388521264</x:v>
      </x:c>
      <x:c r="D35" s="48" t="str">
        <x:v>B</x:v>
      </x:c>
      <x:c r="E35" s="48" t="str">
        <x:v>RATE-ADJUSTED VETERAN</x:v>
      </x:c>
      <x:c r="F35" s="48" t="n">
        <x:v>58.13855849750775</x:v>
      </x:c>
      <x:c r="G35" s="48" t="n">
        <x:v>65.68261391461907</x:v>
      </x:c>
      <x:c r="H35" s="48" t="n">
        <x:v>73.09489354069458</x:v>
      </x:c>
      <x:c r="I35" s="48" t="n">
        <x:v>0</x:v>
      </x:c>
      <x:c r="J35" s="48" t="n">
        <x:v>0.05</x:v>
      </x:c>
      <x:c r="K35" t="n">
        <x:v>6</x:v>
      </x:c>
      <x:c r="L35" t="str">
        <x:v>Rating-distribution simulation; not weekly fantasy-point projection.</x:v>
      </x:c>
    </x:row>
    <x:row r="36">
      <x:c r="A36" t="str">
        <x:v>QB</x:v>
      </x:c>
      <x:c r="B36" t="str">
        <x:v>Deshaun Watson</x:v>
      </x:c>
      <x:c r="C36" s="48" t="n">
        <x:v>60.25</x:v>
      </x:c>
      <x:c r="D36" s="48" t="str">
        <x:v>C</x:v>
      </x:c>
      <x:c r="E36" s="48" t="str">
        <x:v>HISTORY FALLBACK</x:v>
      </x:c>
      <x:c r="F36" s="48" t="n">
        <x:v>49.58170348422486</x:v>
      </x:c>
      <x:c r="G36" s="48" t="n">
        <x:v>60.23105760228089</x:v>
      </x:c>
      <x:c r="H36" s="48" t="n">
        <x:v>71.69472528710409</x:v>
      </x:c>
      <x:c r="I36" s="48" t="n">
        <x:v>0</x:v>
      </x:c>
      <x:c r="J36" s="48" t="n">
        <x:v>0.25</x:v>
      </x:c>
      <x:c r="K36" t="n">
        <x:v>8.5</x:v>
      </x:c>
      <x:c r="L36" t="str">
        <x:v>Rating-distribution simulation; not weekly fantasy-point projection.</x:v>
      </x:c>
    </x:row>
    <x:row r="37">
      <x:c r="A37" t="str">
        <x:v>RB</x:v>
      </x:c>
      <x:c r="B37" t="str">
        <x:v>Bijan Robinson</x:v>
      </x:c>
      <x:c r="C37" s="48" t="n">
        <x:v>97.36734220227106</x:v>
      </x:c>
      <x:c r="D37" s="48" t="str">
        <x:v>A</x:v>
      </x:c>
      <x:c r="E37" s="48" t="str">
        <x:v>RATE-ADJUSTED VETERAN</x:v>
      </x:c>
      <x:c r="F37" s="48" t="n">
        <x:v>92.11048204769891</x:v>
      </x:c>
      <x:c r="G37" s="48" t="n">
        <x:v>97.36043895776037</x:v>
      </x:c>
      <x:c r="H37" s="48" t="n">
        <x:v>100</x:v>
      </x:c>
      <x:c r="I37" s="48" t="n">
        <x:v>96.55</x:v>
      </x:c>
      <x:c r="J37" s="48" t="n">
        <x:v>100</x:v>
      </x:c>
      <x:c r="K37" t="n">
        <x:v>4</x:v>
      </x:c>
      <x:c r="L37" t="str">
        <x:v>Rating-distribution simulation; not weekly fantasy-point projection.</x:v>
      </x:c>
    </x:row>
    <x:row r="38">
      <x:c r="A38" t="str">
        <x:v>RB</x:v>
      </x:c>
      <x:c r="B38" t="str">
        <x:v>Jahmyr Gibbs</x:v>
      </x:c>
      <x:c r="C38" s="48" t="n">
        <x:v>96.33225593201456</x:v>
      </x:c>
      <x:c r="D38" s="48" t="str">
        <x:v>A</x:v>
      </x:c>
      <x:c r="E38" s="48" t="str">
        <x:v>RATE-ADJUSTED VETERAN</x:v>
      </x:c>
      <x:c r="F38" s="48" t="n">
        <x:v>91.45893666214232</x:v>
      </x:c>
      <x:c r="G38" s="48" t="n">
        <x:v>96.4200106635817</x:v>
      </x:c>
      <x:c r="H38" s="48" t="n">
        <x:v>100</x:v>
      </x:c>
      <x:c r="I38" s="48" t="n">
        <x:v>94.3</x:v>
      </x:c>
      <x:c r="J38" s="48" t="n">
        <x:v>100</x:v>
      </x:c>
      <x:c r="K38" t="n">
        <x:v>4</x:v>
      </x:c>
      <x:c r="L38" t="str">
        <x:v>Rating-distribution simulation; not weekly fantasy-point projection.</x:v>
      </x:c>
    </x:row>
    <x:row r="39">
      <x:c r="A39" t="str">
        <x:v>RB</x:v>
      </x:c>
      <x:c r="B39" t="str">
        <x:v>Christian McCaffrey</x:v>
      </x:c>
      <x:c r="C39" s="48" t="n">
        <x:v>94.24472639320388</x:v>
      </x:c>
      <x:c r="D39" s="48" t="str">
        <x:v>A</x:v>
      </x:c>
      <x:c r="E39" s="48" t="str">
        <x:v>RATE-ADJUSTED VETERAN</x:v>
      </x:c>
      <x:c r="F39" s="48" t="n">
        <x:v>89.15003069338114</x:v>
      </x:c>
      <x:c r="G39" s="48" t="n">
        <x:v>94.29756799995056</x:v>
      </x:c>
      <x:c r="H39" s="48" t="n">
        <x:v>99.41803625022523</x:v>
      </x:c>
      <x:c r="I39" s="48" t="n">
        <x:v>86.05</x:v>
      </x:c>
      <x:c r="J39" s="48" t="n">
        <x:v>100</x:v>
      </x:c>
      <x:c r="K39" t="n">
        <x:v>4</x:v>
      </x:c>
      <x:c r="L39" t="str">
        <x:v>Rating-distribution simulation; not weekly fantasy-point projection.</x:v>
      </x:c>
    </x:row>
    <x:row r="40">
      <x:c r="A40" t="str">
        <x:v>RB</x:v>
      </x:c>
      <x:c r="B40" t="str">
        <x:v>Jonathan Taylor</x:v>
      </x:c>
      <x:c r="C40" s="48" t="n">
        <x:v>92.14700218120157</x:v>
      </x:c>
      <x:c r="D40" s="48" t="str">
        <x:v>A</x:v>
      </x:c>
      <x:c r="E40" s="48" t="str">
        <x:v>RATE-ADJUSTED VETERAN</x:v>
      </x:c>
      <x:c r="F40" s="48" t="n">
        <x:v>87.21837861534271</x:v>
      </x:c>
      <x:c r="G40" s="48" t="n">
        <x:v>91.9971448696822</x:v>
      </x:c>
      <x:c r="H40" s="48" t="n">
        <x:v>97.21138867718484</x:v>
      </x:c>
      <x:c r="I40" s="48" t="n">
        <x:v>70.95</x:v>
      </x:c>
      <x:c r="J40" s="48" t="n">
        <x:v>100</x:v>
      </x:c>
      <x:c r="K40" t="n">
        <x:v>4</x:v>
      </x:c>
      <x:c r="L40" t="str">
        <x:v>Rating-distribution simulation; not weekly fantasy-point projection.</x:v>
      </x:c>
    </x:row>
    <x:row r="41">
      <x:c r="A41" t="str">
        <x:v>RB</x:v>
      </x:c>
      <x:c r="B41" t="str">
        <x:v>Jeremiyah Love</x:v>
      </x:c>
      <x:c r="C41" s="48" t="n">
        <x:v>90.86590000000001</x:v>
      </x:c>
      <x:c r="D41" s="48" t="str">
        <x:v>B</x:v>
      </x:c>
      <x:c r="E41" s="48" t="str">
        <x:v>ROOKIE ENGINE</x:v>
      </x:c>
      <x:c r="F41" s="48" t="n">
        <x:v>81.8856396878117</x:v>
      </x:c>
      <x:c r="G41" s="48" t="n">
        <x:v>90.83930025634379</x:v>
      </x:c>
      <x:c r="H41" s="48" t="n">
        <x:v>100</x:v>
      </x:c>
      <x:c r="I41" s="48" t="n">
        <x:v>54.65</x:v>
      </x:c>
      <x:c r="J41" s="48" t="n">
        <x:v>99.85</x:v>
      </x:c>
      <x:c r="K41" t="n">
        <x:v>7.5</x:v>
      </x:c>
      <x:c r="L41" t="str">
        <x:v>Rating-distribution simulation; not weekly fantasy-point projection.</x:v>
      </x:c>
    </x:row>
    <x:row r="42">
      <x:c r="A42" t="str">
        <x:v>RB</x:v>
      </x:c>
      <x:c r="B42" t="str">
        <x:v>Omarion Hampton</x:v>
      </x:c>
      <x:c r="C42" s="48" t="n">
        <x:v>88.64207068235326</x:v>
      </x:c>
      <x:c r="D42" s="48" t="str">
        <x:v>B</x:v>
      </x:c>
      <x:c r="E42" s="48" t="str">
        <x:v>RATE-ADJUSTED VETERAN</x:v>
      </x:c>
      <x:c r="F42" s="48" t="n">
        <x:v>80.86084814705214</x:v>
      </x:c>
      <x:c r="G42" s="48" t="n">
        <x:v>88.88160357762571</x:v>
      </x:c>
      <x:c r="H42" s="48" t="n">
        <x:v>96.35242043908033</x:v>
      </x:c>
      <x:c r="I42" s="48" t="n">
        <x:v>43.4</x:v>
      </x:c>
      <x:c r="J42" s="48" t="n">
        <x:v>99.8</x:v>
      </x:c>
      <x:c r="K42" t="n">
        <x:v>6</x:v>
      </x:c>
      <x:c r="L42" t="str">
        <x:v>Rating-distribution simulation; not weekly fantasy-point projection.</x:v>
      </x:c>
    </x:row>
    <x:row r="43">
      <x:c r="A43" t="str">
        <x:v>RB</x:v>
      </x:c>
      <x:c r="B43" t="str">
        <x:v>De'Von Achane</x:v>
      </x:c>
      <x:c r="C43" s="48" t="n">
        <x:v>87.94401204138569</x:v>
      </x:c>
      <x:c r="D43" s="48" t="str">
        <x:v>A</x:v>
      </x:c>
      <x:c r="E43" s="48" t="str">
        <x:v>RATE-ADJUSTED VETERAN</x:v>
      </x:c>
      <x:c r="F43" s="48" t="n">
        <x:v>82.94694401997978</x:v>
      </x:c>
      <x:c r="G43" s="48" t="n">
        <x:v>87.96749173872686</x:v>
      </x:c>
      <x:c r="H43" s="48" t="n">
        <x:v>93.21463837121453</x:v>
      </x:c>
      <x:c r="I43" s="48" t="n">
        <x:v>30.85</x:v>
      </x:c>
      <x:c r="J43" s="48" t="n">
        <x:v>100</x:v>
      </x:c>
      <x:c r="K43" t="n">
        <x:v>4</x:v>
      </x:c>
      <x:c r="L43" t="str">
        <x:v>Rating-distribution simulation; not weekly fantasy-point projection.</x:v>
      </x:c>
    </x:row>
    <x:row r="44">
      <x:c r="A44" t="str">
        <x:v>RB</x:v>
      </x:c>
      <x:c r="B44" t="str">
        <x:v>Kenneth Walker III</x:v>
      </x:c>
      <x:c r="C44" s="48" t="n">
        <x:v>87.29261371508893</x:v>
      </x:c>
      <x:c r="D44" s="48" t="str">
        <x:v>A</x:v>
      </x:c>
      <x:c r="E44" s="48" t="str">
        <x:v>RATE-ADJUSTED VETERAN</x:v>
      </x:c>
      <x:c r="F44" s="48" t="n">
        <x:v>82.18567782398853</x:v>
      </x:c>
      <x:c r="G44" s="48" t="n">
        <x:v>87.12414548453138</x:v>
      </x:c>
      <x:c r="H44" s="48" t="n">
        <x:v>92.45316079370396</x:v>
      </x:c>
      <x:c r="I44" s="48" t="n">
        <x:v>24.4</x:v>
      </x:c>
      <x:c r="J44" s="48" t="n">
        <x:v>100</x:v>
      </x:c>
      <x:c r="K44" t="n">
        <x:v>4</x:v>
      </x:c>
      <x:c r="L44" t="str">
        <x:v>Rating-distribution simulation; not weekly fantasy-point projection.</x:v>
      </x:c>
    </x:row>
    <x:row r="45">
      <x:c r="A45" t="str">
        <x:v>RB</x:v>
      </x:c>
      <x:c r="B45" t="str">
        <x:v>James Cook III</x:v>
      </x:c>
      <x:c r="C45" s="48" t="n">
        <x:v>87.05801139512144</x:v>
      </x:c>
      <x:c r="D45" s="48" t="str">
        <x:v>A</x:v>
      </x:c>
      <x:c r="E45" s="48" t="str">
        <x:v>RATE-ADJUSTED VETERAN</x:v>
      </x:c>
      <x:c r="F45" s="48" t="n">
        <x:v>82.18651372102443</x:v>
      </x:c>
      <x:c r="G45" s="48" t="n">
        <x:v>87.12552403349774</x:v>
      </x:c>
      <x:c r="H45" s="48" t="n">
        <x:v>92.01085327323737</x:v>
      </x:c>
      <x:c r="I45" s="48" t="n">
        <x:v>22.6</x:v>
      </x:c>
      <x:c r="J45" s="48" t="n">
        <x:v>100</x:v>
      </x:c>
      <x:c r="K45" t="n">
        <x:v>4</x:v>
      </x:c>
      <x:c r="L45" t="str">
        <x:v>Rating-distribution simulation; not weekly fantasy-point projection.</x:v>
      </x:c>
    </x:row>
    <x:row r="46">
      <x:c r="A46" t="str">
        <x:v>RB</x:v>
      </x:c>
      <x:c r="B46" t="str">
        <x:v>Kyren Williams</x:v>
      </x:c>
      <x:c r="C46" s="48" t="n">
        <x:v>85.94862618540519</x:v>
      </x:c>
      <x:c r="D46" s="48" t="str">
        <x:v>A</x:v>
      </x:c>
      <x:c r="E46" s="48" t="str">
        <x:v>RATE-ADJUSTED VETERAN</x:v>
      </x:c>
      <x:c r="F46" s="48" t="n">
        <x:v>80.85383801458799</x:v>
      </x:c>
      <x:c r="G46" s="48" t="n">
        <x:v>85.83500428378528</x:v>
      </x:c>
      <x:c r="H46" s="48" t="n">
        <x:v>90.85506402788191</x:v>
      </x:c>
      <x:c r="I46" s="48" t="n">
        <x:v>13.9</x:v>
      </x:c>
      <x:c r="J46" s="48" t="n">
        <x:v>100</x:v>
      </x:c>
      <x:c r="K46" t="n">
        <x:v>4</x:v>
      </x:c>
      <x:c r="L46" t="str">
        <x:v>Rating-distribution simulation; not weekly fantasy-point projection.</x:v>
      </x:c>
    </x:row>
    <x:row r="47">
      <x:c r="A47" t="str">
        <x:v>RB</x:v>
      </x:c>
      <x:c r="B47" t="str">
        <x:v>Breece Hall</x:v>
      </x:c>
      <x:c r="C47" s="48" t="n">
        <x:v>85.89523439048523</x:v>
      </x:c>
      <x:c r="D47" s="48" t="str">
        <x:v>A</x:v>
      </x:c>
      <x:c r="E47" s="48" t="str">
        <x:v>RATE-ADJUSTED VETERAN</x:v>
      </x:c>
      <x:c r="F47" s="48" t="n">
        <x:v>80.29736498874882</x:v>
      </x:c>
      <x:c r="G47" s="48" t="n">
        <x:v>85.8659583574728</x:v>
      </x:c>
      <x:c r="H47" s="48" t="n">
        <x:v>90.9724807992654</x:v>
      </x:c>
      <x:c r="I47" s="48" t="n">
        <x:v>14.8</x:v>
      </x:c>
      <x:c r="J47" s="48" t="n">
        <x:v>100</x:v>
      </x:c>
      <x:c r="K47" t="n">
        <x:v>4</x:v>
      </x:c>
      <x:c r="L47" t="str">
        <x:v>Rating-distribution simulation; not weekly fantasy-point projection.</x:v>
      </x:c>
    </x:row>
    <x:row r="48">
      <x:c r="A48" t="str">
        <x:v>RB</x:v>
      </x:c>
      <x:c r="B48" t="str">
        <x:v>Ashton Jeanty</x:v>
      </x:c>
      <x:c r="C48" s="48" t="n">
        <x:v>85.84326054048074</x:v>
      </x:c>
      <x:c r="D48" s="48" t="str">
        <x:v>A</x:v>
      </x:c>
      <x:c r="E48" s="48" t="str">
        <x:v>RATE-ADJUSTED VETERAN</x:v>
      </x:c>
      <x:c r="F48" s="48" t="n">
        <x:v>80.55431482743522</x:v>
      </x:c>
      <x:c r="G48" s="48" t="n">
        <x:v>85.76829674831599</x:v>
      </x:c>
      <x:c r="H48" s="48" t="n">
        <x:v>90.89447779279398</x:v>
      </x:c>
      <x:c r="I48" s="48" t="n">
        <x:v>14.4</x:v>
      </x:c>
      <x:c r="J48" s="48" t="n">
        <x:v>100</x:v>
      </x:c>
      <x:c r="K48" t="n">
        <x:v>4</x:v>
      </x:c>
      <x:c r="L48" t="str">
        <x:v>Rating-distribution simulation; not weekly fantasy-point projection.</x:v>
      </x:c>
    </x:row>
    <x:row r="49">
      <x:c r="A49" t="str">
        <x:v>RB</x:v>
      </x:c>
      <x:c r="B49" t="str">
        <x:v>Derrick Henry</x:v>
      </x:c>
      <x:c r="C49" s="48" t="n">
        <x:v>85.66739845204964</x:v>
      </x:c>
      <x:c r="D49" s="48" t="str">
        <x:v>A</x:v>
      </x:c>
      <x:c r="E49" s="48" t="str">
        <x:v>RATE-ADJUSTED VETERAN</x:v>
      </x:c>
      <x:c r="F49" s="48" t="n">
        <x:v>80.48505826552625</x:v>
      </x:c>
      <x:c r="G49" s="48" t="n">
        <x:v>85.48474867982286</x:v>
      </x:c>
      <x:c r="H49" s="48" t="n">
        <x:v>90.97556158528542</x:v>
      </x:c>
      <x:c r="I49" s="48" t="n">
        <x:v>15.25</x:v>
      </x:c>
      <x:c r="J49" s="48" t="n">
        <x:v>100</x:v>
      </x:c>
      <x:c r="K49" t="n">
        <x:v>4</x:v>
      </x:c>
      <x:c r="L49" t="str">
        <x:v>Rating-distribution simulation; not weekly fantasy-point projection.</x:v>
      </x:c>
    </x:row>
    <x:row r="50">
      <x:c r="A50" t="str">
        <x:v>RB</x:v>
      </x:c>
      <x:c r="B50" t="str">
        <x:v>Chase Brown</x:v>
      </x:c>
      <x:c r="C50" s="48" t="n">
        <x:v>85.66441832712566</x:v>
      </x:c>
      <x:c r="D50" s="48" t="str">
        <x:v>A</x:v>
      </x:c>
      <x:c r="E50" s="48" t="str">
        <x:v>RATE-ADJUSTED VETERAN</x:v>
      </x:c>
      <x:c r="F50" s="48" t="n">
        <x:v>80.47261310263826</x:v>
      </x:c>
      <x:c r="G50" s="48" t="n">
        <x:v>85.49526357038349</x:v>
      </x:c>
      <x:c r="H50" s="48" t="n">
        <x:v>90.93390041892596</x:v>
      </x:c>
      <x:c r="I50" s="48" t="n">
        <x:v>14.7</x:v>
      </x:c>
      <x:c r="J50" s="48" t="n">
        <x:v>100</x:v>
      </x:c>
      <x:c r="K50" t="n">
        <x:v>4</x:v>
      </x:c>
      <x:c r="L50" t="str">
        <x:v>Rating-distribution simulation; not weekly fantasy-point projection.</x:v>
      </x:c>
    </x:row>
    <x:row r="51">
      <x:c r="A51" t="str">
        <x:v>RB</x:v>
      </x:c>
      <x:c r="B51" t="str">
        <x:v>Josh Jacobs</x:v>
      </x:c>
      <x:c r="C51" s="48" t="n">
        <x:v>84.42639357709083</x:v>
      </x:c>
      <x:c r="D51" s="48" t="str">
        <x:v>A</x:v>
      </x:c>
      <x:c r="E51" s="48" t="str">
        <x:v>RATE-ADJUSTED VETERAN</x:v>
      </x:c>
      <x:c r="F51" s="48" t="n">
        <x:v>79.25491966849921</x:v>
      </x:c>
      <x:c r="G51" s="48" t="n">
        <x:v>84.48839355097535</x:v>
      </x:c>
      <x:c r="H51" s="48" t="n">
        <x:v>89.61418315075787</x:v>
      </x:c>
      <x:c r="I51" s="48" t="n">
        <x:v>8.05</x:v>
      </x:c>
      <x:c r="J51" s="48" t="n">
        <x:v>100</x:v>
      </x:c>
      <x:c r="K51" t="n">
        <x:v>4</x:v>
      </x:c>
      <x:c r="L51" t="str">
        <x:v>Rating-distribution simulation; not weekly fantasy-point projection.</x:v>
      </x:c>
    </x:row>
    <x:row r="52">
      <x:c r="A52" t="str">
        <x:v>RB</x:v>
      </x:c>
      <x:c r="B52" t="str">
        <x:v>Saquon Barkley</x:v>
      </x:c>
      <x:c r="C52" s="48" t="n">
        <x:v>84.03395323879701</x:v>
      </x:c>
      <x:c r="D52" s="48" t="str">
        <x:v>A</x:v>
      </x:c>
      <x:c r="E52" s="48" t="str">
        <x:v>RATE-ADJUSTED VETERAN</x:v>
      </x:c>
      <x:c r="F52" s="48" t="n">
        <x:v>78.77724610669785</x:v>
      </x:c>
      <x:c r="G52" s="48" t="n">
        <x:v>84.13847298395766</x:v>
      </x:c>
      <x:c r="H52" s="48" t="n">
        <x:v>89.33984015686272</x:v>
      </x:c>
      <x:c r="I52" s="48" t="n">
        <x:v>6.7</x:v>
      </x:c>
      <x:c r="J52" s="48" t="n">
        <x:v>100</x:v>
      </x:c>
      <x:c r="K52" t="n">
        <x:v>4</x:v>
      </x:c>
      <x:c r="L52" t="str">
        <x:v>Rating-distribution simulation; not weekly fantasy-point projection.</x:v>
      </x:c>
    </x:row>
    <x:row r="53">
      <x:c r="A53" t="str">
        <x:v>RB</x:v>
      </x:c>
      <x:c r="B53" t="str">
        <x:v>Javonte Williams</x:v>
      </x:c>
      <x:c r="C53" s="48" t="n">
        <x:v>83.80323538924502</x:v>
      </x:c>
      <x:c r="D53" s="48" t="str">
        <x:v>A</x:v>
      </x:c>
      <x:c r="E53" s="48" t="str">
        <x:v>RATE-ADJUSTED VETERAN</x:v>
      </x:c>
      <x:c r="F53" s="48" t="n">
        <x:v>78.5668098354536</x:v>
      </x:c>
      <x:c r="G53" s="48" t="n">
        <x:v>83.72134318330447</x:v>
      </x:c>
      <x:c r="H53" s="48" t="n">
        <x:v>88.85608992538407</x:v>
      </x:c>
      <x:c r="I53" s="48" t="n">
        <x:v>5.75</x:v>
      </x:c>
      <x:c r="J53" s="48" t="n">
        <x:v>99.95</x:v>
      </x:c>
      <x:c r="K53" t="n">
        <x:v>4</x:v>
      </x:c>
      <x:c r="L53" t="str">
        <x:v>Rating-distribution simulation; not weekly fantasy-point projection.</x:v>
      </x:c>
    </x:row>
    <x:row r="54">
      <x:c r="A54" t="str">
        <x:v>RB</x:v>
      </x:c>
      <x:c r="B54" t="str">
        <x:v>Travis Etienne Jr.</x:v>
      </x:c>
      <x:c r="C54" s="48" t="n">
        <x:v>83.04362987072798</x:v>
      </x:c>
      <x:c r="D54" s="48" t="str">
        <x:v>A</x:v>
      </x:c>
      <x:c r="E54" s="48" t="str">
        <x:v>RATE-ADJUSTED VETERAN</x:v>
      </x:c>
      <x:c r="F54" s="48" t="n">
        <x:v>77.90221664097136</x:v>
      </x:c>
      <x:c r="G54" s="48" t="n">
        <x:v>83.01998248454383</x:v>
      </x:c>
      <x:c r="H54" s="48" t="n">
        <x:v>88.22911129686882</x:v>
      </x:c>
      <x:c r="I54" s="48" t="n">
        <x:v>4.35</x:v>
      </x:c>
      <x:c r="J54" s="48" t="n">
        <x:v>99.9</x:v>
      </x:c>
      <x:c r="K54" t="n">
        <x:v>4</x:v>
      </x:c>
      <x:c r="L54" t="str">
        <x:v>Rating-distribution simulation; not weekly fantasy-point projection.</x:v>
      </x:c>
    </x:row>
    <x:row r="55">
      <x:c r="A55" t="str">
        <x:v>RB</x:v>
      </x:c>
      <x:c r="B55" t="str">
        <x:v>Cam Skattebo</x:v>
      </x:c>
      <x:c r="C55" s="48" t="n">
        <x:v>81.88843624288153</x:v>
      </x:c>
      <x:c r="D55" s="48" t="str">
        <x:v>B</x:v>
      </x:c>
      <x:c r="E55" s="48" t="str">
        <x:v>RATE-ADJUSTED VETERAN</x:v>
      </x:c>
      <x:c r="F55" s="48" t="n">
        <x:v>74.08820728067032</x:v>
      </x:c>
      <x:c r="G55" s="48" t="n">
        <x:v>81.83581145858903</x:v>
      </x:c>
      <x:c r="H55" s="48" t="n">
        <x:v>89.6743981733536</x:v>
      </x:c>
      <x:c r="I55" s="48" t="n">
        <x:v>9.05</x:v>
      </x:c>
      <x:c r="J55" s="48" t="n">
        <x:v>98.2</x:v>
      </x:c>
      <x:c r="K55" t="n">
        <x:v>6</x:v>
      </x:c>
      <x:c r="L55" t="str">
        <x:v>Rating-distribution simulation; not weekly fantasy-point projection.</x:v>
      </x:c>
    </x:row>
    <x:row r="56">
      <x:c r="A56" t="str">
        <x:v>RB</x:v>
      </x:c>
      <x:c r="B56" t="str">
        <x:v>D'Andre Swift</x:v>
      </x:c>
      <x:c r="C56" s="48" t="n">
        <x:v>79.98556548600793</x:v>
      </x:c>
      <x:c r="D56" s="48" t="str">
        <x:v>A</x:v>
      </x:c>
      <x:c r="E56" s="48" t="str">
        <x:v>RATE-ADJUSTED VETERAN</x:v>
      </x:c>
      <x:c r="F56" s="48" t="n">
        <x:v>75.0624063653471</x:v>
      </x:c>
      <x:c r="G56" s="48" t="n">
        <x:v>79.99232716956558</x:v>
      </x:c>
      <x:c r="H56" s="48" t="n">
        <x:v>85.12527091291544</x:v>
      </x:c>
      <x:c r="I56" s="48" t="n">
        <x:v>0.75</x:v>
      </x:c>
      <x:c r="J56" s="48" t="n">
        <x:v>99.65</x:v>
      </x:c>
      <x:c r="K56" t="n">
        <x:v>4</x:v>
      </x:c>
      <x:c r="L56" t="str">
        <x:v>Rating-distribution simulation; not weekly fantasy-point projection.</x:v>
      </x:c>
    </x:row>
    <x:row r="57">
      <x:c r="A57" t="str">
        <x:v>RB</x:v>
      </x:c>
      <x:c r="B57" t="str">
        <x:v>Bucky Irving</x:v>
      </x:c>
      <x:c r="C57" s="48" t="n">
        <x:v>79.93547988785315</x:v>
      </x:c>
      <x:c r="D57" s="48" t="str">
        <x:v>B</x:v>
      </x:c>
      <x:c r="E57" s="48" t="str">
        <x:v>RATE-ADJUSTED VETERAN</x:v>
      </x:c>
      <x:c r="F57" s="48" t="n">
        <x:v>72.18544360019095</x:v>
      </x:c>
      <x:c r="G57" s="48" t="n">
        <x:v>79.82741045570367</x:v>
      </x:c>
      <x:c r="H57" s="48" t="n">
        <x:v>87.045422255167</x:v>
      </x:c>
      <x:c r="I57" s="48" t="n">
        <x:v>4.1</x:v>
      </x:c>
      <x:c r="J57" s="48" t="n">
        <x:v>95.7</x:v>
      </x:c>
      <x:c r="K57" t="n">
        <x:v>6</x:v>
      </x:c>
      <x:c r="L57" t="str">
        <x:v>Rating-distribution simulation; not weekly fantasy-point projection.</x:v>
      </x:c>
    </x:row>
    <x:row r="58">
      <x:c r="A58" t="str">
        <x:v>RB</x:v>
      </x:c>
      <x:c r="B58" t="str">
        <x:v>Quinshon Judkins</x:v>
      </x:c>
      <x:c r="C58" s="48" t="n">
        <x:v>79.930324528899</x:v>
      </x:c>
      <x:c r="D58" s="48" t="str">
        <x:v>A</x:v>
      </x:c>
      <x:c r="E58" s="48" t="str">
        <x:v>RATE-ADJUSTED VETERAN</x:v>
      </x:c>
      <x:c r="F58" s="48" t="n">
        <x:v>74.68641725532567</x:v>
      </x:c>
      <x:c r="G58" s="48" t="n">
        <x:v>79.86446865157043</x:v>
      </x:c>
      <x:c r="H58" s="48" t="n">
        <x:v>84.94753392142438</x:v>
      </x:c>
      <x:c r="I58" s="48" t="n">
        <x:v>0.6</x:v>
      </x:c>
      <x:c r="J58" s="48" t="n">
        <x:v>99.6</x:v>
      </x:c>
      <x:c r="K58" t="n">
        <x:v>4</x:v>
      </x:c>
      <x:c r="L58" t="str">
        <x:v>Rating-distribution simulation; not weekly fantasy-point projection.</x:v>
      </x:c>
    </x:row>
    <x:row r="59">
      <x:c r="A59" t="str">
        <x:v>RB</x:v>
      </x:c>
      <x:c r="B59" t="str">
        <x:v>David Montgomery</x:v>
      </x:c>
      <x:c r="C59" s="48" t="n">
        <x:v>77.91019458711787</x:v>
      </x:c>
      <x:c r="D59" s="48" t="str">
        <x:v>A</x:v>
      </x:c>
      <x:c r="E59" s="48" t="str">
        <x:v>RATE-ADJUSTED VETERAN</x:v>
      </x:c>
      <x:c r="F59" s="48" t="n">
        <x:v>72.82046575880969</x:v>
      </x:c>
      <x:c r="G59" s="48" t="n">
        <x:v>77.90595810393995</x:v>
      </x:c>
      <x:c r="H59" s="48" t="n">
        <x:v>83.10801805406753</x:v>
      </x:c>
      <x:c r="I59" s="48" t="n">
        <x:v>0.1</x:v>
      </x:c>
      <x:c r="J59" s="48" t="n">
        <x:v>97.85</x:v>
      </x:c>
      <x:c r="K59" t="n">
        <x:v>4</x:v>
      </x:c>
      <x:c r="L59" t="str">
        <x:v>Rating-distribution simulation; not weekly fantasy-point projection.</x:v>
      </x:c>
    </x:row>
    <x:row r="60">
      <x:c r="A60" t="str">
        <x:v>RB</x:v>
      </x:c>
      <x:c r="B60" t="str">
        <x:v>TreVeyon Henderson</x:v>
      </x:c>
      <x:c r="C60" s="48" t="n">
        <x:v>77.83249669656783</x:v>
      </x:c>
      <x:c r="D60" s="48" t="str">
        <x:v>A</x:v>
      </x:c>
      <x:c r="E60" s="48" t="str">
        <x:v>RATE-ADJUSTED VETERAN</x:v>
      </x:c>
      <x:c r="F60" s="48" t="n">
        <x:v>72.69301968586412</x:v>
      </x:c>
      <x:c r="G60" s="48" t="n">
        <x:v>77.92841339314421</x:v>
      </x:c>
      <x:c r="H60" s="48" t="n">
        <x:v>82.86000823278202</x:v>
      </x:c>
      <x:c r="I60" s="48" t="n">
        <x:v>0.1</x:v>
      </x:c>
      <x:c r="J60" s="48" t="n">
        <x:v>97.7</x:v>
      </x:c>
      <x:c r="K60" t="n">
        <x:v>4</x:v>
      </x:c>
      <x:c r="L60" t="str">
        <x:v>Rating-distribution simulation; not weekly fantasy-point projection.</x:v>
      </x:c>
    </x:row>
    <x:row r="61">
      <x:c r="A61" t="str">
        <x:v>RB</x:v>
      </x:c>
      <x:c r="B61" t="str">
        <x:v>Jadarian Price</x:v>
      </x:c>
      <x:c r="C61" s="48" t="n">
        <x:v>76.66217827185447</x:v>
      </x:c>
      <x:c r="D61" s="48" t="str">
        <x:v>B</x:v>
      </x:c>
      <x:c r="E61" s="48" t="str">
        <x:v>ROOKIE ENGINE</x:v>
      </x:c>
      <x:c r="F61" s="48" t="n">
        <x:v>66.8339897189242</x:v>
      </x:c>
      <x:c r="G61" s="48" t="n">
        <x:v>76.6238033110761</x:v>
      </x:c>
      <x:c r="H61" s="48" t="n">
        <x:v>86.4461414082637</x:v>
      </x:c>
      <x:c r="I61" s="48" t="n">
        <x:v>3.5</x:v>
      </x:c>
      <x:c r="J61" s="48" t="n">
        <x:v>81.65</x:v>
      </x:c>
      <x:c r="K61" t="n">
        <x:v>7.5</x:v>
      </x:c>
      <x:c r="L61" t="str">
        <x:v>Rating-distribution simulation; not weekly fantasy-point projection.</x:v>
      </x:c>
    </x:row>
    <x:row r="62">
      <x:c r="A62" t="str">
        <x:v>RB</x:v>
      </x:c>
      <x:c r="B62" t="str">
        <x:v>Jaylen Warren</x:v>
      </x:c>
      <x:c r="C62" s="48" t="n">
        <x:v>76.09178759711432</x:v>
      </x:c>
      <x:c r="D62" s="48" t="str">
        <x:v>A</x:v>
      </x:c>
      <x:c r="E62" s="48" t="str">
        <x:v>RATE-ADJUSTED VETERAN</x:v>
      </x:c>
      <x:c r="F62" s="48" t="n">
        <x:v>71.18562836557025</x:v>
      </x:c>
      <x:c r="G62" s="48" t="n">
        <x:v>76.41149807210218</x:v>
      </x:c>
      <x:c r="H62" s="48" t="n">
        <x:v>81.22619229586661</x:v>
      </x:c>
      <x:c r="I62" s="48" t="n">
        <x:v>0</x:v>
      </x:c>
      <x:c r="J62" s="48" t="n">
        <x:v>95.2</x:v>
      </x:c>
      <x:c r="K62" t="n">
        <x:v>4</x:v>
      </x:c>
      <x:c r="L62" t="str">
        <x:v>Rating-distribution simulation; not weekly fantasy-point projection.</x:v>
      </x:c>
    </x:row>
    <x:row r="63">
      <x:c r="A63" t="str">
        <x:v>RB</x:v>
      </x:c>
      <x:c r="B63" t="str">
        <x:v>Rico Dowdle</x:v>
      </x:c>
      <x:c r="C63" s="48" t="n">
        <x:v>75.78578939506124</x:v>
      </x:c>
      <x:c r="D63" s="48" t="str">
        <x:v>A</x:v>
      </x:c>
      <x:c r="E63" s="48" t="str">
        <x:v>RATE-ADJUSTED VETERAN</x:v>
      </x:c>
      <x:c r="F63" s="48" t="n">
        <x:v>70.45579950630291</x:v>
      </x:c>
      <x:c r="G63" s="48" t="n">
        <x:v>75.73070717589134</x:v>
      </x:c>
      <x:c r="H63" s="48" t="n">
        <x:v>80.91211717379885</x:v>
      </x:c>
      <x:c r="I63" s="48" t="n">
        <x:v>0</x:v>
      </x:c>
      <x:c r="J63" s="48" t="n">
        <x:v>94.05</x:v>
      </x:c>
      <x:c r="K63" t="n">
        <x:v>4</x:v>
      </x:c>
      <x:c r="L63" t="str">
        <x:v>Rating-distribution simulation; not weekly fantasy-point projection.</x:v>
      </x:c>
    </x:row>
    <x:row r="64">
      <x:c r="A64" t="str">
        <x:v>RB</x:v>
      </x:c>
      <x:c r="B64" t="str">
        <x:v>Tony Pollard</x:v>
      </x:c>
      <x:c r="C64" s="48" t="n">
        <x:v>75.0986337752362</x:v>
      </x:c>
      <x:c r="D64" s="48" t="str">
        <x:v>A</x:v>
      </x:c>
      <x:c r="E64" s="48" t="str">
        <x:v>RATE-ADJUSTED VETERAN</x:v>
      </x:c>
      <x:c r="F64" s="48" t="n">
        <x:v>69.62965589478235</x:v>
      </x:c>
      <x:c r="G64" s="48" t="n">
        <x:v>74.97290619027166</x:v>
      </x:c>
      <x:c r="H64" s="48" t="n">
        <x:v>80.24352160794245</x:v>
      </x:c>
      <x:c r="I64" s="48" t="n">
        <x:v>0</x:v>
      </x:c>
      <x:c r="J64" s="48" t="n">
        <x:v>90.65</x:v>
      </x:c>
      <x:c r="K64" t="n">
        <x:v>4</x:v>
      </x:c>
      <x:c r="L64" t="str">
        <x:v>Rating-distribution simulation; not weekly fantasy-point projection.</x:v>
      </x:c>
    </x:row>
    <x:row r="65">
      <x:c r="A65" t="str">
        <x:v>RB</x:v>
      </x:c>
      <x:c r="B65" t="str">
        <x:v>Rhamondre Stevenson</x:v>
      </x:c>
      <x:c r="C65" s="48" t="n">
        <x:v>74.58812104950168</x:v>
      </x:c>
      <x:c r="D65" s="48" t="str">
        <x:v>A</x:v>
      </x:c>
      <x:c r="E65" s="48" t="str">
        <x:v>RATE-ADJUSTED VETERAN</x:v>
      </x:c>
      <x:c r="F65" s="48" t="n">
        <x:v>69.27786185178662</x:v>
      </x:c>
      <x:c r="G65" s="48" t="n">
        <x:v>74.4578485986239</x:v>
      </x:c>
      <x:c r="H65" s="48" t="n">
        <x:v>79.62219725211288</x:v>
      </x:c>
      <x:c r="I65" s="48" t="n">
        <x:v>0</x:v>
      </x:c>
      <x:c r="J65" s="48" t="n">
        <x:v>89.2</x:v>
      </x:c>
      <x:c r="K65" t="n">
        <x:v>4</x:v>
      </x:c>
      <x:c r="L65" t="str">
        <x:v>Rating-distribution simulation; not weekly fantasy-point projection.</x:v>
      </x:c>
    </x:row>
    <x:row r="66">
      <x:c r="A66" t="str">
        <x:v>RB</x:v>
      </x:c>
      <x:c r="B66" t="str">
        <x:v>Kenneth Gainwell</x:v>
      </x:c>
      <x:c r="C66" s="48" t="n">
        <x:v>74.50491919835545</x:v>
      </x:c>
      <x:c r="D66" s="48" t="str">
        <x:v>A</x:v>
      </x:c>
      <x:c r="E66" s="48" t="str">
        <x:v>RATE-ADJUSTED VETERAN</x:v>
      </x:c>
      <x:c r="F66" s="48" t="n">
        <x:v>69.37189066404285</x:v>
      </x:c>
      <x:c r="G66" s="48" t="n">
        <x:v>74.43624322812289</x:v>
      </x:c>
      <x:c r="H66" s="48" t="n">
        <x:v>79.70470352562734</x:v>
      </x:c>
      <x:c r="I66" s="48" t="n">
        <x:v>0</x:v>
      </x:c>
      <x:c r="J66" s="48" t="n">
        <x:v>89.4</x:v>
      </x:c>
      <x:c r="K66" t="n">
        <x:v>4</x:v>
      </x:c>
      <x:c r="L66" t="str">
        <x:v>Rating-distribution simulation; not weekly fantasy-point projection.</x:v>
      </x:c>
    </x:row>
    <x:row r="67">
      <x:c r="A67" t="str">
        <x:v>RB</x:v>
      </x:c>
      <x:c r="B67" t="str">
        <x:v>Bhayshul Tuten</x:v>
      </x:c>
      <x:c r="C67" s="48" t="n">
        <x:v>74.46766975676302</x:v>
      </x:c>
      <x:c r="D67" s="48" t="str">
        <x:v>A</x:v>
      </x:c>
      <x:c r="E67" s="48" t="str">
        <x:v>RATE-ADJUSTED VETERAN</x:v>
      </x:c>
      <x:c r="F67" s="48" t="n">
        <x:v>69.12728082536411</x:v>
      </x:c>
      <x:c r="G67" s="48" t="n">
        <x:v>74.33055661111759</x:v>
      </x:c>
      <x:c r="H67" s="48" t="n">
        <x:v>79.52031809700846</x:v>
      </x:c>
      <x:c r="I67" s="48" t="n">
        <x:v>0.05</x:v>
      </x:c>
      <x:c r="J67" s="48" t="n">
        <x:v>88.5</x:v>
      </x:c>
      <x:c r="K67" t="n">
        <x:v>4</x:v>
      </x:c>
      <x:c r="L67" t="str">
        <x:v>Rating-distribution simulation; not weekly fantasy-point projection.</x:v>
      </x:c>
    </x:row>
    <x:row r="68">
      <x:c r="A68" t="str">
        <x:v>RB</x:v>
      </x:c>
      <x:c r="B68" t="str">
        <x:v>RJ Harvey</x:v>
      </x:c>
      <x:c r="C68" s="48" t="n">
        <x:v>73.56779045370797</x:v>
      </x:c>
      <x:c r="D68" s="48" t="str">
        <x:v>A</x:v>
      </x:c>
      <x:c r="E68" s="48" t="str">
        <x:v>RATE-ADJUSTED VETERAN</x:v>
      </x:c>
      <x:c r="F68" s="48" t="n">
        <x:v>68.781168573704</x:v>
      </x:c>
      <x:c r="G68" s="48" t="n">
        <x:v>73.75100586205005</x:v>
      </x:c>
      <x:c r="H68" s="48" t="n">
        <x:v>78.80563764043414</x:v>
      </x:c>
      <x:c r="I68" s="48" t="n">
        <x:v>0</x:v>
      </x:c>
      <x:c r="J68" s="48" t="n">
        <x:v>86.1</x:v>
      </x:c>
      <x:c r="K68" t="n">
        <x:v>4</x:v>
      </x:c>
      <x:c r="L68" t="str">
        <x:v>Rating-distribution simulation; not weekly fantasy-point projection.</x:v>
      </x:c>
    </x:row>
    <x:row r="69">
      <x:c r="A69" t="str">
        <x:v>RB</x:v>
      </x:c>
      <x:c r="B69" t="str">
        <x:v>Kyle Monangai</x:v>
      </x:c>
      <x:c r="C69" s="48" t="n">
        <x:v>72.61019893136515</x:v>
      </x:c>
      <x:c r="D69" s="48" t="str">
        <x:v>A</x:v>
      </x:c>
      <x:c r="E69" s="48" t="str">
        <x:v>RATE-ADJUSTED VETERAN</x:v>
      </x:c>
      <x:c r="F69" s="48" t="n">
        <x:v>67.3274866230519</x:v>
      </x:c>
      <x:c r="G69" s="48" t="n">
        <x:v>72.5694142426282</x:v>
      </x:c>
      <x:c r="H69" s="48" t="n">
        <x:v>77.87291407899158</x:v>
      </x:c>
      <x:c r="I69" s="48" t="n">
        <x:v>0</x:v>
      </x:c>
      <x:c r="J69" s="48" t="n">
        <x:v>77.55</x:v>
      </x:c>
      <x:c r="K69" t="n">
        <x:v>4</x:v>
      </x:c>
      <x:c r="L69" t="str">
        <x:v>Rating-distribution simulation; not weekly fantasy-point projection.</x:v>
      </x:c>
    </x:row>
    <x:row r="70">
      <x:c r="A70" t="str">
        <x:v>RB</x:v>
      </x:c>
      <x:c r="B70" t="str">
        <x:v>Chuba Hubbard</x:v>
      </x:c>
      <x:c r="C70" s="48" t="n">
        <x:v>71.86665989322354</x:v>
      </x:c>
      <x:c r="D70" s="48" t="str">
        <x:v>A</x:v>
      </x:c>
      <x:c r="E70" s="48" t="str">
        <x:v>RATE-ADJUSTED VETERAN</x:v>
      </x:c>
      <x:c r="F70" s="48" t="n">
        <x:v>66.73639299035386</x:v>
      </x:c>
      <x:c r="G70" s="48" t="n">
        <x:v>71.7284053853692</x:v>
      </x:c>
      <x:c r="H70" s="48" t="n">
        <x:v>77.14378615936769</x:v>
      </x:c>
      <x:c r="I70" s="48" t="n">
        <x:v>0</x:v>
      </x:c>
      <x:c r="J70" s="48" t="n">
        <x:v>71.4</x:v>
      </x:c>
      <x:c r="K70" t="n">
        <x:v>4</x:v>
      </x:c>
      <x:c r="L70" t="str">
        <x:v>Rating-distribution simulation; not weekly fantasy-point projection.</x:v>
      </x:c>
    </x:row>
    <x:row r="71">
      <x:c r="A71" t="str">
        <x:v>RB</x:v>
      </x:c>
      <x:c r="B71" t="str">
        <x:v>Aaron Jones Sr.</x:v>
      </x:c>
      <x:c r="C71" s="48" t="n">
        <x:v>71.6976534059668</x:v>
      </x:c>
      <x:c r="D71" s="48" t="str">
        <x:v>A</x:v>
      </x:c>
      <x:c r="E71" s="48" t="str">
        <x:v>RATE-ADJUSTED VETERAN</x:v>
      </x:c>
      <x:c r="F71" s="48" t="n">
        <x:v>66.70189495452298</x:v>
      </x:c>
      <x:c r="G71" s="48" t="n">
        <x:v>71.81523226251296</x:v>
      </x:c>
      <x:c r="H71" s="48" t="n">
        <x:v>77.01078900492217</x:v>
      </x:c>
      <x:c r="I71" s="48" t="n">
        <x:v>0</x:v>
      </x:c>
      <x:c r="J71" s="48" t="n">
        <x:v>70.8</x:v>
      </x:c>
      <x:c r="K71" t="n">
        <x:v>4</x:v>
      </x:c>
      <x:c r="L71" t="str">
        <x:v>Rating-distribution simulation; not weekly fantasy-point projection.</x:v>
      </x:c>
    </x:row>
    <x:row r="72">
      <x:c r="A72" t="str">
        <x:v>RB</x:v>
      </x:c>
      <x:c r="B72" t="str">
        <x:v>J.K. Dobbins</x:v>
      </x:c>
      <x:c r="C72" s="48" t="n">
        <x:v>71.16661350850421</x:v>
      </x:c>
      <x:c r="D72" s="48" t="str">
        <x:v>B</x:v>
      </x:c>
      <x:c r="E72" s="48" t="str">
        <x:v>RATE-ADJUSTED VETERAN</x:v>
      </x:c>
      <x:c r="F72" s="48" t="n">
        <x:v>63.68804811702963</x:v>
      </x:c>
      <x:c r="G72" s="48" t="n">
        <x:v>70.9631693131666</x:v>
      </x:c>
      <x:c r="H72" s="48" t="n">
        <x:v>78.76564861355355</x:v>
      </x:c>
      <x:c r="I72" s="48" t="n">
        <x:v>0.05</x:v>
      </x:c>
      <x:c r="J72" s="48" t="n">
        <x:v>60.4</x:v>
      </x:c>
      <x:c r="K72" t="n">
        <x:v>6</x:v>
      </x:c>
      <x:c r="L72" t="str">
        <x:v>Rating-distribution simulation; not weekly fantasy-point projection.</x:v>
      </x:c>
    </x:row>
    <x:row r="73">
      <x:c r="A73" t="str">
        <x:v>RB</x:v>
      </x:c>
      <x:c r="B73" t="str">
        <x:v>Blake Corum</x:v>
      </x:c>
      <x:c r="C73" s="48" t="n">
        <x:v>69.51960871574394</x:v>
      </x:c>
      <x:c r="D73" s="48" t="str">
        <x:v>A</x:v>
      </x:c>
      <x:c r="E73" s="48" t="str">
        <x:v>RATE-ADJUSTED VETERAN</x:v>
      </x:c>
      <x:c r="F73" s="48" t="n">
        <x:v>64.23383933374059</x:v>
      </x:c>
      <x:c r="G73" s="48" t="n">
        <x:v>69.57214053317804</x:v>
      </x:c>
      <x:c r="H73" s="48" t="n">
        <x:v>74.69417983284316</x:v>
      </x:c>
      <x:c r="I73" s="48" t="n">
        <x:v>0</x:v>
      </x:c>
      <x:c r="J73" s="48" t="n">
        <x:v>50.45</x:v>
      </x:c>
      <x:c r="K73" t="n">
        <x:v>4</x:v>
      </x:c>
      <x:c r="L73" t="str">
        <x:v>Rating-distribution simulation; not weekly fantasy-point projection.</x:v>
      </x:c>
    </x:row>
    <x:row r="74">
      <x:c r="A74" t="str">
        <x:v>RB</x:v>
      </x:c>
      <x:c r="B74" t="str">
        <x:v>Rachaad White</x:v>
      </x:c>
      <x:c r="C74" s="48" t="n">
        <x:v>69.2036568927438</x:v>
      </x:c>
      <x:c r="D74" s="48" t="str">
        <x:v>A</x:v>
      </x:c>
      <x:c r="E74" s="48" t="str">
        <x:v>RATE-ADJUSTED VETERAN</x:v>
      </x:c>
      <x:c r="F74" s="48" t="n">
        <x:v>63.92988336622749</x:v>
      </x:c>
      <x:c r="G74" s="48" t="n">
        <x:v>69.26232096039287</x:v>
      </x:c>
      <x:c r="H74" s="48" t="n">
        <x:v>74.38075232439829</x:v>
      </x:c>
      <x:c r="I74" s="48" t="n">
        <x:v>0</x:v>
      </x:c>
      <x:c r="J74" s="48" t="n">
        <x:v>47.4</x:v>
      </x:c>
      <x:c r="K74" t="n">
        <x:v>4</x:v>
      </x:c>
      <x:c r="L74" t="str">
        <x:v>Rating-distribution simulation; not weekly fantasy-point projection.</x:v>
      </x:c>
    </x:row>
    <x:row r="75">
      <x:c r="A75" t="str">
        <x:v>RB</x:v>
      </x:c>
      <x:c r="B75" t="str">
        <x:v>Jacory Croskey-Merritt</x:v>
      </x:c>
      <x:c r="C75" s="48" t="n">
        <x:v>68.99221175225878</x:v>
      </x:c>
      <x:c r="D75" s="48" t="str">
        <x:v>A</x:v>
      </x:c>
      <x:c r="E75" s="48" t="str">
        <x:v>RATE-ADJUSTED VETERAN</x:v>
      </x:c>
      <x:c r="F75" s="48" t="n">
        <x:v>64.06408898961655</x:v>
      </x:c>
      <x:c r="G75" s="48" t="n">
        <x:v>69.00856287199807</x:v>
      </x:c>
      <x:c r="H75" s="48" t="n">
        <x:v>74.3908162154338</x:v>
      </x:c>
      <x:c r="I75" s="48" t="n">
        <x:v>0</x:v>
      </x:c>
      <x:c r="J75" s="48" t="n">
        <x:v>45</x:v>
      </x:c>
      <x:c r="K75" t="n">
        <x:v>4</x:v>
      </x:c>
      <x:c r="L75" t="str">
        <x:v>Rating-distribution simulation; not weekly fantasy-point projection.</x:v>
      </x:c>
    </x:row>
    <x:row r="76">
      <x:c r="A76" t="str">
        <x:v>RB</x:v>
      </x:c>
      <x:c r="B76" t="str">
        <x:v>Jordan Mason</x:v>
      </x:c>
      <x:c r="C76" s="48" t="n">
        <x:v>67.65739288663394</x:v>
      </x:c>
      <x:c r="D76" s="48" t="str">
        <x:v>A</x:v>
      </x:c>
      <x:c r="E76" s="48" t="str">
        <x:v>RATE-ADJUSTED VETERAN</x:v>
      </x:c>
      <x:c r="F76" s="48" t="n">
        <x:v>62.58311707572636</x:v>
      </x:c>
      <x:c r="G76" s="48" t="n">
        <x:v>67.74663846830292</x:v>
      </x:c>
      <x:c r="H76" s="48" t="n">
        <x:v>72.58973179252656</x:v>
      </x:c>
      <x:c r="I76" s="48" t="n">
        <x:v>0</x:v>
      </x:c>
      <x:c r="J76" s="48" t="n">
        <x:v>32.1</x:v>
      </x:c>
      <x:c r="K76" t="n">
        <x:v>4</x:v>
      </x:c>
      <x:c r="L76" t="str">
        <x:v>Rating-distribution simulation; not weekly fantasy-point projection.</x:v>
      </x:c>
    </x:row>
    <x:row r="77">
      <x:c r="A77" t="str">
        <x:v>RB</x:v>
      </x:c>
      <x:c r="B77" t="str">
        <x:v>Woody Marks</x:v>
      </x:c>
      <x:c r="C77" s="48" t="n">
        <x:v>66.86623003473099</x:v>
      </x:c>
      <x:c r="D77" s="48" t="str">
        <x:v>A</x:v>
      </x:c>
      <x:c r="E77" s="48" t="str">
        <x:v>RATE-ADJUSTED VETERAN</x:v>
      </x:c>
      <x:c r="F77" s="48" t="n">
        <x:v>61.37967175726962</x:v>
      </x:c>
      <x:c r="G77" s="48" t="n">
        <x:v>66.69184508470651</x:v>
      </x:c>
      <x:c r="H77" s="48" t="n">
        <x:v>71.73136104824393</x:v>
      </x:c>
      <x:c r="I77" s="48" t="n">
        <x:v>0</x:v>
      </x:c>
      <x:c r="J77" s="48" t="n">
        <x:v>24.4</x:v>
      </x:c>
      <x:c r="K77" t="n">
        <x:v>4</x:v>
      </x:c>
      <x:c r="L77" t="str">
        <x:v>Rating-distribution simulation; not weekly fantasy-point projection.</x:v>
      </x:c>
    </x:row>
    <x:row r="78">
      <x:c r="A78" t="str">
        <x:v>RB</x:v>
      </x:c>
      <x:c r="B78" t="str">
        <x:v>Chris Rodriguez Jr.</x:v>
      </x:c>
      <x:c r="C78" s="48" t="n">
        <x:v>66.53699590996025</x:v>
      </x:c>
      <x:c r="D78" s="48" t="str">
        <x:v>A</x:v>
      </x:c>
      <x:c r="E78" s="48" t="str">
        <x:v>RATE-ADJUSTED VETERAN</x:v>
      </x:c>
      <x:c r="F78" s="48" t="n">
        <x:v>61.50535405563176</x:v>
      </x:c>
      <x:c r="G78" s="48" t="n">
        <x:v>66.5295268191195</x:v>
      </x:c>
      <x:c r="H78" s="48" t="n">
        <x:v>71.44710879777655</x:v>
      </x:c>
      <x:c r="I78" s="48" t="n">
        <x:v>0</x:v>
      </x:c>
      <x:c r="J78" s="48" t="n">
        <x:v>22.75</x:v>
      </x:c>
      <x:c r="K78" t="n">
        <x:v>4</x:v>
      </x:c>
      <x:c r="L78" t="str">
        <x:v>Rating-distribution simulation; not weekly fantasy-point projection.</x:v>
      </x:c>
    </x:row>
    <x:row r="79">
      <x:c r="A79" t="str">
        <x:v>RB</x:v>
      </x:c>
      <x:c r="B79" t="str">
        <x:v>Tyrone Tracy Jr.</x:v>
      </x:c>
      <x:c r="C79" s="48" t="n">
        <x:v>66.53102686810404</x:v>
      </x:c>
      <x:c r="D79" s="48" t="str">
        <x:v>A</x:v>
      </x:c>
      <x:c r="E79" s="48" t="str">
        <x:v>RATE-ADJUSTED VETERAN</x:v>
      </x:c>
      <x:c r="F79" s="48" t="n">
        <x:v>61.47156436075676</x:v>
      </x:c>
      <x:c r="G79" s="48" t="n">
        <x:v>66.69735814579514</x:v>
      </x:c>
      <x:c r="H79" s="48" t="n">
        <x:v>71.7208703474826</x:v>
      </x:c>
      <x:c r="I79" s="48" t="n">
        <x:v>0</x:v>
      </x:c>
      <x:c r="J79" s="48" t="n">
        <x:v>23.55</x:v>
      </x:c>
      <x:c r="K79" t="n">
        <x:v>4</x:v>
      </x:c>
      <x:c r="L79" t="str">
        <x:v>Rating-distribution simulation; not weekly fantasy-point projection.</x:v>
      </x:c>
    </x:row>
    <x:row r="80">
      <x:c r="A80" t="str">
        <x:v>RB</x:v>
      </x:c>
      <x:c r="B80" t="str">
        <x:v>Tyler Allgeier</x:v>
      </x:c>
      <x:c r="C80" s="48" t="n">
        <x:v>63.03217197650326</x:v>
      </x:c>
      <x:c r="D80" s="48" t="str">
        <x:v>A</x:v>
      </x:c>
      <x:c r="E80" s="48" t="str">
        <x:v>RATE-ADJUSTED VETERAN</x:v>
      </x:c>
      <x:c r="F80" s="48" t="n">
        <x:v>58.010781423157354</x:v>
      </x:c>
      <x:c r="G80" s="48" t="n">
        <x:v>63.03816164144583</x:v>
      </x:c>
      <x:c r="H80" s="48" t="n">
        <x:v>68.24202112467344</x:v>
      </x:c>
      <x:c r="I80" s="48" t="n">
        <x:v>0</x:v>
      </x:c>
      <x:c r="J80" s="48" t="n">
        <x:v>5.45</x:v>
      </x:c>
      <x:c r="K80" t="n">
        <x:v>4</x:v>
      </x:c>
      <x:c r="L80" t="str">
        <x:v>Rating-distribution simulation; not weekly fantasy-point projection.</x:v>
      </x:c>
    </x:row>
    <x:row r="81">
      <x:c r="A81" t="str">
        <x:v>RB</x:v>
      </x:c>
      <x:c r="B81" t="str">
        <x:v>Zach Charbonnet</x:v>
      </x:c>
      <x:c r="C81" s="48" t="n">
        <x:v>62.5498230438228</x:v>
      </x:c>
      <x:c r="D81" s="48" t="str">
        <x:v>A</x:v>
      </x:c>
      <x:c r="E81" s="48" t="str">
        <x:v>RATE-ADJUSTED VETERAN</x:v>
      </x:c>
      <x:c r="F81" s="48" t="n">
        <x:v>57.30809601858993</x:v>
      </x:c>
      <x:c r="G81" s="48" t="n">
        <x:v>62.59175467481942</x:v>
      </x:c>
      <x:c r="H81" s="48" t="n">
        <x:v>67.64556244011422</x:v>
      </x:c>
      <x:c r="I81" s="48" t="n">
        <x:v>0</x:v>
      </x:c>
      <x:c r="J81" s="48" t="n">
        <x:v>4.5</x:v>
      </x:c>
      <x:c r="K81" t="n">
        <x:v>4</x:v>
      </x:c>
      <x:c r="L81" t="str">
        <x:v>Rating-distribution simulation; not weekly fantasy-point projection.</x:v>
      </x:c>
    </x:row>
    <x:row r="82">
      <x:c r="A82" t="str">
        <x:v>RB</x:v>
      </x:c>
      <x:c r="B82" t="str">
        <x:v>Jonathon Brooks</x:v>
      </x:c>
      <x:c r="C82" s="48" t="n">
        <x:v>62.199999999999996</x:v>
      </x:c>
      <x:c r="D82" s="48" t="str">
        <x:v>C</x:v>
      </x:c>
      <x:c r="E82" s="48" t="str">
        <x:v>HISTORY FALLBACK</x:v>
      </x:c>
      <x:c r="F82" s="48" t="n">
        <x:v>51.77813403374422</x:v>
      </x:c>
      <x:c r="G82" s="48" t="n">
        <x:v>62.44102472962012</x:v>
      </x:c>
      <x:c r="H82" s="48" t="n">
        <x:v>72.9817739371794</x:v>
      </x:c>
      <x:c r="I82" s="48" t="n">
        <x:v>0</x:v>
      </x:c>
      <x:c r="J82" s="48" t="n">
        <x:v>19.1</x:v>
      </x:c>
      <x:c r="K82" t="n">
        <x:v>8.5</x:v>
      </x:c>
      <x:c r="L82" t="str">
        <x:v>Rating-distribution simulation; not weekly fantasy-point projection.</x:v>
      </x:c>
    </x:row>
    <x:row r="83">
      <x:c r="A83" t="str">
        <x:v>RB</x:v>
      </x:c>
      <x:c r="B83" t="str">
        <x:v>Emanuel Wilson</x:v>
      </x:c>
      <x:c r="C83" s="48" t="n">
        <x:v>61.982145601653485</x:v>
      </x:c>
      <x:c r="D83" s="48" t="str">
        <x:v>A</x:v>
      </x:c>
      <x:c r="E83" s="48" t="str">
        <x:v>RATE-ADJUSTED VETERAN</x:v>
      </x:c>
      <x:c r="F83" s="48" t="n">
        <x:v>56.90237317901812</x:v>
      </x:c>
      <x:c r="G83" s="48" t="n">
        <x:v>62.26705718512269</x:v>
      </x:c>
      <x:c r="H83" s="48" t="n">
        <x:v>67.13309701695545</x:v>
      </x:c>
      <x:c r="I83" s="48" t="n">
        <x:v>0</x:v>
      </x:c>
      <x:c r="J83" s="48" t="n">
        <x:v>2.65</x:v>
      </x:c>
      <x:c r="K83" t="n">
        <x:v>4</x:v>
      </x:c>
      <x:c r="L83" t="str">
        <x:v>Rating-distribution simulation; not weekly fantasy-point projection.</x:v>
      </x:c>
    </x:row>
    <x:row r="84">
      <x:c r="A84" t="str">
        <x:v>RB</x:v>
      </x:c>
      <x:c r="B84" t="str">
        <x:v>Isiah Pacheco</x:v>
      </x:c>
      <x:c r="C84" s="48" t="n">
        <x:v>60.00923076923077</x:v>
      </x:c>
      <x:c r="D84" s="48" t="str">
        <x:v>B</x:v>
      </x:c>
      <x:c r="E84" s="48" t="str">
        <x:v>HISTORY FALLBACK</x:v>
      </x:c>
      <x:c r="F84" s="48" t="n">
        <x:v>52.44139479138735</x:v>
      </x:c>
      <x:c r="G84" s="48" t="n">
        <x:v>60.08351604761493</x:v>
      </x:c>
      <x:c r="H84" s="48" t="n">
        <x:v>67.49929746620329</x:v>
      </x:c>
      <x:c r="I84" s="48" t="n">
        <x:v>0</x:v>
      </x:c>
      <x:c r="J84" s="48" t="n">
        <x:v>5.1</x:v>
      </x:c>
      <x:c r="K84" t="n">
        <x:v>6</x:v>
      </x:c>
      <x:c r="L84" t="str">
        <x:v>Rating-distribution simulation; not weekly fantasy-point projection.</x:v>
      </x:c>
    </x:row>
    <x:row r="85">
      <x:c r="A85" t="str">
        <x:v>RB</x:v>
      </x:c>
      <x:c r="B85" t="str">
        <x:v>Alvin Kamara</x:v>
      </x:c>
      <x:c r="C85" s="48" t="n">
        <x:v>59.150000000000006</x:v>
      </x:c>
      <x:c r="D85" s="48" t="str">
        <x:v>B</x:v>
      </x:c>
      <x:c r="E85" s="48" t="str">
        <x:v>HISTORY FALLBACK</x:v>
      </x:c>
      <x:c r="F85" s="48" t="n">
        <x:v>51.5198754517355</x:v>
      </x:c>
      <x:c r="G85" s="48" t="n">
        <x:v>58.92137265470275</x:v>
      </x:c>
      <x:c r="H85" s="48" t="n">
        <x:v>66.44563753398347</x:v>
      </x:c>
      <x:c r="I85" s="48" t="n">
        <x:v>0</x:v>
      </x:c>
      <x:c r="J85" s="48" t="n">
        <x:v>3.4</x:v>
      </x:c>
      <x:c r="K85" t="n">
        <x:v>6</x:v>
      </x:c>
      <x:c r="L85" t="str">
        <x:v>Rating-distribution simulation; not weekly fantasy-point projection.</x:v>
      </x:c>
    </x:row>
    <x:row r="86">
      <x:c r="A86" t="str">
        <x:v>RB</x:v>
      </x:c>
      <x:c r="B86" t="str">
        <x:v>Justice Hill</x:v>
      </x:c>
      <x:c r="C86" s="48" t="n">
        <x:v>54.879999999999995</x:v>
      </x:c>
      <x:c r="D86" s="48" t="str">
        <x:v>B</x:v>
      </x:c>
      <x:c r="E86" s="48" t="str">
        <x:v>HISTORY FALLBACK</x:v>
      </x:c>
      <x:c r="F86" s="48" t="n">
        <x:v>47.22622011770889</x:v>
      </x:c>
      <x:c r="G86" s="48" t="n">
        <x:v>54.91537842927101</x:v>
      </x:c>
      <x:c r="H86" s="48" t="n">
        <x:v>62.48987969203933</x:v>
      </x:c>
      <x:c r="I86" s="48" t="n">
        <x:v>0</x:v>
      </x:c>
      <x:c r="J86" s="48" t="n">
        <x:v>0.55</x:v>
      </x:c>
      <x:c r="K86" t="n">
        <x:v>6</x:v>
      </x:c>
      <x:c r="L86" t="str">
        <x:v>Rating-distribution simulation; not weekly fantasy-point projection.</x:v>
      </x:c>
    </x:row>
    <x:row r="87">
      <x:c r="A87" t="str">
        <x:v>TE</x:v>
      </x:c>
      <x:c r="B87" t="str">
        <x:v>Trey McBride</x:v>
      </x:c>
      <x:c r="C87" s="48" t="n">
        <x:v>97.73707606111353</x:v>
      </x:c>
      <x:c r="D87" s="48" t="str">
        <x:v>A</x:v>
      </x:c>
      <x:c r="E87" s="48" t="str">
        <x:v>RATE-ADJUSTED VETERAN</x:v>
      </x:c>
      <x:c r="F87" s="48" t="n">
        <x:v>92.85365636722561</x:v>
      </x:c>
      <x:c r="G87" s="48" t="n">
        <x:v>97.90575969627368</x:v>
      </x:c>
      <x:c r="H87" s="48" t="n">
        <x:v>100</x:v>
      </x:c>
      <x:c r="I87" s="48" t="n">
        <x:v>97.45</x:v>
      </x:c>
      <x:c r="J87" s="48" t="n">
        <x:v>100</x:v>
      </x:c>
      <x:c r="K87" t="n">
        <x:v>4</x:v>
      </x:c>
      <x:c r="L87" t="str">
        <x:v>Rating-distribution simulation; not weekly fantasy-point projection.</x:v>
      </x:c>
    </x:row>
    <x:row r="88">
      <x:c r="A88" t="str">
        <x:v>TE</x:v>
      </x:c>
      <x:c r="B88" t="str">
        <x:v>Brock Bowers</x:v>
      </x:c>
      <x:c r="C88" s="48" t="n">
        <x:v>94.88455995514477</x:v>
      </x:c>
      <x:c r="D88" s="48" t="str">
        <x:v>A</x:v>
      </x:c>
      <x:c r="E88" s="48" t="str">
        <x:v>RATE-ADJUSTED VETERAN</x:v>
      </x:c>
      <x:c r="F88" s="48" t="n">
        <x:v>89.75208674963476</x:v>
      </x:c>
      <x:c r="G88" s="48" t="n">
        <x:v>94.99819197435122</x:v>
      </x:c>
      <x:c r="H88" s="48" t="n">
        <x:v>99.9223052927264</x:v>
      </x:c>
      <x:c r="I88" s="48" t="n">
        <x:v>88.75</x:v>
      </x:c>
      <x:c r="J88" s="48" t="n">
        <x:v>100</x:v>
      </x:c>
      <x:c r="K88" t="n">
        <x:v>4</x:v>
      </x:c>
      <x:c r="L88" t="str">
        <x:v>Rating-distribution simulation; not weekly fantasy-point projection.</x:v>
      </x:c>
    </x:row>
    <x:row r="89">
      <x:c r="A89" t="str">
        <x:v>TE</x:v>
      </x:c>
      <x:c r="B89" t="str">
        <x:v>Colston Loveland</x:v>
      </x:c>
      <x:c r="C89" s="48" t="n">
        <x:v>88.75308009954404</x:v>
      </x:c>
      <x:c r="D89" s="48" t="str">
        <x:v>A</x:v>
      </x:c>
      <x:c r="E89" s="48" t="str">
        <x:v>RATE-ADJUSTED VETERAN</x:v>
      </x:c>
      <x:c r="F89" s="48" t="n">
        <x:v>83.49483548898266</x:v>
      </x:c>
      <x:c r="G89" s="48" t="n">
        <x:v>88.68237022409404</x:v>
      </x:c>
      <x:c r="H89" s="48" t="n">
        <x:v>93.73800714850769</x:v>
      </x:c>
      <x:c r="I89" s="48" t="n">
        <x:v>36.15</x:v>
      </x:c>
      <x:c r="J89" s="48" t="n">
        <x:v>98.8</x:v>
      </x:c>
      <x:c r="K89" t="n">
        <x:v>4</x:v>
      </x:c>
      <x:c r="L89" t="str">
        <x:v>Rating-distribution simulation; not weekly fantasy-point projection.</x:v>
      </x:c>
    </x:row>
    <x:row r="90">
      <x:c r="A90" t="str">
        <x:v>TE</x:v>
      </x:c>
      <x:c r="B90" t="str">
        <x:v>Tyler Warren</x:v>
      </x:c>
      <x:c r="C90" s="48" t="n">
        <x:v>87.2023750800111</x:v>
      </x:c>
      <x:c r="D90" s="48" t="str">
        <x:v>A</x:v>
      </x:c>
      <x:c r="E90" s="48" t="str">
        <x:v>RATE-ADJUSTED VETERAN</x:v>
      </x:c>
      <x:c r="F90" s="48" t="n">
        <x:v>81.96426929540245</x:v>
      </x:c>
      <x:c r="G90" s="48" t="n">
        <x:v>87.19574316543726</x:v>
      </x:c>
      <x:c r="H90" s="48" t="n">
        <x:v>91.99235972642118</x:v>
      </x:c>
      <x:c r="I90" s="48" t="n">
        <x:v>23.45</x:v>
      </x:c>
      <x:c r="J90" s="48" t="n">
        <x:v>96.7</x:v>
      </x:c>
      <x:c r="K90" t="n">
        <x:v>4</x:v>
      </x:c>
      <x:c r="L90" t="str">
        <x:v>Rating-distribution simulation; not weekly fantasy-point projection.</x:v>
      </x:c>
    </x:row>
    <x:row r="91">
      <x:c r="A91" t="str">
        <x:v>TE</x:v>
      </x:c>
      <x:c r="B91" t="str">
        <x:v>George Kittle</x:v>
      </x:c>
      <x:c r="C91" s="48" t="n">
        <x:v>86.26638054791886</x:v>
      </x:c>
      <x:c r="D91" s="48" t="str">
        <x:v>B</x:v>
      </x:c>
      <x:c r="E91" s="48" t="str">
        <x:v>RATE-ADJUSTED VETERAN</x:v>
      </x:c>
      <x:c r="F91" s="48" t="n">
        <x:v>78.73745203965896</x:v>
      </x:c>
      <x:c r="G91" s="48" t="n">
        <x:v>86.2128415581506</x:v>
      </x:c>
      <x:c r="H91" s="48" t="n">
        <x:v>94.16195134369822</x:v>
      </x:c>
      <x:c r="I91" s="48" t="n">
        <x:v>28.85</x:v>
      </x:c>
      <x:c r="J91" s="48" t="n">
        <x:v>86.25</x:v>
      </x:c>
      <x:c r="K91" t="n">
        <x:v>6</x:v>
      </x:c>
      <x:c r="L91" t="str">
        <x:v>Rating-distribution simulation; not weekly fantasy-point projection.</x:v>
      </x:c>
    </x:row>
    <x:row r="92">
      <x:c r="A92" t="str">
        <x:v>TE</x:v>
      </x:c>
      <x:c r="B92" t="str">
        <x:v>Kyle Pitts Sr.</x:v>
      </x:c>
      <x:c r="C92" s="48" t="n">
        <x:v>85.30445968766767</x:v>
      </x:c>
      <x:c r="D92" s="48" t="str">
        <x:v>A</x:v>
      </x:c>
      <x:c r="E92" s="48" t="str">
        <x:v>RATE-ADJUSTED VETERAN</x:v>
      </x:c>
      <x:c r="F92" s="48" t="n">
        <x:v>80.26719404712361</x:v>
      </x:c>
      <x:c r="G92" s="48" t="n">
        <x:v>85.1987832344285</x:v>
      </x:c>
      <x:c r="H92" s="48" t="n">
        <x:v>90.43378794083272</x:v>
      </x:c>
      <x:c r="I92" s="48" t="n">
        <x:v>12.35</x:v>
      </x:c>
      <x:c r="J92" s="48" t="n">
        <x:v>91.3</x:v>
      </x:c>
      <x:c r="K92" t="n">
        <x:v>4</x:v>
      </x:c>
      <x:c r="L92" t="str">
        <x:v>Rating-distribution simulation; not weekly fantasy-point projection.</x:v>
      </x:c>
    </x:row>
    <x:row r="93">
      <x:c r="A93" t="str">
        <x:v>TE</x:v>
      </x:c>
      <x:c r="B93" t="str">
        <x:v>Harold Fannin Jr.</x:v>
      </x:c>
      <x:c r="C93" s="48" t="n">
        <x:v>84.37768905814795</x:v>
      </x:c>
      <x:c r="D93" s="48" t="str">
        <x:v>A</x:v>
      </x:c>
      <x:c r="E93" s="48" t="str">
        <x:v>RATE-ADJUSTED VETERAN</x:v>
      </x:c>
      <x:c r="F93" s="48" t="n">
        <x:v>79.20885121303266</x:v>
      </x:c>
      <x:c r="G93" s="48" t="n">
        <x:v>84.44249823694331</x:v>
      </x:c>
      <x:c r="H93" s="48" t="n">
        <x:v>89.57921137309394</x:v>
      </x:c>
      <x:c r="I93" s="48" t="n">
        <x:v>7.9</x:v>
      </x:c>
      <x:c r="J93" s="48" t="n">
        <x:v>86.7</x:v>
      </x:c>
      <x:c r="K93" t="n">
        <x:v>4</x:v>
      </x:c>
      <x:c r="L93" t="str">
        <x:v>Rating-distribution simulation; not weekly fantasy-point projection.</x:v>
      </x:c>
    </x:row>
    <x:row r="94">
      <x:c r="A94" t="str">
        <x:v>TE</x:v>
      </x:c>
      <x:c r="B94" t="str">
        <x:v>Jake Ferguson</x:v>
      </x:c>
      <x:c r="C94" s="48" t="n">
        <x:v>84.07301065327228</x:v>
      </x:c>
      <x:c r="D94" s="48" t="str">
        <x:v>A</x:v>
      </x:c>
      <x:c r="E94" s="48" t="str">
        <x:v>RATE-ADJUSTED VETERAN</x:v>
      </x:c>
      <x:c r="F94" s="48" t="n">
        <x:v>79.12060156854213</x:v>
      </x:c>
      <x:c r="G94" s="48" t="n">
        <x:v>83.82035015184803</x:v>
      </x:c>
      <x:c r="H94" s="48" t="n">
        <x:v>89.0958929451956</x:v>
      </x:c>
      <x:c r="I94" s="48" t="n">
        <x:v>6.75</x:v>
      </x:c>
      <x:c r="J94" s="48" t="n">
        <x:v>85.8</x:v>
      </x:c>
      <x:c r="K94" t="n">
        <x:v>4</x:v>
      </x:c>
      <x:c r="L94" t="str">
        <x:v>Rating-distribution simulation; not weekly fantasy-point projection.</x:v>
      </x:c>
    </x:row>
    <x:row r="95">
      <x:c r="A95" t="str">
        <x:v>TE</x:v>
      </x:c>
      <x:c r="B95" t="str">
        <x:v>Tucker Kraft</x:v>
      </x:c>
      <x:c r="C95" s="48" t="n">
        <x:v>83.80862670075135</x:v>
      </x:c>
      <x:c r="D95" s="48" t="str">
        <x:v>B</x:v>
      </x:c>
      <x:c r="E95" s="48" t="str">
        <x:v>RATE-ADJUSTED VETERAN</x:v>
      </x:c>
      <x:c r="F95" s="48" t="n">
        <x:v>76.23704196635543</x:v>
      </x:c>
      <x:c r="G95" s="48" t="n">
        <x:v>83.80711466371774</x:v>
      </x:c>
      <x:c r="H95" s="48" t="n">
        <x:v>91.31589650527903</x:v>
      </x:c>
      <x:c r="I95" s="48" t="n">
        <x:v>15.15</x:v>
      </x:c>
      <x:c r="J95" s="48" t="n">
        <x:v>73.75</x:v>
      </x:c>
      <x:c r="K95" t="n">
        <x:v>6</x:v>
      </x:c>
      <x:c r="L95" t="str">
        <x:v>Rating-distribution simulation; not weekly fantasy-point projection.</x:v>
      </x:c>
    </x:row>
    <x:row r="96">
      <x:c r="A96" t="str">
        <x:v>TE</x:v>
      </x:c>
      <x:c r="B96" t="str">
        <x:v>Sam LaPorta</x:v>
      </x:c>
      <x:c r="C96" s="48" t="n">
        <x:v>82.86528996546019</x:v>
      </x:c>
      <x:c r="D96" s="48" t="str">
        <x:v>B</x:v>
      </x:c>
      <x:c r="E96" s="48" t="str">
        <x:v>RATE-ADJUSTED VETERAN</x:v>
      </x:c>
      <x:c r="F96" s="48" t="n">
        <x:v>74.9908593501569</x:v>
      </x:c>
      <x:c r="G96" s="48" t="n">
        <x:v>83.026999017318</x:v>
      </x:c>
      <x:c r="H96" s="48" t="n">
        <x:v>90.58569493699282</x:v>
      </x:c>
      <x:c r="I96" s="48" t="n">
        <x:v>11.6</x:v>
      </x:c>
      <x:c r="J96" s="48" t="n">
        <x:v>69.35</x:v>
      </x:c>
      <x:c r="K96" t="n">
        <x:v>6</x:v>
      </x:c>
      <x:c r="L96" t="str">
        <x:v>Rating-distribution simulation; not weekly fantasy-point projection.</x:v>
      </x:c>
    </x:row>
    <x:row r="97">
      <x:c r="A97" t="str">
        <x:v>TE</x:v>
      </x:c>
      <x:c r="B97" t="str">
        <x:v>Dalton Kincaid</x:v>
      </x:c>
      <x:c r="C97" s="48" t="n">
        <x:v>81.91409342545279</x:v>
      </x:c>
      <x:c r="D97" s="48" t="str">
        <x:v>A</x:v>
      </x:c>
      <x:c r="E97" s="48" t="str">
        <x:v>RATE-ADJUSTED VETERAN</x:v>
      </x:c>
      <x:c r="F97" s="48" t="n">
        <x:v>76.40790443055216</x:v>
      </x:c>
      <x:c r="G97" s="48" t="n">
        <x:v>81.90656841521248</x:v>
      </x:c>
      <x:c r="H97" s="48" t="n">
        <x:v>87.09516251274428</x:v>
      </x:c>
      <x:c r="I97" s="48" t="n">
        <x:v>2.1</x:v>
      </x:c>
      <x:c r="J97" s="48" t="n">
        <x:v>67.65</x:v>
      </x:c>
      <x:c r="K97" t="n">
        <x:v>4</x:v>
      </x:c>
      <x:c r="L97" t="str">
        <x:v>Rating-distribution simulation; not weekly fantasy-point projection.</x:v>
      </x:c>
    </x:row>
    <x:row r="98">
      <x:c r="A98" t="str">
        <x:v>TE</x:v>
      </x:c>
      <x:c r="B98" t="str">
        <x:v>Travis Kelce</x:v>
      </x:c>
      <x:c r="C98" s="48" t="n">
        <x:v>81.74777495564635</x:v>
      </x:c>
      <x:c r="D98" s="48" t="str">
        <x:v>A</x:v>
      </x:c>
      <x:c r="E98" s="48" t="str">
        <x:v>RATE-ADJUSTED VETERAN</x:v>
      </x:c>
      <x:c r="F98" s="48" t="n">
        <x:v>76.6878323529263</x:v>
      </x:c>
      <x:c r="G98" s="48" t="n">
        <x:v>81.81048897755774</x:v>
      </x:c>
      <x:c r="H98" s="48" t="n">
        <x:v>86.7942706023324</x:v>
      </x:c>
      <x:c r="I98" s="48" t="n">
        <x:v>2.05</x:v>
      </x:c>
      <x:c r="J98" s="48" t="n">
        <x:v>68.9</x:v>
      </x:c>
      <x:c r="K98" t="n">
        <x:v>4</x:v>
      </x:c>
      <x:c r="L98" t="str">
        <x:v>Rating-distribution simulation; not weekly fantasy-point projection.</x:v>
      </x:c>
    </x:row>
    <x:row r="99">
      <x:c r="A99" t="str">
        <x:v>TE</x:v>
      </x:c>
      <x:c r="B99" t="str">
        <x:v>Dallas Goedert</x:v>
      </x:c>
      <x:c r="C99" s="48" t="n">
        <x:v>79.9181106679422</x:v>
      </x:c>
      <x:c r="D99" s="48" t="str">
        <x:v>A</x:v>
      </x:c>
      <x:c r="E99" s="48" t="str">
        <x:v>RATE-ADJUSTED VETERAN</x:v>
      </x:c>
      <x:c r="F99" s="48" t="n">
        <x:v>74.78686963657773</x:v>
      </x:c>
      <x:c r="G99" s="48" t="n">
        <x:v>79.9214284148478</x:v>
      </x:c>
      <x:c r="H99" s="48" t="n">
        <x:v>85.148652403129</x:v>
      </x:c>
      <x:c r="I99" s="48" t="n">
        <x:v>0.55</x:v>
      </x:c>
      <x:c r="J99" s="48" t="n">
        <x:v>50.15</x:v>
      </x:c>
      <x:c r="K99" t="n">
        <x:v>4</x:v>
      </x:c>
      <x:c r="L99" t="str">
        <x:v>Rating-distribution simulation; not weekly fantasy-point projection.</x:v>
      </x:c>
    </x:row>
    <x:row r="100">
      <x:c r="A100" t="str">
        <x:v>TE</x:v>
      </x:c>
      <x:c r="B100" t="str">
        <x:v>Mark Andrews</x:v>
      </x:c>
      <x:c r="C100" s="48" t="n">
        <x:v>79.06538980083114</x:v>
      </x:c>
      <x:c r="D100" s="48" t="str">
        <x:v>A</x:v>
      </x:c>
      <x:c r="E100" s="48" t="str">
        <x:v>RATE-ADJUSTED VETERAN</x:v>
      </x:c>
      <x:c r="F100" s="48" t="n">
        <x:v>74.04825963997764</x:v>
      </x:c>
      <x:c r="G100" s="48" t="n">
        <x:v>79.21210308899306</x:v>
      </x:c>
      <x:c r="H100" s="48" t="n">
        <x:v>84.43148525865004</x:v>
      </x:c>
      <x:c r="I100" s="48" t="n">
        <x:v>0.35</x:v>
      </x:c>
      <x:c r="J100" s="48" t="n">
        <x:v>43.5</x:v>
      </x:c>
      <x:c r="K100" t="n">
        <x:v>4</x:v>
      </x:c>
      <x:c r="L100" t="str">
        <x:v>Rating-distribution simulation; not weekly fantasy-point projection.</x:v>
      </x:c>
    </x:row>
    <x:row r="101">
      <x:c r="A101" t="str">
        <x:v>TE</x:v>
      </x:c>
      <x:c r="B101" t="str">
        <x:v>Isaiah Likely</x:v>
      </x:c>
      <x:c r="C101" s="48" t="n">
        <x:v>78.57945648354206</x:v>
      </x:c>
      <x:c r="D101" s="48" t="str">
        <x:v>A</x:v>
      </x:c>
      <x:c r="E101" s="48" t="str">
        <x:v>RATE-ADJUSTED VETERAN</x:v>
      </x:c>
      <x:c r="F101" s="48" t="n">
        <x:v>73.4755439366795</x:v>
      </x:c>
      <x:c r="G101" s="48" t="n">
        <x:v>78.72842326990349</x:v>
      </x:c>
      <x:c r="H101" s="48" t="n">
        <x:v>83.53695387596333</x:v>
      </x:c>
      <x:c r="I101" s="48" t="n">
        <x:v>0.05</x:v>
      </x:c>
      <x:c r="J101" s="48" t="n">
        <x:v>38.9</x:v>
      </x:c>
      <x:c r="K101" t="n">
        <x:v>4</x:v>
      </x:c>
      <x:c r="L101" t="str">
        <x:v>Rating-distribution simulation; not weekly fantasy-point projection.</x:v>
      </x:c>
    </x:row>
    <x:row r="102">
      <x:c r="A102" t="str">
        <x:v>TE</x:v>
      </x:c>
      <x:c r="B102" t="str">
        <x:v>Juwan Johnson</x:v>
      </x:c>
      <x:c r="C102" s="48" t="n">
        <x:v>78.32031359820323</x:v>
      </x:c>
      <x:c r="D102" s="48" t="str">
        <x:v>A</x:v>
      </x:c>
      <x:c r="E102" s="48" t="str">
        <x:v>RATE-ADJUSTED VETERAN</x:v>
      </x:c>
      <x:c r="F102" s="48" t="n">
        <x:v>73.15978877545089</x:v>
      </x:c>
      <x:c r="G102" s="48" t="n">
        <x:v>78.36677895777665</x:v>
      </x:c>
      <x:c r="H102" s="48" t="n">
        <x:v>83.60191875280971</x:v>
      </x:c>
      <x:c r="I102" s="48" t="n">
        <x:v>0.25</x:v>
      </x:c>
      <x:c r="J102" s="48" t="n">
        <x:v>35</x:v>
      </x:c>
      <x:c r="K102" t="n">
        <x:v>4</x:v>
      </x:c>
      <x:c r="L102" t="str">
        <x:v>Rating-distribution simulation; not weekly fantasy-point projection.</x:v>
      </x:c>
    </x:row>
    <x:row r="103">
      <x:c r="A103" t="str">
        <x:v>TE</x:v>
      </x:c>
      <x:c r="B103" t="str">
        <x:v>Hunter Henry</x:v>
      </x:c>
      <x:c r="C103" s="48" t="n">
        <x:v>76.2525933033895</x:v>
      </x:c>
      <x:c r="D103" s="48" t="str">
        <x:v>A</x:v>
      </x:c>
      <x:c r="E103" s="48" t="str">
        <x:v>RATE-ADJUSTED VETERAN</x:v>
      </x:c>
      <x:c r="F103" s="48" t="n">
        <x:v>71.07735400379448</x:v>
      </x:c>
      <x:c r="G103" s="48" t="n">
        <x:v>76.24020352382772</x:v>
      </x:c>
      <x:c r="H103" s="48" t="n">
        <x:v>81.44324499183433</x:v>
      </x:c>
      <x:c r="I103" s="48" t="n">
        <x:v>0.05</x:v>
      </x:c>
      <x:c r="J103" s="48" t="n">
        <x:v>18.6</x:v>
      </x:c>
      <x:c r="K103" t="n">
        <x:v>4</x:v>
      </x:c>
      <x:c r="L103" t="str">
        <x:v>Rating-distribution simulation; not weekly fantasy-point projection.</x:v>
      </x:c>
    </x:row>
    <x:row r="104">
      <x:c r="A104" t="str">
        <x:v>TE</x:v>
      </x:c>
      <x:c r="B104" t="str">
        <x:v>Brenton Strange</x:v>
      </x:c>
      <x:c r="C104" s="48" t="n">
        <x:v>76.03210666780286</x:v>
      </x:c>
      <x:c r="D104" s="48" t="str">
        <x:v>A</x:v>
      </x:c>
      <x:c r="E104" s="48" t="str">
        <x:v>RATE-ADJUSTED VETERAN</x:v>
      </x:c>
      <x:c r="F104" s="48" t="n">
        <x:v>71.15168495313593</x:v>
      </x:c>
      <x:c r="G104" s="48" t="n">
        <x:v>76.31496420746575</x:v>
      </x:c>
      <x:c r="H104" s="48" t="n">
        <x:v>81.3644217868909</x:v>
      </x:c>
      <x:c r="I104" s="48" t="n">
        <x:v>0</x:v>
      </x:c>
      <x:c r="J104" s="48" t="n">
        <x:v>17.45</x:v>
      </x:c>
      <x:c r="K104" t="n">
        <x:v>4</x:v>
      </x:c>
      <x:c r="L104" t="str">
        <x:v>Rating-distribution simulation; not weekly fantasy-point projection.</x:v>
      </x:c>
    </x:row>
    <x:row r="105">
      <x:c r="A105" t="str">
        <x:v>TE</x:v>
      </x:c>
      <x:c r="B105" t="str">
        <x:v>Chig Okonkwo</x:v>
      </x:c>
      <x:c r="C105" s="48" t="n">
        <x:v>75.51323575633128</x:v>
      </x:c>
      <x:c r="D105" s="48" t="str">
        <x:v>A</x:v>
      </x:c>
      <x:c r="E105" s="48" t="str">
        <x:v>RATE-ADJUSTED VETERAN</x:v>
      </x:c>
      <x:c r="F105" s="48" t="n">
        <x:v>70.44010250779799</x:v>
      </x:c>
      <x:c r="G105" s="48" t="n">
        <x:v>75.66771455932027</x:v>
      </x:c>
      <x:c r="H105" s="48" t="n">
        <x:v>80.67488197291298</x:v>
      </x:c>
      <x:c r="I105" s="48" t="n">
        <x:v>0</x:v>
      </x:c>
      <x:c r="J105" s="48" t="n">
        <x:v>14.3</x:v>
      </x:c>
      <x:c r="K105" t="n">
        <x:v>4</x:v>
      </x:c>
      <x:c r="L105" t="str">
        <x:v>Rating-distribution simulation; not weekly fantasy-point projection.</x:v>
      </x:c>
    </x:row>
    <x:row r="106">
      <x:c r="A106" t="str">
        <x:v>TE</x:v>
      </x:c>
      <x:c r="B106" t="str">
        <x:v>Kenyon Sadiq</x:v>
      </x:c>
      <x:c r="C106" s="48" t="n">
        <x:v>74.09381905002525</x:v>
      </x:c>
      <x:c r="D106" s="48" t="str">
        <x:v>B</x:v>
      </x:c>
      <x:c r="E106" s="48" t="str">
        <x:v>ROOKIE ENGINE</x:v>
      </x:c>
      <x:c r="F106" s="48" t="n">
        <x:v>64.53770704346371</x:v>
      </x:c>
      <x:c r="G106" s="48" t="n">
        <x:v>73.86742807792916</x:v>
      </x:c>
      <x:c r="H106" s="48" t="n">
        <x:v>83.62498732828452</x:v>
      </x:c>
      <x:c r="I106" s="48" t="n">
        <x:v>1.9</x:v>
      </x:c>
      <x:c r="J106" s="48" t="n">
        <x:v>21.35</x:v>
      </x:c>
      <x:c r="K106" t="n">
        <x:v>7.5</x:v>
      </x:c>
      <x:c r="L106" t="str">
        <x:v>Rating-distribution simulation; not weekly fantasy-point projection.</x:v>
      </x:c>
    </x:row>
    <x:row r="107">
      <x:c r="A107" t="str">
        <x:v>TE</x:v>
      </x:c>
      <x:c r="B107" t="str">
        <x:v>T.J. Hockenson</x:v>
      </x:c>
      <x:c r="C107" s="48" t="n">
        <x:v>73.85269503643518</x:v>
      </x:c>
      <x:c r="D107" s="48" t="str">
        <x:v>A</x:v>
      </x:c>
      <x:c r="E107" s="48" t="str">
        <x:v>RATE-ADJUSTED VETERAN</x:v>
      </x:c>
      <x:c r="F107" s="48" t="n">
        <x:v>68.56700344985921</x:v>
      </x:c>
      <x:c r="G107" s="48" t="n">
        <x:v>73.75727401379517</x:v>
      </x:c>
      <x:c r="H107" s="48" t="n">
        <x:v>78.84151625586942</x:v>
      </x:c>
      <x:c r="I107" s="48" t="n">
        <x:v>0</x:v>
      </x:c>
      <x:c r="J107" s="48" t="n">
        <x:v>5.65</x:v>
      </x:c>
      <x:c r="K107" t="n">
        <x:v>4</x:v>
      </x:c>
      <x:c r="L107" t="str">
        <x:v>Rating-distribution simulation; not weekly fantasy-point projection.</x:v>
      </x:c>
    </x:row>
    <x:row r="108">
      <x:c r="A108" t="str">
        <x:v>TE</x:v>
      </x:c>
      <x:c r="B108" t="str">
        <x:v>Dalton Schultz</x:v>
      </x:c>
      <x:c r="C108" s="48" t="n">
        <x:v>73.27947609768881</x:v>
      </x:c>
      <x:c r="D108" s="48" t="str">
        <x:v>A</x:v>
      </x:c>
      <x:c r="E108" s="48" t="str">
        <x:v>RATE-ADJUSTED VETERAN</x:v>
      </x:c>
      <x:c r="F108" s="48" t="n">
        <x:v>67.91394791316002</x:v>
      </x:c>
      <x:c r="G108" s="48" t="n">
        <x:v>73.20765213924562</x:v>
      </x:c>
      <x:c r="H108" s="48" t="n">
        <x:v>78.30271674140471</x:v>
      </x:c>
      <x:c r="I108" s="48" t="n">
        <x:v>0</x:v>
      </x:c>
      <x:c r="J108" s="48" t="n">
        <x:v>4.55</x:v>
      </x:c>
      <x:c r="K108" t="n">
        <x:v>4</x:v>
      </x:c>
      <x:c r="L108" t="str">
        <x:v>Rating-distribution simulation; not weekly fantasy-point projection.</x:v>
      </x:c>
    </x:row>
    <x:row r="109">
      <x:c r="A109" t="str">
        <x:v>TE</x:v>
      </x:c>
      <x:c r="B109" t="str">
        <x:v>Oronde Gadsden II</x:v>
      </x:c>
      <x:c r="C109" s="48" t="n">
        <x:v>72.5137519384936</x:v>
      </x:c>
      <x:c r="D109" s="48" t="str">
        <x:v>A</x:v>
      </x:c>
      <x:c r="E109" s="48" t="str">
        <x:v>RATE-ADJUSTED VETERAN</x:v>
      </x:c>
      <x:c r="F109" s="48" t="n">
        <x:v>67.51287800907672</x:v>
      </x:c>
      <x:c r="G109" s="48" t="n">
        <x:v>72.5436183238203</x:v>
      </x:c>
      <x:c r="H109" s="48" t="n">
        <x:v>77.64169713644284</x:v>
      </x:c>
      <x:c r="I109" s="48" t="n">
        <x:v>0</x:v>
      </x:c>
      <x:c r="J109" s="48" t="n">
        <x:v>3.55</x:v>
      </x:c>
      <x:c r="K109" t="n">
        <x:v>4</x:v>
      </x:c>
      <x:c r="L109" t="str">
        <x:v>Rating-distribution simulation; not weekly fantasy-point projection.</x:v>
      </x:c>
    </x:row>
    <x:row r="110">
      <x:c r="A110" t="str">
        <x:v>TE</x:v>
      </x:c>
      <x:c r="B110" t="str">
        <x:v>AJ Barner</x:v>
      </x:c>
      <x:c r="C110" s="48" t="n">
        <x:v>70.12450665294148</x:v>
      </x:c>
      <x:c r="D110" s="48" t="str">
        <x:v>A</x:v>
      </x:c>
      <x:c r="E110" s="48" t="str">
        <x:v>RATE-ADJUSTED VETERAN</x:v>
      </x:c>
      <x:c r="F110" s="48" t="n">
        <x:v>65.0587276278235</x:v>
      </x:c>
      <x:c r="G110" s="48" t="n">
        <x:v>69.99226558045547</x:v>
      </x:c>
      <x:c r="H110" s="48" t="n">
        <x:v>75.35726124633635</x:v>
      </x:c>
      <x:c r="I110" s="48" t="n">
        <x:v>0</x:v>
      </x:c>
      <x:c r="J110" s="48" t="n">
        <x:v>0.85</x:v>
      </x:c>
      <x:c r="K110" t="n">
        <x:v>4</x:v>
      </x:c>
      <x:c r="L110" t="str">
        <x:v>Rating-distribution simulation; not weekly fantasy-point projection.</x:v>
      </x:c>
    </x:row>
    <x:row r="111">
      <x:c r="A111" t="str">
        <x:v>TE</x:v>
      </x:c>
      <x:c r="B111" t="str">
        <x:v>Cade Otton</x:v>
      </x:c>
      <x:c r="C111" s="48" t="n">
        <x:v>66.64902120836972</x:v>
      </x:c>
      <x:c r="D111" s="48" t="str">
        <x:v>A</x:v>
      </x:c>
      <x:c r="E111" s="48" t="str">
        <x:v>RATE-ADJUSTED VETERAN</x:v>
      </x:c>
      <x:c r="F111" s="48" t="n">
        <x:v>61.41145252515137</x:v>
      </x:c>
      <x:c r="G111" s="48" t="n">
        <x:v>66.48937345313001</x:v>
      </x:c>
      <x:c r="H111" s="48" t="n">
        <x:v>71.81149653546939</x:v>
      </x:c>
      <x:c r="I111" s="48" t="n">
        <x:v>0</x:v>
      </x:c>
      <x:c r="J111" s="48" t="n">
        <x:v>0.05</x:v>
      </x:c>
      <x:c r="K111" t="n">
        <x:v>4</x:v>
      </x:c>
      <x:c r="L111" t="str">
        <x:v>Rating-distribution simulation; not weekly fantasy-point projection.</x:v>
      </x:c>
    </x:row>
    <x:row r="112">
      <x:c r="A112" t="str">
        <x:v>TE</x:v>
      </x:c>
      <x:c r="B112" t="str">
        <x:v>Gunnar Helm</x:v>
      </x:c>
      <x:c r="C112" s="48" t="n">
        <x:v>66.62233998586467</x:v>
      </x:c>
      <x:c r="D112" s="48" t="str">
        <x:v>A</x:v>
      </x:c>
      <x:c r="E112" s="48" t="str">
        <x:v>RATE-ADJUSTED VETERAN</x:v>
      </x:c>
      <x:c r="F112" s="48" t="n">
        <x:v>61.55418919405335</x:v>
      </x:c>
      <x:c r="G112" s="48" t="n">
        <x:v>66.57477590510402</x:v>
      </x:c>
      <x:c r="H112" s="48" t="n">
        <x:v>71.68027539658233</x:v>
      </x:c>
      <x:c r="I112" s="48" t="n">
        <x:v>0</x:v>
      </x:c>
      <x:c r="J112" s="48" t="n">
        <x:v>0</x:v>
      </x:c>
      <x:c r="K112" t="n">
        <x:v>4</x:v>
      </x:c>
      <x:c r="L112" t="str">
        <x:v>Rating-distribution simulation; not weekly fantasy-point projection.</x:v>
      </x:c>
    </x:row>
    <x:row r="113">
      <x:c r="A113" t="str">
        <x:v>TE</x:v>
      </x:c>
      <x:c r="B113" t="str">
        <x:v>Terrance Ferguson</x:v>
      </x:c>
      <x:c r="C113" s="48" t="n">
        <x:v>64.36205882352941</x:v>
      </x:c>
      <x:c r="D113" s="48" t="str">
        <x:v>A</x:v>
      </x:c>
      <x:c r="E113" s="48" t="str">
        <x:v>RATE-ADJUSTED VETERAN</x:v>
      </x:c>
      <x:c r="F113" s="48" t="n">
        <x:v>59.16013846518903</x:v>
      </x:c>
      <x:c r="G113" s="48" t="n">
        <x:v>64.24413994646962</x:v>
      </x:c>
      <x:c r="H113" s="48" t="n">
        <x:v>69.34170698408643</x:v>
      </x:c>
      <x:c r="I113" s="48" t="n">
        <x:v>0</x:v>
      </x:c>
      <x:c r="J113" s="48" t="n">
        <x:v>0</x:v>
      </x:c>
      <x:c r="K113" t="n">
        <x:v>4</x:v>
      </x:c>
      <x:c r="L113" t="str">
        <x:v>Rating-distribution simulation; not weekly fantasy-point projection.</x:v>
      </x:c>
    </x:row>
    <x:row r="114">
      <x:c r="A114" t="str">
        <x:v>WR</x:v>
      </x:c>
      <x:c r="B114" t="str">
        <x:v>Ja'Marr Chase</x:v>
      </x:c>
      <x:c r="C114" s="48" t="n">
        <x:v>96.73226249999999</x:v>
      </x:c>
      <x:c r="D114" s="48" t="str">
        <x:v>A</x:v>
      </x:c>
      <x:c r="E114" s="48" t="str">
        <x:v>HISTORY FALLBACK</x:v>
      </x:c>
      <x:c r="F114" s="48" t="n">
        <x:v>91.5466436429268</x:v>
      </x:c>
      <x:c r="G114" s="48" t="n">
        <x:v>96.80994764283795</x:v>
      </x:c>
      <x:c r="H114" s="48" t="n">
        <x:v>100</x:v>
      </x:c>
      <x:c r="I114" s="48" t="n">
        <x:v>95.3</x:v>
      </x:c>
      <x:c r="J114" s="48" t="n">
        <x:v>100</x:v>
      </x:c>
      <x:c r="K114" t="n">
        <x:v>4</x:v>
      </x:c>
      <x:c r="L114" t="str">
        <x:v>Rating-distribution simulation; not weekly fantasy-point projection.</x:v>
      </x:c>
    </x:row>
    <x:row r="115">
      <x:c r="A115" t="str">
        <x:v>WR</x:v>
      </x:c>
      <x:c r="B115" t="str">
        <x:v>Puka Nacua</x:v>
      </x:c>
      <x:c r="C115" s="48" t="n">
        <x:v>98.48591</x:v>
      </x:c>
      <x:c r="D115" s="48" t="str">
        <x:v>A</x:v>
      </x:c>
      <x:c r="E115" s="48" t="str">
        <x:v>HISTORY FALLBACK</x:v>
      </x:c>
      <x:c r="F115" s="48" t="n">
        <x:v>93.50740054946871</x:v>
      </x:c>
      <x:c r="G115" s="48" t="n">
        <x:v>98.59042466799949</x:v>
      </x:c>
      <x:c r="H115" s="48" t="n">
        <x:v>100</x:v>
      </x:c>
      <x:c r="I115" s="48" t="n">
        <x:v>98.75</x:v>
      </x:c>
      <x:c r="J115" s="48" t="n">
        <x:v>100</x:v>
      </x:c>
      <x:c r="K115" t="n">
        <x:v>4</x:v>
      </x:c>
      <x:c r="L115" t="str">
        <x:v>Rating-distribution simulation; not weekly fantasy-point projection.</x:v>
      </x:c>
    </x:row>
    <x:row r="116">
      <x:c r="A116" t="str">
        <x:v>WR</x:v>
      </x:c>
      <x:c r="B116" t="str">
        <x:v>Jaxon Smith-Njigba</x:v>
      </x:c>
      <x:c r="C116" s="48" t="n">
        <x:v>94.07988999999998</x:v>
      </x:c>
      <x:c r="D116" s="48" t="str">
        <x:v>A</x:v>
      </x:c>
      <x:c r="E116" s="48" t="str">
        <x:v>HISTORY FALLBACK</x:v>
      </x:c>
      <x:c r="F116" s="48" t="n">
        <x:v>88.95751963256703</x:v>
      </x:c>
      <x:c r="G116" s="48" t="n">
        <x:v>94.04778083687282</x:v>
      </x:c>
      <x:c r="H116" s="48" t="n">
        <x:v>99.46749096844457</x:v>
      </x:c>
      <x:c r="I116" s="48" t="n">
        <x:v>84.8</x:v>
      </x:c>
      <x:c r="J116" s="48" t="n">
        <x:v>100</x:v>
      </x:c>
      <x:c r="K116" t="n">
        <x:v>4</x:v>
      </x:c>
      <x:c r="L116" t="str">
        <x:v>Rating-distribution simulation; not weekly fantasy-point projection.</x:v>
      </x:c>
    </x:row>
    <x:row r="117">
      <x:c r="A117" t="str">
        <x:v>WR</x:v>
      </x:c>
      <x:c r="B117" t="str">
        <x:v>Amon-Ra St. Brown</x:v>
      </x:c>
      <x:c r="C117" s="48" t="n">
        <x:v>93.26387249999999</x:v>
      </x:c>
      <x:c r="D117" s="48" t="str">
        <x:v>A</x:v>
      </x:c>
      <x:c r="E117" s="48" t="str">
        <x:v>HISTORY FALLBACK</x:v>
      </x:c>
      <x:c r="F117" s="48" t="n">
        <x:v>87.94520426698239</x:v>
      </x:c>
      <x:c r="G117" s="48" t="n">
        <x:v>93.2387108374165</x:v>
      </x:c>
      <x:c r="H117" s="48" t="n">
        <x:v>98.24717897811183</x:v>
      </x:c>
      <x:c r="I117" s="48" t="n">
        <x:v>78.1</x:v>
      </x:c>
      <x:c r="J117" s="48" t="n">
        <x:v>100</x:v>
      </x:c>
      <x:c r="K117" t="n">
        <x:v>4</x:v>
      </x:c>
      <x:c r="L117" t="str">
        <x:v>Rating-distribution simulation; not weekly fantasy-point projection.</x:v>
      </x:c>
    </x:row>
    <x:row r="118">
      <x:c r="A118" t="str">
        <x:v>WR</x:v>
      </x:c>
      <x:c r="B118" t="str">
        <x:v>A.J. Brown</x:v>
      </x:c>
      <x:c r="C118" s="48" t="n">
        <x:v>83.23567249999999</x:v>
      </x:c>
      <x:c r="D118" s="48" t="str">
        <x:v>A</x:v>
      </x:c>
      <x:c r="E118" s="48" t="str">
        <x:v>HISTORY FALLBACK</x:v>
      </x:c>
      <x:c r="F118" s="48" t="n">
        <x:v>77.96019609025973</x:v>
      </x:c>
      <x:c r="G118" s="48" t="n">
        <x:v>83.16425588303275</x:v>
      </x:c>
      <x:c r="H118" s="48" t="n">
        <x:v>88.04660286568723</x:v>
      </x:c>
      <x:c r="I118" s="48" t="n">
        <x:v>3.25</x:v>
      </x:c>
      <x:c r="J118" s="48" t="n">
        <x:v>97.45</x:v>
      </x:c>
      <x:c r="K118" t="n">
        <x:v>4</x:v>
      </x:c>
      <x:c r="L118" t="str">
        <x:v>Rating-distribution simulation; not weekly fantasy-point projection.</x:v>
      </x:c>
    </x:row>
    <x:row r="119">
      <x:c r="A119" t="str">
        <x:v>WR</x:v>
      </x:c>
      <x:c r="B119" t="str">
        <x:v>CeeDee Lamb</x:v>
      </x:c>
      <x:c r="C119" s="48" t="n">
        <x:v>85.742635</x:v>
      </x:c>
      <x:c r="D119" s="48" t="str">
        <x:v>A</x:v>
      </x:c>
      <x:c r="E119" s="48" t="str">
        <x:v>HISTORY FALLBACK</x:v>
      </x:c>
      <x:c r="F119" s="48" t="n">
        <x:v>80.44214237074702</x:v>
      </x:c>
      <x:c r="G119" s="48" t="n">
        <x:v>85.69326774948986</x:v>
      </x:c>
      <x:c r="H119" s="48" t="n">
        <x:v>90.78341284898859</x:v>
      </x:c>
      <x:c r="I119" s="48" t="n">
        <x:v>14.65</x:v>
      </x:c>
      <x:c r="J119" s="48" t="n">
        <x:v>99.45</x:v>
      </x:c>
      <x:c r="K119" t="n">
        <x:v>4</x:v>
      </x:c>
      <x:c r="L119" t="str">
        <x:v>Rating-distribution simulation; not weekly fantasy-point projection.</x:v>
      </x:c>
    </x:row>
    <x:row r="120">
      <x:c r="A120" t="str">
        <x:v>WR</x:v>
      </x:c>
      <x:c r="B120" t="str">
        <x:v>Justin Jefferson</x:v>
      </x:c>
      <x:c r="C120" s="48" t="n">
        <x:v>84.7935825</x:v>
      </x:c>
      <x:c r="D120" s="48" t="str">
        <x:v>A</x:v>
      </x:c>
      <x:c r="E120" s="48" t="str">
        <x:v>HISTORY FALLBACK</x:v>
      </x:c>
      <x:c r="F120" s="48" t="n">
        <x:v>79.69064371382575</x:v>
      </x:c>
      <x:c r="G120" s="48" t="n">
        <x:v>84.85696535214603</x:v>
      </x:c>
      <x:c r="H120" s="48" t="n">
        <x:v>89.902737095599</x:v>
      </x:c>
      <x:c r="I120" s="48" t="n">
        <x:v>9.5</x:v>
      </x:c>
      <x:c r="J120" s="48" t="n">
        <x:v>99.05</x:v>
      </x:c>
      <x:c r="K120" t="n">
        <x:v>4</x:v>
      </x:c>
      <x:c r="L120" t="str">
        <x:v>Rating-distribution simulation; not weekly fantasy-point projection.</x:v>
      </x:c>
    </x:row>
    <x:row r="121">
      <x:c r="A121" t="str">
        <x:v>WR</x:v>
      </x:c>
      <x:c r="B121" t="str">
        <x:v>George Pickens</x:v>
      </x:c>
      <x:c r="C121" s="48" t="n">
        <x:v>81.8366075</x:v>
      </x:c>
      <x:c r="D121" s="48" t="str">
        <x:v>A</x:v>
      </x:c>
      <x:c r="E121" s="48" t="str">
        <x:v>HISTORY FALLBACK</x:v>
      </x:c>
      <x:c r="F121" s="48" t="n">
        <x:v>76.77552071758825</x:v>
      </x:c>
      <x:c r="G121" s="48" t="n">
        <x:v>81.98308304608526</x:v>
      </x:c>
      <x:c r="H121" s="48" t="n">
        <x:v>87.00026010116088</x:v>
      </x:c>
      <x:c r="I121" s="48" t="n">
        <x:v>2.3</x:v>
      </x:c>
      <x:c r="J121" s="48" t="n">
        <x:v>95.85</x:v>
      </x:c>
      <x:c r="K121" t="n">
        <x:v>4</x:v>
      </x:c>
      <x:c r="L121" t="str">
        <x:v>Rating-distribution simulation; not weekly fantasy-point projection.</x:v>
      </x:c>
    </x:row>
    <x:row r="122">
      <x:c r="A122" t="str">
        <x:v>WR</x:v>
      </x:c>
      <x:c r="B122" t="str">
        <x:v>Drake London</x:v>
      </x:c>
      <x:c r="C122" s="48" t="n">
        <x:v>87.5106325</x:v>
      </x:c>
      <x:c r="D122" s="48" t="str">
        <x:v>A</x:v>
      </x:c>
      <x:c r="E122" s="48" t="str">
        <x:v>HISTORY FALLBACK</x:v>
      </x:c>
      <x:c r="F122" s="48" t="n">
        <x:v>82.28964916237088</x:v>
      </x:c>
      <x:c r="G122" s="48" t="n">
        <x:v>87.56221194868208</x:v>
      </x:c>
      <x:c r="H122" s="48" t="n">
        <x:v>92.66822640898334</x:v>
      </x:c>
      <x:c r="I122" s="48" t="n">
        <x:v>26.4</x:v>
      </x:c>
      <x:c r="J122" s="48" t="n">
        <x:v>99.85</x:v>
      </x:c>
      <x:c r="K122" t="n">
        <x:v>4</x:v>
      </x:c>
      <x:c r="L122" t="str">
        <x:v>Rating-distribution simulation; not weekly fantasy-point projection.</x:v>
      </x:c>
    </x:row>
    <x:row r="123">
      <x:c r="A123" t="str">
        <x:v>WR</x:v>
      </x:c>
      <x:c r="B123" t="str">
        <x:v>Nico Collins</x:v>
      </x:c>
      <x:c r="C123" s="48" t="n">
        <x:v>91.4925</x:v>
      </x:c>
      <x:c r="D123" s="48" t="str">
        <x:v>B</x:v>
      </x:c>
      <x:c r="E123" s="48" t="str">
        <x:v>HISTORY FALLBACK</x:v>
      </x:c>
      <x:c r="F123" s="48" t="n">
        <x:v>83.87853627573094</x:v>
      </x:c>
      <x:c r="G123" s="48" t="n">
        <x:v>91.55267035969618</x:v>
      </x:c>
      <x:c r="H123" s="48" t="n">
        <x:v>99.30216014245022</x:v>
      </x:c>
      <x:c r="I123" s="48" t="n">
        <x:v>59.3</x:v>
      </x:c>
      <x:c r="J123" s="48" t="n">
        <x:v>99.55</x:v>
      </x:c>
      <x:c r="K123" t="n">
        <x:v>6</x:v>
      </x:c>
      <x:c r="L123" t="str">
        <x:v>Rating-distribution simulation; not weekly fantasy-point projection.</x:v>
      </x:c>
    </x:row>
    <x:row r="124">
      <x:c r="A124" t="str">
        <x:v>WR</x:v>
      </x:c>
      <x:c r="B124" t="str">
        <x:v>Rashee Rice</x:v>
      </x:c>
      <x:c r="C124" s="48" t="n">
        <x:v>84.09473</x:v>
      </x:c>
      <x:c r="D124" s="48" t="str">
        <x:v>A</x:v>
      </x:c>
      <x:c r="E124" s="48" t="str">
        <x:v>HISTORY FALLBACK</x:v>
      </x:c>
      <x:c r="F124" s="48" t="n">
        <x:v>78.98269627033596</x:v>
      </x:c>
      <x:c r="G124" s="48" t="n">
        <x:v>84.19015473818922</x:v>
      </x:c>
      <x:c r="H124" s="48" t="n">
        <x:v>89.11808799422144</x:v>
      </x:c>
      <x:c r="I124" s="48" t="n">
        <x:v>6.85</x:v>
      </x:c>
      <x:c r="J124" s="48" t="n">
        <x:v>98.9</x:v>
      </x:c>
      <x:c r="K124" t="n">
        <x:v>4</x:v>
      </x:c>
      <x:c r="L124" t="str">
        <x:v>Rating-distribution simulation; not weekly fantasy-point projection.</x:v>
      </x:c>
    </x:row>
    <x:row r="125">
      <x:c r="A125" t="str">
        <x:v>WR</x:v>
      </x:c>
      <x:c r="B125" t="str">
        <x:v>Chris Olave</x:v>
      </x:c>
      <x:c r="C125" s="48" t="n">
        <x:v>88.9075</x:v>
      </x:c>
      <x:c r="D125" s="48" t="str">
        <x:v>B</x:v>
      </x:c>
      <x:c r="E125" s="48" t="str">
        <x:v>HISTORY FALLBACK</x:v>
      </x:c>
      <x:c r="F125" s="48" t="n">
        <x:v>81.25981708216537</x:v>
      </x:c>
      <x:c r="G125" s="48" t="n">
        <x:v>88.91016467808409</x:v>
      </x:c>
      <x:c r="H125" s="48" t="n">
        <x:v>96.53753911067693</x:v>
      </x:c>
      <x:c r="I125" s="48" t="n">
        <x:v>41.8</x:v>
      </x:c>
      <x:c r="J125" s="48" t="n">
        <x:v>99.25</x:v>
      </x:c>
      <x:c r="K125" t="n">
        <x:v>6</x:v>
      </x:c>
      <x:c r="L125" t="str">
        <x:v>Rating-distribution simulation; not weekly fantasy-point projection.</x:v>
      </x:c>
    </x:row>
    <x:row r="126">
      <x:c r="A126" t="str">
        <x:v>WR</x:v>
      </x:c>
      <x:c r="B126" t="str">
        <x:v>Tetairoa McMillan</x:v>
      </x:c>
      <x:c r="C126" s="48" t="n">
        <x:v>85.74</x:v>
      </x:c>
      <x:c r="D126" s="48" t="str">
        <x:v>B</x:v>
      </x:c>
      <x:c r="E126" s="48" t="str">
        <x:v>HISTORY FALLBACK</x:v>
      </x:c>
      <x:c r="F126" s="48" t="n">
        <x:v>77.95365547065317</x:v>
      </x:c>
      <x:c r="G126" s="48" t="n">
        <x:v>85.59671919617848</x:v>
      </x:c>
      <x:c r="H126" s="48" t="n">
        <x:v>93.16472867649435</x:v>
      </x:c>
      <x:c r="I126" s="48" t="n">
        <x:v>23.6</x:v>
      </x:c>
      <x:c r="J126" s="48" t="n">
        <x:v>96.3</x:v>
      </x:c>
      <x:c r="K126" t="n">
        <x:v>6</x:v>
      </x:c>
      <x:c r="L126" t="str">
        <x:v>Rating-distribution simulation; not weekly fantasy-point projection.</x:v>
      </x:c>
    </x:row>
    <x:row r="127">
      <x:c r="A127" t="str">
        <x:v>WR</x:v>
      </x:c>
      <x:c r="B127" t="str">
        <x:v>Tee Higgins</x:v>
      </x:c>
      <x:c r="C127" s="48" t="n">
        <x:v>84.82249999999999</x:v>
      </x:c>
      <x:c r="D127" s="48" t="str">
        <x:v>B</x:v>
      </x:c>
      <x:c r="E127" s="48" t="str">
        <x:v>HISTORY FALLBACK</x:v>
      </x:c>
      <x:c r="F127" s="48" t="n">
        <x:v>76.83422527555419</x:v>
      </x:c>
      <x:c r="G127" s="48" t="n">
        <x:v>84.44052293083514</x:v>
      </x:c>
      <x:c r="H127" s="48" t="n">
        <x:v>92.38956279061296</x:v>
      </x:c>
      <x:c r="I127" s="48" t="n">
        <x:v>18.95</x:v>
      </x:c>
      <x:c r="J127" s="48" t="n">
        <x:v>94.55</x:v>
      </x:c>
      <x:c r="K127" t="n">
        <x:v>6</x:v>
      </x:c>
      <x:c r="L127" t="str">
        <x:v>Rating-distribution simulation; not weekly fantasy-point projection.</x:v>
      </x:c>
    </x:row>
    <x:row r="128">
      <x:c r="A128" t="str">
        <x:v>WR</x:v>
      </x:c>
      <x:c r="B128" t="str">
        <x:v>Garrett Wilson</x:v>
      </x:c>
      <x:c r="C128" s="48" t="n">
        <x:v>86.155</x:v>
      </x:c>
      <x:c r="D128" s="48" t="str">
        <x:v>B</x:v>
      </x:c>
      <x:c r="E128" s="48" t="str">
        <x:v>HISTORY FALLBACK</x:v>
      </x:c>
      <x:c r="F128" s="48" t="n">
        <x:v>78.62277529875519</x:v>
      </x:c>
      <x:c r="G128" s="48" t="n">
        <x:v>86.37175398941847</x:v>
      </x:c>
      <x:c r="H128" s="48" t="n">
        <x:v>93.78785461416211</x:v>
      </x:c>
      <x:c r="I128" s="48" t="n">
        <x:v>27.85</x:v>
      </x:c>
      <x:c r="J128" s="48" t="n">
        <x:v>96.55</x:v>
      </x:c>
      <x:c r="K128" t="n">
        <x:v>6</x:v>
      </x:c>
      <x:c r="L128" t="str">
        <x:v>Rating-distribution simulation; not weekly fantasy-point projection.</x:v>
      </x:c>
    </x:row>
    <x:row r="129">
      <x:c r="A129" t="str">
        <x:v>WR</x:v>
      </x:c>
      <x:c r="B129" t="str">
        <x:v>DeVonta Smith</x:v>
      </x:c>
      <x:c r="C129" s="48" t="n">
        <x:v>87.4875</x:v>
      </x:c>
      <x:c r="D129" s="48" t="str">
        <x:v>B</x:v>
      </x:c>
      <x:c r="E129" s="48" t="str">
        <x:v>HISTORY FALLBACK</x:v>
      </x:c>
      <x:c r="F129" s="48" t="n">
        <x:v>79.84089521933711</x:v>
      </x:c>
      <x:c r="G129" s="48" t="n">
        <x:v>87.46405119755522</x:v>
      </x:c>
      <x:c r="H129" s="48" t="n">
        <x:v>94.7990420117227</x:v>
      </x:c>
      <x:c r="I129" s="48" t="n">
        <x:v>33.3</x:v>
      </x:c>
      <x:c r="J129" s="48" t="n">
        <x:v>98.25</x:v>
      </x:c>
      <x:c r="K129" t="n">
        <x:v>6</x:v>
      </x:c>
      <x:c r="L129" t="str">
        <x:v>Rating-distribution simulation; not weekly fantasy-point projection.</x:v>
      </x:c>
    </x:row>
    <x:row r="130">
      <x:c r="A130" t="str">
        <x:v>WR</x:v>
      </x:c>
      <x:c r="B130" t="str">
        <x:v>Zay Flowers</x:v>
      </x:c>
      <x:c r="C130" s="48" t="n">
        <x:v>86.57</x:v>
      </x:c>
      <x:c r="D130" s="48" t="str">
        <x:v>B</x:v>
      </x:c>
      <x:c r="E130" s="48" t="str">
        <x:v>HISTORY FALLBACK</x:v>
      </x:c>
      <x:c r="F130" s="48" t="n">
        <x:v>78.78809550255586</x:v>
      </x:c>
      <x:c r="G130" s="48" t="n">
        <x:v>86.67523508601447</x:v>
      </x:c>
      <x:c r="H130" s="48" t="n">
        <x:v>94.10699384764496</x:v>
      </x:c>
      <x:c r="I130" s="48" t="n">
        <x:v>27.8</x:v>
      </x:c>
      <x:c r="J130" s="48" t="n">
        <x:v>97.35</x:v>
      </x:c>
      <x:c r="K130" t="n">
        <x:v>6</x:v>
      </x:c>
      <x:c r="L130" t="str">
        <x:v>Rating-distribution simulation; not weekly fantasy-point projection.</x:v>
      </x:c>
    </x:row>
    <x:row r="131">
      <x:c r="A131" t="str">
        <x:v>WR</x:v>
      </x:c>
      <x:c r="B131" t="str">
        <x:v>Malik Nabers</x:v>
      </x:c>
      <x:c r="C131" s="48" t="n">
        <x:v>81.1525</x:v>
      </x:c>
      <x:c r="D131" s="48" t="str">
        <x:v>C</x:v>
      </x:c>
      <x:c r="E131" s="48" t="str">
        <x:v>HISTORY FALLBACK</x:v>
      </x:c>
      <x:c r="F131" s="48" t="n">
        <x:v>70.02686689607576</x:v>
      </x:c>
      <x:c r="G131" s="48" t="n">
        <x:v>81.29950282336469</x:v>
      </x:c>
      <x:c r="H131" s="48" t="n">
        <x:v>92.5304106365463</x:v>
      </x:c>
      <x:c r="I131" s="48" t="n">
        <x:v>15.7</x:v>
      </x:c>
      <x:c r="J131" s="48" t="n">
        <x:v>76.65</x:v>
      </x:c>
      <x:c r="K131" t="n">
        <x:v>8.5</x:v>
      </x:c>
      <x:c r="L131" t="str">
        <x:v>Rating-distribution simulation; not weekly fantasy-point projection.</x:v>
      </x:c>
    </x:row>
    <x:row r="132">
      <x:c r="A132" t="str">
        <x:v>WR</x:v>
      </x:c>
      <x:c r="B132" t="str">
        <x:v>Emeka Egbuka</x:v>
      </x:c>
      <x:c r="C132" s="48" t="n">
        <x:v>81.735</x:v>
      </x:c>
      <x:c r="D132" s="48" t="str">
        <x:v>C</x:v>
      </x:c>
      <x:c r="E132" s="48" t="str">
        <x:v>HISTORY FALLBACK</x:v>
      </x:c>
      <x:c r="F132" s="48" t="n">
        <x:v>70.5864642181934</x:v>
      </x:c>
      <x:c r="G132" s="48" t="n">
        <x:v>81.76967063796995</x:v>
      </x:c>
      <x:c r="H132" s="48" t="n">
        <x:v>93.19807226232494</x:v>
      </x:c>
      <x:c r="I132" s="48" t="n">
        <x:v>17.2</x:v>
      </x:c>
      <x:c r="J132" s="48" t="n">
        <x:v>77.95</x:v>
      </x:c>
      <x:c r="K132" t="n">
        <x:v>8.5</x:v>
      </x:c>
      <x:c r="L132" t="str">
        <x:v>Rating-distribution simulation; not weekly fantasy-point projection.</x:v>
      </x:c>
    </x:row>
    <x:row r="133">
      <x:c r="A133" t="str">
        <x:v>WR</x:v>
      </x:c>
      <x:c r="B133" t="str">
        <x:v>Jaylen Waddle</x:v>
      </x:c>
      <x:c r="C133" s="48" t="n">
        <x:v>82.3175</x:v>
      </x:c>
      <x:c r="D133" s="48" t="str">
        <x:v>C</x:v>
      </x:c>
      <x:c r="E133" s="48" t="str">
        <x:v>HISTORY FALLBACK</x:v>
      </x:c>
      <x:c r="F133" s="48" t="n">
        <x:v>71.48752806376267</x:v>
      </x:c>
      <x:c r="G133" s="48" t="n">
        <x:v>82.09226152179795</x:v>
      </x:c>
      <x:c r="H133" s="48" t="n">
        <x:v>92.58672688722498</x:v>
      </x:c>
      <x:c r="I133" s="48" t="n">
        <x:v>17</x:v>
      </x:c>
      <x:c r="J133" s="48" t="n">
        <x:v>81</x:v>
      </x:c>
      <x:c r="K133" t="n">
        <x:v>8.5</x:v>
      </x:c>
      <x:c r="L133" t="str">
        <x:v>Rating-distribution simulation; not weekly fantasy-point projection.</x:v>
      </x:c>
    </x:row>
    <x:row r="134">
      <x:c r="A134" t="str">
        <x:v>WR</x:v>
      </x:c>
      <x:c r="B134" t="str">
        <x:v>Terry McLaurin</x:v>
      </x:c>
      <x:c r="C134" s="48" t="n">
        <x:v>79.9</x:v>
      </x:c>
      <x:c r="D134" s="48" t="str">
        <x:v>C</x:v>
      </x:c>
      <x:c r="E134" s="48" t="str">
        <x:v>HISTORY FALLBACK</x:v>
      </x:c>
      <x:c r="F134" s="48" t="n">
        <x:v>68.53326161000157</x:v>
      </x:c>
      <x:c r="G134" s="48" t="n">
        <x:v>80.22994690027816</x:v>
      </x:c>
      <x:c r="H134" s="48" t="n">
        <x:v>91.06323527668664</x:v>
      </x:c>
      <x:c r="I134" s="48" t="n">
        <x:v>12.25</x:v>
      </x:c>
      <x:c r="J134" s="48" t="n">
        <x:v>72.2</x:v>
      </x:c>
      <x:c r="K134" t="n">
        <x:v>8.5</x:v>
      </x:c>
      <x:c r="L134" t="str">
        <x:v>Rating-distribution simulation; not weekly fantasy-point projection.</x:v>
      </x:c>
    </x:row>
    <x:row r="135">
      <x:c r="A135" t="str">
        <x:v>WR</x:v>
      </x:c>
      <x:c r="B135" t="str">
        <x:v>Ladd McConkey</x:v>
      </x:c>
      <x:c r="C135" s="48" t="n">
        <x:v>82.7325</x:v>
      </x:c>
      <x:c r="D135" s="48" t="str">
        <x:v>B</x:v>
      </x:c>
      <x:c r="E135" s="48" t="str">
        <x:v>HISTORY FALLBACK</x:v>
      </x:c>
      <x:c r="F135" s="48" t="n">
        <x:v>74.65509748837124</x:v>
      </x:c>
      <x:c r="G135" s="48" t="n">
        <x:v>82.56712003588137</x:v>
      </x:c>
      <x:c r="H135" s="48" t="n">
        <x:v>90.50645638235747</x:v>
      </x:c>
      <x:c r="I135" s="48" t="n">
        <x:v>11.6</x:v>
      </x:c>
      <x:c r="J135" s="48" t="n">
        <x:v>89.45</x:v>
      </x:c>
      <x:c r="K135" t="n">
        <x:v>6</x:v>
      </x:c>
      <x:c r="L135" t="str">
        <x:v>Rating-distribution simulation; not weekly fantasy-point projection.</x:v>
      </x:c>
    </x:row>
    <x:row r="136">
      <x:c r="A136" t="str">
        <x:v>WR</x:v>
      </x:c>
      <x:c r="B136" t="str">
        <x:v>Davante Adams</x:v>
      </x:c>
      <x:c r="C136" s="48" t="n">
        <x:v>78.065</x:v>
      </x:c>
      <x:c r="D136" s="48" t="str">
        <x:v>C</x:v>
      </x:c>
      <x:c r="E136" s="48" t="str">
        <x:v>HISTORY FALLBACK</x:v>
      </x:c>
      <x:c r="F136" s="48" t="n">
        <x:v>67.14101896427408</x:v>
      </x:c>
      <x:c r="G136" s="48" t="n">
        <x:v>78.12856918933589</x:v>
      </x:c>
      <x:c r="H136" s="48" t="n">
        <x:v>89.24396313490972</x:v>
      </x:c>
      <x:c r="I136" s="48" t="n">
        <x:v>8.6</x:v>
      </x:c>
      <x:c r="J136" s="48" t="n">
        <x:v>65.25</x:v>
      </x:c>
      <x:c r="K136" t="n">
        <x:v>8.5</x:v>
      </x:c>
      <x:c r="L136" t="str">
        <x:v>Rating-distribution simulation; not weekly fantasy-point projection.</x:v>
      </x:c>
    </x:row>
    <x:row r="137">
      <x:c r="A137" t="str">
        <x:v>WR</x:v>
      </x:c>
      <x:c r="B137" t="str">
        <x:v>Luther Burden III</x:v>
      </x:c>
      <x:c r="C137" s="48" t="n">
        <x:v>78.64750000000001</x:v>
      </x:c>
      <x:c r="D137" s="48" t="str">
        <x:v>C</x:v>
      </x:c>
      <x:c r="E137" s="48" t="str">
        <x:v>HISTORY FALLBACK</x:v>
      </x:c>
      <x:c r="F137" s="48" t="n">
        <x:v>67.79525977046356</x:v>
      </x:c>
      <x:c r="G137" s="48" t="n">
        <x:v>78.41031418904203</x:v>
      </x:c>
      <x:c r="H137" s="48" t="n">
        <x:v>89.43073012188631</x:v>
      </x:c>
      <x:c r="I137" s="48" t="n">
        <x:v>8.7</x:v>
      </x:c>
      <x:c r="J137" s="48" t="n">
        <x:v>67.1</x:v>
      </x:c>
      <x:c r="K137" t="n">
        <x:v>8.5</x:v>
      </x:c>
      <x:c r="L137" t="str">
        <x:v>Rating-distribution simulation; not weekly fantasy-point projection.</x:v>
      </x:c>
    </x:row>
    <x:row r="138">
      <x:c r="A138" t="str">
        <x:v>WR</x:v>
      </x:c>
      <x:c r="B138" t="str">
        <x:v>DJ Moore</x:v>
      </x:c>
      <x:c r="C138" s="48" t="n">
        <x:v>75.48</x:v>
      </x:c>
      <x:c r="D138" s="48" t="str">
        <x:v>C</x:v>
      </x:c>
      <x:c r="E138" s="48" t="str">
        <x:v>HISTORY FALLBACK</x:v>
      </x:c>
      <x:c r="F138" s="48" t="n">
        <x:v>64.57768947668346</x:v>
      </x:c>
      <x:c r="G138" s="48" t="n">
        <x:v>75.14932561649191</x:v>
      </x:c>
      <x:c r="H138" s="48" t="n">
        <x:v>86.26935138553333</x:v>
      </x:c>
      <x:c r="I138" s="48" t="n">
        <x:v>4.7</x:v>
      </x:c>
      <x:c r="J138" s="48" t="n">
        <x:v>50.95</x:v>
      </x:c>
      <x:c r="K138" t="n">
        <x:v>8.5</x:v>
      </x:c>
      <x:c r="L138" t="str">
        <x:v>Rating-distribution simulation; not weekly fantasy-point projection.</x:v>
      </x:c>
    </x:row>
    <x:row r="139">
      <x:c r="A139" t="str">
        <x:v>WR</x:v>
      </x:c>
      <x:c r="B139" t="str">
        <x:v>Jameson Williams</x:v>
      </x:c>
      <x:c r="C139" s="48" t="n">
        <x:v>76.0625</x:v>
      </x:c>
      <x:c r="D139" s="48" t="str">
        <x:v>C</x:v>
      </x:c>
      <x:c r="E139" s="48" t="str">
        <x:v>HISTORY FALLBACK</x:v>
      </x:c>
      <x:c r="F139" s="48" t="n">
        <x:v>65.02186731162541</x:v>
      </x:c>
      <x:c r="G139" s="48" t="n">
        <x:v>75.76410451245253</x:v>
      </x:c>
      <x:c r="H139" s="48" t="n">
        <x:v>86.23167333318808</x:v>
      </x:c>
      <x:c r="I139" s="48" t="n">
        <x:v>4.4</x:v>
      </x:c>
      <x:c r="J139" s="48" t="n">
        <x:v>53.75</x:v>
      </x:c>
      <x:c r="K139" t="n">
        <x:v>8.5</x:v>
      </x:c>
      <x:c r="L139" t="str">
        <x:v>Rating-distribution simulation; not weekly fantasy-point projection.</x:v>
      </x:c>
    </x:row>
    <x:row r="140">
      <x:c r="A140" t="str">
        <x:v>WR</x:v>
      </x:c>
      <x:c r="B140" t="str">
        <x:v>Rome Odunze</x:v>
      </x:c>
      <x:c r="C140" s="48" t="n">
        <x:v>73.645</x:v>
      </x:c>
      <x:c r="D140" s="48" t="str">
        <x:v>C</x:v>
      </x:c>
      <x:c r="E140" s="48" t="str">
        <x:v>HISTORY FALLBACK</x:v>
      </x:c>
      <x:c r="F140" s="48" t="n">
        <x:v>62.47200495844694</x:v>
      </x:c>
      <x:c r="G140" s="48" t="n">
        <x:v>73.59518047028578</x:v>
      </x:c>
      <x:c r="H140" s="48" t="n">
        <x:v>84.62386285677447</x:v>
      </x:c>
      <x:c r="I140" s="48" t="n">
        <x:v>3</x:v>
      </x:c>
      <x:c r="J140" s="48" t="n">
        <x:v>44.4</x:v>
      </x:c>
      <x:c r="K140" t="n">
        <x:v>8.5</x:v>
      </x:c>
      <x:c r="L140" t="str">
        <x:v>Rating-distribution simulation; not weekly fantasy-point projection.</x:v>
      </x:c>
    </x:row>
    <x:row r="141">
      <x:c r="A141" t="str">
        <x:v>WR</x:v>
      </x:c>
      <x:c r="B141" t="str">
        <x:v>Mike Evans</x:v>
      </x:c>
      <x:c r="C141" s="48" t="n">
        <x:v>76.47749999999999</x:v>
      </x:c>
      <x:c r="D141" s="48" t="str">
        <x:v>C</x:v>
      </x:c>
      <x:c r="E141" s="48" t="str">
        <x:v>HISTORY FALLBACK</x:v>
      </x:c>
      <x:c r="F141" s="48" t="n">
        <x:v>65.47204616751377</x:v>
      </x:c>
      <x:c r="G141" s="48" t="n">
        <x:v>76.44521879662014</x:v>
      </x:c>
      <x:c r="H141" s="48" t="n">
        <x:v>87.0857847811087</x:v>
      </x:c>
      <x:c r="I141" s="48" t="n">
        <x:v>5.3</x:v>
      </x:c>
      <x:c r="J141" s="48" t="n">
        <x:v>58.15</x:v>
      </x:c>
      <x:c r="K141" t="n">
        <x:v>8.5</x:v>
      </x:c>
      <x:c r="L141" t="str">
        <x:v>Rating-distribution simulation; not weekly fantasy-point projection.</x:v>
      </x:c>
    </x:row>
    <x:row r="142">
      <x:c r="A142" t="str">
        <x:v>WR</x:v>
      </x:c>
      <x:c r="B142" t="str">
        <x:v>Marvin Harrison Jr.</x:v>
      </x:c>
      <x:c r="C142" s="48" t="n">
        <x:v>71.81</x:v>
      </x:c>
      <x:c r="D142" s="48" t="str">
        <x:v>C</x:v>
      </x:c>
      <x:c r="E142" s="48" t="str">
        <x:v>HISTORY FALLBACK</x:v>
      </x:c>
      <x:c r="F142" s="48" t="n">
        <x:v>60.610261857383996</x:v>
      </x:c>
      <x:c r="G142" s="48" t="n">
        <x:v>71.84978548497082</x:v>
      </x:c>
      <x:c r="H142" s="48" t="n">
        <x:v>82.87393361488452</x:v>
      </x:c>
      <x:c r="I142" s="48" t="n">
        <x:v>1.85</x:v>
      </x:c>
      <x:c r="J142" s="48" t="n">
        <x:v>35.35</x:v>
      </x:c>
      <x:c r="K142" t="n">
        <x:v>8.5</x:v>
      </x:c>
      <x:c r="L142" t="str">
        <x:v>Rating-distribution simulation; not weekly fantasy-point projection.</x:v>
      </x:c>
    </x:row>
    <x:row r="143">
      <x:c r="A143" t="str">
        <x:v>WR</x:v>
      </x:c>
      <x:c r="B143" t="str">
        <x:v>Christian Watson</x:v>
      </x:c>
      <x:c r="C143" s="48" t="n">
        <x:v>73.8925</x:v>
      </x:c>
      <x:c r="D143" s="48" t="str">
        <x:v>C</x:v>
      </x:c>
      <x:c r="E143" s="48" t="str">
        <x:v>HISTORY FALLBACK</x:v>
      </x:c>
      <x:c r="F143" s="48" t="n">
        <x:v>62.71688866242871</x:v>
      </x:c>
      <x:c r="G143" s="48" t="n">
        <x:v>73.9758233516616</x:v>
      </x:c>
      <x:c r="H143" s="48" t="n">
        <x:v>85.1457261228175</x:v>
      </x:c>
      <x:c r="I143" s="48" t="n">
        <x:v>3.6</x:v>
      </x:c>
      <x:c r="J143" s="48" t="n">
        <x:v>45.75</x:v>
      </x:c>
      <x:c r="K143" t="n">
        <x:v>8.5</x:v>
      </x:c>
      <x:c r="L143" t="str">
        <x:v>Rating-distribution simulation; not weekly fantasy-point projection.</x:v>
      </x:c>
    </x:row>
    <x:row r="144">
      <x:c r="A144" t="str">
        <x:v>WR</x:v>
      </x:c>
      <x:c r="B144" t="str">
        <x:v>Alec Pierce</x:v>
      </x:c>
      <x:c r="C144" s="48" t="n">
        <x:v>70.725</x:v>
      </x:c>
      <x:c r="D144" s="48" t="str">
        <x:v>C</x:v>
      </x:c>
      <x:c r="E144" s="48" t="str">
        <x:v>HISTORY FALLBACK</x:v>
      </x:c>
      <x:c r="F144" s="48" t="n">
        <x:v>59.428330863443975</x:v>
      </x:c>
      <x:c r="G144" s="48" t="n">
        <x:v>70.65666087205638</x:v>
      </x:c>
      <x:c r="H144" s="48" t="n">
        <x:v>81.75184350762893</x:v>
      </x:c>
      <x:c r="I144" s="48" t="n">
        <x:v>1.4</x:v>
      </x:c>
      <x:c r="J144" s="48" t="n">
        <x:v>31.3</x:v>
      </x:c>
      <x:c r="K144" t="n">
        <x:v>8.5</x:v>
      </x:c>
      <x:c r="L144" t="str">
        <x:v>Rating-distribution simulation; not weekly fantasy-point projection.</x:v>
      </x:c>
    </x:row>
    <x:row r="145">
      <x:c r="A145" t="str">
        <x:v>WR</x:v>
      </x:c>
      <x:c r="B145" t="str">
        <x:v>DK Metcalf</x:v>
      </x:c>
      <x:c r="C145" s="48" t="n">
        <x:v>69.8075</x:v>
      </x:c>
      <x:c r="D145" s="48" t="str">
        <x:v>C</x:v>
      </x:c>
      <x:c r="E145" s="48" t="str">
        <x:v>HISTORY FALLBACK</x:v>
      </x:c>
      <x:c r="F145" s="48" t="n">
        <x:v>58.13537252735656</x:v>
      </x:c>
      <x:c r="G145" s="48" t="n">
        <x:v>69.470311381371</x:v>
      </x:c>
      <x:c r="H145" s="48" t="n">
        <x:v>80.14844130676931</x:v>
      </x:c>
      <x:c r="I145" s="48" t="n">
        <x:v>0.65</x:v>
      </x:c>
      <x:c r="J145" s="48" t="n">
        <x:v>26.95</x:v>
      </x:c>
      <x:c r="K145" t="n">
        <x:v>8.5</x:v>
      </x:c>
      <x:c r="L145" t="str">
        <x:v>Rating-distribution simulation; not weekly fantasy-point projection.</x:v>
      </x:c>
    </x:row>
    <x:row r="146">
      <x:c r="A146" t="str">
        <x:v>WR</x:v>
      </x:c>
      <x:c r="B146" t="str">
        <x:v>Carnell Tate</x:v>
      </x:c>
      <x:c r="C146" s="48" t="n">
        <x:v>71.89</x:v>
      </x:c>
      <x:c r="D146" s="48" t="str">
        <x:v>C</x:v>
      </x:c>
      <x:c r="E146" s="48" t="str">
        <x:v>HISTORY FALLBACK</x:v>
      </x:c>
      <x:c r="F146" s="48" t="n">
        <x:v>60.909682094699285</x:v>
      </x:c>
      <x:c r="G146" s="48" t="n">
        <x:v>71.89311905794044</x:v>
      </x:c>
      <x:c r="H146" s="48" t="n">
        <x:v>82.84994562109392</x:v>
      </x:c>
      <x:c r="I146" s="48" t="n">
        <x:v>1.8</x:v>
      </x:c>
      <x:c r="J146" s="48" t="n">
        <x:v>35.85</x:v>
      </x:c>
      <x:c r="K146" t="n">
        <x:v>8.5</x:v>
      </x:c>
      <x:c r="L146" t="str">
        <x:v>Rating-distribution simulation; not weekly fantasy-point projection.</x:v>
      </x:c>
    </x:row>
    <x:row r="147">
      <x:c r="A147" t="str">
        <x:v>WR</x:v>
      </x:c>
      <x:c r="B147" t="str">
        <x:v>Courtland Sutton</x:v>
      </x:c>
      <x:c r="C147" s="48" t="n">
        <x:v>68.7225</x:v>
      </x:c>
      <x:c r="D147" s="48" t="str">
        <x:v>C</x:v>
      </x:c>
      <x:c r="E147" s="48" t="str">
        <x:v>HISTORY FALLBACK</x:v>
      </x:c>
      <x:c r="F147" s="48" t="n">
        <x:v>58.07319267965126</x:v>
      </x:c>
      <x:c r="G147" s="48" t="n">
        <x:v>68.71568902325969</x:v>
      </x:c>
      <x:c r="H147" s="48" t="n">
        <x:v>79.07914890886374</x:v>
      </x:c>
      <x:c r="I147" s="48" t="n">
        <x:v>0.55</x:v>
      </x:c>
      <x:c r="J147" s="48" t="n">
        <x:v>22.15</x:v>
      </x:c>
      <x:c r="K147" t="n">
        <x:v>8.5</x:v>
      </x:c>
      <x:c r="L147" t="str">
        <x:v>Rating-distribution simulation; not weekly fantasy-point projection.</x:v>
      </x:c>
    </x:row>
    <x:row r="148">
      <x:c r="A148" t="str">
        <x:v>WR</x:v>
      </x:c>
      <x:c r="B148" t="str">
        <x:v>Jordyn Tyson</x:v>
      </x:c>
      <x:c r="C148" s="48" t="n">
        <x:v>76.22</x:v>
      </x:c>
      <x:c r="D148" s="48" t="str">
        <x:v>C</x:v>
      </x:c>
      <x:c r="E148" s="48" t="str">
        <x:v>HISTORY FALLBACK</x:v>
      </x:c>
      <x:c r="F148" s="48" t="n">
        <x:v>65.47784545389167</x:v>
      </x:c>
      <x:c r="G148" s="48" t="n">
        <x:v>76.37913273316751</x:v>
      </x:c>
      <x:c r="H148" s="48" t="n">
        <x:v>86.72283696417873</x:v>
      </x:c>
      <x:c r="I148" s="48" t="n">
        <x:v>4.75</x:v>
      </x:c>
      <x:c r="J148" s="48" t="n">
        <x:v>58.5</x:v>
      </x:c>
      <x:c r="K148" t="n">
        <x:v>8.5</x:v>
      </x:c>
      <x:c r="L148" t="str">
        <x:v>Rating-distribution simulation; not weekly fantasy-point projection.</x:v>
      </x:c>
    </x:row>
    <x:row r="149">
      <x:c r="A149" t="str">
        <x:v>WR</x:v>
      </x:c>
      <x:c r="B149" t="str">
        <x:v>Michael Pittman Jr.</x:v>
      </x:c>
      <x:c r="C149" s="48" t="n">
        <x:v>75.55</x:v>
      </x:c>
      <x:c r="D149" s="48" t="str">
        <x:v>C</x:v>
      </x:c>
      <x:c r="E149" s="48" t="str">
        <x:v>HISTORY FALLBACK</x:v>
      </x:c>
      <x:c r="F149" s="48" t="n">
        <x:v>64.74488886373732</x:v>
      </x:c>
      <x:c r="G149" s="48" t="n">
        <x:v>75.66008020491938</x:v>
      </x:c>
      <x:c r="H149" s="48" t="n">
        <x:v>86.53228929629512</x:v>
      </x:c>
      <x:c r="I149" s="48" t="n">
        <x:v>4.65</x:v>
      </x:c>
      <x:c r="J149" s="48" t="n">
        <x:v>53.6</x:v>
      </x:c>
      <x:c r="K149" t="n">
        <x:v>8.5</x:v>
      </x:c>
      <x:c r="L149" t="str">
        <x:v>Rating-distribution simulation; not weekly fantasy-point projection.</x:v>
      </x:c>
    </x:row>
    <x:row r="150">
      <x:c r="A150" t="str">
        <x:v>WR</x:v>
      </x:c>
      <x:c r="B150" t="str">
        <x:v>Jakobi Meyers</x:v>
      </x:c>
      <x:c r="C150" s="48" t="n">
        <x:v>74.88</x:v>
      </x:c>
      <x:c r="D150" s="48" t="str">
        <x:v>C</x:v>
      </x:c>
      <x:c r="E150" s="48" t="str">
        <x:v>HISTORY FALLBACK</x:v>
      </x:c>
      <x:c r="F150" s="48" t="n">
        <x:v>63.74240513552597</x:v>
      </x:c>
      <x:c r="G150" s="48" t="n">
        <x:v>75.0118044553028</x:v>
      </x:c>
      <x:c r="H150" s="48" t="n">
        <x:v>85.46021795221847</x:v>
      </x:c>
      <x:c r="I150" s="48" t="n">
        <x:v>3.7</x:v>
      </x:c>
      <x:c r="J150" s="48" t="n">
        <x:v>50.5</x:v>
      </x:c>
      <x:c r="K150" t="n">
        <x:v>8.5</x:v>
      </x:c>
      <x:c r="L150" t="str">
        <x:v>Rating-distribution simulation; not weekly fantasy-point projection.</x:v>
      </x:c>
    </x:row>
    <x:row r="151">
      <x:c r="A151" t="str">
        <x:v>WR</x:v>
      </x:c>
      <x:c r="B151" t="str">
        <x:v>Jordan Addison</x:v>
      </x:c>
      <x:c r="C151" s="48" t="n">
        <x:v>74.21</x:v>
      </x:c>
      <x:c r="D151" s="48" t="str">
        <x:v>C</x:v>
      </x:c>
      <x:c r="E151" s="48" t="str">
        <x:v>HISTORY FALLBACK</x:v>
      </x:c>
      <x:c r="F151" s="48" t="n">
        <x:v>63.63753001342335</x:v>
      </x:c>
      <x:c r="G151" s="48" t="n">
        <x:v>74.13727955643674</x:v>
      </x:c>
      <x:c r="H151" s="48" t="n">
        <x:v>85.03421716919465</x:v>
      </x:c>
      <x:c r="I151" s="48" t="n">
        <x:v>2.35</x:v>
      </x:c>
      <x:c r="J151" s="48" t="n">
        <x:v>46.7</x:v>
      </x:c>
      <x:c r="K151" t="n">
        <x:v>8.5</x:v>
      </x:c>
      <x:c r="L151" t="str">
        <x:v>Rating-distribution simulation; not weekly fantasy-point projection.</x:v>
      </x:c>
    </x:row>
    <x:row r="152">
      <x:c r="A152" t="str">
        <x:v>WR</x:v>
      </x:c>
      <x:c r="B152" t="str">
        <x:v>Wan'Dale Robinson</x:v>
      </x:c>
      <x:c r="C152" s="48" t="n">
        <x:v>73.53999999999999</x:v>
      </x:c>
      <x:c r="D152" s="48" t="str">
        <x:v>C</x:v>
      </x:c>
      <x:c r="E152" s="48" t="str">
        <x:v>HISTORY FALLBACK</x:v>
      </x:c>
      <x:c r="F152" s="48" t="n">
        <x:v>62.511757064047735</x:v>
      </x:c>
      <x:c r="G152" s="48" t="n">
        <x:v>73.60183425499096</x:v>
      </x:c>
      <x:c r="H152" s="48" t="n">
        <x:v>84.68394724378713</x:v>
      </x:c>
      <x:c r="I152" s="48" t="n">
        <x:v>2.9</x:v>
      </x:c>
      <x:c r="J152" s="48" t="n">
        <x:v>43.9</x:v>
      </x:c>
      <x:c r="K152" t="n">
        <x:v>8.5</x:v>
      </x:c>
      <x:c r="L152" t="str">
        <x:v>Rating-distribution simulation; not weekly fantasy-point projection.</x:v>
      </x:c>
    </x:row>
    <x:row r="153">
      <x:c r="A153" t="str">
        <x:v>WR</x:v>
      </x:c>
      <x:c r="B153" t="str">
        <x:v>Brian Thomas Jr.</x:v>
      </x:c>
      <x:c r="C153" s="48" t="n">
        <x:v>66.9675</x:v>
      </x:c>
      <x:c r="D153" s="48" t="str">
        <x:v>C</x:v>
      </x:c>
      <x:c r="E153" s="48" t="str">
        <x:v>HISTORY FALLBACK</x:v>
      </x:c>
      <x:c r="F153" s="48" t="n">
        <x:v>56.37890685071137</x:v>
      </x:c>
      <x:c r="G153" s="48" t="n">
        <x:v>67.61598994678008</x:v>
      </x:c>
      <x:c r="H153" s="48" t="n">
        <x:v>77.47617145884533</x:v>
      </x:c>
      <x:c r="I153" s="48" t="n">
        <x:v>0.3</x:v>
      </x:c>
      <x:c r="J153" s="48" t="n">
        <x:v>17.75</x:v>
      </x:c>
      <x:c r="K153" t="n">
        <x:v>8.5</x:v>
      </x:c>
      <x:c r="L153" t="str">
        <x:v>Rating-distribution simulation; not weekly fantasy-point projection.</x:v>
      </x:c>
    </x:row>
    <x:row r="154">
      <x:c r="A154" t="str">
        <x:v>WR</x:v>
      </x:c>
      <x:c r="B154" t="str">
        <x:v>Makai Lemon</x:v>
      </x:c>
      <x:c r="C154" s="48" t="n">
        <x:v>72.2</x:v>
      </x:c>
      <x:c r="D154" s="48" t="str">
        <x:v>C</x:v>
      </x:c>
      <x:c r="E154" s="48" t="str">
        <x:v>HISTORY FALLBACK</x:v>
      </x:c>
      <x:c r="F154" s="48" t="n">
        <x:v>61.444461580202</x:v>
      </x:c>
      <x:c r="G154" s="48" t="n">
        <x:v>72.22455502323574</x:v>
      </x:c>
      <x:c r="H154" s="48" t="n">
        <x:v>82.9708274279085</x:v>
      </x:c>
      <x:c r="I154" s="48" t="n">
        <x:v>2.25</x:v>
      </x:c>
      <x:c r="J154" s="48" t="n">
        <x:v>38.05</x:v>
      </x:c>
      <x:c r="K154" t="n">
        <x:v>8.5</x:v>
      </x:c>
      <x:c r="L154" t="str">
        <x:v>Rating-distribution simulation; not weekly fantasy-point projection.</x:v>
      </x:c>
    </x:row>
    <x:row r="155">
      <x:c r="A155" t="str">
        <x:v>WR</x:v>
      </x:c>
      <x:c r="B155" t="str">
        <x:v>Parker Washington</x:v>
      </x:c>
      <x:c r="C155" s="48" t="n">
        <x:v>71.53</x:v>
      </x:c>
      <x:c r="D155" s="48" t="str">
        <x:v>C</x:v>
      </x:c>
      <x:c r="E155" s="48" t="str">
        <x:v>HISTORY FALLBACK</x:v>
      </x:c>
      <x:c r="F155" s="48" t="n">
        <x:v>60.764092340973576</x:v>
      </x:c>
      <x:c r="G155" s="48" t="n">
        <x:v>71.61665135113206</x:v>
      </x:c>
      <x:c r="H155" s="48" t="n">
        <x:v>82.57472796195576</x:v>
      </x:c>
      <x:c r="I155" s="48" t="n">
        <x:v>1.55</x:v>
      </x:c>
      <x:c r="J155" s="48" t="n">
        <x:v>34.45</x:v>
      </x:c>
      <x:c r="K155" t="n">
        <x:v>8.5</x:v>
      </x:c>
      <x:c r="L155" t="str">
        <x:v>Rating-distribution simulation; not weekly fantasy-point projection.</x:v>
      </x:c>
    </x:row>
    <x:row r="156">
      <x:c r="A156" t="str">
        <x:v>WR</x:v>
      </x:c>
      <x:c r="B156" t="str">
        <x:v>Chris Godwin Jr.</x:v>
      </x:c>
      <x:c r="C156" s="48" t="n">
        <x:v>70.86</x:v>
      </x:c>
      <x:c r="D156" s="48" t="str">
        <x:v>C</x:v>
      </x:c>
      <x:c r="E156" s="48" t="str">
        <x:v>HISTORY FALLBACK</x:v>
      </x:c>
      <x:c r="F156" s="48" t="n">
        <x:v>60.193094578223196</x:v>
      </x:c>
      <x:c r="G156" s="48" t="n">
        <x:v>71.07062620403802</x:v>
      </x:c>
      <x:c r="H156" s="48" t="n">
        <x:v>81.76136440681819</x:v>
      </x:c>
      <x:c r="I156" s="48" t="n">
        <x:v>1.1</x:v>
      </x:c>
      <x:c r="J156" s="48" t="n">
        <x:v>32.8</x:v>
      </x:c>
      <x:c r="K156" t="n">
        <x:v>8.5</x:v>
      </x:c>
      <x:c r="L156" t="str">
        <x:v>Rating-distribution simulation; not weekly fantasy-point projection.</x:v>
      </x:c>
    </x:row>
    <x:row r="157">
      <x:c r="A157" t="str">
        <x:v>WR</x:v>
      </x:c>
      <x:c r="B157" t="str">
        <x:v>Quentin Johnston</x:v>
      </x:c>
      <x:c r="C157" s="48" t="n">
        <x:v>70.19</x:v>
      </x:c>
      <x:c r="D157" s="48" t="str">
        <x:v>C</x:v>
      </x:c>
      <x:c r="E157" s="48" t="str">
        <x:v>HISTORY FALLBACK</x:v>
      </x:c>
      <x:c r="F157" s="48" t="n">
        <x:v>59.0784633130313</x:v>
      </x:c>
      <x:c r="G157" s="48" t="n">
        <x:v>70.08314303754595</x:v>
      </x:c>
      <x:c r="H157" s="48" t="n">
        <x:v>80.5733883948516</x:v>
      </x:c>
      <x:c r="I157" s="48" t="n">
        <x:v>1.2</x:v>
      </x:c>
      <x:c r="J157" s="48" t="n">
        <x:v>27.65</x:v>
      </x:c>
      <x:c r="K157" t="n">
        <x:v>8.5</x:v>
      </x:c>
      <x:c r="L157" t="str">
        <x:v>Rating-distribution simulation; not weekly fantasy-point projection.</x:v>
      </x:c>
    </x:row>
    <x:row r="158">
      <x:c r="A158" t="str">
        <x:v>WR</x:v>
      </x:c>
      <x:c r="B158" t="str">
        <x:v>Ricky Pearsall</x:v>
      </x:c>
      <x:c r="C158" s="48" t="n">
        <x:v>69.52</x:v>
      </x:c>
      <x:c r="D158" s="48" t="str">
        <x:v>C</x:v>
      </x:c>
      <x:c r="E158" s="48" t="str">
        <x:v>HISTORY FALLBACK</x:v>
      </x:c>
      <x:c r="F158" s="48" t="n">
        <x:v>58.52222091301676</x:v>
      </x:c>
      <x:c r="G158" s="48" t="n">
        <x:v>69.42666702900136</x:v>
      </x:c>
      <x:c r="H158" s="48" t="n">
        <x:v>80.71678912920116</x:v>
      </x:c>
      <x:c r="I158" s="48" t="n">
        <x:v>0.75</x:v>
      </x:c>
      <x:c r="J158" s="48" t="n">
        <x:v>27.55</x:v>
      </x:c>
      <x:c r="K158" t="n">
        <x:v>8.5</x:v>
      </x:c>
      <x:c r="L158" t="str">
        <x:v>Rating-distribution simulation; not weekly fantasy-point projection.</x:v>
      </x:c>
    </x:row>
    <x:row r="159">
      <x:c r="A159" t="str">
        <x:v>WR</x:v>
      </x:c>
      <x:c r="B159" t="str">
        <x:v>Michael Wilson</x:v>
      </x:c>
      <x:c r="C159" s="48" t="n">
        <x:v>68.85</x:v>
      </x:c>
      <x:c r="D159" s="48" t="str">
        <x:v>C</x:v>
      </x:c>
      <x:c r="E159" s="48" t="str">
        <x:v>HISTORY FALLBACK</x:v>
      </x:c>
      <x:c r="F159" s="48" t="n">
        <x:v>58.08902467426685</x:v>
      </x:c>
      <x:c r="G159" s="48" t="n">
        <x:v>68.65562882071907</x:v>
      </x:c>
      <x:c r="H159" s="48" t="n">
        <x:v>79.64750289189723</x:v>
      </x:c>
      <x:c r="I159" s="48" t="n">
        <x:v>0.85</x:v>
      </x:c>
      <x:c r="J159" s="48" t="n">
        <x:v>23.65</x:v>
      </x:c>
      <x:c r="K159" t="n">
        <x:v>8.5</x:v>
      </x:c>
      <x:c r="L159" t="str">
        <x:v>Rating-distribution simulation; not weekly fantasy-point projection.</x:v>
      </x:c>
    </x:row>
    <x:row r="160">
      <x:c r="A160" t="str">
        <x:v>WR</x:v>
      </x:c>
      <x:c r="B160" t="str">
        <x:v>Xavier Worthy</x:v>
      </x:c>
      <x:c r="C160" s="48" t="n">
        <x:v>68.18</x:v>
      </x:c>
      <x:c r="D160" s="48" t="str">
        <x:v>C</x:v>
      </x:c>
      <x:c r="E160" s="48" t="str">
        <x:v>HISTORY FALLBACK</x:v>
      </x:c>
      <x:c r="F160" s="48" t="n">
        <x:v>57.28137815167559</x:v>
      </x:c>
      <x:c r="G160" s="48" t="n">
        <x:v>67.99604841843612</x:v>
      </x:c>
      <x:c r="H160" s="48" t="n">
        <x:v>79.15185243715626</x:v>
      </x:c>
      <x:c r="I160" s="48" t="n">
        <x:v>0.3</x:v>
      </x:c>
      <x:c r="J160" s="48" t="n">
        <x:v>20.8</x:v>
      </x:c>
      <x:c r="K160" t="n">
        <x:v>8.5</x:v>
      </x:c>
      <x:c r="L160" t="str">
        <x:v>Rating-distribution simulation; not weekly fantasy-point projection.</x:v>
      </x:c>
    </x:row>
    <x:row r="161">
      <x:c r="A161" t="str">
        <x:v>WR</x:v>
      </x:c>
      <x:c r="B161" t="str">
        <x:v>Matthew Golden</x:v>
      </x:c>
      <x:c r="C161" s="48" t="n">
        <x:v>67.50999999999999</x:v>
      </x:c>
      <x:c r="D161" s="48" t="str">
        <x:v>C</x:v>
      </x:c>
      <x:c r="E161" s="48" t="str">
        <x:v>HISTORY FALLBACK</x:v>
      </x:c>
      <x:c r="F161" s="48" t="n">
        <x:v>56.06927126495848</x:v>
      </x:c>
      <x:c r="G161" s="48" t="n">
        <x:v>67.28254519820634</x:v>
      </x:c>
      <x:c r="H161" s="48" t="n">
        <x:v>77.84004567104888</x:v>
      </x:c>
      <x:c r="I161" s="48" t="n">
        <x:v>0.6</x:v>
      </x:c>
      <x:c r="J161" s="48" t="n">
        <x:v>18.65</x:v>
      </x:c>
      <x:c r="K161" t="n">
        <x:v>8.5</x:v>
      </x:c>
      <x:c r="L161" t="str">
        <x:v>Rating-distribution simulation; not weekly fantasy-point projection.</x:v>
      </x:c>
    </x:row>
    <x:row r="162">
      <x:c r="A162" t="str">
        <x:v>WR</x:v>
      </x:c>
      <x:c r="B162" t="str">
        <x:v>Josh Downs</x:v>
      </x:c>
      <x:c r="C162" s="48" t="n">
        <x:v>66.84</x:v>
      </x:c>
      <x:c r="D162" s="48" t="str">
        <x:v>C</x:v>
      </x:c>
      <x:c r="E162" s="48" t="str">
        <x:v>HISTORY FALLBACK</x:v>
      </x:c>
      <x:c r="F162" s="48" t="n">
        <x:v>55.457363399853705</x:v>
      </x:c>
      <x:c r="G162" s="48" t="n">
        <x:v>66.63940607712293</x:v>
      </x:c>
      <x:c r="H162" s="48" t="n">
        <x:v>77.9070789515195</x:v>
      </x:c>
      <x:c r="I162" s="48" t="n">
        <x:v>0.6</x:v>
      </x:c>
      <x:c r="J162" s="48" t="n">
        <x:v>17.85</x:v>
      </x:c>
      <x:c r="K162" t="n">
        <x:v>8.5</x:v>
      </x:c>
      <x:c r="L162" t="str">
        <x:v>Rating-distribution simulation; not weekly fantasy-point projection.</x:v>
      </x:c>
    </x:row>
    <x:row r="163">
      <x:c r="A163" t="str">
        <x:v>WR</x:v>
      </x:c>
      <x:c r="B163" t="str">
        <x:v>Jayden Reed</x:v>
      </x:c>
      <x:c r="C163" s="48" t="n">
        <x:v>66.16999999999999</x:v>
      </x:c>
      <x:c r="D163" s="48" t="str">
        <x:v>C</x:v>
      </x:c>
      <x:c r="E163" s="48" t="str">
        <x:v>HISTORY FALLBACK</x:v>
      </x:c>
      <x:c r="F163" s="48" t="n">
        <x:v>55.18837652572314</x:v>
      </x:c>
      <x:c r="G163" s="48" t="n">
        <x:v>66.07803904882444</x:v>
      </x:c>
      <x:c r="H163" s="48" t="n">
        <x:v>77.66819963873584</x:v>
      </x:c>
      <x:c r="I163" s="48" t="n">
        <x:v>0.25</x:v>
      </x:c>
      <x:c r="J163" s="48" t="n">
        <x:v>15.35</x:v>
      </x:c>
      <x:c r="K163" t="n">
        <x:v>8.5</x:v>
      </x:c>
      <x:c r="L163" t="str">
        <x:v>Rating-distribution simulation; not weekly fantasy-point projection.</x:v>
      </x:c>
    </x:row>
    <x:row r="164">
      <x:c r="A164" t="str">
        <x:v>WR</x:v>
      </x:c>
      <x:c r="B164" t="str">
        <x:v>Khalil Shakir</x:v>
      </x:c>
      <x:c r="C164" s="48" t="n">
        <x:v>65.5</x:v>
      </x:c>
      <x:c r="D164" s="48" t="str">
        <x:v>C</x:v>
      </x:c>
      <x:c r="E164" s="48" t="str">
        <x:v>HISTORY FALLBACK</x:v>
      </x:c>
      <x:c r="F164" s="48" t="n">
        <x:v>54.75787844349246</x:v>
      </x:c>
      <x:c r="G164" s="48" t="n">
        <x:v>65.2284696991344</x:v>
      </x:c>
      <x:c r="H164" s="48" t="n">
        <x:v>76.59623423499366</x:v>
      </x:c>
      <x:c r="I164" s="48" t="n">
        <x:v>0.15</x:v>
      </x:c>
      <x:c r="J164" s="48" t="n">
        <x:v>14.4</x:v>
      </x:c>
      <x:c r="K164" t="n">
        <x:v>8.5</x:v>
      </x:c>
      <x:c r="L164" t="str">
        <x:v>Rating-distribution simulation; not weekly fantasy-point projection.</x:v>
      </x:c>
    </x:row>
    <x:row r="165">
      <x:c r="A165" t="str">
        <x:v>WR</x:v>
      </x:c>
      <x:c r="B165" t="str">
        <x:v>Jalin Hyatt</x:v>
      </x:c>
      <x:c r="C165" s="48" t="n">
        <x:v>64.83</x:v>
      </x:c>
      <x:c r="D165" s="48" t="str">
        <x:v>C</x:v>
      </x:c>
      <x:c r="E165" s="48" t="str">
        <x:v>HISTORY FALLBACK</x:v>
      </x:c>
      <x:c r="F165" s="48" t="n">
        <x:v>53.83679461778992</x:v>
      </x:c>
      <x:c r="G165" s="48" t="n">
        <x:v>64.77729640329676</x:v>
      </x:c>
      <x:c r="H165" s="48" t="n">
        <x:v>75.3468393755812</x:v>
      </x:c>
      <x:c r="I165" s="48" t="n">
        <x:v>0.2</x:v>
      </x:c>
      <x:c r="J165" s="48" t="n">
        <x:v>11.4</x:v>
      </x:c>
      <x:c r="K165" t="n">
        <x:v>8.5</x:v>
      </x:c>
      <x:c r="L165" t="str">
        <x:v>Rating-distribution simulation; not weekly fantasy-point projection.</x:v>
      </x:c>
    </x:row>
    <x:row r="166">
      <x:c r="A166" t="str">
        <x:v>WR</x:v>
      </x:c>
      <x:c r="B166" t="str">
        <x:v>Romeo Doubs</x:v>
      </x:c>
      <x:c r="C166" s="48" t="n">
        <x:v>64.16</x:v>
      </x:c>
      <x:c r="D166" s="48" t="str">
        <x:v>C</x:v>
      </x:c>
      <x:c r="E166" s="48" t="str">
        <x:v>HISTORY FALLBACK</x:v>
      </x:c>
      <x:c r="F166" s="48" t="n">
        <x:v>53.18721644002942</x:v>
      </x:c>
      <x:c r="G166" s="48" t="n">
        <x:v>64.01696470463139</x:v>
      </x:c>
      <x:c r="H166" s="48" t="n">
        <x:v>74.89670576938607</x:v>
      </x:c>
      <x:c r="I166" s="48" t="n">
        <x:v>0.1</x:v>
      </x:c>
      <x:c r="J166" s="48" t="n">
        <x:v>10.05</x:v>
      </x:c>
      <x:c r="K166" t="n">
        <x:v>8.5</x:v>
      </x:c>
      <x:c r="L166" t="str">
        <x:v>Rating-distribution simulation; not weekly fantasy-point projection.</x:v>
      </x:c>
    </x:row>
    <x:row r="167">
      <x:c r="A167" t="str">
        <x:v>WR</x:v>
      </x:c>
      <x:c r="B167" t="str">
        <x:v>Jalen Coker</x:v>
      </x:c>
      <x:c r="C167" s="48" t="n">
        <x:v>63.489999999999995</x:v>
      </x:c>
      <x:c r="D167" s="48" t="str">
        <x:v>C</x:v>
      </x:c>
      <x:c r="E167" s="48" t="str">
        <x:v>HISTORY FALLBACK</x:v>
      </x:c>
      <x:c r="F167" s="48" t="n">
        <x:v>52.332292611022496</x:v>
      </x:c>
      <x:c r="G167" s="48" t="n">
        <x:v>63.15198412630914</x:v>
      </x:c>
      <x:c r="H167" s="48" t="n">
        <x:v>74.21463904855881</x:v>
      </x:c>
      <x:c r="I167" s="48" t="n">
        <x:v>0.15</x:v>
      </x:c>
      <x:c r="J167" s="48" t="n">
        <x:v>8.65</x:v>
      </x:c>
      <x:c r="K167" t="n">
        <x:v>8.5</x:v>
      </x:c>
      <x:c r="L167" t="str">
        <x:v>Rating-distribution simulation; not weekly fantasy-point projection.</x:v>
      </x:c>
    </x:row>
    <x:row r="168">
      <x:c r="A168" t="str">
        <x:v>WR</x:v>
      </x:c>
      <x:c r="B168" t="str">
        <x:v>KC Concepcion</x:v>
      </x:c>
      <x:c r="C168" s="48" t="n">
        <x:v>62.82</x:v>
      </x:c>
      <x:c r="D168" s="48" t="str">
        <x:v>C</x:v>
      </x:c>
      <x:c r="E168" s="48" t="str">
        <x:v>HISTORY FALLBACK</x:v>
      </x:c>
      <x:c r="F168" s="48" t="n">
        <x:v>52.007847974796</x:v>
      </x:c>
      <x:c r="G168" s="48" t="n">
        <x:v>62.694658237012725</x:v>
      </x:c>
      <x:c r="H168" s="48" t="n">
        <x:v>73.899344475963</x:v>
      </x:c>
      <x:c r="I168" s="48" t="n">
        <x:v>0.1</x:v>
      </x:c>
      <x:c r="J168" s="48" t="n">
        <x:v>7.75</x:v>
      </x:c>
      <x:c r="K168" t="n">
        <x:v>8.5</x:v>
      </x:c>
      <x:c r="L168" t="str">
        <x:v>Rating-distribution simulation; not weekly fantasy-point projection.</x:v>
      </x:c>
    </x:row>
    <x:row r="169">
      <x:c r="A169" t="str">
        <x:v>WR</x:v>
      </x:c>
      <x:c r="B169" t="str">
        <x:v>Rashid Shaheed</x:v>
      </x:c>
      <x:c r="C169" s="48" t="n">
        <x:v>62.15</x:v>
      </x:c>
      <x:c r="D169" s="48" t="str">
        <x:v>C</x:v>
      </x:c>
      <x:c r="E169" s="48" t="str">
        <x:v>HISTORY FALLBACK</x:v>
      </x:c>
      <x:c r="F169" s="48" t="n">
        <x:v>51.22365520405104</x:v>
      </x:c>
      <x:c r="G169" s="48" t="n">
        <x:v>62.48626491735567</x:v>
      </x:c>
      <x:c r="H169" s="48" t="n">
        <x:v>72.89175551288297</x:v>
      </x:c>
      <x:c r="I169" s="48" t="n">
        <x:v>0</x:v>
      </x:c>
      <x:c r="J169" s="48" t="n">
        <x:v>6.3</x:v>
      </x:c>
      <x:c r="K169" t="n">
        <x:v>8.5</x:v>
      </x:c>
      <x:c r="L169" t="str">
        <x:v>Rating-distribution simulation; not weekly fantasy-point projection.</x:v>
      </x:c>
    </x:row>
    <x:row r="170">
      <x:c r="A170" t="str">
        <x:v>WR</x:v>
      </x:c>
      <x:c r="B170" t="str">
        <x:v>Calvin Ridley</x:v>
      </x:c>
      <x:c r="C170" s="48" t="n">
        <x:v>61.48</x:v>
      </x:c>
      <x:c r="D170" s="48" t="str">
        <x:v>C</x:v>
      </x:c>
      <x:c r="E170" s="48" t="str">
        <x:v>HISTORY FALLBACK</x:v>
      </x:c>
      <x:c r="F170" s="48" t="n">
        <x:v>50.83138887141312</x:v>
      </x:c>
      <x:c r="G170" s="48" t="n">
        <x:v>61.45401345104938</x:v>
      </x:c>
      <x:c r="H170" s="48" t="n">
        <x:v>72.45253548367464</x:v>
      </x:c>
      <x:c r="I170" s="48" t="n">
        <x:v>0</x:v>
      </x:c>
      <x:c r="J170" s="48" t="n">
        <x:v>5.35</x:v>
      </x:c>
      <x:c r="K170" t="n">
        <x:v>8.5</x:v>
      </x:c>
      <x:c r="L170" t="str">
        <x:v>Rating-distribution simulation; not weekly fantasy-point projection.</x:v>
      </x:c>
    </x:row>
    <x:row r="171">
      <x:c r="A171" t="str">
        <x:v>WR</x:v>
      </x:c>
      <x:c r="B171" t="str">
        <x:v>Omar Cooper Jr.</x:v>
      </x:c>
      <x:c r="C171" s="48" t="n">
        <x:v>60.809999999999995</x:v>
      </x:c>
      <x:c r="D171" s="48" t="str">
        <x:v>C</x:v>
      </x:c>
      <x:c r="E171" s="48" t="str">
        <x:v>HISTORY FALLBACK</x:v>
      </x:c>
      <x:c r="F171" s="48" t="n">
        <x:v>49.94270719280663</x:v>
      </x:c>
      <x:c r="G171" s="48" t="n">
        <x:v>60.82150386204975</x:v>
      </x:c>
      <x:c r="H171" s="48" t="n">
        <x:v>71.43579105494675</x:v>
      </x:c>
      <x:c r="I171" s="48" t="n">
        <x:v>0.05</x:v>
      </x:c>
      <x:c r="J171" s="48" t="n">
        <x:v>4.25</x:v>
      </x:c>
      <x:c r="K171" t="n">
        <x:v>8.5</x:v>
      </x:c>
      <x:c r="L171" t="str">
        <x:v>Rating-distribution simulation; not weekly fantasy-point projection.</x:v>
      </x:c>
    </x:row>
    <x:row r="172">
      <x:c r="A172" t="str">
        <x:v>WR</x:v>
      </x:c>
      <x:c r="B172" t="str">
        <x:v>Jerry Jeudy</x:v>
      </x:c>
      <x:c r="C172" s="48" t="n">
        <x:v>60.14</x:v>
      </x:c>
      <x:c r="D172" s="48" t="str">
        <x:v>C</x:v>
      </x:c>
      <x:c r="E172" s="48" t="str">
        <x:v>HISTORY FALLBACK</x:v>
      </x:c>
      <x:c r="F172" s="48" t="n">
        <x:v>49.61832595149016</x:v>
      </x:c>
      <x:c r="G172" s="48" t="n">
        <x:v>60.80640190109865</x:v>
      </x:c>
      <x:c r="H172" s="48" t="n">
        <x:v>72.2525699679126</x:v>
      </x:c>
      <x:c r="I172" s="48" t="n">
        <x:v>0</x:v>
      </x:c>
      <x:c r="J172" s="48" t="n">
        <x:v>5.5</x:v>
      </x:c>
      <x:c r="K172" t="n">
        <x:v>8.5</x:v>
      </x:c>
      <x:c r="L172" t="str">
        <x:v>Rating-distribution simulation; not weekly fantasy-point projection.</x:v>
      </x:c>
    </x:row>
    <x:row r="173">
      <x:c r="A173" t="str">
        <x:v>WR</x:v>
      </x:c>
      <x:c r="B173" t="str">
        <x:v>Jalen Nailor</x:v>
      </x:c>
      <x:c r="C173" s="48" t="n">
        <x:v>59.47</x:v>
      </x:c>
      <x:c r="D173" s="48" t="str">
        <x:v>C</x:v>
      </x:c>
      <x:c r="E173" s="48" t="str">
        <x:v>HISTORY FALLBACK</x:v>
      </x:c>
      <x:c r="F173" s="48" t="n">
        <x:v>47.82703227844366</x:v>
      </x:c>
      <x:c r="G173" s="48" t="n">
        <x:v>59.30937376776574</x:v>
      </x:c>
      <x:c r="H173" s="48" t="n">
        <x:v>70.47847230262217</x:v>
      </x:c>
      <x:c r="I173" s="48" t="n">
        <x:v>0</x:v>
      </x:c>
      <x:c r="J173" s="48" t="n">
        <x:v>3.5</x:v>
      </x:c>
      <x:c r="K173" t="n">
        <x:v>8.5</x:v>
      </x:c>
      <x:c r="L173" t="str">
        <x:v>Rating-distribution simulation; not weekly fantasy-point projection.</x:v>
      </x:c>
    </x:row>
    <x:row r="174">
      <x:c r="A174" t="str">
        <x:v>WR</x:v>
      </x:c>
      <x:c r="B174" t="str">
        <x:v>Jalen McMillan</x:v>
      </x:c>
      <x:c r="C174" s="48" t="n">
        <x:v>58.8</x:v>
      </x:c>
      <x:c r="D174" s="48" t="str">
        <x:v>C</x:v>
      </x:c>
      <x:c r="E174" s="48" t="str">
        <x:v>HISTORY FALLBACK</x:v>
      </x:c>
      <x:c r="F174" s="48" t="n">
        <x:v>47.818748276286165</x:v>
      </x:c>
      <x:c r="G174" s="48" t="n">
        <x:v>58.66562649253973</x:v>
      </x:c>
      <x:c r="H174" s="48" t="n">
        <x:v>69.67831552651793</x:v>
      </x:c>
      <x:c r="I174" s="48" t="n">
        <x:v>0</x:v>
      </x:c>
      <x:c r="J174" s="48" t="n">
        <x:v>3.35</x:v>
      </x:c>
      <x:c r="K174" t="n">
        <x:v>8.5</x:v>
      </x:c>
      <x:c r="L174" t="str">
        <x:v>Rating-distribution simulation; not weekly fantasy-point projection.</x:v>
      </x:c>
    </x:row>
    <x:row r="175">
      <x:c r="A175" t="str">
        <x:v>WR</x:v>
      </x:c>
      <x:c r="B175" t="str">
        <x:v>Adonai Mitchell</x:v>
      </x:c>
      <x:c r="C175" s="48" t="n">
        <x:v>58.129999999999995</x:v>
      </x:c>
      <x:c r="D175" s="48" t="str">
        <x:v>C</x:v>
      </x:c>
      <x:c r="E175" s="48" t="str">
        <x:v>HISTORY FALLBACK</x:v>
      </x:c>
      <x:c r="F175" s="48" t="n">
        <x:v>46.7997227587859</x:v>
      </x:c>
      <x:c r="G175" s="48" t="n">
        <x:v>57.905530109807515</x:v>
      </x:c>
      <x:c r="H175" s="48" t="n">
        <x:v>69.17885359721518</x:v>
      </x:c>
      <x:c r="I175" s="48" t="n">
        <x:v>0</x:v>
      </x:c>
      <x:c r="J175" s="48" t="n">
        <x:v>2.45</x:v>
      </x:c>
      <x:c r="K175" t="n">
        <x:v>8.5</x:v>
      </x:c>
      <x:c r="L175" t="str">
        <x:v>Rating-distribution simulation; not weekly fantasy-point projection.</x:v>
      </x:c>
    </x:row>
    <x:row r="176">
      <x:c r="A176" t="str">
        <x:v>WR</x:v>
      </x:c>
      <x:c r="B176" t="str">
        <x:v>Isaac TeSlaa</x:v>
      </x:c>
      <x:c r="C176" s="48" t="n">
        <x:v>57.46</x:v>
      </x:c>
      <x:c r="D176" s="48" t="str">
        <x:v>C</x:v>
      </x:c>
      <x:c r="E176" s="48" t="str">
        <x:v>HISTORY FALLBACK</x:v>
      </x:c>
      <x:c r="F176" s="48" t="n">
        <x:v>46.395935874849656</x:v>
      </x:c>
      <x:c r="G176" s="48" t="n">
        <x:v>57.559519381732756</x:v>
      </x:c>
      <x:c r="H176" s="48" t="n">
        <x:v>68.73927986840192</x:v>
      </x:c>
      <x:c r="I176" s="48" t="n">
        <x:v>0</x:v>
      </x:c>
      <x:c r="J176" s="48" t="n">
        <x:v>1.8</x:v>
      </x:c>
      <x:c r="K176" t="n">
        <x:v>8.5</x:v>
      </x:c>
      <x:c r="L176" t="str">
        <x:v>Rating-distribution simulation; not weekly fantasy-point projection.</x:v>
      </x:c>
    </x:row>
    <x:row r="177">
      <x:c r="A177" t="str">
        <x:v>WR</x:v>
      </x:c>
      <x:c r="B177" t="str">
        <x:v>Denzel Boston</x:v>
      </x:c>
      <x:c r="C177" s="48" t="n">
        <x:v>56.79</x:v>
      </x:c>
      <x:c r="D177" s="48" t="str">
        <x:v>C</x:v>
      </x:c>
      <x:c r="E177" s="48" t="str">
        <x:v>HISTORY FALLBACK</x:v>
      </x:c>
      <x:c r="F177" s="48" t="n">
        <x:v>46.14494853503108</x:v>
      </x:c>
      <x:c r="G177" s="48" t="n">
        <x:v>56.97338386414415</x:v>
      </x:c>
      <x:c r="H177" s="48" t="n">
        <x:v>67.51000320984511</x:v>
      </x:c>
      <x:c r="I177" s="48" t="n">
        <x:v>0.05</x:v>
      </x:c>
      <x:c r="J177" s="48" t="n">
        <x:v>1.5</x:v>
      </x:c>
      <x:c r="K177" t="n">
        <x:v>8.5</x:v>
      </x:c>
      <x:c r="L177" t="str">
        <x:v>Rating-distribution simulation; not weekly fantasy-point projection.</x:v>
      </x:c>
    </x:row>
    <x:row r="178">
      <x:c r="A178" t="str">
        <x:v>WR</x:v>
      </x:c>
      <x:c r="B178" t="str">
        <x:v>Tre Tucker</x:v>
      </x:c>
      <x:c r="C178" s="48" t="n">
        <x:v>56.12</x:v>
      </x:c>
      <x:c r="D178" s="48" t="str">
        <x:v>C</x:v>
      </x:c>
      <x:c r="E178" s="48" t="str">
        <x:v>HISTORY FALLBACK</x:v>
      </x:c>
      <x:c r="F178" s="48" t="n">
        <x:v>45.77110716838547</x:v>
      </x:c>
      <x:c r="G178" s="48" t="n">
        <x:v>55.94573701985801</x:v>
      </x:c>
      <x:c r="H178" s="48" t="n">
        <x:v>66.83176057237061</x:v>
      </x:c>
      <x:c r="I178" s="48" t="n">
        <x:v>0</x:v>
      </x:c>
      <x:c r="J178" s="48" t="n">
        <x:v>1.15</x:v>
      </x:c>
      <x:c r="K178" t="n">
        <x:v>8.5</x:v>
      </x:c>
      <x:c r="L178" t="str">
        <x:v>Rating-distribution simulation; not weekly fantasy-point projection.</x:v>
      </x:c>
    </x:row>
    <x:row r="179">
      <x:c r="A179" t="str">
        <x:v>WR</x:v>
      </x:c>
      <x:c r="B179" t="str">
        <x:v>Antonio Williams</x:v>
      </x:c>
      <x:c r="C179" s="48" t="n">
        <x:v>55.449999999999996</x:v>
      </x:c>
      <x:c r="D179" s="48" t="str">
        <x:v>C</x:v>
      </x:c>
      <x:c r="E179" s="48" t="str">
        <x:v>HISTORY FALLBACK</x:v>
      </x:c>
      <x:c r="F179" s="48" t="n">
        <x:v>44.01041948527062</x:v>
      </x:c>
      <x:c r="G179" s="48" t="n">
        <x:v>55.406177129258566</x:v>
      </x:c>
      <x:c r="H179" s="48" t="n">
        <x:v>66.33095325810712</x:v>
      </x:c>
      <x:c r="I179" s="48" t="n">
        <x:v>0</x:v>
      </x:c>
      <x:c r="J179" s="48" t="n">
        <x:v>1.05</x:v>
      </x:c>
      <x:c r="K179" t="n">
        <x:v>8.5</x:v>
      </x:c>
      <x:c r="L179" t="str">
        <x:v>Rating-distribution simulation; not weekly fantasy-point projection.</x:v>
      </x:c>
    </x:row>
    <x:row r="180">
      <x:c r="A180" t="str">
        <x:v>WR</x:v>
      </x:c>
      <x:c r="B180" t="str">
        <x:v>Travis Hunter</x:v>
      </x:c>
      <x:c r="C180" s="48" t="n">
        <x:v>54.779999999999994</x:v>
      </x:c>
      <x:c r="D180" s="48" t="str">
        <x:v>C</x:v>
      </x:c>
      <x:c r="E180" s="48" t="str">
        <x:v>HISTORY FALLBACK</x:v>
      </x:c>
      <x:c r="F180" s="48" t="n">
        <x:v>44.11101822850902</x:v>
      </x:c>
      <x:c r="G180" s="48" t="n">
        <x:v>54.69106190356784</x:v>
      </x:c>
      <x:c r="H180" s="48" t="n">
        <x:v>66.52264341105509</x:v>
      </x:c>
      <x:c r="I180" s="48" t="n">
        <x:v>0</x:v>
      </x:c>
      <x:c r="J180" s="48" t="n">
        <x:v>1.25</x:v>
      </x:c>
      <x:c r="K180" t="n">
        <x:v>8.5</x:v>
      </x:c>
      <x:c r="L180" t="str">
        <x:v>Rating-distribution simulation; not weekly fantasy-point projection.</x:v>
      </x:c>
    </x:row>
    <x:row r="181">
      <x:c r="A181" t="str">
        <x:v>WR</x:v>
      </x:c>
      <x:c r="B181" t="str">
        <x:v>Ryan Flournoy</x:v>
      </x:c>
      <x:c r="C181" s="48" t="n">
        <x:v>54.11</x:v>
      </x:c>
      <x:c r="D181" s="48" t="str">
        <x:v>C</x:v>
      </x:c>
      <x:c r="E181" s="48" t="str">
        <x:v>HISTORY FALLBACK</x:v>
      </x:c>
      <x:c r="F181" s="48" t="n">
        <x:v>42.83033402164364</x:v>
      </x:c>
      <x:c r="G181" s="48" t="n">
        <x:v>54.294015066643794</x:v>
      </x:c>
      <x:c r="H181" s="48" t="n">
        <x:v>65.40654811888729</x:v>
      </x:c>
      <x:c r="I181" s="48" t="n">
        <x:v>0</x:v>
      </x:c>
      <x:c r="J181" s="48" t="n">
        <x:v>0.5</x:v>
      </x:c>
      <x:c r="K181" t="n">
        <x:v>8.5</x:v>
      </x:c>
      <x:c r="L181" t="str">
        <x:v>Rating-distribution simulation; not weekly fantasy-point projection.</x:v>
      </x:c>
    </x:row>
    <x:row r="182">
      <x:c r="A182" t="str">
        <x:v>WR</x:v>
      </x:c>
      <x:c r="B182" t="str">
        <x:v>Jauan Jennings</x:v>
      </x:c>
      <x:c r="C182" s="48" t="n">
        <x:v>53.44</x:v>
      </x:c>
      <x:c r="D182" s="48" t="str">
        <x:v>C</x:v>
      </x:c>
      <x:c r="E182" s="48" t="str">
        <x:v>HISTORY FALLBACK</x:v>
      </x:c>
      <x:c r="F182" s="48" t="n">
        <x:v>42.504469140926695</x:v>
      </x:c>
      <x:c r="G182" s="48" t="n">
        <x:v>52.98696952272022</x:v>
      </x:c>
      <x:c r="H182" s="48" t="n">
        <x:v>64.07807069391043</x:v>
      </x:c>
      <x:c r="I182" s="48" t="n">
        <x:v>0</x:v>
      </x:c>
      <x:c r="J182" s="48" t="n">
        <x:v>0.6</x:v>
      </x:c>
      <x:c r="K182" t="n">
        <x:v>8.5</x:v>
      </x:c>
      <x:c r="L182" t="str">
        <x:v>Rating-distribution simulation; not weekly fantasy-point projection.</x:v>
      </x:c>
    </x:row>
    <x:row r="183">
      <x:c r="A183" t="str">
        <x:v>WR</x:v>
      </x:c>
      <x:c r="B183" t="str">
        <x:v>Darnell Mooney</x:v>
      </x:c>
      <x:c r="C183" s="48" t="n">
        <x:v>52.769999999999996</x:v>
      </x:c>
      <x:c r="D183" s="48" t="str">
        <x:v>C</x:v>
      </x:c>
      <x:c r="E183" s="48" t="str">
        <x:v>HISTORY FALLBACK</x:v>
      </x:c>
      <x:c r="F183" s="48" t="n">
        <x:v>42.26771313089907</x:v>
      </x:c>
      <x:c r="G183" s="48" t="n">
        <x:v>53.39944091463144</x:v>
      </x:c>
      <x:c r="H183" s="48" t="n">
        <x:v>63.53906211145833</x:v>
      </x:c>
      <x:c r="I183" s="48" t="n">
        <x:v>0</x:v>
      </x:c>
      <x:c r="J183" s="48" t="n">
        <x:v>0.5</x:v>
      </x:c>
      <x:c r="K183" t="n">
        <x:v>8.5</x:v>
      </x:c>
      <x:c r="L183" t="str">
        <x:v>Rating-distribution simulation; not weekly fantasy-point projection.</x:v>
      </x:c>
    </x:row>
    <x:row r="184">
      <x:c r="A184" t="str">
        <x:v>K</x:v>
      </x:c>
      <x:c r="B184" t="str">
        <x:v>Brandon Aubrey</x:v>
      </x:c>
      <x:c r="C184" s="48" t="n">
        <x:v>94</x:v>
      </x:c>
      <x:c r="D184" s="48" t="str">
        <x:v>B</x:v>
      </x:c>
      <x:c r="E184" s="48" t="str">
        <x:v>KICKER MODEL</x:v>
      </x:c>
      <x:c r="F184" s="48" t="n">
        <x:v>83.89770701206945</x:v>
      </x:c>
      <x:c r="G184" s="48" t="n">
        <x:v>93.9623415171034</x:v>
      </x:c>
      <x:c r="H184" s="48" t="n">
        <x:v>100</x:v>
      </x:c>
      <x:c r="I184" s="48" t="n">
        <x:v>70.45</x:v>
      </x:c>
      <x:c r="J184" s="48" t="n">
        <x:v>99.1</x:v>
      </x:c>
      <x:c r="K184" t="n">
        <x:v>8</x:v>
      </x:c>
      <x:c r="L184" t="str">
        <x:v>Rating-distribution simulation; not weekly fantasy-point projection.</x:v>
      </x:c>
    </x:row>
    <x:row r="185">
      <x:c r="A185" t="str">
        <x:v>K</x:v>
      </x:c>
      <x:c r="B185" t="str">
        <x:v>Ka'imi Fairbairn</x:v>
      </x:c>
      <x:c r="C185" s="48" t="n">
        <x:v>91.8</x:v>
      </x:c>
      <x:c r="D185" s="48" t="str">
        <x:v>B</x:v>
      </x:c>
      <x:c r="E185" s="48" t="str">
        <x:v>KICKER MODEL</x:v>
      </x:c>
      <x:c r="F185" s="48" t="n">
        <x:v>81.76265665302012</x:v>
      </x:c>
      <x:c r="G185" s="48" t="n">
        <x:v>91.67611536614343</x:v>
      </x:c>
      <x:c r="H185" s="48" t="n">
        <x:v>100</x:v>
      </x:c>
      <x:c r="I185" s="48" t="n">
        <x:v>58.6</x:v>
      </x:c>
      <x:c r="J185" s="48" t="n">
        <x:v>98.3</x:v>
      </x:c>
      <x:c r="K185" t="n">
        <x:v>8</x:v>
      </x:c>
      <x:c r="L185" t="str">
        <x:v>Rating-distribution simulation; not weekly fantasy-point projection.</x:v>
      </x:c>
    </x:row>
    <x:row r="186">
      <x:c r="A186" t="str">
        <x:v>K</x:v>
      </x:c>
      <x:c r="B186" t="str">
        <x:v>Cameron Dicker</x:v>
      </x:c>
      <x:c r="C186" s="48" t="n">
        <x:v>89.6</x:v>
      </x:c>
      <x:c r="D186" s="48" t="str">
        <x:v>B</x:v>
      </x:c>
      <x:c r="E186" s="48" t="str">
        <x:v>KICKER MODEL</x:v>
      </x:c>
      <x:c r="F186" s="48" t="n">
        <x:v>79.48210156171145</x:v>
      </x:c>
      <x:c r="G186" s="48" t="n">
        <x:v>89.6004129910275</x:v>
      </x:c>
      <x:c r="H186" s="48" t="n">
        <x:v>99.84948837537522</x:v>
      </x:c>
      <x:c r="I186" s="48" t="n">
        <x:v>48.2</x:v>
      </x:c>
      <x:c r="J186" s="48" t="n">
        <x:v>97.35</x:v>
      </x:c>
      <x:c r="K186" t="n">
        <x:v>8</x:v>
      </x:c>
      <x:c r="L186" t="str">
        <x:v>Rating-distribution simulation; not weekly fantasy-point projection.</x:v>
      </x:c>
    </x:row>
    <x:row r="187">
      <x:c r="A187" t="str">
        <x:v>K</x:v>
      </x:c>
      <x:c r="B187" t="str">
        <x:v>Jason Myers</x:v>
      </x:c>
      <x:c r="C187" s="48" t="n">
        <x:v>87.4</x:v>
      </x:c>
      <x:c r="D187" s="48" t="str">
        <x:v>B</x:v>
      </x:c>
      <x:c r="E187" s="48" t="str">
        <x:v>KICKER MODEL</x:v>
      </x:c>
      <x:c r="F187" s="48" t="n">
        <x:v>77.39654131762425</x:v>
      </x:c>
      <x:c r="G187" s="48" t="n">
        <x:v>87.14350889366895</x:v>
      </x:c>
      <x:c r="H187" s="48" t="n">
        <x:v>97.20284292717548</x:v>
      </x:c>
      <x:c r="I187" s="48" t="n">
        <x:v>36.15</x:v>
      </x:c>
      <x:c r="J187" s="48" t="n">
        <x:v>95.95</x:v>
      </x:c>
      <x:c r="K187" t="n">
        <x:v>8</x:v>
      </x:c>
      <x:c r="L187" t="str">
        <x:v>Rating-distribution simulation; not weekly fantasy-point projection.</x:v>
      </x:c>
    </x:row>
    <x:row r="188">
      <x:c r="A188" t="str">
        <x:v>K</x:v>
      </x:c>
      <x:c r="B188" t="str">
        <x:v>Cam Little</x:v>
      </x:c>
      <x:c r="C188" s="48" t="n">
        <x:v>85.2</x:v>
      </x:c>
      <x:c r="D188" s="48" t="str">
        <x:v>B</x:v>
      </x:c>
      <x:c r="E188" s="48" t="str">
        <x:v>KICKER MODEL</x:v>
      </x:c>
      <x:c r="F188" s="48" t="n">
        <x:v>74.4151772684844</x:v>
      </x:c>
      <x:c r="G188" s="48" t="n">
        <x:v>85.11466830846675</x:v>
      </x:c>
      <x:c r="H188" s="48" t="n">
        <x:v>95.57347037310831</x:v>
      </x:c>
      <x:c r="I188" s="48" t="n">
        <x:v>27</x:v>
      </x:c>
      <x:c r="J188" s="48" t="n">
        <x:v>90.45</x:v>
      </x:c>
      <x:c r="K188" t="n">
        <x:v>8</x:v>
      </x:c>
      <x:c r="L188" t="str">
        <x:v>Rating-distribution simulation; not weekly fantasy-point projection.</x:v>
      </x:c>
    </x:row>
    <x:row r="189">
      <x:c r="A189" t="str">
        <x:v>K</x:v>
      </x:c>
      <x:c r="B189" t="str">
        <x:v>Eddy Pineiro</x:v>
      </x:c>
      <x:c r="C189" s="48" t="n">
        <x:v>83</x:v>
      </x:c>
      <x:c r="D189" s="48" t="str">
        <x:v>B</x:v>
      </x:c>
      <x:c r="E189" s="48" t="str">
        <x:v>KICKER MODEL</x:v>
      </x:c>
      <x:c r="F189" s="48" t="n">
        <x:v>73.16742594332354</x:v>
      </x:c>
      <x:c r="G189" s="48" t="n">
        <x:v>82.83205425731124</x:v>
      </x:c>
      <x:c r="H189" s="48" t="n">
        <x:v>93.39926442210118</x:v>
      </x:c>
      <x:c r="I189" s="48" t="n">
        <x:v>18.8</x:v>
      </x:c>
      <x:c r="J189" s="48" t="n">
        <x:v>87.2</x:v>
      </x:c>
      <x:c r="K189" t="n">
        <x:v>8</x:v>
      </x:c>
      <x:c r="L189" t="str">
        <x:v>Rating-distribution simulation; not weekly fantasy-point projection.</x:v>
      </x:c>
    </x:row>
    <x:row r="190">
      <x:c r="A190" t="str">
        <x:v>K</x:v>
      </x:c>
      <x:c r="B190" t="str">
        <x:v>Tyler Loop</x:v>
      </x:c>
      <x:c r="C190" s="48" t="n">
        <x:v>80.8</x:v>
      </x:c>
      <x:c r="D190" s="48" t="str">
        <x:v>B</x:v>
      </x:c>
      <x:c r="E190" s="48" t="str">
        <x:v>KICKER MODEL</x:v>
      </x:c>
      <x:c r="F190" s="48" t="n">
        <x:v>70.97202204826421</x:v>
      </x:c>
      <x:c r="G190" s="48" t="n">
        <x:v>80.78620359238248</x:v>
      </x:c>
      <x:c r="H190" s="48" t="n">
        <x:v>91.05991264928483</x:v>
      </x:c>
      <x:c r="I190" s="48" t="n">
        <x:v>13.45</x:v>
      </x:c>
      <x:c r="J190" s="48" t="n">
        <x:v>80.05</x:v>
      </x:c>
      <x:c r="K190" t="n">
        <x:v>8</x:v>
      </x:c>
      <x:c r="L190" t="str">
        <x:v>Rating-distribution simulation; not weekly fantasy-point projection.</x:v>
      </x:c>
    </x:row>
    <x:row r="191">
      <x:c r="A191" t="str">
        <x:v>K</x:v>
      </x:c>
      <x:c r="B191" t="str">
        <x:v>Harrison Mevis</x:v>
      </x:c>
      <x:c r="C191" s="48" t="n">
        <x:v>78.6</x:v>
      </x:c>
      <x:c r="D191" s="48" t="str">
        <x:v>B</x:v>
      </x:c>
      <x:c r="E191" s="48" t="str">
        <x:v>KICKER MODEL</x:v>
      </x:c>
      <x:c r="F191" s="48" t="n">
        <x:v>68.76509305087973</x:v>
      </x:c>
      <x:c r="G191" s="48" t="n">
        <x:v>78.95795991798832</x:v>
      </x:c>
      <x:c r="H191" s="48" t="n">
        <x:v>89.477209046014</x:v>
      </x:c>
      <x:c r="I191" s="48" t="n">
        <x:v>8.45</x:v>
      </x:c>
      <x:c r="J191" s="48" t="n">
        <x:v>72.05</x:v>
      </x:c>
      <x:c r="K191" t="n">
        <x:v>8</x:v>
      </x:c>
      <x:c r="L191" t="str">
        <x:v>Rating-distribution simulation; not weekly fantasy-point projection.</x:v>
      </x:c>
    </x:row>
    <x:row r="192">
      <x:c r="A192" t="str">
        <x:v>K</x:v>
      </x:c>
      <x:c r="B192" t="str">
        <x:v>Chase McLaughlin</x:v>
      </x:c>
      <x:c r="C192" s="48" t="n">
        <x:v>76.4</x:v>
      </x:c>
      <x:c r="D192" s="48" t="str">
        <x:v>B</x:v>
      </x:c>
      <x:c r="E192" s="48" t="str">
        <x:v>KICKER MODEL</x:v>
      </x:c>
      <x:c r="F192" s="48" t="n">
        <x:v>65.80631532107407</x:v>
      </x:c>
      <x:c r="G192" s="48" t="n">
        <x:v>76.58825773455722</x:v>
      </x:c>
      <x:c r="H192" s="48" t="n">
        <x:v>87.34106951615834</x:v>
      </x:c>
      <x:c r="I192" s="48" t="n">
        <x:v>4.85</x:v>
      </x:c>
      <x:c r="J192" s="48" t="n">
        <x:v>62.7</x:v>
      </x:c>
      <x:c r="K192" t="n">
        <x:v>8</x:v>
      </x:c>
      <x:c r="L192" t="str">
        <x:v>Rating-distribution simulation; not weekly fantasy-point projection.</x:v>
      </x:c>
    </x:row>
    <x:row r="193">
      <x:c r="A193" t="str">
        <x:v>K</x:v>
      </x:c>
      <x:c r="B193" t="str">
        <x:v>Cairo Santos</x:v>
      </x:c>
      <x:c r="C193" s="48" t="n">
        <x:v>74.2</x:v>
      </x:c>
      <x:c r="D193" s="48" t="str">
        <x:v>B</x:v>
      </x:c>
      <x:c r="E193" s="48" t="str">
        <x:v>KICKER MODEL</x:v>
      </x:c>
      <x:c r="F193" s="48" t="n">
        <x:v>64.02997441682062</x:v>
      </x:c>
      <x:c r="G193" s="48" t="n">
        <x:v>74.12228531492347</x:v>
      </x:c>
      <x:c r="H193" s="48" t="n">
        <x:v>84.41174635381914</x:v>
      </x:c>
      <x:c r="I193" s="48" t="n">
        <x:v>2.95</x:v>
      </x:c>
      <x:c r="J193" s="48" t="n">
        <x:v>49.55</x:v>
      </x:c>
      <x:c r="K193" t="n">
        <x:v>8</x:v>
      </x:c>
      <x:c r="L193" t="str">
        <x:v>Rating-distribution simulation; not weekly fantasy-point projection.</x:v>
      </x:c>
    </x:row>
    <x:row r="194">
      <x:c r="A194" t="str">
        <x:v>K</x:v>
      </x:c>
      <x:c r="B194" t="str">
        <x:v>Andy Borregales</x:v>
      </x:c>
      <x:c r="C194" s="48" t="n">
        <x:v>72</x:v>
      </x:c>
      <x:c r="D194" s="48" t="str">
        <x:v>B</x:v>
      </x:c>
      <x:c r="E194" s="48" t="str">
        <x:v>KICKER MODEL</x:v>
      </x:c>
      <x:c r="F194" s="48" t="n">
        <x:v>61.81743976682194</x:v>
      </x:c>
      <x:c r="G194" s="48" t="n">
        <x:v>71.74626393734277</x:v>
      </x:c>
      <x:c r="H194" s="48" t="n">
        <x:v>82.11901086149665</x:v>
      </x:c>
      <x:c r="I194" s="48" t="n">
        <x:v>1.15</x:v>
      </x:c>
      <x:c r="J194" s="48" t="n">
        <x:v>39.05</x:v>
      </x:c>
      <x:c r="K194" t="n">
        <x:v>8</x:v>
      </x:c>
      <x:c r="L194" t="str">
        <x:v>Rating-distribution simulation; not weekly fantasy-point projection.</x:v>
      </x:c>
    </x:row>
    <x:row r="195">
      <x:c r="A195" t="str">
        <x:v>K</x:v>
      </x:c>
      <x:c r="B195" t="str">
        <x:v>Evan McPherson</x:v>
      </x:c>
      <x:c r="C195" s="48" t="n">
        <x:v>69.8</x:v>
      </x:c>
      <x:c r="D195" s="48" t="str">
        <x:v>B</x:v>
      </x:c>
      <x:c r="E195" s="48" t="str">
        <x:v>KICKER MODEL</x:v>
      </x:c>
      <x:c r="F195" s="48" t="n">
        <x:v>59.417729952339556</x:v>
      </x:c>
      <x:c r="G195" s="48" t="n">
        <x:v>69.90865304410237</x:v>
      </x:c>
      <x:c r="H195" s="48" t="n">
        <x:v>79.59978994242582</x:v>
      </x:c>
      <x:c r="I195" s="48" t="n">
        <x:v>0.7</x:v>
      </x:c>
      <x:c r="J195" s="48" t="n">
        <x:v>28.6</x:v>
      </x:c>
      <x:c r="K195" t="n">
        <x:v>8</x:v>
      </x:c>
      <x:c r="L195" t="str">
        <x:v>Rating-distribution simulation; not weekly fantasy-point projection.</x:v>
      </x:c>
    </x:row>
    <x:row r="196">
      <x:c r="A196" t="str">
        <x:v>DST</x:v>
      </x:c>
      <x:c r="B196" t="str">
        <x:v>Houston Texans</x:v>
      </x:c>
      <x:c r="C196" s="48" t="n">
        <x:v>93</x:v>
      </x:c>
      <x:c r="D196" s="48" t="str">
        <x:v>B</x:v>
      </x:c>
      <x:c r="E196" s="48" t="str">
        <x:v>DST MODEL</x:v>
      </x:c>
      <x:c r="F196" s="48" t="n">
        <x:v>82.26629198268239</x:v>
      </x:c>
      <x:c r="G196" s="48" t="n">
        <x:v>92.62397088649189</x:v>
      </x:c>
      <x:c r="H196" s="48" t="n">
        <x:v>100</x:v>
      </x:c>
      <x:c r="I196" s="48" t="n">
        <x:v>63.6</x:v>
      </x:c>
      <x:c r="J196" s="48" t="n">
        <x:v>88.05</x:v>
      </x:c>
      <x:c r="K196" t="n">
        <x:v>8</x:v>
      </x:c>
      <x:c r="L196" t="str">
        <x:v>Rating-distribution simulation; not weekly fantasy-point projection.</x:v>
      </x:c>
    </x:row>
    <x:row r="197">
      <x:c r="A197" t="str">
        <x:v>DST</x:v>
      </x:c>
      <x:c r="B197" t="str">
        <x:v>Denver Broncos</x:v>
      </x:c>
      <x:c r="C197" s="48" t="n">
        <x:v>91.9</x:v>
      </x:c>
      <x:c r="D197" s="48" t="str">
        <x:v>B</x:v>
      </x:c>
      <x:c r="E197" s="48" t="str">
        <x:v>DST MODEL</x:v>
      </x:c>
      <x:c r="F197" s="48" t="n">
        <x:v>81.94689336053342</x:v>
      </x:c>
      <x:c r="G197" s="48" t="n">
        <x:v>91.9631033396529</x:v>
      </x:c>
      <x:c r="H197" s="48" t="n">
        <x:v>100</x:v>
      </x:c>
      <x:c r="I197" s="48" t="n">
        <x:v>59.1</x:v>
      </x:c>
      <x:c r="J197" s="48" t="n">
        <x:v>86.5</x:v>
      </x:c>
      <x:c r="K197" t="n">
        <x:v>8</x:v>
      </x:c>
      <x:c r="L197" t="str">
        <x:v>Rating-distribution simulation; not weekly fantasy-point projection.</x:v>
      </x:c>
    </x:row>
    <x:row r="198">
      <x:c r="A198" t="str">
        <x:v>DST</x:v>
      </x:c>
      <x:c r="B198" t="str">
        <x:v>Seattle Seahawks</x:v>
      </x:c>
      <x:c r="C198" s="48" t="n">
        <x:v>90.8</x:v>
      </x:c>
      <x:c r="D198" s="48" t="str">
        <x:v>B</x:v>
      </x:c>
      <x:c r="E198" s="48" t="str">
        <x:v>DST MODEL</x:v>
      </x:c>
      <x:c r="F198" s="48" t="n">
        <x:v>80.24333716528939</x:v>
      </x:c>
      <x:c r="G198" s="48" t="n">
        <x:v>90.65922383679518</x:v>
      </x:c>
      <x:c r="H198" s="48" t="n">
        <x:v>100</x:v>
      </x:c>
      <x:c r="I198" s="48" t="n">
        <x:v>52.95</x:v>
      </x:c>
      <x:c r="J198" s="48" t="n">
        <x:v>83.25</x:v>
      </x:c>
      <x:c r="K198" t="n">
        <x:v>8</x:v>
      </x:c>
      <x:c r="L198" t="str">
        <x:v>Rating-distribution simulation; not weekly fantasy-point projection.</x:v>
      </x:c>
    </x:row>
    <x:row r="199">
      <x:c r="A199" t="str">
        <x:v>DST</x:v>
      </x:c>
      <x:c r="B199" t="str">
        <x:v>Los Angeles Rams</x:v>
      </x:c>
      <x:c r="C199" s="48" t="n">
        <x:v>89.7</x:v>
      </x:c>
      <x:c r="D199" s="48" t="str">
        <x:v>B</x:v>
      </x:c>
      <x:c r="E199" s="48" t="str">
        <x:v>DST MODEL</x:v>
      </x:c>
      <x:c r="F199" s="48" t="n">
        <x:v>79.66196263721561</x:v>
      </x:c>
      <x:c r="G199" s="48" t="n">
        <x:v>89.77347999762995</x:v>
      </x:c>
      <x:c r="H199" s="48" t="n">
        <x:v>99.95867349540987</x:v>
      </x:c>
      <x:c r="I199" s="48" t="n">
        <x:v>48.8</x:v>
      </x:c>
      <x:c r="J199" s="48" t="n">
        <x:v>80.35</x:v>
      </x:c>
      <x:c r="K199" t="n">
        <x:v>8</x:v>
      </x:c>
      <x:c r="L199" t="str">
        <x:v>Rating-distribution simulation; not weekly fantasy-point projection.</x:v>
      </x:c>
    </x:row>
    <x:row r="200">
      <x:c r="A200" t="str">
        <x:v>DST</x:v>
      </x:c>
      <x:c r="B200" t="str">
        <x:v>Philadelphia Eagles</x:v>
      </x:c>
      <x:c r="C200" s="48" t="n">
        <x:v>88.6</x:v>
      </x:c>
      <x:c r="D200" s="48" t="str">
        <x:v>B</x:v>
      </x:c>
      <x:c r="E200" s="48" t="str">
        <x:v>DST MODEL</x:v>
      </x:c>
      <x:c r="F200" s="48" t="n">
        <x:v>79.10987945848196</x:v>
      </x:c>
      <x:c r="G200" s="48" t="n">
        <x:v>88.46596101912439</x:v>
      </x:c>
      <x:c r="H200" s="48" t="n">
        <x:v>98.75232313114923</x:v>
      </x:c>
      <x:c r="I200" s="48" t="n">
        <x:v>42.65</x:v>
      </x:c>
      <x:c r="J200" s="48" t="n">
        <x:v>77.35</x:v>
      </x:c>
      <x:c r="K200" t="n">
        <x:v>8</x:v>
      </x:c>
      <x:c r="L200" t="str">
        <x:v>Rating-distribution simulation; not weekly fantasy-point projection.</x:v>
      </x:c>
    </x:row>
    <x:row r="201">
      <x:c r="A201" t="str">
        <x:v>DST</x:v>
      </x:c>
      <x:c r="B201" t="str">
        <x:v>Minnesota Vikings</x:v>
      </x:c>
      <x:c r="C201" s="48" t="n">
        <x:v>87.5</x:v>
      </x:c>
      <x:c r="D201" s="48" t="str">
        <x:v>B</x:v>
      </x:c>
      <x:c r="E201" s="48" t="str">
        <x:v>DST MODEL</x:v>
      </x:c>
      <x:c r="F201" s="48" t="n">
        <x:v>76.9281465225748</x:v>
      </x:c>
      <x:c r="G201" s="48" t="n">
        <x:v>87.29470930202235</x:v>
      </x:c>
      <x:c r="H201" s="48" t="n">
        <x:v>97.32244906565688</x:v>
      </x:c>
      <x:c r="I201" s="48" t="n">
        <x:v>35.75</x:v>
      </x:c>
      <x:c r="J201" s="48" t="n">
        <x:v>68.6</x:v>
      </x:c>
      <x:c r="K201" t="n">
        <x:v>8</x:v>
      </x:c>
      <x:c r="L201" t="str">
        <x:v>Rating-distribution simulation; not weekly fantasy-point projection.</x:v>
      </x:c>
    </x:row>
    <x:row r="202">
      <x:c r="A202" t="str">
        <x:v>DST</x:v>
      </x:c>
      <x:c r="B202" t="str">
        <x:v>New England Patriots</x:v>
      </x:c>
      <x:c r="C202" s="48" t="n">
        <x:v>86.4</x:v>
      </x:c>
      <x:c r="D202" s="48" t="str">
        <x:v>B</x:v>
      </x:c>
      <x:c r="E202" s="48" t="str">
        <x:v>DST MODEL</x:v>
      </x:c>
      <x:c r="F202" s="48" t="n">
        <x:v>76.4055602695092</x:v>
      </x:c>
      <x:c r="G202" s="48" t="n">
        <x:v>85.84441041512461</x:v>
      </x:c>
      <x:c r="H202" s="48" t="n">
        <x:v>96.32171124588776</x:v>
      </x:c>
      <x:c r="I202" s="48" t="n">
        <x:v>30.35</x:v>
      </x:c>
      <x:c r="J202" s="48" t="n">
        <x:v>64.2</x:v>
      </x:c>
      <x:c r="K202" t="n">
        <x:v>8</x:v>
      </x:c>
      <x:c r="L202" t="str">
        <x:v>Rating-distribution simulation; not weekly fantasy-point projection.</x:v>
      </x:c>
    </x:row>
    <x:row r="203">
      <x:c r="A203" t="str">
        <x:v>DST</x:v>
      </x:c>
      <x:c r="B203" t="str">
        <x:v>Jacksonville Jaguars</x:v>
      </x:c>
      <x:c r="C203" s="48" t="n">
        <x:v>85.3</x:v>
      </x:c>
      <x:c r="D203" s="48" t="str">
        <x:v>B</x:v>
      </x:c>
      <x:c r="E203" s="48" t="str">
        <x:v>DST MODEL</x:v>
      </x:c>
      <x:c r="F203" s="48" t="n">
        <x:v>75.0956464554944</x:v>
      </x:c>
      <x:c r="G203" s="48" t="n">
        <x:v>85.40297616618498</x:v>
      </x:c>
      <x:c r="H203" s="48" t="n">
        <x:v>95.20427155846062</x:v>
      </x:c>
      <x:c r="I203" s="48" t="n">
        <x:v>28.05</x:v>
      </x:c>
      <x:c r="J203" s="48" t="n">
        <x:v>61.3</x:v>
      </x:c>
      <x:c r="K203" t="n">
        <x:v>8</x:v>
      </x:c>
      <x:c r="L203" t="str">
        <x:v>Rating-distribution simulation; not weekly fantasy-point projection.</x:v>
      </x:c>
    </x:row>
    <x:row r="204">
      <x:c r="A204" t="str">
        <x:v>DST</x:v>
      </x:c>
      <x:c r="B204" t="str">
        <x:v>Pittsburgh Steelers</x:v>
      </x:c>
      <x:c r="C204" s="48" t="n">
        <x:v>84.2</x:v>
      </x:c>
      <x:c r="D204" s="48" t="str">
        <x:v>B</x:v>
      </x:c>
      <x:c r="E204" s="48" t="str">
        <x:v>DST MODEL</x:v>
      </x:c>
      <x:c r="F204" s="48" t="n">
        <x:v>73.60618979931614</x:v>
      </x:c>
      <x:c r="G204" s="48" t="n">
        <x:v>84.08922317217366</x:v>
      </x:c>
      <x:c r="H204" s="48" t="n">
        <x:v>94.68439909321499</x:v>
      </x:c>
      <x:c r="I204" s="48" t="n">
        <x:v>23.55</x:v>
      </x:c>
      <x:c r="J204" s="48" t="n">
        <x:v>54.8</x:v>
      </x:c>
      <x:c r="K204" t="n">
        <x:v>8</x:v>
      </x:c>
      <x:c r="L204" t="str">
        <x:v>Rating-distribution simulation; not weekly fantasy-point projection.</x:v>
      </x:c>
    </x:row>
    <x:row r="205">
      <x:c r="A205" t="str">
        <x:v>DST</x:v>
      </x:c>
      <x:c r="B205" t="str">
        <x:v>Los Angeles Chargers</x:v>
      </x:c>
      <x:c r="C205" s="48" t="n">
        <x:v>83.1</x:v>
      </x:c>
      <x:c r="D205" s="48" t="str">
        <x:v>B</x:v>
      </x:c>
      <x:c r="E205" s="48" t="str">
        <x:v>DST MODEL</x:v>
      </x:c>
      <x:c r="F205" s="48" t="n">
        <x:v>72.44984912724459</x:v>
      </x:c>
      <x:c r="G205" s="48" t="n">
        <x:v>83.11218389045771</x:v>
      </x:c>
      <x:c r="H205" s="48" t="n">
        <x:v>93.1191139311371</x:v>
      </x:c>
      <x:c r="I205" s="48" t="n">
        <x:v>19.95</x:v>
      </x:c>
      <x:c r="J205" s="48" t="n">
        <x:v>50.1</x:v>
      </x:c>
      <x:c r="K205" t="n">
        <x:v>8</x:v>
      </x:c>
      <x:c r="L205" t="str">
        <x:v>Rating-distribution simulation; not weekly fantasy-point projection.</x:v>
      </x:c>
    </x:row>
    <x:row r="206">
      <x:c r="A206" t="str">
        <x:v>DST</x:v>
      </x:c>
      <x:c r="B206" t="str">
        <x:v>Baltimore Ravens</x:v>
      </x:c>
      <x:c r="C206" s="48" t="n">
        <x:v>82</x:v>
      </x:c>
      <x:c r="D206" s="48" t="str">
        <x:v>B</x:v>
      </x:c>
      <x:c r="E206" s="48" t="str">
        <x:v>DST MODEL</x:v>
      </x:c>
      <x:c r="F206" s="48" t="n">
        <x:v>71.49469567955028</x:v>
      </x:c>
      <x:c r="G206" s="48" t="n">
        <x:v>81.5180338624894</x:v>
      </x:c>
      <x:c r="H206" s="48" t="n">
        <x:v>92.15317475506805</x:v>
      </x:c>
      <x:c r="I206" s="48" t="n">
        <x:v>14.9</x:v>
      </x:c>
      <x:c r="J206" s="48" t="n">
        <x:v>42.75</x:v>
      </x:c>
      <x:c r="K206" t="n">
        <x:v>8</x:v>
      </x:c>
      <x:c r="L206" t="str">
        <x:v>Rating-distribution simulation; not weekly fantasy-point projection.</x:v>
      </x:c>
    </x:row>
    <x:row r="207">
      <x:c r="A207" t="str">
        <x:v>DST</x:v>
      </x:c>
      <x:c r="B207" t="str">
        <x:v>Green Bay Packers</x:v>
      </x:c>
      <x:c r="C207" s="48" t="n">
        <x:v>80.9</x:v>
      </x:c>
      <x:c r="D207" s="48" t="str">
        <x:v>B</x:v>
      </x:c>
      <x:c r="E207" s="48" t="str">
        <x:v>DST MODEL</x:v>
      </x:c>
      <x:c r="F207" s="48" t="n">
        <x:v>70.58446249142311</x:v>
      </x:c>
      <x:c r="G207" s="48" t="n">
        <x:v>80.99080730501018</x:v>
      </x:c>
      <x:c r="H207" s="48" t="n">
        <x:v>91.53723463800088</x:v>
      </x:c>
      <x:c r="I207" s="48" t="n">
        <x:v>13.85</x:v>
      </x:c>
      <x:c r="J207" s="48" t="n">
        <x:v>40.2</x:v>
      </x:c>
      <x:c r="K207" t="n">
        <x:v>8</x:v>
      </x:c>
      <x:c r="L207" t="str">
        <x:v>Rating-distribution simulation; not weekly fantasy-point projection.</x:v>
      </x:c>
    </x:row>
    <x:row r="208">
      <x:c r="A208" t="str">
        <x:v>DST</x:v>
      </x:c>
      <x:c r="B208" t="str">
        <x:v>Detroit Lions</x:v>
      </x:c>
      <x:c r="C208" s="48" t="n">
        <x:v>79.8</x:v>
      </x:c>
      <x:c r="D208" s="48" t="str">
        <x:v>B</x:v>
      </x:c>
      <x:c r="E208" s="48" t="str">
        <x:v>DST MODEL</x:v>
      </x:c>
      <x:c r="F208" s="48" t="n">
        <x:v>69.76511801766678</x:v>
      </x:c>
      <x:c r="G208" s="48" t="n">
        <x:v>80.09560989888497</x:v>
      </x:c>
      <x:c r="H208" s="48" t="n">
        <x:v>90.34470761841604</x:v>
      </x:c>
      <x:c r="I208" s="48" t="n">
        <x:v>10.6</x:v>
      </x:c>
      <x:c r="J208" s="48" t="n">
        <x:v>35.45</x:v>
      </x:c>
      <x:c r="K208" t="n">
        <x:v>8</x:v>
      </x:c>
      <x:c r="L208" t="str">
        <x:v>Rating-distribution simulation; not weekly fantasy-point projection.</x:v>
      </x:c>
    </x:row>
    <x:row r="209">
      <x:c r="A209" t="str">
        <x:v>DST</x:v>
      </x:c>
      <x:c r="B209" t="str">
        <x:v>Buffalo Bills</x:v>
      </x:c>
      <x:c r="C209" s="48" t="n">
        <x:v>78.7</x:v>
      </x:c>
      <x:c r="D209" s="48" t="str">
        <x:v>B</x:v>
      </x:c>
      <x:c r="E209" s="48" t="str">
        <x:v>DST MODEL</x:v>
      </x:c>
      <x:c r="F209" s="48" t="n">
        <x:v>68.12548700608143</x:v>
      </x:c>
      <x:c r="G209" s="48" t="n">
        <x:v>78.72008292617518</x:v>
      </x:c>
      <x:c r="H209" s="48" t="n">
        <x:v>89.13595419835856</x:v>
      </x:c>
      <x:c r="I209" s="48" t="n">
        <x:v>7.9</x:v>
      </x:c>
      <x:c r="J209" s="48" t="n">
        <x:v>30.2</x:v>
      </x:c>
      <x:c r="K209" t="n">
        <x:v>8</x:v>
      </x:c>
      <x:c r="L209" t="str">
        <x:v>Rating-distribution simulation; not weekly fantasy-point projection.</x:v>
      </x:c>
    </x:row>
    <x:row r="210">
      <x:c r="A210" t="str">
        <x:v>DST</x:v>
      </x:c>
      <x:c r="B210" t="str">
        <x:v>Kansas City Chiefs</x:v>
      </x:c>
      <x:c r="C210" s="48" t="n">
        <x:v>77.6</x:v>
      </x:c>
      <x:c r="D210" s="48" t="str">
        <x:v>B</x:v>
      </x:c>
      <x:c r="E210" s="48" t="str">
        <x:v>DST MODEL</x:v>
      </x:c>
      <x:c r="F210" s="48" t="n">
        <x:v>67.1471835325367</x:v>
      </x:c>
      <x:c r="G210" s="48" t="n">
        <x:v>77.54165476542957</x:v>
      </x:c>
      <x:c r="H210" s="48" t="n">
        <x:v>88.29087696919926</x:v>
      </x:c>
      <x:c r="I210" s="48" t="n">
        <x:v>6.1</x:v>
      </x:c>
      <x:c r="J210" s="48" t="n">
        <x:v>23.65</x:v>
      </x:c>
      <x:c r="K210" t="n">
        <x:v>8</x:v>
      </x:c>
      <x:c r="L210" t="str">
        <x:v>Rating-distribution simulation; not weekly fantasy-point projection.</x:v>
      </x:c>
    </x:row>
    <x:row r="211">
      <x:c r="A211" t="str">
        <x:v>DST</x:v>
      </x:c>
      <x:c r="B211" t="str">
        <x:v>Cleveland Browns</x:v>
      </x:c>
      <x:c r="C211" s="48" t="n">
        <x:v>76.5</x:v>
      </x:c>
      <x:c r="D211" s="48" t="str">
        <x:v>B</x:v>
      </x:c>
      <x:c r="E211" s="48" t="str">
        <x:v>DST MODEL</x:v>
      </x:c>
      <x:c r="F211" s="48" t="n">
        <x:v>66.046930088399</x:v>
      </x:c>
      <x:c r="G211" s="48" t="n">
        <x:v>76.35061013184664</x:v>
      </x:c>
      <x:c r="H211" s="48" t="n">
        <x:v>86.90616206252345</x:v>
      </x:c>
      <x:c r="I211" s="48" t="n">
        <x:v>5.3</x:v>
      </x:c>
      <x:c r="J211" s="48" t="n">
        <x:v>20.8</x:v>
      </x:c>
      <x:c r="K211" t="n">
        <x:v>8</x:v>
      </x:c>
      <x:c r="L211" t="str">
        <x:v>Rating-distribution simulation; not weekly fantasy-point projection.</x:v>
      </x:c>
    </x:row>
    <x:row r="212">
      <x:c r="A212" t="str">
        <x:v>DST</x:v>
      </x:c>
      <x:c r="B212" t="str">
        <x:v>San Francisco 49ers</x:v>
      </x:c>
      <x:c r="C212" s="48" t="n">
        <x:v>75.4</x:v>
      </x:c>
      <x:c r="D212" s="48" t="str">
        <x:v>B</x:v>
      </x:c>
      <x:c r="E212" s="48" t="str">
        <x:v>DST MODEL</x:v>
      </x:c>
      <x:c r="F212" s="48" t="n">
        <x:v>65.12647884665719</x:v>
      </x:c>
      <x:c r="G212" s="48" t="n">
        <x:v>75.51921625757561</x:v>
      </x:c>
      <x:c r="H212" s="48" t="n">
        <x:v>85.64263477091939</x:v>
      </x:c>
      <x:c r="I212" s="48" t="n">
        <x:v>2.8</x:v>
      </x:c>
      <x:c r="J212" s="48" t="n">
        <x:v>16.4</x:v>
      </x:c>
      <x:c r="K212" t="n">
        <x:v>8</x:v>
      </x:c>
      <x:c r="L212" t="str">
        <x:v>Rating-distribution simulation; not weekly fantasy-point projection.</x:v>
      </x:c>
    </x:row>
    <x:row r="213">
      <x:c r="A213" t="str">
        <x:v>DST</x:v>
      </x:c>
      <x:c r="B213" t="str">
        <x:v>New Orleans Saints</x:v>
      </x:c>
      <x:c r="C213" s="48" t="n">
        <x:v>74.3</x:v>
      </x:c>
      <x:c r="D213" s="48" t="str">
        <x:v>B</x:v>
      </x:c>
      <x:c r="E213" s="48" t="str">
        <x:v>DST MODEL</x:v>
      </x:c>
      <x:c r="F213" s="48" t="n">
        <x:v>64.2121103131353</x:v>
      </x:c>
      <x:c r="G213" s="48" t="n">
        <x:v>74.24801737820759</x:v>
      </x:c>
      <x:c r="H213" s="48" t="n">
        <x:v>84.46000319823966</x:v>
      </x:c>
      <x:c r="I213" s="48" t="n">
        <x:v>2.6</x:v>
      </x:c>
      <x:c r="J213" s="48" t="n">
        <x:v>13.2</x:v>
      </x:c>
      <x:c r="K213" t="n">
        <x:v>8</x:v>
      </x:c>
      <x:c r="L213" t="str">
        <x:v>Rating-distribution simulation; not weekly fantasy-point projection.</x:v>
      </x:c>
    </x:row>
    <x:row r="214">
      <x:c r="A214" t="str">
        <x:v>DST</x:v>
      </x:c>
      <x:c r="B214" t="str">
        <x:v>Atlanta Falcons</x:v>
      </x:c>
      <x:c r="C214" s="48" t="n">
        <x:v>73.2</x:v>
      </x:c>
      <x:c r="D214" s="48" t="str">
        <x:v>B</x:v>
      </x:c>
      <x:c r="E214" s="48" t="str">
        <x:v>DST MODEL</x:v>
      </x:c>
      <x:c r="F214" s="48" t="n">
        <x:v>62.63296994194181</x:v>
      </x:c>
      <x:c r="G214" s="48" t="n">
        <x:v>73.11949802387876</x:v>
      </x:c>
      <x:c r="H214" s="48" t="n">
        <x:v>83.73850037345429</x:v>
      </x:c>
      <x:c r="I214" s="48" t="n">
        <x:v>2.3</x:v>
      </x:c>
      <x:c r="J214" s="48" t="n">
        <x:v>11.65</x:v>
      </x:c>
      <x:c r="K214" t="n">
        <x:v>8</x:v>
      </x:c>
      <x:c r="L214" t="str">
        <x:v>Rating-distribution simulation; not weekly fantasy-point projection.</x:v>
      </x:c>
    </x:row>
    <x:row r="215">
      <x:c r="A215" t="str">
        <x:v>DST</x:v>
      </x:c>
      <x:c r="B215" t="str">
        <x:v>Chicago Bears</x:v>
      </x:c>
      <x:c r="C215" s="48" t="n">
        <x:v>72.1</x:v>
      </x:c>
      <x:c r="D215" s="48" t="str">
        <x:v>B</x:v>
      </x:c>
      <x:c r="E215" s="48" t="str">
        <x:v>DST MODEL</x:v>
      </x:c>
      <x:c r="F215" s="48" t="n">
        <x:v>61.89036975347251</x:v>
      </x:c>
      <x:c r="G215" s="48" t="n">
        <x:v>72.19827239618152</x:v>
      </x:c>
      <x:c r="H215" s="48" t="n">
        <x:v>82.1463936747492</x:v>
      </x:c>
      <x:c r="I215" s="48" t="n">
        <x:v>1</x:v>
      </x:c>
      <x:c r="J215" s="48" t="n">
        <x:v>7.9</x:v>
      </x:c>
      <x:c r="K215" t="n">
        <x:v>8</x:v>
      </x:c>
      <x:c r="L215" t="str">
        <x:v>Rating-distribution simulation; not weekly fantasy-point projection.</x:v>
      </x:c>
    </x:row>
    <x:row r="216">
      <x:c r="A216" t="str">
        <x:v>DST</x:v>
      </x:c>
      <x:c r="B216" t="str">
        <x:v>Indianapolis Colts</x:v>
      </x:c>
      <x:c r="C216" s="48" t="n">
        <x:v>71</x:v>
      </x:c>
      <x:c r="D216" s="48" t="str">
        <x:v>B</x:v>
      </x:c>
      <x:c r="E216" s="48" t="str">
        <x:v>DST MODEL</x:v>
      </x:c>
      <x:c r="F216" s="48" t="n">
        <x:v>60.431893975191656</x:v>
      </x:c>
      <x:c r="G216" s="48" t="n">
        <x:v>70.45813616250676</x:v>
      </x:c>
      <x:c r="H216" s="48" t="n">
        <x:v>81.00578806309818</x:v>
      </x:c>
      <x:c r="I216" s="48" t="n">
        <x:v>1.05</x:v>
      </x:c>
      <x:c r="J216" s="48" t="n">
        <x:v>5.9</x:v>
      </x:c>
      <x:c r="K216" t="n">
        <x:v>8</x:v>
      </x:c>
      <x:c r="L216" t="str">
        <x:v>Rating-distribution simulation; not weekly fantasy-point projection.</x:v>
      </x:c>
    </x:row>
    <x:row r="217">
      <x:c r="A217" t="str">
        <x:v>DST</x:v>
      </x:c>
      <x:c r="B217" t="str">
        <x:v>New York Giants</x:v>
      </x:c>
      <x:c r="C217" s="48" t="n">
        <x:v>69.9</x:v>
      </x:c>
      <x:c r="D217" s="48" t="str">
        <x:v>B</x:v>
      </x:c>
      <x:c r="E217" s="48" t="str">
        <x:v>DST MODEL</x:v>
      </x:c>
      <x:c r="F217" s="48" t="n">
        <x:v>59.90975805000713</x:v>
      </x:c>
      <x:c r="G217" s="48" t="n">
        <x:v>70.2157926986239</x:v>
      </x:c>
      <x:c r="H217" s="48" t="n">
        <x:v>79.75448139074689</x:v>
      </x:c>
      <x:c r="I217" s="48" t="n">
        <x:v>0.55</x:v>
      </x:c>
      <x:c r="J217" s="48" t="n">
        <x:v>4.8</x:v>
      </x:c>
      <x:c r="K217" t="n">
        <x:v>8</x:v>
      </x:c>
      <x:c r="L217" t="str">
        <x:v>Rating-distribution simulation; not weekly fantasy-point projection.</x:v>
      </x:c>
    </x:row>
    <x:row r="218">
      <x:c r="A218" t="str">
        <x:v>DST</x:v>
      </x:c>
      <x:c r="B218" t="str">
        <x:v>Tampa Bay Buccaneers</x:v>
      </x:c>
      <x:c r="C218" s="48" t="n">
        <x:v>68.8</x:v>
      </x:c>
      <x:c r="D218" s="48" t="str">
        <x:v>B</x:v>
      </x:c>
      <x:c r="E218" s="48" t="str">
        <x:v>DST MODEL</x:v>
      </x:c>
      <x:c r="F218" s="48" t="n">
        <x:v>58.302542727448746</x:v>
      </x:c>
      <x:c r="G218" s="48" t="n">
        <x:v>68.363793661596</x:v>
      </x:c>
      <x:c r="H218" s="48" t="n">
        <x:v>79.18640933900588</x:v>
      </x:c>
      <x:c r="I218" s="48" t="n">
        <x:v>0.5</x:v>
      </x:c>
      <x:c r="J218" s="48" t="n">
        <x:v>4</x:v>
      </x:c>
      <x:c r="K218" t="n">
        <x:v>8</x:v>
      </x:c>
      <x:c r="L218" t="str">
        <x:v>Rating-distribution simulation; not weekly fantasy-point projection.</x:v>
      </x:c>
    </x:row>
    <x:row r="219">
      <x:c r="A219" t="str">
        <x:v>DST</x:v>
      </x:c>
      <x:c r="B219" t="str">
        <x:v>Dallas Cowboys</x:v>
      </x:c>
      <x:c r="C219" s="48" t="n">
        <x:v>67.7</x:v>
      </x:c>
      <x:c r="D219" s="48" t="str">
        <x:v>B</x:v>
      </x:c>
      <x:c r="E219" s="48" t="str">
        <x:v>DST MODEL</x:v>
      </x:c>
      <x:c r="F219" s="48" t="n">
        <x:v>57.39893948223836</x:v>
      </x:c>
      <x:c r="G219" s="48" t="n">
        <x:v>67.35687026048025</x:v>
      </x:c>
      <x:c r="H219" s="48" t="n">
        <x:v>77.77659373128184</x:v>
      </x:c>
      <x:c r="I219" s="48" t="n">
        <x:v>0.35</x:v>
      </x:c>
      <x:c r="J219" s="48" t="n">
        <x:v>2.3</x:v>
      </x:c>
      <x:c r="K219" t="n">
        <x:v>8</x:v>
      </x:c>
      <x:c r="L219" t="str">
        <x:v>Rating-distribution simulation; not weekly fantasy-point projection.</x:v>
      </x:c>
    </x:row>
    <x:row r="220">
      <x:c r="A220" t="str">
        <x:v>DST</x:v>
      </x:c>
      <x:c r="B220" t="str">
        <x:v>Carolina Panthers</x:v>
      </x:c>
      <x:c r="C220" s="48" t="n">
        <x:v>66.6</x:v>
      </x:c>
      <x:c r="D220" s="48" t="str">
        <x:v>B</x:v>
      </x:c>
      <x:c r="E220" s="48" t="str">
        <x:v>DST MODEL</x:v>
      </x:c>
      <x:c r="F220" s="48" t="n">
        <x:v>56.02899936824025</x:v>
      </x:c>
      <x:c r="G220" s="48" t="n">
        <x:v>66.84320664364381</x:v>
      </x:c>
      <x:c r="H220" s="48" t="n">
        <x:v>76.91672719551191</x:v>
      </x:c>
      <x:c r="I220" s="48" t="n">
        <x:v>0.15</x:v>
      </x:c>
      <x:c r="J220" s="48" t="n">
        <x:v>1.7</x:v>
      </x:c>
      <x:c r="K220" t="n">
        <x:v>8</x:v>
      </x:c>
      <x:c r="L220" t="str">
        <x:v>Rating-distribution simulation; not weekly fantasy-point projection.</x:v>
      </x:c>
    </x:row>
    <x:row r="221">
      <x:c r="A221" t="str">
        <x:v>DST</x:v>
      </x:c>
      <x:c r="B221" t="str">
        <x:v>Tennessee Titans</x:v>
      </x:c>
      <x:c r="C221" s="48" t="n">
        <x:v>65.5</x:v>
      </x:c>
      <x:c r="D221" s="48" t="str">
        <x:v>B</x:v>
      </x:c>
      <x:c r="E221" s="48" t="str">
        <x:v>DST MODEL</x:v>
      </x:c>
      <x:c r="F221" s="48" t="n">
        <x:v>55.60859183583637</x:v>
      </x:c>
      <x:c r="G221" s="48" t="n">
        <x:v>65.48856669762213</x:v>
      </x:c>
      <x:c r="H221" s="48" t="n">
        <x:v>76.3703604932139</x:v>
      </x:c>
      <x:c r="I221" s="48" t="n">
        <x:v>0.1</x:v>
      </x:c>
      <x:c r="J221" s="48" t="n">
        <x:v>1.6</x:v>
      </x:c>
      <x:c r="K221" t="n">
        <x:v>8</x:v>
      </x:c>
      <x:c r="L221" t="str">
        <x:v>Rating-distribution simulation; not weekly fantasy-point projection.</x:v>
      </x:c>
    </x:row>
    <x:row r="222">
      <x:c r="A222" t="str">
        <x:v>DST</x:v>
      </x:c>
      <x:c r="B222" t="str">
        <x:v>Miami Dolphins</x:v>
      </x:c>
      <x:c r="C222" s="48" t="n">
        <x:v>64.4</x:v>
      </x:c>
      <x:c r="D222" s="48" t="str">
        <x:v>B</x:v>
      </x:c>
      <x:c r="E222" s="48" t="str">
        <x:v>DST MODEL</x:v>
      </x:c>
      <x:c r="F222" s="48" t="n">
        <x:v>54.299702501083424</x:v>
      </x:c>
      <x:c r="G222" s="48" t="n">
        <x:v>64.62720296017324</x:v>
      </x:c>
      <x:c r="H222" s="48" t="n">
        <x:v>74.64461716708853</x:v>
      </x:c>
      <x:c r="I222" s="48" t="n">
        <x:v>0.05</x:v>
      </x:c>
      <x:c r="J222" s="48" t="n">
        <x:v>0.8</x:v>
      </x:c>
      <x:c r="K222" t="n">
        <x:v>8</x:v>
      </x:c>
      <x:c r="L222" t="str">
        <x:v>Rating-distribution simulation; not weekly fantasy-point projection.</x:v>
      </x:c>
    </x:row>
    <x:row r="223">
      <x:c r="A223" t="str">
        <x:v>DST</x:v>
      </x:c>
      <x:c r="B223" t="str">
        <x:v>Washington Commanders</x:v>
      </x:c>
      <x:c r="C223" s="48" t="n">
        <x:v>63.3</x:v>
      </x:c>
      <x:c r="D223" s="48" t="str">
        <x:v>B</x:v>
      </x:c>
      <x:c r="E223" s="48" t="str">
        <x:v>DST MODEL</x:v>
      </x:c>
      <x:c r="F223" s="48" t="n">
        <x:v>52.46885134965339</x:v>
      </x:c>
      <x:c r="G223" s="48" t="n">
        <x:v>63.127066242819666</x:v>
      </x:c>
      <x:c r="H223" s="48" t="n">
        <x:v>73.63176144646847</x:v>
      </x:c>
      <x:c r="I223" s="48" t="n">
        <x:v>0.1</x:v>
      </x:c>
      <x:c r="J223" s="48" t="n">
        <x:v>0.6</x:v>
      </x:c>
      <x:c r="K223" t="n">
        <x:v>8</x:v>
      </x:c>
      <x:c r="L223" t="str">
        <x:v>Rating-distribution simulation; not weekly fantasy-point projection.</x:v>
      </x:c>
    </x:row>
    <x:row r="224">
      <x:c r="A224" t="str">
        <x:v>DST</x:v>
      </x:c>
      <x:c r="B224" t="str">
        <x:v>New York Jets</x:v>
      </x:c>
      <x:c r="C224" s="48" t="n">
        <x:v>62.199999999999996</x:v>
      </x:c>
      <x:c r="D224" s="48" t="str">
        <x:v>B</x:v>
      </x:c>
      <x:c r="E224" s="48" t="str">
        <x:v>DST MODEL</x:v>
      </x:c>
      <x:c r="F224" s="48" t="n">
        <x:v>52.25213421551894</x:v>
      </x:c>
      <x:c r="G224" s="48" t="n">
        <x:v>62.34478191774758</x:v>
      </x:c>
      <x:c r="H224" s="48" t="n">
        <x:v>72.79829279022299</x:v>
      </x:c>
      <x:c r="I224" s="48" t="n">
        <x:v>0</x:v>
      </x:c>
      <x:c r="J224" s="48" t="n">
        <x:v>0.4</x:v>
      </x:c>
      <x:c r="K224" t="n">
        <x:v>8</x:v>
      </x:c>
      <x:c r="L224" t="str">
        <x:v>Rating-distribution simulation; not weekly fantasy-point projection.</x:v>
      </x:c>
    </x:row>
    <x:row r="225">
      <x:c r="A225" t="str">
        <x:v>DST</x:v>
      </x:c>
      <x:c r="B225" t="str">
        <x:v>Arizona Cardinals</x:v>
      </x:c>
      <x:c r="C225" s="48" t="n">
        <x:v>61.099999999999994</x:v>
      </x:c>
      <x:c r="D225" s="48" t="str">
        <x:v>B</x:v>
      </x:c>
      <x:c r="E225" s="48" t="str">
        <x:v>DST MODEL</x:v>
      </x:c>
      <x:c r="F225" s="48" t="n">
        <x:v>50.70045205898504</x:v>
      </x:c>
      <x:c r="G225" s="48" t="n">
        <x:v>61.04617769219765</x:v>
      </x:c>
      <x:c r="H225" s="48" t="n">
        <x:v>71.32451860449429</x:v>
      </x:c>
      <x:c r="I225" s="48" t="n">
        <x:v>0.05</x:v>
      </x:c>
      <x:c r="J225" s="48" t="n">
        <x:v>0.35</x:v>
      </x:c>
      <x:c r="K225" t="n">
        <x:v>8</x:v>
      </x:c>
      <x:c r="L225" t="str">
        <x:v>Rating-distribution simulation; not weekly fantasy-point projection.</x:v>
      </x:c>
    </x:row>
    <x:row r="226">
      <x:c r="A226" t="str">
        <x:v>DST</x:v>
      </x:c>
      <x:c r="B226" t="str">
        <x:v>Cincinnati Bengals</x:v>
      </x:c>
      <x:c r="C226" s="48" t="n">
        <x:v>60</x:v>
      </x:c>
      <x:c r="D226" s="48" t="str">
        <x:v>B</x:v>
      </x:c>
      <x:c r="E226" s="48" t="str">
        <x:v>DST MODEL</x:v>
      </x:c>
      <x:c r="F226" s="48" t="n">
        <x:v>49.77465657932215</x:v>
      </x:c>
      <x:c r="G226" s="48" t="n">
        <x:v>60.13706175404917</x:v>
      </x:c>
      <x:c r="H226" s="48" t="n">
        <x:v>70.53699447468315</x:v>
      </x:c>
      <x:c r="I226" s="48" t="n">
        <x:v>0</x:v>
      </x:c>
      <x:c r="J226" s="48" t="n">
        <x:v>0.3</x:v>
      </x:c>
      <x:c r="K226" t="n">
        <x:v>8</x:v>
      </x:c>
      <x:c r="L226" t="str">
        <x:v>Rating-distribution simulation; not weekly fantasy-point projection.</x:v>
      </x:c>
    </x:row>
    <x:row r="227">
      <x:c r="A227" t="str">
        <x:v>DST</x:v>
      </x:c>
      <x:c r="B227" t="str">
        <x:v>Las Vegas Raiders</x:v>
      </x:c>
      <x:c r="C227" s="48" t="n">
        <x:v>58.9</x:v>
      </x:c>
      <x:c r="D227" s="48" t="str">
        <x:v>B</x:v>
      </x:c>
      <x:c r="E227" s="48" t="str">
        <x:v>DST MODEL</x:v>
      </x:c>
      <x:c r="F227" s="48" t="n">
        <x:v>49.10445734076254</x:v>
      </x:c>
      <x:c r="G227" s="48" t="n">
        <x:v>58.91710568131931</x:v>
      </x:c>
      <x:c r="H227" s="48" t="n">
        <x:v>69.26290892589716</x:v>
      </x:c>
      <x:c r="I227" s="48" t="n">
        <x:v>0.05</x:v>
      </x:c>
      <x:c r="J227" s="48" t="n">
        <x:v>0.2</x:v>
      </x:c>
      <x:c r="K227" t="n">
        <x:v>8</x:v>
      </x:c>
      <x:c r="L227" t="str">
        <x:v>Rating-distribution simulation; not weekly fantasy-point projection.</x:v>
      </x:c>
    </x:row>
  </x:sheetData>
  <x:mergeCells>
    <x:mergeCell ref="A1:L1"/>
    <x:mergeCell ref="A2:L2"/>
  </x:mergeCells>
  <x:conditionalFormatting sqref="H5:H22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